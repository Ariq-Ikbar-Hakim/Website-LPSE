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 S I\Documents\"/>
    </mc:Choice>
  </mc:AlternateContent>
  <xr:revisionPtr revIDLastSave="0" documentId="13_ncr:1_{C1A68690-5B4C-4441-AB2A-F3B4CC785A2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6" i="3" l="1"/>
  <c r="Y45" i="3"/>
  <c r="Y43" i="3"/>
  <c r="Y4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2" i="3"/>
  <c r="Y40" i="3"/>
  <c r="Y39" i="3"/>
  <c r="Y37" i="3"/>
  <c r="N29" i="3"/>
  <c r="J32" i="3"/>
  <c r="J30" i="3"/>
  <c r="B5112" i="3"/>
  <c r="A5112" i="3"/>
  <c r="E3" i="3"/>
  <c r="E4" i="3"/>
  <c r="E5" i="3"/>
  <c r="E6" i="3"/>
  <c r="E7" i="3"/>
  <c r="E8" i="3"/>
  <c r="E9" i="3"/>
  <c r="J31" i="3" s="1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2" i="3"/>
  <c r="J29" i="3" s="1"/>
  <c r="C3" i="3"/>
  <c r="C4" i="3"/>
  <c r="C5" i="3"/>
  <c r="N31" i="3" s="1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2" i="3"/>
  <c r="Y38" i="3" s="1"/>
  <c r="O9" i="1"/>
  <c r="J35" i="3" l="1"/>
  <c r="O6" i="1"/>
  <c r="S5" i="1" s="1"/>
  <c r="O5" i="1"/>
  <c r="O4" i="1"/>
  <c r="O8" i="1" l="1"/>
  <c r="O10" i="1" s="1"/>
  <c r="T5" i="1"/>
  <c r="U5" i="1" s="1"/>
  <c r="S6" i="1" l="1"/>
  <c r="T6" i="1" l="1"/>
  <c r="U6" i="1" s="1"/>
  <c r="S7" i="1" l="1"/>
  <c r="T7" i="1" l="1"/>
  <c r="U7" i="1" s="1"/>
  <c r="S8" i="1" l="1"/>
  <c r="T8" i="1" l="1"/>
  <c r="S9" i="1" l="1"/>
  <c r="U8" i="1"/>
  <c r="T9" i="1" l="1"/>
  <c r="S10" i="1" l="1"/>
  <c r="U9" i="1"/>
  <c r="T10" i="1" l="1"/>
  <c r="S11" i="1" s="1"/>
  <c r="T11" i="1" l="1"/>
  <c r="S12" i="1" s="1"/>
  <c r="U10" i="1"/>
  <c r="U11" i="1" l="1"/>
  <c r="T12" i="1"/>
  <c r="S13" i="1" s="1"/>
  <c r="U12" i="1" l="1"/>
  <c r="T13" i="1"/>
  <c r="S14" i="1" s="1"/>
  <c r="U13" i="1"/>
  <c r="T14" i="1" l="1"/>
  <c r="S15" i="1" s="1"/>
  <c r="U14" i="1"/>
  <c r="T15" i="1" l="1"/>
  <c r="S16" i="1" s="1"/>
  <c r="U15" i="1"/>
  <c r="T16" i="1" l="1"/>
  <c r="S17" i="1" s="1"/>
  <c r="U16" i="1"/>
  <c r="T17" i="1" l="1"/>
  <c r="V5" i="1" s="1" a="1"/>
  <c r="V5" i="1" s="1"/>
  <c r="V19" i="1" s="1"/>
  <c r="U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<sst xmlns="http://schemas.openxmlformats.org/spreadsheetml/2006/main" count="40958" uniqueCount="80">
  <si>
    <t>ID</t>
  </si>
  <si>
    <t>Jenis Kelamin</t>
  </si>
  <si>
    <t>Usia</t>
  </si>
  <si>
    <t>Hipertensi</t>
  </si>
  <si>
    <t>Penyakit Jantung</t>
  </si>
  <si>
    <t>Pernah Menikah</t>
  </si>
  <si>
    <t>Jenis Pekerjaan</t>
  </si>
  <si>
    <t>Tipe Tempat Tinggal</t>
  </si>
  <si>
    <t>Rata-rata Gula Darah</t>
  </si>
  <si>
    <t>BMI</t>
  </si>
  <si>
    <t>Status Merokok</t>
  </si>
  <si>
    <t>Pernah Stroke</t>
  </si>
  <si>
    <t>Male</t>
  </si>
  <si>
    <t>Female</t>
  </si>
  <si>
    <t>Other</t>
  </si>
  <si>
    <t>Tidak</t>
  </si>
  <si>
    <t>Ya</t>
  </si>
  <si>
    <t>Swasta</t>
  </si>
  <si>
    <t>Wiraswasta</t>
  </si>
  <si>
    <t>Pegawai Negeri</t>
  </si>
  <si>
    <t>Anak-anak</t>
  </si>
  <si>
    <t>Belum Pernah Bekerja</t>
  </si>
  <si>
    <t>Perkotaan</t>
  </si>
  <si>
    <t>Pedesaan</t>
  </si>
  <si>
    <t>Pernah merokok</t>
  </si>
  <si>
    <t>Tidak pernah merokok</t>
  </si>
  <si>
    <t>Masih merokok</t>
  </si>
  <si>
    <t>Tidak diketahui</t>
  </si>
  <si>
    <t>N</t>
  </si>
  <si>
    <t>MAX</t>
  </si>
  <si>
    <t>MIN</t>
  </si>
  <si>
    <t>KELAS</t>
  </si>
  <si>
    <t>INTERVAL</t>
  </si>
  <si>
    <t>INTERVAL KELAS</t>
  </si>
  <si>
    <t>FREKUENSI</t>
  </si>
  <si>
    <t>R(RANGE)</t>
  </si>
  <si>
    <t>K(JUMLAH KELAS)</t>
  </si>
  <si>
    <t>P(PANJANG KELAS ATAU INVTERVAL)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</si>
  <si>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</si>
  <si>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</si>
  <si>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</si>
  <si>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</si>
  <si>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</si>
  <si>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</si>
  <si>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</si>
  <si>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</si>
  <si>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</si>
  <si>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</si>
  <si>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</si>
  <si>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</si>
  <si>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</si>
  <si>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</si>
  <si>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</si>
  <si>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</si>
  <si>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</si>
  <si>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</si>
  <si>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</si>
  <si>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</si>
  <si>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</si>
  <si>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</si>
  <si>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</si>
  <si>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</si>
  <si>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=</t>
  </si>
  <si>
    <t>XY</t>
  </si>
  <si>
    <t>X2</t>
  </si>
  <si>
    <t>Y2</t>
  </si>
  <si>
    <t>r2</t>
  </si>
  <si>
    <t>r tabel</t>
  </si>
  <si>
    <t>ada hubungan nya karena nilai r tabel lebih kecil dari r2</t>
  </si>
  <si>
    <t>n</t>
  </si>
  <si>
    <t>Σ XY</t>
  </si>
  <si>
    <t>Σ X</t>
  </si>
  <si>
    <t>Σ Y</t>
  </si>
  <si>
    <t>Σ X^2</t>
  </si>
  <si>
    <t>X^2</t>
  </si>
  <si>
    <t>(Σ X)^2</t>
  </si>
  <si>
    <t>regresi linear sederhana</t>
  </si>
  <si>
    <t>nilai b</t>
  </si>
  <si>
    <t>nilai a</t>
  </si>
  <si>
    <t>jadi persamaan regresinya adalah y = 85.530 + 0,476X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</si>
</sst>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3" xfId="0" applyBorder="1"/>
    <xf numFmtId="0" fontId="2" fillId="0" borderId="4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/>
    <xf numFmtId="0" fontId="2" fillId="0" borderId="4" xfId="0" applyFont="1" applyBorder="1" applyAlignment="1">
      <alignment horizontal="centerContinuous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Diagram</a:t>
            </a:r>
            <a:r>
              <a:rPr lang="en-ID" baseline="0"/>
              <a:t> Pencar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Sheet3!$A$2:$A$5111</c:f>
              <c:numCache>
                <c:formatCode>General</c:formatCode>
                <c:ptCount val="5110"/>
                <c:pt idx="0">
                  <c:v>67</c:v>
                </c:pt>
                <c:pt idx="1">
                  <c:v>61</c:v>
                </c:pt>
                <c:pt idx="2">
                  <c:v>80</c:v>
                </c:pt>
                <c:pt idx="3">
                  <c:v>49</c:v>
                </c:pt>
                <c:pt idx="4">
                  <c:v>79</c:v>
                </c:pt>
                <c:pt idx="5">
                  <c:v>81</c:v>
                </c:pt>
                <c:pt idx="6">
                  <c:v>74</c:v>
                </c:pt>
                <c:pt idx="7">
                  <c:v>69</c:v>
                </c:pt>
                <c:pt idx="8">
                  <c:v>59</c:v>
                </c:pt>
                <c:pt idx="9">
                  <c:v>78</c:v>
                </c:pt>
                <c:pt idx="10">
                  <c:v>81</c:v>
                </c:pt>
                <c:pt idx="11">
                  <c:v>61</c:v>
                </c:pt>
                <c:pt idx="12">
                  <c:v>54</c:v>
                </c:pt>
                <c:pt idx="13">
                  <c:v>78</c:v>
                </c:pt>
                <c:pt idx="14">
                  <c:v>79</c:v>
                </c:pt>
                <c:pt idx="15">
                  <c:v>50</c:v>
                </c:pt>
                <c:pt idx="16">
                  <c:v>64</c:v>
                </c:pt>
                <c:pt idx="17">
                  <c:v>75</c:v>
                </c:pt>
                <c:pt idx="18">
                  <c:v>60</c:v>
                </c:pt>
                <c:pt idx="19">
                  <c:v>57</c:v>
                </c:pt>
                <c:pt idx="20">
                  <c:v>71</c:v>
                </c:pt>
                <c:pt idx="21">
                  <c:v>52</c:v>
                </c:pt>
                <c:pt idx="22">
                  <c:v>79</c:v>
                </c:pt>
                <c:pt idx="23">
                  <c:v>82</c:v>
                </c:pt>
                <c:pt idx="24">
                  <c:v>71</c:v>
                </c:pt>
                <c:pt idx="25">
                  <c:v>80</c:v>
                </c:pt>
                <c:pt idx="26">
                  <c:v>65</c:v>
                </c:pt>
                <c:pt idx="27">
                  <c:v>58</c:v>
                </c:pt>
                <c:pt idx="28">
                  <c:v>69</c:v>
                </c:pt>
                <c:pt idx="29">
                  <c:v>59</c:v>
                </c:pt>
                <c:pt idx="30">
                  <c:v>57</c:v>
                </c:pt>
                <c:pt idx="31">
                  <c:v>42</c:v>
                </c:pt>
                <c:pt idx="32">
                  <c:v>82</c:v>
                </c:pt>
                <c:pt idx="33">
                  <c:v>80</c:v>
                </c:pt>
                <c:pt idx="34">
                  <c:v>48</c:v>
                </c:pt>
                <c:pt idx="35">
                  <c:v>82</c:v>
                </c:pt>
                <c:pt idx="36">
                  <c:v>74</c:v>
                </c:pt>
                <c:pt idx="37">
                  <c:v>72</c:v>
                </c:pt>
                <c:pt idx="38">
                  <c:v>58</c:v>
                </c:pt>
                <c:pt idx="39">
                  <c:v>49</c:v>
                </c:pt>
                <c:pt idx="40">
                  <c:v>78</c:v>
                </c:pt>
                <c:pt idx="41">
                  <c:v>54</c:v>
                </c:pt>
                <c:pt idx="42">
                  <c:v>82</c:v>
                </c:pt>
                <c:pt idx="43">
                  <c:v>63</c:v>
                </c:pt>
                <c:pt idx="44">
                  <c:v>60</c:v>
                </c:pt>
                <c:pt idx="45">
                  <c:v>76</c:v>
                </c:pt>
                <c:pt idx="46">
                  <c:v>75</c:v>
                </c:pt>
                <c:pt idx="47">
                  <c:v>58</c:v>
                </c:pt>
                <c:pt idx="48">
                  <c:v>81</c:v>
                </c:pt>
                <c:pt idx="49">
                  <c:v>39</c:v>
                </c:pt>
                <c:pt idx="50">
                  <c:v>76</c:v>
                </c:pt>
                <c:pt idx="51">
                  <c:v>78</c:v>
                </c:pt>
                <c:pt idx="52">
                  <c:v>79</c:v>
                </c:pt>
                <c:pt idx="53">
                  <c:v>77</c:v>
                </c:pt>
                <c:pt idx="54">
                  <c:v>63</c:v>
                </c:pt>
                <c:pt idx="55">
                  <c:v>63</c:v>
                </c:pt>
                <c:pt idx="56">
                  <c:v>82</c:v>
                </c:pt>
                <c:pt idx="57">
                  <c:v>78</c:v>
                </c:pt>
                <c:pt idx="58">
                  <c:v>73</c:v>
                </c:pt>
                <c:pt idx="59">
                  <c:v>54</c:v>
                </c:pt>
                <c:pt idx="60">
                  <c:v>56</c:v>
                </c:pt>
                <c:pt idx="61">
                  <c:v>80</c:v>
                </c:pt>
                <c:pt idx="62">
                  <c:v>67</c:v>
                </c:pt>
                <c:pt idx="63">
                  <c:v>45</c:v>
                </c:pt>
                <c:pt idx="64">
                  <c:v>75</c:v>
                </c:pt>
                <c:pt idx="65">
                  <c:v>78</c:v>
                </c:pt>
                <c:pt idx="66">
                  <c:v>70</c:v>
                </c:pt>
                <c:pt idx="67">
                  <c:v>76</c:v>
                </c:pt>
                <c:pt idx="68">
                  <c:v>59</c:v>
                </c:pt>
                <c:pt idx="69">
                  <c:v>80</c:v>
                </c:pt>
                <c:pt idx="70">
                  <c:v>76</c:v>
                </c:pt>
                <c:pt idx="71">
                  <c:v>67</c:v>
                </c:pt>
                <c:pt idx="72">
                  <c:v>66</c:v>
                </c:pt>
                <c:pt idx="73">
                  <c:v>63</c:v>
                </c:pt>
                <c:pt idx="74">
                  <c:v>52</c:v>
                </c:pt>
                <c:pt idx="75">
                  <c:v>80</c:v>
                </c:pt>
                <c:pt idx="76">
                  <c:v>80</c:v>
                </c:pt>
                <c:pt idx="77">
                  <c:v>79</c:v>
                </c:pt>
                <c:pt idx="78">
                  <c:v>51</c:v>
                </c:pt>
                <c:pt idx="79">
                  <c:v>43</c:v>
                </c:pt>
                <c:pt idx="80">
                  <c:v>59</c:v>
                </c:pt>
                <c:pt idx="81">
                  <c:v>66</c:v>
                </c:pt>
                <c:pt idx="82">
                  <c:v>79</c:v>
                </c:pt>
                <c:pt idx="83">
                  <c:v>68</c:v>
                </c:pt>
                <c:pt idx="84">
                  <c:v>58</c:v>
                </c:pt>
                <c:pt idx="85">
                  <c:v>54</c:v>
                </c:pt>
                <c:pt idx="86">
                  <c:v>61</c:v>
                </c:pt>
                <c:pt idx="87">
                  <c:v>70</c:v>
                </c:pt>
                <c:pt idx="88">
                  <c:v>47</c:v>
                </c:pt>
                <c:pt idx="89">
                  <c:v>74</c:v>
                </c:pt>
                <c:pt idx="90">
                  <c:v>79</c:v>
                </c:pt>
                <c:pt idx="91">
                  <c:v>81</c:v>
                </c:pt>
                <c:pt idx="92">
                  <c:v>57</c:v>
                </c:pt>
                <c:pt idx="93">
                  <c:v>80</c:v>
                </c:pt>
                <c:pt idx="94">
                  <c:v>45</c:v>
                </c:pt>
                <c:pt idx="95">
                  <c:v>78</c:v>
                </c:pt>
                <c:pt idx="96">
                  <c:v>70</c:v>
                </c:pt>
                <c:pt idx="97">
                  <c:v>58</c:v>
                </c:pt>
                <c:pt idx="98">
                  <c:v>57</c:v>
                </c:pt>
                <c:pt idx="99">
                  <c:v>69</c:v>
                </c:pt>
                <c:pt idx="100">
                  <c:v>64</c:v>
                </c:pt>
                <c:pt idx="101">
                  <c:v>77</c:v>
                </c:pt>
                <c:pt idx="102">
                  <c:v>74</c:v>
                </c:pt>
                <c:pt idx="103">
                  <c:v>81</c:v>
                </c:pt>
                <c:pt idx="104">
                  <c:v>57</c:v>
                </c:pt>
                <c:pt idx="105">
                  <c:v>58</c:v>
                </c:pt>
                <c:pt idx="106">
                  <c:v>50</c:v>
                </c:pt>
                <c:pt idx="107">
                  <c:v>54</c:v>
                </c:pt>
                <c:pt idx="108">
                  <c:v>79</c:v>
                </c:pt>
                <c:pt idx="109">
                  <c:v>53</c:v>
                </c:pt>
                <c:pt idx="110">
                  <c:v>79</c:v>
                </c:pt>
                <c:pt idx="111">
                  <c:v>80</c:v>
                </c:pt>
                <c:pt idx="112">
                  <c:v>76</c:v>
                </c:pt>
                <c:pt idx="113">
                  <c:v>45</c:v>
                </c:pt>
                <c:pt idx="114">
                  <c:v>68</c:v>
                </c:pt>
                <c:pt idx="115">
                  <c:v>71</c:v>
                </c:pt>
                <c:pt idx="116">
                  <c:v>61</c:v>
                </c:pt>
                <c:pt idx="117">
                  <c:v>74</c:v>
                </c:pt>
                <c:pt idx="118">
                  <c:v>38</c:v>
                </c:pt>
                <c:pt idx="119">
                  <c:v>77</c:v>
                </c:pt>
                <c:pt idx="120">
                  <c:v>58</c:v>
                </c:pt>
                <c:pt idx="121">
                  <c:v>53</c:v>
                </c:pt>
                <c:pt idx="122">
                  <c:v>80</c:v>
                </c:pt>
                <c:pt idx="123">
                  <c:v>56</c:v>
                </c:pt>
                <c:pt idx="124">
                  <c:v>72</c:v>
                </c:pt>
                <c:pt idx="125">
                  <c:v>72</c:v>
                </c:pt>
                <c:pt idx="126">
                  <c:v>78</c:v>
                </c:pt>
                <c:pt idx="127">
                  <c:v>80</c:v>
                </c:pt>
                <c:pt idx="128">
                  <c:v>82</c:v>
                </c:pt>
                <c:pt idx="129">
                  <c:v>75</c:v>
                </c:pt>
                <c:pt idx="130">
                  <c:v>73</c:v>
                </c:pt>
                <c:pt idx="131">
                  <c:v>78</c:v>
                </c:pt>
                <c:pt idx="132">
                  <c:v>69</c:v>
                </c:pt>
                <c:pt idx="133">
                  <c:v>38</c:v>
                </c:pt>
                <c:pt idx="134">
                  <c:v>68</c:v>
                </c:pt>
                <c:pt idx="135">
                  <c:v>71</c:v>
                </c:pt>
                <c:pt idx="136">
                  <c:v>76</c:v>
                </c:pt>
                <c:pt idx="137">
                  <c:v>76</c:v>
                </c:pt>
                <c:pt idx="138">
                  <c:v>76</c:v>
                </c:pt>
                <c:pt idx="139">
                  <c:v>75</c:v>
                </c:pt>
                <c:pt idx="140">
                  <c:v>82</c:v>
                </c:pt>
                <c:pt idx="141">
                  <c:v>59</c:v>
                </c:pt>
                <c:pt idx="142">
                  <c:v>74</c:v>
                </c:pt>
                <c:pt idx="143">
                  <c:v>69</c:v>
                </c:pt>
                <c:pt idx="144">
                  <c:v>72</c:v>
                </c:pt>
                <c:pt idx="145">
                  <c:v>66</c:v>
                </c:pt>
                <c:pt idx="146">
                  <c:v>65</c:v>
                </c:pt>
                <c:pt idx="147">
                  <c:v>78</c:v>
                </c:pt>
                <c:pt idx="148">
                  <c:v>57</c:v>
                </c:pt>
                <c:pt idx="149">
                  <c:v>70</c:v>
                </c:pt>
                <c:pt idx="150">
                  <c:v>79</c:v>
                </c:pt>
                <c:pt idx="151">
                  <c:v>68</c:v>
                </c:pt>
                <c:pt idx="152">
                  <c:v>80</c:v>
                </c:pt>
                <c:pt idx="153">
                  <c:v>68</c:v>
                </c:pt>
                <c:pt idx="154">
                  <c:v>55</c:v>
                </c:pt>
                <c:pt idx="155">
                  <c:v>77</c:v>
                </c:pt>
                <c:pt idx="156">
                  <c:v>50</c:v>
                </c:pt>
                <c:pt idx="157">
                  <c:v>57</c:v>
                </c:pt>
                <c:pt idx="158">
                  <c:v>71</c:v>
                </c:pt>
                <c:pt idx="159">
                  <c:v>81</c:v>
                </c:pt>
                <c:pt idx="160">
                  <c:v>76</c:v>
                </c:pt>
                <c:pt idx="161">
                  <c:v>71</c:v>
                </c:pt>
                <c:pt idx="162">
                  <c:v>1.32</c:v>
                </c:pt>
                <c:pt idx="163">
                  <c:v>78</c:v>
                </c:pt>
                <c:pt idx="164">
                  <c:v>70</c:v>
                </c:pt>
                <c:pt idx="165">
                  <c:v>78</c:v>
                </c:pt>
                <c:pt idx="166">
                  <c:v>56</c:v>
                </c:pt>
                <c:pt idx="167">
                  <c:v>79</c:v>
                </c:pt>
                <c:pt idx="168">
                  <c:v>79</c:v>
                </c:pt>
                <c:pt idx="169">
                  <c:v>81</c:v>
                </c:pt>
                <c:pt idx="170">
                  <c:v>64</c:v>
                </c:pt>
                <c:pt idx="171">
                  <c:v>79</c:v>
                </c:pt>
                <c:pt idx="172">
                  <c:v>60</c:v>
                </c:pt>
                <c:pt idx="173">
                  <c:v>80</c:v>
                </c:pt>
                <c:pt idx="174">
                  <c:v>78</c:v>
                </c:pt>
                <c:pt idx="175">
                  <c:v>72</c:v>
                </c:pt>
                <c:pt idx="176">
                  <c:v>80</c:v>
                </c:pt>
                <c:pt idx="177">
                  <c:v>78</c:v>
                </c:pt>
                <c:pt idx="178">
                  <c:v>80</c:v>
                </c:pt>
                <c:pt idx="179">
                  <c:v>81</c:v>
                </c:pt>
                <c:pt idx="180">
                  <c:v>46</c:v>
                </c:pt>
                <c:pt idx="181">
                  <c:v>59</c:v>
                </c:pt>
                <c:pt idx="182">
                  <c:v>32</c:v>
                </c:pt>
                <c:pt idx="183">
                  <c:v>77</c:v>
                </c:pt>
                <c:pt idx="184">
                  <c:v>61</c:v>
                </c:pt>
                <c:pt idx="185">
                  <c:v>63</c:v>
                </c:pt>
                <c:pt idx="186">
                  <c:v>63</c:v>
                </c:pt>
                <c:pt idx="187">
                  <c:v>82</c:v>
                </c:pt>
                <c:pt idx="188">
                  <c:v>82</c:v>
                </c:pt>
                <c:pt idx="189">
                  <c:v>61</c:v>
                </c:pt>
                <c:pt idx="190">
                  <c:v>65</c:v>
                </c:pt>
                <c:pt idx="191">
                  <c:v>51</c:v>
                </c:pt>
                <c:pt idx="192">
                  <c:v>59</c:v>
                </c:pt>
                <c:pt idx="193">
                  <c:v>68</c:v>
                </c:pt>
                <c:pt idx="194">
                  <c:v>72</c:v>
                </c:pt>
                <c:pt idx="195">
                  <c:v>59</c:v>
                </c:pt>
                <c:pt idx="196">
                  <c:v>70</c:v>
                </c:pt>
                <c:pt idx="197">
                  <c:v>69</c:v>
                </c:pt>
                <c:pt idx="198">
                  <c:v>79</c:v>
                </c:pt>
                <c:pt idx="199">
                  <c:v>74</c:v>
                </c:pt>
                <c:pt idx="200">
                  <c:v>74</c:v>
                </c:pt>
                <c:pt idx="201">
                  <c:v>80</c:v>
                </c:pt>
                <c:pt idx="202">
                  <c:v>77</c:v>
                </c:pt>
                <c:pt idx="203">
                  <c:v>78</c:v>
                </c:pt>
                <c:pt idx="204">
                  <c:v>54</c:v>
                </c:pt>
                <c:pt idx="205">
                  <c:v>78</c:v>
                </c:pt>
                <c:pt idx="206">
                  <c:v>81</c:v>
                </c:pt>
                <c:pt idx="207">
                  <c:v>78</c:v>
                </c:pt>
                <c:pt idx="208">
                  <c:v>78</c:v>
                </c:pt>
                <c:pt idx="209">
                  <c:v>63</c:v>
                </c:pt>
                <c:pt idx="210">
                  <c:v>39</c:v>
                </c:pt>
                <c:pt idx="211">
                  <c:v>51</c:v>
                </c:pt>
                <c:pt idx="212">
                  <c:v>63</c:v>
                </c:pt>
                <c:pt idx="213">
                  <c:v>48</c:v>
                </c:pt>
                <c:pt idx="214">
                  <c:v>81</c:v>
                </c:pt>
                <c:pt idx="215">
                  <c:v>79</c:v>
                </c:pt>
                <c:pt idx="216">
                  <c:v>78</c:v>
                </c:pt>
                <c:pt idx="217">
                  <c:v>55</c:v>
                </c:pt>
                <c:pt idx="218">
                  <c:v>76</c:v>
                </c:pt>
                <c:pt idx="219">
                  <c:v>73</c:v>
                </c:pt>
                <c:pt idx="220">
                  <c:v>81</c:v>
                </c:pt>
                <c:pt idx="221">
                  <c:v>79</c:v>
                </c:pt>
                <c:pt idx="222">
                  <c:v>63</c:v>
                </c:pt>
                <c:pt idx="223">
                  <c:v>81</c:v>
                </c:pt>
                <c:pt idx="224">
                  <c:v>49</c:v>
                </c:pt>
                <c:pt idx="225">
                  <c:v>57</c:v>
                </c:pt>
                <c:pt idx="226">
                  <c:v>81</c:v>
                </c:pt>
                <c:pt idx="227">
                  <c:v>74</c:v>
                </c:pt>
                <c:pt idx="228">
                  <c:v>39</c:v>
                </c:pt>
                <c:pt idx="229">
                  <c:v>80</c:v>
                </c:pt>
                <c:pt idx="230">
                  <c:v>81</c:v>
                </c:pt>
                <c:pt idx="231">
                  <c:v>79</c:v>
                </c:pt>
                <c:pt idx="232">
                  <c:v>73</c:v>
                </c:pt>
                <c:pt idx="233">
                  <c:v>77</c:v>
                </c:pt>
                <c:pt idx="234">
                  <c:v>78</c:v>
                </c:pt>
                <c:pt idx="235">
                  <c:v>68</c:v>
                </c:pt>
                <c:pt idx="236">
                  <c:v>57</c:v>
                </c:pt>
                <c:pt idx="237">
                  <c:v>77</c:v>
                </c:pt>
                <c:pt idx="238">
                  <c:v>51</c:v>
                </c:pt>
                <c:pt idx="239">
                  <c:v>60</c:v>
                </c:pt>
                <c:pt idx="240">
                  <c:v>66</c:v>
                </c:pt>
                <c:pt idx="241">
                  <c:v>57</c:v>
                </c:pt>
                <c:pt idx="242">
                  <c:v>68</c:v>
                </c:pt>
                <c:pt idx="243">
                  <c:v>68</c:v>
                </c:pt>
                <c:pt idx="244">
                  <c:v>57</c:v>
                </c:pt>
                <c:pt idx="245">
                  <c:v>14</c:v>
                </c:pt>
                <c:pt idx="246">
                  <c:v>75</c:v>
                </c:pt>
                <c:pt idx="247">
                  <c:v>71</c:v>
                </c:pt>
                <c:pt idx="248">
                  <c:v>78</c:v>
                </c:pt>
                <c:pt idx="249">
                  <c:v>3</c:v>
                </c:pt>
                <c:pt idx="250">
                  <c:v>58</c:v>
                </c:pt>
                <c:pt idx="251">
                  <c:v>8</c:v>
                </c:pt>
                <c:pt idx="252">
                  <c:v>70</c:v>
                </c:pt>
                <c:pt idx="253">
                  <c:v>14</c:v>
                </c:pt>
                <c:pt idx="254">
                  <c:v>47</c:v>
                </c:pt>
                <c:pt idx="255">
                  <c:v>52</c:v>
                </c:pt>
                <c:pt idx="256">
                  <c:v>75</c:v>
                </c:pt>
                <c:pt idx="257">
                  <c:v>32</c:v>
                </c:pt>
                <c:pt idx="258">
                  <c:v>74</c:v>
                </c:pt>
                <c:pt idx="259">
                  <c:v>79</c:v>
                </c:pt>
                <c:pt idx="260">
                  <c:v>79</c:v>
                </c:pt>
                <c:pt idx="261">
                  <c:v>37</c:v>
                </c:pt>
                <c:pt idx="262">
                  <c:v>37</c:v>
                </c:pt>
                <c:pt idx="263">
                  <c:v>40</c:v>
                </c:pt>
                <c:pt idx="264">
                  <c:v>35</c:v>
                </c:pt>
                <c:pt idx="265">
                  <c:v>20</c:v>
                </c:pt>
                <c:pt idx="266">
                  <c:v>42</c:v>
                </c:pt>
                <c:pt idx="267">
                  <c:v>44</c:v>
                </c:pt>
                <c:pt idx="268">
                  <c:v>79</c:v>
                </c:pt>
                <c:pt idx="269">
                  <c:v>65</c:v>
                </c:pt>
                <c:pt idx="270">
                  <c:v>57</c:v>
                </c:pt>
                <c:pt idx="271">
                  <c:v>49</c:v>
                </c:pt>
                <c:pt idx="272">
                  <c:v>71</c:v>
                </c:pt>
                <c:pt idx="273">
                  <c:v>59</c:v>
                </c:pt>
                <c:pt idx="274">
                  <c:v>25</c:v>
                </c:pt>
                <c:pt idx="275">
                  <c:v>67</c:v>
                </c:pt>
                <c:pt idx="276">
                  <c:v>38</c:v>
                </c:pt>
                <c:pt idx="277">
                  <c:v>54</c:v>
                </c:pt>
                <c:pt idx="278">
                  <c:v>70</c:v>
                </c:pt>
                <c:pt idx="279">
                  <c:v>27</c:v>
                </c:pt>
                <c:pt idx="280">
                  <c:v>47</c:v>
                </c:pt>
                <c:pt idx="281">
                  <c:v>58</c:v>
                </c:pt>
                <c:pt idx="282">
                  <c:v>3</c:v>
                </c:pt>
                <c:pt idx="283">
                  <c:v>58</c:v>
                </c:pt>
                <c:pt idx="284">
                  <c:v>14</c:v>
                </c:pt>
                <c:pt idx="285">
                  <c:v>32</c:v>
                </c:pt>
                <c:pt idx="286">
                  <c:v>23</c:v>
                </c:pt>
                <c:pt idx="287">
                  <c:v>55</c:v>
                </c:pt>
                <c:pt idx="288">
                  <c:v>17</c:v>
                </c:pt>
                <c:pt idx="289">
                  <c:v>59</c:v>
                </c:pt>
                <c:pt idx="290">
                  <c:v>13</c:v>
                </c:pt>
                <c:pt idx="291">
                  <c:v>4</c:v>
                </c:pt>
                <c:pt idx="292">
                  <c:v>16</c:v>
                </c:pt>
                <c:pt idx="293">
                  <c:v>67</c:v>
                </c:pt>
                <c:pt idx="294">
                  <c:v>22</c:v>
                </c:pt>
                <c:pt idx="295">
                  <c:v>45</c:v>
                </c:pt>
                <c:pt idx="296">
                  <c:v>66</c:v>
                </c:pt>
                <c:pt idx="297">
                  <c:v>58</c:v>
                </c:pt>
                <c:pt idx="298">
                  <c:v>69</c:v>
                </c:pt>
                <c:pt idx="299">
                  <c:v>58</c:v>
                </c:pt>
                <c:pt idx="300">
                  <c:v>53</c:v>
                </c:pt>
                <c:pt idx="301">
                  <c:v>78</c:v>
                </c:pt>
                <c:pt idx="302">
                  <c:v>44</c:v>
                </c:pt>
                <c:pt idx="303">
                  <c:v>66</c:v>
                </c:pt>
                <c:pt idx="304">
                  <c:v>27</c:v>
                </c:pt>
                <c:pt idx="305">
                  <c:v>43</c:v>
                </c:pt>
                <c:pt idx="306">
                  <c:v>13</c:v>
                </c:pt>
                <c:pt idx="307">
                  <c:v>51</c:v>
                </c:pt>
                <c:pt idx="308">
                  <c:v>30</c:v>
                </c:pt>
                <c:pt idx="309">
                  <c:v>46</c:v>
                </c:pt>
                <c:pt idx="310">
                  <c:v>43</c:v>
                </c:pt>
                <c:pt idx="311">
                  <c:v>79</c:v>
                </c:pt>
                <c:pt idx="312">
                  <c:v>27</c:v>
                </c:pt>
                <c:pt idx="313">
                  <c:v>38</c:v>
                </c:pt>
                <c:pt idx="314">
                  <c:v>78</c:v>
                </c:pt>
                <c:pt idx="315">
                  <c:v>57</c:v>
                </c:pt>
                <c:pt idx="316">
                  <c:v>61</c:v>
                </c:pt>
                <c:pt idx="317">
                  <c:v>37</c:v>
                </c:pt>
                <c:pt idx="318">
                  <c:v>48</c:v>
                </c:pt>
                <c:pt idx="319">
                  <c:v>29</c:v>
                </c:pt>
                <c:pt idx="320">
                  <c:v>22</c:v>
                </c:pt>
                <c:pt idx="321">
                  <c:v>11</c:v>
                </c:pt>
                <c:pt idx="322">
                  <c:v>22</c:v>
                </c:pt>
                <c:pt idx="323">
                  <c:v>53</c:v>
                </c:pt>
                <c:pt idx="324">
                  <c:v>27</c:v>
                </c:pt>
                <c:pt idx="325">
                  <c:v>76</c:v>
                </c:pt>
                <c:pt idx="326">
                  <c:v>57</c:v>
                </c:pt>
                <c:pt idx="327">
                  <c:v>8</c:v>
                </c:pt>
                <c:pt idx="328">
                  <c:v>21</c:v>
                </c:pt>
                <c:pt idx="329">
                  <c:v>18</c:v>
                </c:pt>
                <c:pt idx="330">
                  <c:v>78</c:v>
                </c:pt>
                <c:pt idx="331">
                  <c:v>78</c:v>
                </c:pt>
                <c:pt idx="332">
                  <c:v>33</c:v>
                </c:pt>
                <c:pt idx="333">
                  <c:v>52</c:v>
                </c:pt>
                <c:pt idx="334">
                  <c:v>51</c:v>
                </c:pt>
                <c:pt idx="335">
                  <c:v>11</c:v>
                </c:pt>
                <c:pt idx="336">
                  <c:v>48</c:v>
                </c:pt>
                <c:pt idx="337">
                  <c:v>82</c:v>
                </c:pt>
                <c:pt idx="338">
                  <c:v>54</c:v>
                </c:pt>
                <c:pt idx="339">
                  <c:v>49</c:v>
                </c:pt>
                <c:pt idx="340">
                  <c:v>24</c:v>
                </c:pt>
                <c:pt idx="341">
                  <c:v>37</c:v>
                </c:pt>
                <c:pt idx="342">
                  <c:v>34</c:v>
                </c:pt>
                <c:pt idx="343">
                  <c:v>64</c:v>
                </c:pt>
                <c:pt idx="344">
                  <c:v>66</c:v>
                </c:pt>
                <c:pt idx="345">
                  <c:v>23</c:v>
                </c:pt>
                <c:pt idx="346">
                  <c:v>68</c:v>
                </c:pt>
                <c:pt idx="347">
                  <c:v>55</c:v>
                </c:pt>
                <c:pt idx="348">
                  <c:v>25</c:v>
                </c:pt>
                <c:pt idx="349">
                  <c:v>48</c:v>
                </c:pt>
                <c:pt idx="350">
                  <c:v>79</c:v>
                </c:pt>
                <c:pt idx="351">
                  <c:v>47</c:v>
                </c:pt>
                <c:pt idx="352">
                  <c:v>20</c:v>
                </c:pt>
                <c:pt idx="353">
                  <c:v>60</c:v>
                </c:pt>
                <c:pt idx="354">
                  <c:v>32</c:v>
                </c:pt>
                <c:pt idx="355">
                  <c:v>66</c:v>
                </c:pt>
                <c:pt idx="356">
                  <c:v>43</c:v>
                </c:pt>
                <c:pt idx="357">
                  <c:v>36</c:v>
                </c:pt>
                <c:pt idx="358">
                  <c:v>52</c:v>
                </c:pt>
                <c:pt idx="359">
                  <c:v>29</c:v>
                </c:pt>
                <c:pt idx="360">
                  <c:v>76</c:v>
                </c:pt>
                <c:pt idx="361">
                  <c:v>39</c:v>
                </c:pt>
                <c:pt idx="362">
                  <c:v>76</c:v>
                </c:pt>
                <c:pt idx="363">
                  <c:v>0.64</c:v>
                </c:pt>
                <c:pt idx="364">
                  <c:v>34</c:v>
                </c:pt>
                <c:pt idx="365">
                  <c:v>72</c:v>
                </c:pt>
                <c:pt idx="366">
                  <c:v>43</c:v>
                </c:pt>
                <c:pt idx="367">
                  <c:v>57</c:v>
                </c:pt>
                <c:pt idx="368">
                  <c:v>44</c:v>
                </c:pt>
                <c:pt idx="369">
                  <c:v>4</c:v>
                </c:pt>
                <c:pt idx="370">
                  <c:v>44</c:v>
                </c:pt>
                <c:pt idx="371">
                  <c:v>18</c:v>
                </c:pt>
                <c:pt idx="372">
                  <c:v>41</c:v>
                </c:pt>
                <c:pt idx="373">
                  <c:v>23</c:v>
                </c:pt>
                <c:pt idx="374">
                  <c:v>53</c:v>
                </c:pt>
                <c:pt idx="375">
                  <c:v>56</c:v>
                </c:pt>
                <c:pt idx="376">
                  <c:v>0.88</c:v>
                </c:pt>
                <c:pt idx="377">
                  <c:v>25</c:v>
                </c:pt>
                <c:pt idx="378">
                  <c:v>14</c:v>
                </c:pt>
                <c:pt idx="379">
                  <c:v>53</c:v>
                </c:pt>
                <c:pt idx="380">
                  <c:v>4</c:v>
                </c:pt>
                <c:pt idx="381">
                  <c:v>39</c:v>
                </c:pt>
                <c:pt idx="382">
                  <c:v>53</c:v>
                </c:pt>
                <c:pt idx="383">
                  <c:v>5</c:v>
                </c:pt>
                <c:pt idx="384">
                  <c:v>4</c:v>
                </c:pt>
                <c:pt idx="385">
                  <c:v>37</c:v>
                </c:pt>
                <c:pt idx="386">
                  <c:v>70</c:v>
                </c:pt>
                <c:pt idx="387">
                  <c:v>24</c:v>
                </c:pt>
                <c:pt idx="388">
                  <c:v>55</c:v>
                </c:pt>
                <c:pt idx="389">
                  <c:v>70</c:v>
                </c:pt>
                <c:pt idx="390">
                  <c:v>34</c:v>
                </c:pt>
                <c:pt idx="391">
                  <c:v>26</c:v>
                </c:pt>
                <c:pt idx="392">
                  <c:v>39</c:v>
                </c:pt>
                <c:pt idx="393">
                  <c:v>38</c:v>
                </c:pt>
                <c:pt idx="394">
                  <c:v>20</c:v>
                </c:pt>
                <c:pt idx="395">
                  <c:v>17</c:v>
                </c:pt>
                <c:pt idx="396">
                  <c:v>60</c:v>
                </c:pt>
                <c:pt idx="397">
                  <c:v>75</c:v>
                </c:pt>
                <c:pt idx="398">
                  <c:v>31</c:v>
                </c:pt>
                <c:pt idx="399">
                  <c:v>58</c:v>
                </c:pt>
                <c:pt idx="400">
                  <c:v>5</c:v>
                </c:pt>
                <c:pt idx="401">
                  <c:v>13</c:v>
                </c:pt>
                <c:pt idx="402">
                  <c:v>22</c:v>
                </c:pt>
                <c:pt idx="403">
                  <c:v>52</c:v>
                </c:pt>
                <c:pt idx="404">
                  <c:v>61</c:v>
                </c:pt>
                <c:pt idx="405">
                  <c:v>78</c:v>
                </c:pt>
                <c:pt idx="406">
                  <c:v>57</c:v>
                </c:pt>
                <c:pt idx="407">
                  <c:v>21</c:v>
                </c:pt>
                <c:pt idx="408">
                  <c:v>22</c:v>
                </c:pt>
                <c:pt idx="409">
                  <c:v>80</c:v>
                </c:pt>
                <c:pt idx="410">
                  <c:v>7</c:v>
                </c:pt>
                <c:pt idx="411">
                  <c:v>64</c:v>
                </c:pt>
                <c:pt idx="412">
                  <c:v>64</c:v>
                </c:pt>
                <c:pt idx="413">
                  <c:v>38</c:v>
                </c:pt>
                <c:pt idx="414">
                  <c:v>12</c:v>
                </c:pt>
                <c:pt idx="415">
                  <c:v>33</c:v>
                </c:pt>
                <c:pt idx="416">
                  <c:v>3</c:v>
                </c:pt>
                <c:pt idx="417">
                  <c:v>37</c:v>
                </c:pt>
                <c:pt idx="418">
                  <c:v>22</c:v>
                </c:pt>
                <c:pt idx="419">
                  <c:v>24</c:v>
                </c:pt>
                <c:pt idx="420">
                  <c:v>75</c:v>
                </c:pt>
                <c:pt idx="421">
                  <c:v>12</c:v>
                </c:pt>
                <c:pt idx="422">
                  <c:v>63</c:v>
                </c:pt>
                <c:pt idx="423">
                  <c:v>52</c:v>
                </c:pt>
                <c:pt idx="424">
                  <c:v>68</c:v>
                </c:pt>
                <c:pt idx="425">
                  <c:v>5</c:v>
                </c:pt>
                <c:pt idx="426">
                  <c:v>56</c:v>
                </c:pt>
                <c:pt idx="427">
                  <c:v>43</c:v>
                </c:pt>
                <c:pt idx="428">
                  <c:v>40</c:v>
                </c:pt>
                <c:pt idx="429">
                  <c:v>53</c:v>
                </c:pt>
                <c:pt idx="430">
                  <c:v>52</c:v>
                </c:pt>
                <c:pt idx="431">
                  <c:v>31</c:v>
                </c:pt>
                <c:pt idx="432">
                  <c:v>63</c:v>
                </c:pt>
                <c:pt idx="433">
                  <c:v>69</c:v>
                </c:pt>
                <c:pt idx="434">
                  <c:v>64</c:v>
                </c:pt>
                <c:pt idx="435">
                  <c:v>64</c:v>
                </c:pt>
                <c:pt idx="436">
                  <c:v>62</c:v>
                </c:pt>
                <c:pt idx="437">
                  <c:v>2</c:v>
                </c:pt>
                <c:pt idx="438">
                  <c:v>53</c:v>
                </c:pt>
                <c:pt idx="439">
                  <c:v>65</c:v>
                </c:pt>
                <c:pt idx="440">
                  <c:v>22</c:v>
                </c:pt>
                <c:pt idx="441">
                  <c:v>26</c:v>
                </c:pt>
                <c:pt idx="442">
                  <c:v>53</c:v>
                </c:pt>
                <c:pt idx="443">
                  <c:v>20</c:v>
                </c:pt>
                <c:pt idx="444">
                  <c:v>63</c:v>
                </c:pt>
                <c:pt idx="445">
                  <c:v>13</c:v>
                </c:pt>
                <c:pt idx="446">
                  <c:v>21</c:v>
                </c:pt>
                <c:pt idx="447">
                  <c:v>65</c:v>
                </c:pt>
                <c:pt idx="448">
                  <c:v>65</c:v>
                </c:pt>
                <c:pt idx="449">
                  <c:v>42</c:v>
                </c:pt>
                <c:pt idx="450">
                  <c:v>72</c:v>
                </c:pt>
                <c:pt idx="451">
                  <c:v>13</c:v>
                </c:pt>
                <c:pt idx="452">
                  <c:v>29</c:v>
                </c:pt>
                <c:pt idx="453">
                  <c:v>59</c:v>
                </c:pt>
                <c:pt idx="454">
                  <c:v>42</c:v>
                </c:pt>
                <c:pt idx="455">
                  <c:v>13</c:v>
                </c:pt>
                <c:pt idx="456">
                  <c:v>75</c:v>
                </c:pt>
                <c:pt idx="457">
                  <c:v>33</c:v>
                </c:pt>
                <c:pt idx="458">
                  <c:v>43</c:v>
                </c:pt>
                <c:pt idx="459">
                  <c:v>11</c:v>
                </c:pt>
                <c:pt idx="460">
                  <c:v>7</c:v>
                </c:pt>
                <c:pt idx="461">
                  <c:v>16</c:v>
                </c:pt>
                <c:pt idx="462">
                  <c:v>44</c:v>
                </c:pt>
                <c:pt idx="463">
                  <c:v>78</c:v>
                </c:pt>
                <c:pt idx="464">
                  <c:v>25</c:v>
                </c:pt>
                <c:pt idx="465">
                  <c:v>69</c:v>
                </c:pt>
                <c:pt idx="466">
                  <c:v>61</c:v>
                </c:pt>
                <c:pt idx="467">
                  <c:v>43</c:v>
                </c:pt>
                <c:pt idx="468">
                  <c:v>38</c:v>
                </c:pt>
                <c:pt idx="469">
                  <c:v>68</c:v>
                </c:pt>
                <c:pt idx="470">
                  <c:v>26</c:v>
                </c:pt>
                <c:pt idx="471">
                  <c:v>18</c:v>
                </c:pt>
                <c:pt idx="472">
                  <c:v>43</c:v>
                </c:pt>
                <c:pt idx="473">
                  <c:v>43</c:v>
                </c:pt>
                <c:pt idx="474">
                  <c:v>32</c:v>
                </c:pt>
                <c:pt idx="475">
                  <c:v>81</c:v>
                </c:pt>
                <c:pt idx="476">
                  <c:v>25</c:v>
                </c:pt>
                <c:pt idx="477">
                  <c:v>61</c:v>
                </c:pt>
                <c:pt idx="478">
                  <c:v>66</c:v>
                </c:pt>
                <c:pt idx="479">
                  <c:v>54</c:v>
                </c:pt>
                <c:pt idx="480">
                  <c:v>11</c:v>
                </c:pt>
                <c:pt idx="481">
                  <c:v>53</c:v>
                </c:pt>
                <c:pt idx="482">
                  <c:v>78</c:v>
                </c:pt>
                <c:pt idx="483">
                  <c:v>9</c:v>
                </c:pt>
                <c:pt idx="484">
                  <c:v>48</c:v>
                </c:pt>
                <c:pt idx="485">
                  <c:v>31</c:v>
                </c:pt>
                <c:pt idx="486">
                  <c:v>20</c:v>
                </c:pt>
                <c:pt idx="487">
                  <c:v>21</c:v>
                </c:pt>
                <c:pt idx="488">
                  <c:v>42</c:v>
                </c:pt>
                <c:pt idx="489">
                  <c:v>35</c:v>
                </c:pt>
                <c:pt idx="490">
                  <c:v>53</c:v>
                </c:pt>
                <c:pt idx="491">
                  <c:v>60</c:v>
                </c:pt>
                <c:pt idx="492">
                  <c:v>74</c:v>
                </c:pt>
                <c:pt idx="493">
                  <c:v>23</c:v>
                </c:pt>
                <c:pt idx="494">
                  <c:v>55</c:v>
                </c:pt>
                <c:pt idx="495">
                  <c:v>71</c:v>
                </c:pt>
                <c:pt idx="496">
                  <c:v>5</c:v>
                </c:pt>
                <c:pt idx="497">
                  <c:v>14</c:v>
                </c:pt>
                <c:pt idx="498">
                  <c:v>15</c:v>
                </c:pt>
                <c:pt idx="499">
                  <c:v>66</c:v>
                </c:pt>
                <c:pt idx="500">
                  <c:v>56</c:v>
                </c:pt>
                <c:pt idx="501">
                  <c:v>60</c:v>
                </c:pt>
                <c:pt idx="502">
                  <c:v>57</c:v>
                </c:pt>
                <c:pt idx="503">
                  <c:v>29</c:v>
                </c:pt>
                <c:pt idx="504">
                  <c:v>76</c:v>
                </c:pt>
                <c:pt idx="505">
                  <c:v>52</c:v>
                </c:pt>
                <c:pt idx="506">
                  <c:v>42</c:v>
                </c:pt>
                <c:pt idx="507">
                  <c:v>71</c:v>
                </c:pt>
                <c:pt idx="508">
                  <c:v>64</c:v>
                </c:pt>
                <c:pt idx="509">
                  <c:v>39</c:v>
                </c:pt>
                <c:pt idx="510">
                  <c:v>46</c:v>
                </c:pt>
                <c:pt idx="511">
                  <c:v>51</c:v>
                </c:pt>
                <c:pt idx="512">
                  <c:v>31</c:v>
                </c:pt>
                <c:pt idx="513">
                  <c:v>22</c:v>
                </c:pt>
                <c:pt idx="514">
                  <c:v>41</c:v>
                </c:pt>
                <c:pt idx="515">
                  <c:v>28</c:v>
                </c:pt>
                <c:pt idx="516">
                  <c:v>44</c:v>
                </c:pt>
                <c:pt idx="517">
                  <c:v>68</c:v>
                </c:pt>
                <c:pt idx="518">
                  <c:v>49</c:v>
                </c:pt>
                <c:pt idx="519">
                  <c:v>10</c:v>
                </c:pt>
                <c:pt idx="520">
                  <c:v>31</c:v>
                </c:pt>
                <c:pt idx="521">
                  <c:v>67</c:v>
                </c:pt>
                <c:pt idx="522">
                  <c:v>40</c:v>
                </c:pt>
                <c:pt idx="523">
                  <c:v>70</c:v>
                </c:pt>
                <c:pt idx="524">
                  <c:v>38</c:v>
                </c:pt>
                <c:pt idx="525">
                  <c:v>5</c:v>
                </c:pt>
                <c:pt idx="526">
                  <c:v>54</c:v>
                </c:pt>
                <c:pt idx="527">
                  <c:v>30</c:v>
                </c:pt>
                <c:pt idx="528">
                  <c:v>23</c:v>
                </c:pt>
                <c:pt idx="529">
                  <c:v>31</c:v>
                </c:pt>
                <c:pt idx="530">
                  <c:v>72</c:v>
                </c:pt>
                <c:pt idx="531">
                  <c:v>23</c:v>
                </c:pt>
                <c:pt idx="532">
                  <c:v>25</c:v>
                </c:pt>
                <c:pt idx="533">
                  <c:v>51</c:v>
                </c:pt>
                <c:pt idx="534">
                  <c:v>20</c:v>
                </c:pt>
                <c:pt idx="535">
                  <c:v>12</c:v>
                </c:pt>
                <c:pt idx="536">
                  <c:v>57</c:v>
                </c:pt>
                <c:pt idx="537">
                  <c:v>65</c:v>
                </c:pt>
                <c:pt idx="538">
                  <c:v>16</c:v>
                </c:pt>
                <c:pt idx="539">
                  <c:v>43</c:v>
                </c:pt>
                <c:pt idx="540">
                  <c:v>30</c:v>
                </c:pt>
                <c:pt idx="541">
                  <c:v>29</c:v>
                </c:pt>
                <c:pt idx="542">
                  <c:v>54</c:v>
                </c:pt>
                <c:pt idx="543">
                  <c:v>57</c:v>
                </c:pt>
                <c:pt idx="544">
                  <c:v>42</c:v>
                </c:pt>
                <c:pt idx="545">
                  <c:v>18</c:v>
                </c:pt>
                <c:pt idx="546">
                  <c:v>9</c:v>
                </c:pt>
                <c:pt idx="547">
                  <c:v>26</c:v>
                </c:pt>
                <c:pt idx="548">
                  <c:v>40</c:v>
                </c:pt>
                <c:pt idx="549">
                  <c:v>77</c:v>
                </c:pt>
                <c:pt idx="550">
                  <c:v>15</c:v>
                </c:pt>
                <c:pt idx="551">
                  <c:v>76</c:v>
                </c:pt>
                <c:pt idx="552">
                  <c:v>52</c:v>
                </c:pt>
                <c:pt idx="553">
                  <c:v>55</c:v>
                </c:pt>
                <c:pt idx="554">
                  <c:v>5</c:v>
                </c:pt>
                <c:pt idx="555">
                  <c:v>55</c:v>
                </c:pt>
                <c:pt idx="556">
                  <c:v>36</c:v>
                </c:pt>
                <c:pt idx="557">
                  <c:v>46</c:v>
                </c:pt>
                <c:pt idx="558">
                  <c:v>5</c:v>
                </c:pt>
                <c:pt idx="559">
                  <c:v>39</c:v>
                </c:pt>
                <c:pt idx="560">
                  <c:v>12</c:v>
                </c:pt>
                <c:pt idx="561">
                  <c:v>67</c:v>
                </c:pt>
                <c:pt idx="562">
                  <c:v>1.8</c:v>
                </c:pt>
                <c:pt idx="563">
                  <c:v>72</c:v>
                </c:pt>
                <c:pt idx="564">
                  <c:v>0.32</c:v>
                </c:pt>
                <c:pt idx="565">
                  <c:v>64</c:v>
                </c:pt>
                <c:pt idx="566">
                  <c:v>27</c:v>
                </c:pt>
                <c:pt idx="567">
                  <c:v>25</c:v>
                </c:pt>
                <c:pt idx="568">
                  <c:v>81</c:v>
                </c:pt>
                <c:pt idx="569">
                  <c:v>32</c:v>
                </c:pt>
                <c:pt idx="570">
                  <c:v>57</c:v>
                </c:pt>
                <c:pt idx="571">
                  <c:v>52</c:v>
                </c:pt>
                <c:pt idx="572">
                  <c:v>54</c:v>
                </c:pt>
                <c:pt idx="573">
                  <c:v>36</c:v>
                </c:pt>
                <c:pt idx="574">
                  <c:v>18</c:v>
                </c:pt>
                <c:pt idx="575">
                  <c:v>45</c:v>
                </c:pt>
                <c:pt idx="576">
                  <c:v>29</c:v>
                </c:pt>
                <c:pt idx="577">
                  <c:v>51</c:v>
                </c:pt>
                <c:pt idx="578">
                  <c:v>23</c:v>
                </c:pt>
                <c:pt idx="579">
                  <c:v>54</c:v>
                </c:pt>
                <c:pt idx="580">
                  <c:v>54</c:v>
                </c:pt>
                <c:pt idx="581">
                  <c:v>18</c:v>
                </c:pt>
                <c:pt idx="582">
                  <c:v>26</c:v>
                </c:pt>
                <c:pt idx="583">
                  <c:v>72</c:v>
                </c:pt>
                <c:pt idx="584">
                  <c:v>5</c:v>
                </c:pt>
                <c:pt idx="585">
                  <c:v>65</c:v>
                </c:pt>
                <c:pt idx="586">
                  <c:v>42</c:v>
                </c:pt>
                <c:pt idx="587">
                  <c:v>47</c:v>
                </c:pt>
                <c:pt idx="588">
                  <c:v>24</c:v>
                </c:pt>
                <c:pt idx="589">
                  <c:v>57</c:v>
                </c:pt>
                <c:pt idx="590">
                  <c:v>51</c:v>
                </c:pt>
                <c:pt idx="591">
                  <c:v>48</c:v>
                </c:pt>
                <c:pt idx="592">
                  <c:v>56</c:v>
                </c:pt>
                <c:pt idx="593">
                  <c:v>30</c:v>
                </c:pt>
                <c:pt idx="594">
                  <c:v>63</c:v>
                </c:pt>
                <c:pt idx="595">
                  <c:v>46</c:v>
                </c:pt>
                <c:pt idx="596">
                  <c:v>53</c:v>
                </c:pt>
                <c:pt idx="597">
                  <c:v>1.08</c:v>
                </c:pt>
                <c:pt idx="598">
                  <c:v>15</c:v>
                </c:pt>
                <c:pt idx="599">
                  <c:v>59</c:v>
                </c:pt>
                <c:pt idx="600">
                  <c:v>24</c:v>
                </c:pt>
                <c:pt idx="601">
                  <c:v>53</c:v>
                </c:pt>
                <c:pt idx="602">
                  <c:v>39</c:v>
                </c:pt>
                <c:pt idx="603">
                  <c:v>23</c:v>
                </c:pt>
                <c:pt idx="604">
                  <c:v>31</c:v>
                </c:pt>
                <c:pt idx="605">
                  <c:v>5</c:v>
                </c:pt>
                <c:pt idx="606">
                  <c:v>44</c:v>
                </c:pt>
                <c:pt idx="607">
                  <c:v>1.8</c:v>
                </c:pt>
                <c:pt idx="608">
                  <c:v>40</c:v>
                </c:pt>
                <c:pt idx="609">
                  <c:v>7</c:v>
                </c:pt>
                <c:pt idx="610">
                  <c:v>56</c:v>
                </c:pt>
                <c:pt idx="611">
                  <c:v>42</c:v>
                </c:pt>
                <c:pt idx="612">
                  <c:v>48</c:v>
                </c:pt>
                <c:pt idx="613">
                  <c:v>82</c:v>
                </c:pt>
                <c:pt idx="614">
                  <c:v>52</c:v>
                </c:pt>
                <c:pt idx="615">
                  <c:v>42</c:v>
                </c:pt>
                <c:pt idx="616">
                  <c:v>73</c:v>
                </c:pt>
                <c:pt idx="617">
                  <c:v>55</c:v>
                </c:pt>
                <c:pt idx="618">
                  <c:v>50</c:v>
                </c:pt>
                <c:pt idx="619">
                  <c:v>43</c:v>
                </c:pt>
                <c:pt idx="620">
                  <c:v>33</c:v>
                </c:pt>
                <c:pt idx="621">
                  <c:v>80</c:v>
                </c:pt>
                <c:pt idx="622">
                  <c:v>33</c:v>
                </c:pt>
                <c:pt idx="623">
                  <c:v>74</c:v>
                </c:pt>
                <c:pt idx="624">
                  <c:v>65</c:v>
                </c:pt>
                <c:pt idx="625">
                  <c:v>40</c:v>
                </c:pt>
                <c:pt idx="626">
                  <c:v>52</c:v>
                </c:pt>
                <c:pt idx="627">
                  <c:v>66</c:v>
                </c:pt>
                <c:pt idx="628">
                  <c:v>20</c:v>
                </c:pt>
                <c:pt idx="629">
                  <c:v>51</c:v>
                </c:pt>
                <c:pt idx="630">
                  <c:v>60</c:v>
                </c:pt>
                <c:pt idx="631">
                  <c:v>59</c:v>
                </c:pt>
                <c:pt idx="632">
                  <c:v>58</c:v>
                </c:pt>
                <c:pt idx="633">
                  <c:v>42</c:v>
                </c:pt>
                <c:pt idx="634">
                  <c:v>28</c:v>
                </c:pt>
                <c:pt idx="635">
                  <c:v>57</c:v>
                </c:pt>
                <c:pt idx="636">
                  <c:v>66</c:v>
                </c:pt>
                <c:pt idx="637">
                  <c:v>56</c:v>
                </c:pt>
                <c:pt idx="638">
                  <c:v>48</c:v>
                </c:pt>
                <c:pt idx="639">
                  <c:v>37</c:v>
                </c:pt>
                <c:pt idx="640">
                  <c:v>27</c:v>
                </c:pt>
                <c:pt idx="641">
                  <c:v>15</c:v>
                </c:pt>
                <c:pt idx="642">
                  <c:v>61</c:v>
                </c:pt>
                <c:pt idx="643">
                  <c:v>80</c:v>
                </c:pt>
                <c:pt idx="644">
                  <c:v>43</c:v>
                </c:pt>
                <c:pt idx="645">
                  <c:v>53</c:v>
                </c:pt>
                <c:pt idx="646">
                  <c:v>70</c:v>
                </c:pt>
                <c:pt idx="647">
                  <c:v>58</c:v>
                </c:pt>
                <c:pt idx="648">
                  <c:v>49</c:v>
                </c:pt>
                <c:pt idx="649">
                  <c:v>65</c:v>
                </c:pt>
                <c:pt idx="650">
                  <c:v>54</c:v>
                </c:pt>
                <c:pt idx="651">
                  <c:v>74</c:v>
                </c:pt>
                <c:pt idx="652">
                  <c:v>56</c:v>
                </c:pt>
                <c:pt idx="653">
                  <c:v>79</c:v>
                </c:pt>
                <c:pt idx="654">
                  <c:v>71</c:v>
                </c:pt>
                <c:pt idx="655">
                  <c:v>28</c:v>
                </c:pt>
                <c:pt idx="656">
                  <c:v>9</c:v>
                </c:pt>
                <c:pt idx="657">
                  <c:v>4</c:v>
                </c:pt>
                <c:pt idx="658">
                  <c:v>36</c:v>
                </c:pt>
                <c:pt idx="659">
                  <c:v>78</c:v>
                </c:pt>
                <c:pt idx="660">
                  <c:v>52</c:v>
                </c:pt>
                <c:pt idx="661">
                  <c:v>80</c:v>
                </c:pt>
                <c:pt idx="662">
                  <c:v>28</c:v>
                </c:pt>
                <c:pt idx="663">
                  <c:v>38</c:v>
                </c:pt>
                <c:pt idx="664">
                  <c:v>56</c:v>
                </c:pt>
                <c:pt idx="665">
                  <c:v>75</c:v>
                </c:pt>
                <c:pt idx="666">
                  <c:v>76</c:v>
                </c:pt>
                <c:pt idx="667">
                  <c:v>10</c:v>
                </c:pt>
                <c:pt idx="668">
                  <c:v>48</c:v>
                </c:pt>
                <c:pt idx="669">
                  <c:v>40</c:v>
                </c:pt>
                <c:pt idx="670">
                  <c:v>82</c:v>
                </c:pt>
                <c:pt idx="671">
                  <c:v>61</c:v>
                </c:pt>
                <c:pt idx="672">
                  <c:v>17</c:v>
                </c:pt>
                <c:pt idx="673">
                  <c:v>58</c:v>
                </c:pt>
                <c:pt idx="674">
                  <c:v>12</c:v>
                </c:pt>
                <c:pt idx="675">
                  <c:v>53</c:v>
                </c:pt>
                <c:pt idx="676">
                  <c:v>26</c:v>
                </c:pt>
                <c:pt idx="677">
                  <c:v>48</c:v>
                </c:pt>
                <c:pt idx="678">
                  <c:v>25</c:v>
                </c:pt>
                <c:pt idx="679">
                  <c:v>27</c:v>
                </c:pt>
                <c:pt idx="680">
                  <c:v>31</c:v>
                </c:pt>
                <c:pt idx="681">
                  <c:v>16</c:v>
                </c:pt>
                <c:pt idx="682">
                  <c:v>20</c:v>
                </c:pt>
                <c:pt idx="683">
                  <c:v>2</c:v>
                </c:pt>
                <c:pt idx="684">
                  <c:v>1.8</c:v>
                </c:pt>
                <c:pt idx="685">
                  <c:v>28</c:v>
                </c:pt>
                <c:pt idx="686">
                  <c:v>32</c:v>
                </c:pt>
                <c:pt idx="687">
                  <c:v>35</c:v>
                </c:pt>
                <c:pt idx="688">
                  <c:v>52</c:v>
                </c:pt>
                <c:pt idx="689">
                  <c:v>55</c:v>
                </c:pt>
                <c:pt idx="690">
                  <c:v>42</c:v>
                </c:pt>
                <c:pt idx="691">
                  <c:v>52</c:v>
                </c:pt>
                <c:pt idx="692">
                  <c:v>18</c:v>
                </c:pt>
                <c:pt idx="693">
                  <c:v>13</c:v>
                </c:pt>
                <c:pt idx="694">
                  <c:v>45</c:v>
                </c:pt>
                <c:pt idx="695">
                  <c:v>29</c:v>
                </c:pt>
                <c:pt idx="696">
                  <c:v>12</c:v>
                </c:pt>
                <c:pt idx="697">
                  <c:v>37</c:v>
                </c:pt>
                <c:pt idx="698">
                  <c:v>30</c:v>
                </c:pt>
                <c:pt idx="699">
                  <c:v>44</c:v>
                </c:pt>
                <c:pt idx="700">
                  <c:v>79</c:v>
                </c:pt>
                <c:pt idx="701">
                  <c:v>38</c:v>
                </c:pt>
                <c:pt idx="702">
                  <c:v>45</c:v>
                </c:pt>
                <c:pt idx="703">
                  <c:v>66</c:v>
                </c:pt>
                <c:pt idx="704">
                  <c:v>19</c:v>
                </c:pt>
                <c:pt idx="705">
                  <c:v>49</c:v>
                </c:pt>
                <c:pt idx="706">
                  <c:v>66</c:v>
                </c:pt>
                <c:pt idx="707">
                  <c:v>47</c:v>
                </c:pt>
                <c:pt idx="708">
                  <c:v>59</c:v>
                </c:pt>
                <c:pt idx="709">
                  <c:v>23</c:v>
                </c:pt>
                <c:pt idx="710">
                  <c:v>79</c:v>
                </c:pt>
                <c:pt idx="711">
                  <c:v>37</c:v>
                </c:pt>
                <c:pt idx="712">
                  <c:v>78</c:v>
                </c:pt>
                <c:pt idx="713">
                  <c:v>70</c:v>
                </c:pt>
                <c:pt idx="714">
                  <c:v>34</c:v>
                </c:pt>
                <c:pt idx="715">
                  <c:v>28</c:v>
                </c:pt>
                <c:pt idx="716">
                  <c:v>29</c:v>
                </c:pt>
                <c:pt idx="717">
                  <c:v>13</c:v>
                </c:pt>
                <c:pt idx="718">
                  <c:v>22</c:v>
                </c:pt>
                <c:pt idx="719">
                  <c:v>56</c:v>
                </c:pt>
                <c:pt idx="720">
                  <c:v>81</c:v>
                </c:pt>
                <c:pt idx="721">
                  <c:v>28</c:v>
                </c:pt>
                <c:pt idx="722">
                  <c:v>9</c:v>
                </c:pt>
                <c:pt idx="723">
                  <c:v>50</c:v>
                </c:pt>
                <c:pt idx="724">
                  <c:v>70</c:v>
                </c:pt>
                <c:pt idx="725">
                  <c:v>30</c:v>
                </c:pt>
                <c:pt idx="726">
                  <c:v>51</c:v>
                </c:pt>
                <c:pt idx="727">
                  <c:v>24</c:v>
                </c:pt>
                <c:pt idx="728">
                  <c:v>17</c:v>
                </c:pt>
                <c:pt idx="729">
                  <c:v>43</c:v>
                </c:pt>
                <c:pt idx="730">
                  <c:v>9</c:v>
                </c:pt>
                <c:pt idx="731">
                  <c:v>50</c:v>
                </c:pt>
                <c:pt idx="732">
                  <c:v>49</c:v>
                </c:pt>
                <c:pt idx="733">
                  <c:v>6</c:v>
                </c:pt>
                <c:pt idx="734">
                  <c:v>30</c:v>
                </c:pt>
                <c:pt idx="735">
                  <c:v>73</c:v>
                </c:pt>
                <c:pt idx="736">
                  <c:v>20</c:v>
                </c:pt>
                <c:pt idx="737">
                  <c:v>42</c:v>
                </c:pt>
                <c:pt idx="738">
                  <c:v>79</c:v>
                </c:pt>
                <c:pt idx="739">
                  <c:v>55</c:v>
                </c:pt>
                <c:pt idx="740">
                  <c:v>27</c:v>
                </c:pt>
                <c:pt idx="741">
                  <c:v>71</c:v>
                </c:pt>
                <c:pt idx="742">
                  <c:v>9</c:v>
                </c:pt>
                <c:pt idx="743">
                  <c:v>23</c:v>
                </c:pt>
                <c:pt idx="744">
                  <c:v>71</c:v>
                </c:pt>
                <c:pt idx="745">
                  <c:v>56</c:v>
                </c:pt>
                <c:pt idx="746">
                  <c:v>31</c:v>
                </c:pt>
                <c:pt idx="747">
                  <c:v>64</c:v>
                </c:pt>
                <c:pt idx="748">
                  <c:v>46</c:v>
                </c:pt>
                <c:pt idx="749">
                  <c:v>55</c:v>
                </c:pt>
                <c:pt idx="750">
                  <c:v>2</c:v>
                </c:pt>
                <c:pt idx="751">
                  <c:v>58</c:v>
                </c:pt>
                <c:pt idx="752">
                  <c:v>78</c:v>
                </c:pt>
                <c:pt idx="753">
                  <c:v>1.1599999999999999</c:v>
                </c:pt>
                <c:pt idx="754">
                  <c:v>35</c:v>
                </c:pt>
                <c:pt idx="755">
                  <c:v>64</c:v>
                </c:pt>
                <c:pt idx="756">
                  <c:v>18</c:v>
                </c:pt>
                <c:pt idx="757">
                  <c:v>19</c:v>
                </c:pt>
                <c:pt idx="758">
                  <c:v>47</c:v>
                </c:pt>
                <c:pt idx="759">
                  <c:v>54</c:v>
                </c:pt>
                <c:pt idx="760">
                  <c:v>39</c:v>
                </c:pt>
                <c:pt idx="761">
                  <c:v>37</c:v>
                </c:pt>
                <c:pt idx="762">
                  <c:v>17</c:v>
                </c:pt>
                <c:pt idx="763">
                  <c:v>20</c:v>
                </c:pt>
                <c:pt idx="764">
                  <c:v>31</c:v>
                </c:pt>
                <c:pt idx="765">
                  <c:v>56</c:v>
                </c:pt>
                <c:pt idx="766">
                  <c:v>31</c:v>
                </c:pt>
                <c:pt idx="767">
                  <c:v>82</c:v>
                </c:pt>
                <c:pt idx="768">
                  <c:v>33</c:v>
                </c:pt>
                <c:pt idx="769">
                  <c:v>42</c:v>
                </c:pt>
                <c:pt idx="770">
                  <c:v>20</c:v>
                </c:pt>
                <c:pt idx="771">
                  <c:v>22</c:v>
                </c:pt>
                <c:pt idx="772">
                  <c:v>61</c:v>
                </c:pt>
                <c:pt idx="773">
                  <c:v>31</c:v>
                </c:pt>
                <c:pt idx="774">
                  <c:v>31</c:v>
                </c:pt>
                <c:pt idx="775">
                  <c:v>17</c:v>
                </c:pt>
                <c:pt idx="776">
                  <c:v>30</c:v>
                </c:pt>
                <c:pt idx="777">
                  <c:v>69</c:v>
                </c:pt>
                <c:pt idx="778">
                  <c:v>63</c:v>
                </c:pt>
                <c:pt idx="779">
                  <c:v>19</c:v>
                </c:pt>
                <c:pt idx="780">
                  <c:v>7</c:v>
                </c:pt>
                <c:pt idx="781">
                  <c:v>51</c:v>
                </c:pt>
                <c:pt idx="782">
                  <c:v>38</c:v>
                </c:pt>
                <c:pt idx="783">
                  <c:v>2</c:v>
                </c:pt>
                <c:pt idx="784">
                  <c:v>58</c:v>
                </c:pt>
                <c:pt idx="785">
                  <c:v>69</c:v>
                </c:pt>
                <c:pt idx="786">
                  <c:v>64</c:v>
                </c:pt>
                <c:pt idx="787">
                  <c:v>31</c:v>
                </c:pt>
                <c:pt idx="788">
                  <c:v>59</c:v>
                </c:pt>
                <c:pt idx="789">
                  <c:v>54</c:v>
                </c:pt>
                <c:pt idx="790">
                  <c:v>24</c:v>
                </c:pt>
                <c:pt idx="791">
                  <c:v>19</c:v>
                </c:pt>
                <c:pt idx="792">
                  <c:v>17</c:v>
                </c:pt>
                <c:pt idx="793">
                  <c:v>29</c:v>
                </c:pt>
                <c:pt idx="794">
                  <c:v>42</c:v>
                </c:pt>
                <c:pt idx="795">
                  <c:v>31</c:v>
                </c:pt>
                <c:pt idx="796">
                  <c:v>29</c:v>
                </c:pt>
                <c:pt idx="797">
                  <c:v>23</c:v>
                </c:pt>
                <c:pt idx="798">
                  <c:v>25</c:v>
                </c:pt>
                <c:pt idx="799">
                  <c:v>14</c:v>
                </c:pt>
                <c:pt idx="800">
                  <c:v>66</c:v>
                </c:pt>
                <c:pt idx="801">
                  <c:v>77</c:v>
                </c:pt>
                <c:pt idx="802">
                  <c:v>79</c:v>
                </c:pt>
                <c:pt idx="803">
                  <c:v>52</c:v>
                </c:pt>
                <c:pt idx="804">
                  <c:v>41</c:v>
                </c:pt>
                <c:pt idx="805">
                  <c:v>31</c:v>
                </c:pt>
                <c:pt idx="806">
                  <c:v>39</c:v>
                </c:pt>
                <c:pt idx="807">
                  <c:v>51</c:v>
                </c:pt>
                <c:pt idx="808">
                  <c:v>40</c:v>
                </c:pt>
                <c:pt idx="809">
                  <c:v>48</c:v>
                </c:pt>
                <c:pt idx="810">
                  <c:v>55</c:v>
                </c:pt>
                <c:pt idx="811">
                  <c:v>41</c:v>
                </c:pt>
                <c:pt idx="812">
                  <c:v>39</c:v>
                </c:pt>
                <c:pt idx="813">
                  <c:v>41</c:v>
                </c:pt>
                <c:pt idx="814">
                  <c:v>5</c:v>
                </c:pt>
                <c:pt idx="815">
                  <c:v>38</c:v>
                </c:pt>
                <c:pt idx="816">
                  <c:v>40</c:v>
                </c:pt>
                <c:pt idx="817">
                  <c:v>12</c:v>
                </c:pt>
                <c:pt idx="818">
                  <c:v>20</c:v>
                </c:pt>
                <c:pt idx="819">
                  <c:v>53</c:v>
                </c:pt>
                <c:pt idx="820">
                  <c:v>21</c:v>
                </c:pt>
                <c:pt idx="821">
                  <c:v>70</c:v>
                </c:pt>
                <c:pt idx="822">
                  <c:v>61</c:v>
                </c:pt>
                <c:pt idx="823">
                  <c:v>70</c:v>
                </c:pt>
                <c:pt idx="824">
                  <c:v>38</c:v>
                </c:pt>
                <c:pt idx="825">
                  <c:v>59</c:v>
                </c:pt>
                <c:pt idx="826">
                  <c:v>36</c:v>
                </c:pt>
                <c:pt idx="827">
                  <c:v>31</c:v>
                </c:pt>
                <c:pt idx="828">
                  <c:v>65</c:v>
                </c:pt>
                <c:pt idx="829">
                  <c:v>61</c:v>
                </c:pt>
                <c:pt idx="830">
                  <c:v>2</c:v>
                </c:pt>
                <c:pt idx="831">
                  <c:v>52</c:v>
                </c:pt>
                <c:pt idx="832">
                  <c:v>33</c:v>
                </c:pt>
                <c:pt idx="833">
                  <c:v>5</c:v>
                </c:pt>
                <c:pt idx="834">
                  <c:v>32</c:v>
                </c:pt>
                <c:pt idx="835">
                  <c:v>54</c:v>
                </c:pt>
                <c:pt idx="836">
                  <c:v>51</c:v>
                </c:pt>
                <c:pt idx="837">
                  <c:v>39</c:v>
                </c:pt>
                <c:pt idx="838">
                  <c:v>40</c:v>
                </c:pt>
                <c:pt idx="839">
                  <c:v>19</c:v>
                </c:pt>
                <c:pt idx="840">
                  <c:v>9</c:v>
                </c:pt>
                <c:pt idx="841">
                  <c:v>53</c:v>
                </c:pt>
                <c:pt idx="842">
                  <c:v>23</c:v>
                </c:pt>
                <c:pt idx="843">
                  <c:v>19</c:v>
                </c:pt>
                <c:pt idx="844">
                  <c:v>1</c:v>
                </c:pt>
                <c:pt idx="845">
                  <c:v>48</c:v>
                </c:pt>
                <c:pt idx="846">
                  <c:v>71</c:v>
                </c:pt>
                <c:pt idx="847">
                  <c:v>44</c:v>
                </c:pt>
                <c:pt idx="848">
                  <c:v>53</c:v>
                </c:pt>
                <c:pt idx="849">
                  <c:v>70</c:v>
                </c:pt>
                <c:pt idx="850">
                  <c:v>1.4</c:v>
                </c:pt>
                <c:pt idx="851">
                  <c:v>49</c:v>
                </c:pt>
                <c:pt idx="852">
                  <c:v>17</c:v>
                </c:pt>
                <c:pt idx="853">
                  <c:v>40</c:v>
                </c:pt>
                <c:pt idx="854">
                  <c:v>46</c:v>
                </c:pt>
                <c:pt idx="855">
                  <c:v>32</c:v>
                </c:pt>
                <c:pt idx="856">
                  <c:v>2</c:v>
                </c:pt>
                <c:pt idx="857">
                  <c:v>40</c:v>
                </c:pt>
                <c:pt idx="858">
                  <c:v>19</c:v>
                </c:pt>
                <c:pt idx="859">
                  <c:v>43</c:v>
                </c:pt>
                <c:pt idx="860">
                  <c:v>46</c:v>
                </c:pt>
                <c:pt idx="861">
                  <c:v>71</c:v>
                </c:pt>
                <c:pt idx="862">
                  <c:v>31</c:v>
                </c:pt>
                <c:pt idx="863">
                  <c:v>41</c:v>
                </c:pt>
                <c:pt idx="864">
                  <c:v>65</c:v>
                </c:pt>
                <c:pt idx="865">
                  <c:v>52</c:v>
                </c:pt>
                <c:pt idx="866">
                  <c:v>20</c:v>
                </c:pt>
                <c:pt idx="867">
                  <c:v>77</c:v>
                </c:pt>
                <c:pt idx="868">
                  <c:v>51</c:v>
                </c:pt>
                <c:pt idx="869">
                  <c:v>37</c:v>
                </c:pt>
                <c:pt idx="870">
                  <c:v>49</c:v>
                </c:pt>
                <c:pt idx="871">
                  <c:v>62</c:v>
                </c:pt>
                <c:pt idx="872">
                  <c:v>17</c:v>
                </c:pt>
                <c:pt idx="873">
                  <c:v>28</c:v>
                </c:pt>
                <c:pt idx="874">
                  <c:v>80</c:v>
                </c:pt>
                <c:pt idx="875">
                  <c:v>45</c:v>
                </c:pt>
                <c:pt idx="876">
                  <c:v>37</c:v>
                </c:pt>
                <c:pt idx="877">
                  <c:v>3</c:v>
                </c:pt>
                <c:pt idx="878">
                  <c:v>26</c:v>
                </c:pt>
                <c:pt idx="879">
                  <c:v>71</c:v>
                </c:pt>
                <c:pt idx="880">
                  <c:v>58</c:v>
                </c:pt>
                <c:pt idx="881">
                  <c:v>59</c:v>
                </c:pt>
                <c:pt idx="882">
                  <c:v>74</c:v>
                </c:pt>
                <c:pt idx="883">
                  <c:v>17</c:v>
                </c:pt>
                <c:pt idx="884">
                  <c:v>62</c:v>
                </c:pt>
                <c:pt idx="885">
                  <c:v>37</c:v>
                </c:pt>
                <c:pt idx="886">
                  <c:v>19</c:v>
                </c:pt>
                <c:pt idx="887">
                  <c:v>59</c:v>
                </c:pt>
                <c:pt idx="888">
                  <c:v>59</c:v>
                </c:pt>
                <c:pt idx="889">
                  <c:v>62</c:v>
                </c:pt>
                <c:pt idx="890">
                  <c:v>80</c:v>
                </c:pt>
                <c:pt idx="891">
                  <c:v>54</c:v>
                </c:pt>
                <c:pt idx="892">
                  <c:v>27</c:v>
                </c:pt>
                <c:pt idx="893">
                  <c:v>4</c:v>
                </c:pt>
                <c:pt idx="894">
                  <c:v>81</c:v>
                </c:pt>
                <c:pt idx="895">
                  <c:v>41</c:v>
                </c:pt>
                <c:pt idx="896">
                  <c:v>27</c:v>
                </c:pt>
                <c:pt idx="897">
                  <c:v>51</c:v>
                </c:pt>
                <c:pt idx="898">
                  <c:v>59</c:v>
                </c:pt>
                <c:pt idx="899">
                  <c:v>51</c:v>
                </c:pt>
                <c:pt idx="900">
                  <c:v>71</c:v>
                </c:pt>
                <c:pt idx="901">
                  <c:v>48</c:v>
                </c:pt>
                <c:pt idx="902">
                  <c:v>49</c:v>
                </c:pt>
                <c:pt idx="903">
                  <c:v>35</c:v>
                </c:pt>
                <c:pt idx="904">
                  <c:v>25</c:v>
                </c:pt>
                <c:pt idx="905">
                  <c:v>31</c:v>
                </c:pt>
                <c:pt idx="906">
                  <c:v>68</c:v>
                </c:pt>
                <c:pt idx="907">
                  <c:v>39</c:v>
                </c:pt>
                <c:pt idx="908">
                  <c:v>32</c:v>
                </c:pt>
                <c:pt idx="909">
                  <c:v>39</c:v>
                </c:pt>
                <c:pt idx="910">
                  <c:v>63</c:v>
                </c:pt>
                <c:pt idx="911">
                  <c:v>69</c:v>
                </c:pt>
                <c:pt idx="912">
                  <c:v>29</c:v>
                </c:pt>
                <c:pt idx="913">
                  <c:v>1.72</c:v>
                </c:pt>
                <c:pt idx="914">
                  <c:v>58</c:v>
                </c:pt>
                <c:pt idx="915">
                  <c:v>32</c:v>
                </c:pt>
                <c:pt idx="916">
                  <c:v>63</c:v>
                </c:pt>
                <c:pt idx="917">
                  <c:v>57</c:v>
                </c:pt>
                <c:pt idx="918">
                  <c:v>77</c:v>
                </c:pt>
                <c:pt idx="919">
                  <c:v>8</c:v>
                </c:pt>
                <c:pt idx="920">
                  <c:v>21</c:v>
                </c:pt>
                <c:pt idx="921">
                  <c:v>16</c:v>
                </c:pt>
                <c:pt idx="922">
                  <c:v>8</c:v>
                </c:pt>
                <c:pt idx="923">
                  <c:v>71</c:v>
                </c:pt>
                <c:pt idx="924">
                  <c:v>74</c:v>
                </c:pt>
                <c:pt idx="925">
                  <c:v>7</c:v>
                </c:pt>
                <c:pt idx="926">
                  <c:v>19</c:v>
                </c:pt>
                <c:pt idx="927">
                  <c:v>64</c:v>
                </c:pt>
                <c:pt idx="928">
                  <c:v>23</c:v>
                </c:pt>
                <c:pt idx="929">
                  <c:v>75</c:v>
                </c:pt>
                <c:pt idx="930">
                  <c:v>80</c:v>
                </c:pt>
                <c:pt idx="931">
                  <c:v>40</c:v>
                </c:pt>
                <c:pt idx="932">
                  <c:v>24</c:v>
                </c:pt>
                <c:pt idx="933">
                  <c:v>74</c:v>
                </c:pt>
                <c:pt idx="934">
                  <c:v>52</c:v>
                </c:pt>
                <c:pt idx="935">
                  <c:v>54</c:v>
                </c:pt>
                <c:pt idx="936">
                  <c:v>23</c:v>
                </c:pt>
                <c:pt idx="937">
                  <c:v>19</c:v>
                </c:pt>
                <c:pt idx="938">
                  <c:v>23</c:v>
                </c:pt>
                <c:pt idx="939">
                  <c:v>13</c:v>
                </c:pt>
                <c:pt idx="940">
                  <c:v>51</c:v>
                </c:pt>
                <c:pt idx="941">
                  <c:v>60</c:v>
                </c:pt>
                <c:pt idx="942">
                  <c:v>79</c:v>
                </c:pt>
                <c:pt idx="943">
                  <c:v>75</c:v>
                </c:pt>
                <c:pt idx="944">
                  <c:v>69</c:v>
                </c:pt>
                <c:pt idx="945">
                  <c:v>57</c:v>
                </c:pt>
                <c:pt idx="946">
                  <c:v>47</c:v>
                </c:pt>
                <c:pt idx="947">
                  <c:v>33</c:v>
                </c:pt>
                <c:pt idx="948">
                  <c:v>51</c:v>
                </c:pt>
                <c:pt idx="949">
                  <c:v>47</c:v>
                </c:pt>
                <c:pt idx="950">
                  <c:v>15</c:v>
                </c:pt>
                <c:pt idx="951">
                  <c:v>1</c:v>
                </c:pt>
                <c:pt idx="952">
                  <c:v>20</c:v>
                </c:pt>
                <c:pt idx="953">
                  <c:v>6</c:v>
                </c:pt>
                <c:pt idx="954">
                  <c:v>50</c:v>
                </c:pt>
                <c:pt idx="955">
                  <c:v>31</c:v>
                </c:pt>
                <c:pt idx="956">
                  <c:v>15</c:v>
                </c:pt>
                <c:pt idx="957">
                  <c:v>3</c:v>
                </c:pt>
                <c:pt idx="958">
                  <c:v>30</c:v>
                </c:pt>
                <c:pt idx="959">
                  <c:v>17</c:v>
                </c:pt>
                <c:pt idx="960">
                  <c:v>24</c:v>
                </c:pt>
                <c:pt idx="961">
                  <c:v>5</c:v>
                </c:pt>
                <c:pt idx="962">
                  <c:v>33</c:v>
                </c:pt>
                <c:pt idx="963">
                  <c:v>30</c:v>
                </c:pt>
                <c:pt idx="964">
                  <c:v>66</c:v>
                </c:pt>
                <c:pt idx="965">
                  <c:v>40</c:v>
                </c:pt>
                <c:pt idx="966">
                  <c:v>27</c:v>
                </c:pt>
                <c:pt idx="967">
                  <c:v>21</c:v>
                </c:pt>
                <c:pt idx="968">
                  <c:v>55</c:v>
                </c:pt>
                <c:pt idx="969">
                  <c:v>19</c:v>
                </c:pt>
                <c:pt idx="970">
                  <c:v>75</c:v>
                </c:pt>
                <c:pt idx="971">
                  <c:v>71</c:v>
                </c:pt>
                <c:pt idx="972">
                  <c:v>16</c:v>
                </c:pt>
                <c:pt idx="973">
                  <c:v>49</c:v>
                </c:pt>
                <c:pt idx="974">
                  <c:v>10</c:v>
                </c:pt>
                <c:pt idx="975">
                  <c:v>37</c:v>
                </c:pt>
                <c:pt idx="976">
                  <c:v>59</c:v>
                </c:pt>
                <c:pt idx="977">
                  <c:v>7</c:v>
                </c:pt>
                <c:pt idx="978">
                  <c:v>61</c:v>
                </c:pt>
                <c:pt idx="979">
                  <c:v>34</c:v>
                </c:pt>
                <c:pt idx="980">
                  <c:v>9</c:v>
                </c:pt>
                <c:pt idx="981">
                  <c:v>46</c:v>
                </c:pt>
                <c:pt idx="982">
                  <c:v>0.88</c:v>
                </c:pt>
                <c:pt idx="983">
                  <c:v>50</c:v>
                </c:pt>
                <c:pt idx="984">
                  <c:v>19</c:v>
                </c:pt>
                <c:pt idx="985">
                  <c:v>21</c:v>
                </c:pt>
                <c:pt idx="986">
                  <c:v>2</c:v>
                </c:pt>
                <c:pt idx="987">
                  <c:v>37</c:v>
                </c:pt>
                <c:pt idx="988">
                  <c:v>20</c:v>
                </c:pt>
                <c:pt idx="989">
                  <c:v>50</c:v>
                </c:pt>
                <c:pt idx="990">
                  <c:v>61</c:v>
                </c:pt>
                <c:pt idx="991">
                  <c:v>48</c:v>
                </c:pt>
                <c:pt idx="992">
                  <c:v>82</c:v>
                </c:pt>
                <c:pt idx="993">
                  <c:v>64</c:v>
                </c:pt>
                <c:pt idx="994">
                  <c:v>50</c:v>
                </c:pt>
                <c:pt idx="995">
                  <c:v>1.4</c:v>
                </c:pt>
                <c:pt idx="996">
                  <c:v>0.24</c:v>
                </c:pt>
                <c:pt idx="997">
                  <c:v>55</c:v>
                </c:pt>
                <c:pt idx="998">
                  <c:v>29</c:v>
                </c:pt>
                <c:pt idx="999">
                  <c:v>4</c:v>
                </c:pt>
                <c:pt idx="1000">
                  <c:v>70</c:v>
                </c:pt>
                <c:pt idx="1001">
                  <c:v>35</c:v>
                </c:pt>
                <c:pt idx="1002">
                  <c:v>80</c:v>
                </c:pt>
                <c:pt idx="1003">
                  <c:v>54</c:v>
                </c:pt>
                <c:pt idx="1004">
                  <c:v>39</c:v>
                </c:pt>
                <c:pt idx="1005">
                  <c:v>26</c:v>
                </c:pt>
                <c:pt idx="1006">
                  <c:v>6</c:v>
                </c:pt>
                <c:pt idx="1007">
                  <c:v>41</c:v>
                </c:pt>
                <c:pt idx="1008">
                  <c:v>42</c:v>
                </c:pt>
                <c:pt idx="1009">
                  <c:v>9</c:v>
                </c:pt>
                <c:pt idx="1010">
                  <c:v>55</c:v>
                </c:pt>
                <c:pt idx="1011">
                  <c:v>71</c:v>
                </c:pt>
                <c:pt idx="1012">
                  <c:v>14</c:v>
                </c:pt>
                <c:pt idx="1013">
                  <c:v>77</c:v>
                </c:pt>
                <c:pt idx="1014">
                  <c:v>50</c:v>
                </c:pt>
                <c:pt idx="1015">
                  <c:v>49</c:v>
                </c:pt>
                <c:pt idx="1016">
                  <c:v>51</c:v>
                </c:pt>
                <c:pt idx="1017">
                  <c:v>79</c:v>
                </c:pt>
                <c:pt idx="1018">
                  <c:v>63</c:v>
                </c:pt>
                <c:pt idx="1019">
                  <c:v>66</c:v>
                </c:pt>
                <c:pt idx="1020">
                  <c:v>20</c:v>
                </c:pt>
                <c:pt idx="1021">
                  <c:v>37</c:v>
                </c:pt>
                <c:pt idx="1022">
                  <c:v>22</c:v>
                </c:pt>
                <c:pt idx="1023">
                  <c:v>60</c:v>
                </c:pt>
                <c:pt idx="1024">
                  <c:v>39</c:v>
                </c:pt>
                <c:pt idx="1025">
                  <c:v>53</c:v>
                </c:pt>
                <c:pt idx="1026">
                  <c:v>55</c:v>
                </c:pt>
                <c:pt idx="1027">
                  <c:v>63</c:v>
                </c:pt>
                <c:pt idx="1028">
                  <c:v>57</c:v>
                </c:pt>
                <c:pt idx="1029">
                  <c:v>82</c:v>
                </c:pt>
                <c:pt idx="1030">
                  <c:v>56</c:v>
                </c:pt>
                <c:pt idx="1031">
                  <c:v>41</c:v>
                </c:pt>
                <c:pt idx="1032">
                  <c:v>8</c:v>
                </c:pt>
                <c:pt idx="1033">
                  <c:v>34</c:v>
                </c:pt>
                <c:pt idx="1034">
                  <c:v>75</c:v>
                </c:pt>
                <c:pt idx="1035">
                  <c:v>57</c:v>
                </c:pt>
                <c:pt idx="1036">
                  <c:v>72</c:v>
                </c:pt>
                <c:pt idx="1037">
                  <c:v>21</c:v>
                </c:pt>
                <c:pt idx="1038">
                  <c:v>51</c:v>
                </c:pt>
                <c:pt idx="1039">
                  <c:v>15</c:v>
                </c:pt>
                <c:pt idx="1040">
                  <c:v>24</c:v>
                </c:pt>
                <c:pt idx="1041">
                  <c:v>30</c:v>
                </c:pt>
                <c:pt idx="1042">
                  <c:v>82</c:v>
                </c:pt>
                <c:pt idx="1043">
                  <c:v>62</c:v>
                </c:pt>
                <c:pt idx="1044">
                  <c:v>79</c:v>
                </c:pt>
                <c:pt idx="1045">
                  <c:v>19</c:v>
                </c:pt>
                <c:pt idx="1046">
                  <c:v>45</c:v>
                </c:pt>
                <c:pt idx="1047">
                  <c:v>5</c:v>
                </c:pt>
                <c:pt idx="1048">
                  <c:v>57</c:v>
                </c:pt>
                <c:pt idx="1049">
                  <c:v>31</c:v>
                </c:pt>
                <c:pt idx="1050">
                  <c:v>61</c:v>
                </c:pt>
                <c:pt idx="1051">
                  <c:v>27</c:v>
                </c:pt>
                <c:pt idx="1052">
                  <c:v>61</c:v>
                </c:pt>
                <c:pt idx="1053">
                  <c:v>53</c:v>
                </c:pt>
                <c:pt idx="1054">
                  <c:v>76</c:v>
                </c:pt>
                <c:pt idx="1055">
                  <c:v>57</c:v>
                </c:pt>
                <c:pt idx="1056">
                  <c:v>9</c:v>
                </c:pt>
                <c:pt idx="1057">
                  <c:v>34</c:v>
                </c:pt>
                <c:pt idx="1058">
                  <c:v>51</c:v>
                </c:pt>
                <c:pt idx="1059">
                  <c:v>61</c:v>
                </c:pt>
                <c:pt idx="1060">
                  <c:v>19</c:v>
                </c:pt>
                <c:pt idx="1061">
                  <c:v>50</c:v>
                </c:pt>
                <c:pt idx="1062">
                  <c:v>80</c:v>
                </c:pt>
                <c:pt idx="1063">
                  <c:v>13</c:v>
                </c:pt>
                <c:pt idx="1064">
                  <c:v>55</c:v>
                </c:pt>
                <c:pt idx="1065">
                  <c:v>67</c:v>
                </c:pt>
                <c:pt idx="1066">
                  <c:v>30</c:v>
                </c:pt>
                <c:pt idx="1067">
                  <c:v>67</c:v>
                </c:pt>
                <c:pt idx="1068">
                  <c:v>82</c:v>
                </c:pt>
                <c:pt idx="1069">
                  <c:v>5</c:v>
                </c:pt>
                <c:pt idx="1070">
                  <c:v>81</c:v>
                </c:pt>
                <c:pt idx="1071">
                  <c:v>48</c:v>
                </c:pt>
                <c:pt idx="1072">
                  <c:v>66</c:v>
                </c:pt>
                <c:pt idx="1073">
                  <c:v>38</c:v>
                </c:pt>
                <c:pt idx="1074">
                  <c:v>8</c:v>
                </c:pt>
                <c:pt idx="1075">
                  <c:v>47</c:v>
                </c:pt>
                <c:pt idx="1076">
                  <c:v>27</c:v>
                </c:pt>
                <c:pt idx="1077">
                  <c:v>53</c:v>
                </c:pt>
                <c:pt idx="1078">
                  <c:v>27</c:v>
                </c:pt>
                <c:pt idx="1079">
                  <c:v>36</c:v>
                </c:pt>
                <c:pt idx="1080">
                  <c:v>50</c:v>
                </c:pt>
                <c:pt idx="1081">
                  <c:v>32</c:v>
                </c:pt>
                <c:pt idx="1082">
                  <c:v>58</c:v>
                </c:pt>
                <c:pt idx="1083">
                  <c:v>73</c:v>
                </c:pt>
                <c:pt idx="1084">
                  <c:v>62</c:v>
                </c:pt>
                <c:pt idx="1085">
                  <c:v>50</c:v>
                </c:pt>
                <c:pt idx="1086">
                  <c:v>51</c:v>
                </c:pt>
                <c:pt idx="1087">
                  <c:v>19</c:v>
                </c:pt>
                <c:pt idx="1088">
                  <c:v>30</c:v>
                </c:pt>
                <c:pt idx="1089">
                  <c:v>45</c:v>
                </c:pt>
                <c:pt idx="1090">
                  <c:v>30</c:v>
                </c:pt>
                <c:pt idx="1091">
                  <c:v>28</c:v>
                </c:pt>
                <c:pt idx="1092">
                  <c:v>70</c:v>
                </c:pt>
                <c:pt idx="1093">
                  <c:v>0.32</c:v>
                </c:pt>
                <c:pt idx="1094">
                  <c:v>23</c:v>
                </c:pt>
                <c:pt idx="1095">
                  <c:v>18</c:v>
                </c:pt>
                <c:pt idx="1096">
                  <c:v>41</c:v>
                </c:pt>
                <c:pt idx="1097">
                  <c:v>52</c:v>
                </c:pt>
                <c:pt idx="1098">
                  <c:v>77</c:v>
                </c:pt>
                <c:pt idx="1099">
                  <c:v>34</c:v>
                </c:pt>
                <c:pt idx="1100">
                  <c:v>67</c:v>
                </c:pt>
                <c:pt idx="1101">
                  <c:v>1.64</c:v>
                </c:pt>
                <c:pt idx="1102">
                  <c:v>23</c:v>
                </c:pt>
                <c:pt idx="1103">
                  <c:v>59</c:v>
                </c:pt>
                <c:pt idx="1104">
                  <c:v>62</c:v>
                </c:pt>
                <c:pt idx="1105">
                  <c:v>47</c:v>
                </c:pt>
                <c:pt idx="1106">
                  <c:v>71</c:v>
                </c:pt>
                <c:pt idx="1107">
                  <c:v>22</c:v>
                </c:pt>
                <c:pt idx="1108">
                  <c:v>33</c:v>
                </c:pt>
                <c:pt idx="1109">
                  <c:v>27</c:v>
                </c:pt>
                <c:pt idx="1110">
                  <c:v>44</c:v>
                </c:pt>
                <c:pt idx="1111">
                  <c:v>18</c:v>
                </c:pt>
                <c:pt idx="1112">
                  <c:v>47</c:v>
                </c:pt>
                <c:pt idx="1113">
                  <c:v>66</c:v>
                </c:pt>
                <c:pt idx="1114">
                  <c:v>42</c:v>
                </c:pt>
                <c:pt idx="1115">
                  <c:v>13</c:v>
                </c:pt>
                <c:pt idx="1116">
                  <c:v>56</c:v>
                </c:pt>
                <c:pt idx="1117">
                  <c:v>69</c:v>
                </c:pt>
                <c:pt idx="1118">
                  <c:v>65</c:v>
                </c:pt>
                <c:pt idx="1119">
                  <c:v>53</c:v>
                </c:pt>
                <c:pt idx="1120">
                  <c:v>36</c:v>
                </c:pt>
                <c:pt idx="1121">
                  <c:v>69</c:v>
                </c:pt>
                <c:pt idx="1122">
                  <c:v>19</c:v>
                </c:pt>
                <c:pt idx="1123">
                  <c:v>3</c:v>
                </c:pt>
                <c:pt idx="1124">
                  <c:v>15</c:v>
                </c:pt>
                <c:pt idx="1125">
                  <c:v>59</c:v>
                </c:pt>
                <c:pt idx="1126">
                  <c:v>61</c:v>
                </c:pt>
                <c:pt idx="1127">
                  <c:v>28</c:v>
                </c:pt>
                <c:pt idx="1128">
                  <c:v>52</c:v>
                </c:pt>
                <c:pt idx="1129">
                  <c:v>33</c:v>
                </c:pt>
                <c:pt idx="1130">
                  <c:v>80</c:v>
                </c:pt>
                <c:pt idx="1131">
                  <c:v>47</c:v>
                </c:pt>
                <c:pt idx="1132">
                  <c:v>2</c:v>
                </c:pt>
                <c:pt idx="1133">
                  <c:v>48</c:v>
                </c:pt>
                <c:pt idx="1134">
                  <c:v>1.56</c:v>
                </c:pt>
                <c:pt idx="1135">
                  <c:v>26</c:v>
                </c:pt>
                <c:pt idx="1136">
                  <c:v>62</c:v>
                </c:pt>
                <c:pt idx="1137">
                  <c:v>1.72</c:v>
                </c:pt>
                <c:pt idx="1138">
                  <c:v>38</c:v>
                </c:pt>
                <c:pt idx="1139">
                  <c:v>28</c:v>
                </c:pt>
                <c:pt idx="1140">
                  <c:v>67</c:v>
                </c:pt>
                <c:pt idx="1141">
                  <c:v>57</c:v>
                </c:pt>
                <c:pt idx="1142">
                  <c:v>40</c:v>
                </c:pt>
                <c:pt idx="1143">
                  <c:v>10</c:v>
                </c:pt>
                <c:pt idx="1144">
                  <c:v>55</c:v>
                </c:pt>
                <c:pt idx="1145">
                  <c:v>7</c:v>
                </c:pt>
                <c:pt idx="1146">
                  <c:v>56</c:v>
                </c:pt>
                <c:pt idx="1147">
                  <c:v>37</c:v>
                </c:pt>
                <c:pt idx="1148">
                  <c:v>69</c:v>
                </c:pt>
                <c:pt idx="1149">
                  <c:v>45</c:v>
                </c:pt>
                <c:pt idx="1150">
                  <c:v>28</c:v>
                </c:pt>
                <c:pt idx="1151">
                  <c:v>52</c:v>
                </c:pt>
                <c:pt idx="1152">
                  <c:v>46</c:v>
                </c:pt>
                <c:pt idx="1153">
                  <c:v>45</c:v>
                </c:pt>
                <c:pt idx="1154">
                  <c:v>21</c:v>
                </c:pt>
                <c:pt idx="1155">
                  <c:v>4</c:v>
                </c:pt>
                <c:pt idx="1156">
                  <c:v>45</c:v>
                </c:pt>
                <c:pt idx="1157">
                  <c:v>71</c:v>
                </c:pt>
                <c:pt idx="1158">
                  <c:v>46</c:v>
                </c:pt>
                <c:pt idx="1159">
                  <c:v>3</c:v>
                </c:pt>
                <c:pt idx="1160">
                  <c:v>79</c:v>
                </c:pt>
                <c:pt idx="1161">
                  <c:v>71</c:v>
                </c:pt>
                <c:pt idx="1162">
                  <c:v>74</c:v>
                </c:pt>
                <c:pt idx="1163">
                  <c:v>52</c:v>
                </c:pt>
                <c:pt idx="1164">
                  <c:v>49</c:v>
                </c:pt>
                <c:pt idx="1165">
                  <c:v>32</c:v>
                </c:pt>
                <c:pt idx="1166">
                  <c:v>62</c:v>
                </c:pt>
                <c:pt idx="1167">
                  <c:v>78</c:v>
                </c:pt>
                <c:pt idx="1168">
                  <c:v>48</c:v>
                </c:pt>
                <c:pt idx="1169">
                  <c:v>18</c:v>
                </c:pt>
                <c:pt idx="1170">
                  <c:v>80</c:v>
                </c:pt>
                <c:pt idx="1171">
                  <c:v>34</c:v>
                </c:pt>
                <c:pt idx="1172">
                  <c:v>40</c:v>
                </c:pt>
                <c:pt idx="1173">
                  <c:v>59</c:v>
                </c:pt>
                <c:pt idx="1174">
                  <c:v>11</c:v>
                </c:pt>
                <c:pt idx="1175">
                  <c:v>35</c:v>
                </c:pt>
                <c:pt idx="1176">
                  <c:v>29</c:v>
                </c:pt>
                <c:pt idx="1177">
                  <c:v>23</c:v>
                </c:pt>
                <c:pt idx="1178">
                  <c:v>59</c:v>
                </c:pt>
                <c:pt idx="1179">
                  <c:v>44</c:v>
                </c:pt>
                <c:pt idx="1180">
                  <c:v>62</c:v>
                </c:pt>
                <c:pt idx="1181">
                  <c:v>32</c:v>
                </c:pt>
                <c:pt idx="1182">
                  <c:v>2</c:v>
                </c:pt>
                <c:pt idx="1183">
                  <c:v>73</c:v>
                </c:pt>
                <c:pt idx="1184">
                  <c:v>79</c:v>
                </c:pt>
                <c:pt idx="1185">
                  <c:v>2</c:v>
                </c:pt>
                <c:pt idx="1186">
                  <c:v>43</c:v>
                </c:pt>
                <c:pt idx="1187">
                  <c:v>43</c:v>
                </c:pt>
                <c:pt idx="1188">
                  <c:v>62</c:v>
                </c:pt>
                <c:pt idx="1189">
                  <c:v>73</c:v>
                </c:pt>
                <c:pt idx="1190">
                  <c:v>31</c:v>
                </c:pt>
                <c:pt idx="1191">
                  <c:v>42</c:v>
                </c:pt>
                <c:pt idx="1192">
                  <c:v>20</c:v>
                </c:pt>
                <c:pt idx="1193">
                  <c:v>55</c:v>
                </c:pt>
                <c:pt idx="1194">
                  <c:v>3</c:v>
                </c:pt>
                <c:pt idx="1195">
                  <c:v>23</c:v>
                </c:pt>
                <c:pt idx="1196">
                  <c:v>33</c:v>
                </c:pt>
                <c:pt idx="1197">
                  <c:v>14</c:v>
                </c:pt>
                <c:pt idx="1198">
                  <c:v>79</c:v>
                </c:pt>
                <c:pt idx="1199">
                  <c:v>64</c:v>
                </c:pt>
                <c:pt idx="1200">
                  <c:v>76</c:v>
                </c:pt>
                <c:pt idx="1201">
                  <c:v>46</c:v>
                </c:pt>
                <c:pt idx="1202">
                  <c:v>80</c:v>
                </c:pt>
                <c:pt idx="1203">
                  <c:v>21</c:v>
                </c:pt>
                <c:pt idx="1204">
                  <c:v>33</c:v>
                </c:pt>
                <c:pt idx="1205">
                  <c:v>32</c:v>
                </c:pt>
                <c:pt idx="1206">
                  <c:v>0.72</c:v>
                </c:pt>
                <c:pt idx="1207">
                  <c:v>49</c:v>
                </c:pt>
                <c:pt idx="1208">
                  <c:v>41</c:v>
                </c:pt>
                <c:pt idx="1209">
                  <c:v>37</c:v>
                </c:pt>
                <c:pt idx="1210">
                  <c:v>58</c:v>
                </c:pt>
                <c:pt idx="1211">
                  <c:v>79</c:v>
                </c:pt>
                <c:pt idx="1212">
                  <c:v>23</c:v>
                </c:pt>
                <c:pt idx="1213">
                  <c:v>78</c:v>
                </c:pt>
                <c:pt idx="1214">
                  <c:v>51</c:v>
                </c:pt>
                <c:pt idx="1215">
                  <c:v>41</c:v>
                </c:pt>
                <c:pt idx="1216">
                  <c:v>68</c:v>
                </c:pt>
                <c:pt idx="1217">
                  <c:v>30</c:v>
                </c:pt>
                <c:pt idx="1218">
                  <c:v>1.88</c:v>
                </c:pt>
                <c:pt idx="1219">
                  <c:v>32</c:v>
                </c:pt>
                <c:pt idx="1220">
                  <c:v>20</c:v>
                </c:pt>
                <c:pt idx="1221">
                  <c:v>20</c:v>
                </c:pt>
                <c:pt idx="1222">
                  <c:v>10</c:v>
                </c:pt>
                <c:pt idx="1223">
                  <c:v>8</c:v>
                </c:pt>
                <c:pt idx="1224">
                  <c:v>65</c:v>
                </c:pt>
                <c:pt idx="1225">
                  <c:v>65</c:v>
                </c:pt>
                <c:pt idx="1226">
                  <c:v>46</c:v>
                </c:pt>
                <c:pt idx="1227">
                  <c:v>53</c:v>
                </c:pt>
                <c:pt idx="1228">
                  <c:v>79</c:v>
                </c:pt>
                <c:pt idx="1229">
                  <c:v>43</c:v>
                </c:pt>
                <c:pt idx="1230">
                  <c:v>56</c:v>
                </c:pt>
                <c:pt idx="1231">
                  <c:v>3</c:v>
                </c:pt>
                <c:pt idx="1232">
                  <c:v>32</c:v>
                </c:pt>
                <c:pt idx="1233">
                  <c:v>41</c:v>
                </c:pt>
                <c:pt idx="1234">
                  <c:v>53</c:v>
                </c:pt>
                <c:pt idx="1235">
                  <c:v>35</c:v>
                </c:pt>
                <c:pt idx="1236">
                  <c:v>67</c:v>
                </c:pt>
                <c:pt idx="1237">
                  <c:v>33</c:v>
                </c:pt>
                <c:pt idx="1238">
                  <c:v>21</c:v>
                </c:pt>
                <c:pt idx="1239">
                  <c:v>26</c:v>
                </c:pt>
                <c:pt idx="1240">
                  <c:v>69</c:v>
                </c:pt>
                <c:pt idx="1241">
                  <c:v>73</c:v>
                </c:pt>
                <c:pt idx="1242">
                  <c:v>15</c:v>
                </c:pt>
                <c:pt idx="1243">
                  <c:v>3</c:v>
                </c:pt>
                <c:pt idx="1244">
                  <c:v>1.24</c:v>
                </c:pt>
                <c:pt idx="1245">
                  <c:v>80</c:v>
                </c:pt>
                <c:pt idx="1246">
                  <c:v>2</c:v>
                </c:pt>
                <c:pt idx="1247">
                  <c:v>50</c:v>
                </c:pt>
                <c:pt idx="1248">
                  <c:v>30</c:v>
                </c:pt>
                <c:pt idx="1249">
                  <c:v>15</c:v>
                </c:pt>
                <c:pt idx="1250">
                  <c:v>71</c:v>
                </c:pt>
                <c:pt idx="1251">
                  <c:v>4</c:v>
                </c:pt>
                <c:pt idx="1252">
                  <c:v>2</c:v>
                </c:pt>
                <c:pt idx="1253">
                  <c:v>11</c:v>
                </c:pt>
                <c:pt idx="1254">
                  <c:v>45</c:v>
                </c:pt>
                <c:pt idx="1255">
                  <c:v>22</c:v>
                </c:pt>
                <c:pt idx="1256">
                  <c:v>63</c:v>
                </c:pt>
                <c:pt idx="1257">
                  <c:v>50</c:v>
                </c:pt>
                <c:pt idx="1258">
                  <c:v>25</c:v>
                </c:pt>
                <c:pt idx="1259">
                  <c:v>49</c:v>
                </c:pt>
                <c:pt idx="1260">
                  <c:v>39</c:v>
                </c:pt>
                <c:pt idx="1261">
                  <c:v>43</c:v>
                </c:pt>
                <c:pt idx="1262">
                  <c:v>67</c:v>
                </c:pt>
                <c:pt idx="1263">
                  <c:v>48</c:v>
                </c:pt>
                <c:pt idx="1264">
                  <c:v>38</c:v>
                </c:pt>
                <c:pt idx="1265">
                  <c:v>14</c:v>
                </c:pt>
                <c:pt idx="1266">
                  <c:v>63</c:v>
                </c:pt>
                <c:pt idx="1267">
                  <c:v>37</c:v>
                </c:pt>
                <c:pt idx="1268">
                  <c:v>20</c:v>
                </c:pt>
                <c:pt idx="1269">
                  <c:v>60</c:v>
                </c:pt>
                <c:pt idx="1270">
                  <c:v>13</c:v>
                </c:pt>
                <c:pt idx="1271">
                  <c:v>34</c:v>
                </c:pt>
                <c:pt idx="1272">
                  <c:v>22</c:v>
                </c:pt>
                <c:pt idx="1273">
                  <c:v>46</c:v>
                </c:pt>
                <c:pt idx="1274">
                  <c:v>53</c:v>
                </c:pt>
                <c:pt idx="1275">
                  <c:v>28</c:v>
                </c:pt>
                <c:pt idx="1276">
                  <c:v>62</c:v>
                </c:pt>
                <c:pt idx="1277">
                  <c:v>6</c:v>
                </c:pt>
                <c:pt idx="1278">
                  <c:v>11</c:v>
                </c:pt>
                <c:pt idx="1279">
                  <c:v>66</c:v>
                </c:pt>
                <c:pt idx="1280">
                  <c:v>80</c:v>
                </c:pt>
                <c:pt idx="1281">
                  <c:v>8</c:v>
                </c:pt>
                <c:pt idx="1282">
                  <c:v>53</c:v>
                </c:pt>
                <c:pt idx="1283">
                  <c:v>63</c:v>
                </c:pt>
                <c:pt idx="1284">
                  <c:v>31</c:v>
                </c:pt>
                <c:pt idx="1285">
                  <c:v>43</c:v>
                </c:pt>
                <c:pt idx="1286">
                  <c:v>79</c:v>
                </c:pt>
                <c:pt idx="1287">
                  <c:v>8</c:v>
                </c:pt>
                <c:pt idx="1288">
                  <c:v>38</c:v>
                </c:pt>
                <c:pt idx="1289">
                  <c:v>80</c:v>
                </c:pt>
                <c:pt idx="1290">
                  <c:v>49</c:v>
                </c:pt>
                <c:pt idx="1291">
                  <c:v>50</c:v>
                </c:pt>
                <c:pt idx="1292">
                  <c:v>13</c:v>
                </c:pt>
                <c:pt idx="1293">
                  <c:v>46</c:v>
                </c:pt>
                <c:pt idx="1294">
                  <c:v>73</c:v>
                </c:pt>
                <c:pt idx="1295">
                  <c:v>60</c:v>
                </c:pt>
                <c:pt idx="1296">
                  <c:v>44</c:v>
                </c:pt>
                <c:pt idx="1297">
                  <c:v>79</c:v>
                </c:pt>
                <c:pt idx="1298">
                  <c:v>5</c:v>
                </c:pt>
                <c:pt idx="1299">
                  <c:v>51</c:v>
                </c:pt>
                <c:pt idx="1300">
                  <c:v>71</c:v>
                </c:pt>
                <c:pt idx="1301">
                  <c:v>5</c:v>
                </c:pt>
                <c:pt idx="1302">
                  <c:v>65</c:v>
                </c:pt>
                <c:pt idx="1303">
                  <c:v>81</c:v>
                </c:pt>
                <c:pt idx="1304">
                  <c:v>46</c:v>
                </c:pt>
                <c:pt idx="1305">
                  <c:v>44</c:v>
                </c:pt>
                <c:pt idx="1306">
                  <c:v>54</c:v>
                </c:pt>
                <c:pt idx="1307">
                  <c:v>25</c:v>
                </c:pt>
                <c:pt idx="1308">
                  <c:v>49</c:v>
                </c:pt>
                <c:pt idx="1309">
                  <c:v>80</c:v>
                </c:pt>
                <c:pt idx="1310">
                  <c:v>22</c:v>
                </c:pt>
                <c:pt idx="1311">
                  <c:v>61</c:v>
                </c:pt>
                <c:pt idx="1312">
                  <c:v>3</c:v>
                </c:pt>
                <c:pt idx="1313">
                  <c:v>50</c:v>
                </c:pt>
                <c:pt idx="1314">
                  <c:v>45</c:v>
                </c:pt>
                <c:pt idx="1315">
                  <c:v>55</c:v>
                </c:pt>
                <c:pt idx="1316">
                  <c:v>21</c:v>
                </c:pt>
                <c:pt idx="1317">
                  <c:v>0.8</c:v>
                </c:pt>
                <c:pt idx="1318">
                  <c:v>50</c:v>
                </c:pt>
                <c:pt idx="1319">
                  <c:v>73</c:v>
                </c:pt>
                <c:pt idx="1320">
                  <c:v>58</c:v>
                </c:pt>
                <c:pt idx="1321">
                  <c:v>30</c:v>
                </c:pt>
                <c:pt idx="1322">
                  <c:v>55</c:v>
                </c:pt>
                <c:pt idx="1323">
                  <c:v>57</c:v>
                </c:pt>
                <c:pt idx="1324">
                  <c:v>80</c:v>
                </c:pt>
                <c:pt idx="1325">
                  <c:v>77</c:v>
                </c:pt>
                <c:pt idx="1326">
                  <c:v>29</c:v>
                </c:pt>
                <c:pt idx="1327">
                  <c:v>46</c:v>
                </c:pt>
                <c:pt idx="1328">
                  <c:v>40</c:v>
                </c:pt>
                <c:pt idx="1329">
                  <c:v>29</c:v>
                </c:pt>
                <c:pt idx="1330">
                  <c:v>37</c:v>
                </c:pt>
                <c:pt idx="1331">
                  <c:v>35</c:v>
                </c:pt>
                <c:pt idx="1332">
                  <c:v>54</c:v>
                </c:pt>
                <c:pt idx="1333">
                  <c:v>56</c:v>
                </c:pt>
                <c:pt idx="1334">
                  <c:v>26</c:v>
                </c:pt>
                <c:pt idx="1335">
                  <c:v>75</c:v>
                </c:pt>
                <c:pt idx="1336">
                  <c:v>44</c:v>
                </c:pt>
                <c:pt idx="1337">
                  <c:v>63</c:v>
                </c:pt>
                <c:pt idx="1338">
                  <c:v>17</c:v>
                </c:pt>
                <c:pt idx="1339">
                  <c:v>46</c:v>
                </c:pt>
                <c:pt idx="1340">
                  <c:v>47</c:v>
                </c:pt>
                <c:pt idx="1341">
                  <c:v>50</c:v>
                </c:pt>
                <c:pt idx="1342">
                  <c:v>49</c:v>
                </c:pt>
                <c:pt idx="1343">
                  <c:v>76</c:v>
                </c:pt>
                <c:pt idx="1344">
                  <c:v>47</c:v>
                </c:pt>
                <c:pt idx="1345">
                  <c:v>47</c:v>
                </c:pt>
                <c:pt idx="1346">
                  <c:v>49</c:v>
                </c:pt>
                <c:pt idx="1347">
                  <c:v>71</c:v>
                </c:pt>
                <c:pt idx="1348">
                  <c:v>65</c:v>
                </c:pt>
                <c:pt idx="1349">
                  <c:v>40</c:v>
                </c:pt>
                <c:pt idx="1350">
                  <c:v>82</c:v>
                </c:pt>
                <c:pt idx="1351">
                  <c:v>64</c:v>
                </c:pt>
                <c:pt idx="1352">
                  <c:v>72</c:v>
                </c:pt>
                <c:pt idx="1353">
                  <c:v>50</c:v>
                </c:pt>
                <c:pt idx="1354">
                  <c:v>40</c:v>
                </c:pt>
                <c:pt idx="1355">
                  <c:v>74</c:v>
                </c:pt>
                <c:pt idx="1356">
                  <c:v>30</c:v>
                </c:pt>
                <c:pt idx="1357">
                  <c:v>68</c:v>
                </c:pt>
                <c:pt idx="1358">
                  <c:v>6</c:v>
                </c:pt>
                <c:pt idx="1359">
                  <c:v>4</c:v>
                </c:pt>
                <c:pt idx="1360">
                  <c:v>60</c:v>
                </c:pt>
                <c:pt idx="1361">
                  <c:v>59</c:v>
                </c:pt>
                <c:pt idx="1362">
                  <c:v>72</c:v>
                </c:pt>
                <c:pt idx="1363">
                  <c:v>62</c:v>
                </c:pt>
                <c:pt idx="1364">
                  <c:v>13</c:v>
                </c:pt>
                <c:pt idx="1365">
                  <c:v>72</c:v>
                </c:pt>
                <c:pt idx="1366">
                  <c:v>1.08</c:v>
                </c:pt>
                <c:pt idx="1367">
                  <c:v>35</c:v>
                </c:pt>
                <c:pt idx="1368">
                  <c:v>54</c:v>
                </c:pt>
                <c:pt idx="1369">
                  <c:v>40</c:v>
                </c:pt>
                <c:pt idx="1370">
                  <c:v>3</c:v>
                </c:pt>
                <c:pt idx="1371">
                  <c:v>2</c:v>
                </c:pt>
                <c:pt idx="1372">
                  <c:v>41</c:v>
                </c:pt>
                <c:pt idx="1373">
                  <c:v>61</c:v>
                </c:pt>
                <c:pt idx="1374">
                  <c:v>58</c:v>
                </c:pt>
                <c:pt idx="1375">
                  <c:v>17</c:v>
                </c:pt>
                <c:pt idx="1376">
                  <c:v>64</c:v>
                </c:pt>
                <c:pt idx="1377">
                  <c:v>32</c:v>
                </c:pt>
                <c:pt idx="1378">
                  <c:v>42</c:v>
                </c:pt>
                <c:pt idx="1379">
                  <c:v>39</c:v>
                </c:pt>
                <c:pt idx="1380">
                  <c:v>10</c:v>
                </c:pt>
                <c:pt idx="1381">
                  <c:v>78</c:v>
                </c:pt>
                <c:pt idx="1382">
                  <c:v>68</c:v>
                </c:pt>
                <c:pt idx="1383">
                  <c:v>24</c:v>
                </c:pt>
                <c:pt idx="1384">
                  <c:v>59</c:v>
                </c:pt>
                <c:pt idx="1385">
                  <c:v>45</c:v>
                </c:pt>
                <c:pt idx="1386">
                  <c:v>12</c:v>
                </c:pt>
                <c:pt idx="1387">
                  <c:v>37</c:v>
                </c:pt>
                <c:pt idx="1388">
                  <c:v>43</c:v>
                </c:pt>
                <c:pt idx="1389">
                  <c:v>12</c:v>
                </c:pt>
                <c:pt idx="1390">
                  <c:v>13</c:v>
                </c:pt>
                <c:pt idx="1391">
                  <c:v>74</c:v>
                </c:pt>
                <c:pt idx="1392">
                  <c:v>2</c:v>
                </c:pt>
                <c:pt idx="1393">
                  <c:v>59</c:v>
                </c:pt>
                <c:pt idx="1394">
                  <c:v>21</c:v>
                </c:pt>
                <c:pt idx="1395">
                  <c:v>55</c:v>
                </c:pt>
                <c:pt idx="1396">
                  <c:v>14</c:v>
                </c:pt>
                <c:pt idx="1397">
                  <c:v>53</c:v>
                </c:pt>
                <c:pt idx="1398">
                  <c:v>75</c:v>
                </c:pt>
                <c:pt idx="1399">
                  <c:v>37</c:v>
                </c:pt>
                <c:pt idx="1400">
                  <c:v>49</c:v>
                </c:pt>
                <c:pt idx="1401">
                  <c:v>55</c:v>
                </c:pt>
                <c:pt idx="1402">
                  <c:v>57</c:v>
                </c:pt>
                <c:pt idx="1403">
                  <c:v>45</c:v>
                </c:pt>
                <c:pt idx="1404">
                  <c:v>46</c:v>
                </c:pt>
                <c:pt idx="1405">
                  <c:v>12</c:v>
                </c:pt>
                <c:pt idx="1406">
                  <c:v>12</c:v>
                </c:pt>
                <c:pt idx="1407">
                  <c:v>77</c:v>
                </c:pt>
                <c:pt idx="1408">
                  <c:v>6</c:v>
                </c:pt>
                <c:pt idx="1409">
                  <c:v>76</c:v>
                </c:pt>
                <c:pt idx="1410">
                  <c:v>52</c:v>
                </c:pt>
                <c:pt idx="1411">
                  <c:v>62</c:v>
                </c:pt>
                <c:pt idx="1412">
                  <c:v>82</c:v>
                </c:pt>
                <c:pt idx="1413">
                  <c:v>69</c:v>
                </c:pt>
                <c:pt idx="1414">
                  <c:v>78</c:v>
                </c:pt>
                <c:pt idx="1415">
                  <c:v>37</c:v>
                </c:pt>
                <c:pt idx="1416">
                  <c:v>50</c:v>
                </c:pt>
                <c:pt idx="1417">
                  <c:v>41</c:v>
                </c:pt>
                <c:pt idx="1418">
                  <c:v>54</c:v>
                </c:pt>
                <c:pt idx="1419">
                  <c:v>43</c:v>
                </c:pt>
                <c:pt idx="1420">
                  <c:v>37</c:v>
                </c:pt>
                <c:pt idx="1421">
                  <c:v>9</c:v>
                </c:pt>
                <c:pt idx="1422">
                  <c:v>11</c:v>
                </c:pt>
                <c:pt idx="1423">
                  <c:v>56</c:v>
                </c:pt>
                <c:pt idx="1424">
                  <c:v>5</c:v>
                </c:pt>
                <c:pt idx="1425">
                  <c:v>17</c:v>
                </c:pt>
                <c:pt idx="1426">
                  <c:v>6</c:v>
                </c:pt>
                <c:pt idx="1427">
                  <c:v>25</c:v>
                </c:pt>
                <c:pt idx="1428">
                  <c:v>57</c:v>
                </c:pt>
                <c:pt idx="1429">
                  <c:v>18</c:v>
                </c:pt>
                <c:pt idx="1430">
                  <c:v>2</c:v>
                </c:pt>
                <c:pt idx="1431">
                  <c:v>76</c:v>
                </c:pt>
                <c:pt idx="1432">
                  <c:v>1</c:v>
                </c:pt>
                <c:pt idx="1433">
                  <c:v>54</c:v>
                </c:pt>
                <c:pt idx="1434">
                  <c:v>45</c:v>
                </c:pt>
                <c:pt idx="1435">
                  <c:v>54</c:v>
                </c:pt>
                <c:pt idx="1436">
                  <c:v>67</c:v>
                </c:pt>
                <c:pt idx="1437">
                  <c:v>53</c:v>
                </c:pt>
                <c:pt idx="1438">
                  <c:v>47</c:v>
                </c:pt>
                <c:pt idx="1439">
                  <c:v>44</c:v>
                </c:pt>
                <c:pt idx="1440">
                  <c:v>65</c:v>
                </c:pt>
                <c:pt idx="1441">
                  <c:v>40</c:v>
                </c:pt>
                <c:pt idx="1442">
                  <c:v>3</c:v>
                </c:pt>
                <c:pt idx="1443">
                  <c:v>81</c:v>
                </c:pt>
                <c:pt idx="1444">
                  <c:v>24</c:v>
                </c:pt>
                <c:pt idx="1445">
                  <c:v>9</c:v>
                </c:pt>
                <c:pt idx="1446">
                  <c:v>52</c:v>
                </c:pt>
                <c:pt idx="1447">
                  <c:v>63</c:v>
                </c:pt>
                <c:pt idx="1448">
                  <c:v>78</c:v>
                </c:pt>
                <c:pt idx="1449">
                  <c:v>22</c:v>
                </c:pt>
                <c:pt idx="1450">
                  <c:v>2</c:v>
                </c:pt>
                <c:pt idx="1451">
                  <c:v>79</c:v>
                </c:pt>
                <c:pt idx="1452">
                  <c:v>49</c:v>
                </c:pt>
                <c:pt idx="1453">
                  <c:v>74</c:v>
                </c:pt>
                <c:pt idx="1454">
                  <c:v>62</c:v>
                </c:pt>
                <c:pt idx="1455">
                  <c:v>16</c:v>
                </c:pt>
                <c:pt idx="1456">
                  <c:v>62</c:v>
                </c:pt>
                <c:pt idx="1457">
                  <c:v>27</c:v>
                </c:pt>
                <c:pt idx="1458">
                  <c:v>50</c:v>
                </c:pt>
                <c:pt idx="1459">
                  <c:v>49</c:v>
                </c:pt>
                <c:pt idx="1460">
                  <c:v>24</c:v>
                </c:pt>
                <c:pt idx="1461">
                  <c:v>21</c:v>
                </c:pt>
                <c:pt idx="1462">
                  <c:v>17</c:v>
                </c:pt>
                <c:pt idx="1463">
                  <c:v>22</c:v>
                </c:pt>
                <c:pt idx="1464">
                  <c:v>13</c:v>
                </c:pt>
                <c:pt idx="1465">
                  <c:v>21</c:v>
                </c:pt>
                <c:pt idx="1466">
                  <c:v>51</c:v>
                </c:pt>
                <c:pt idx="1467">
                  <c:v>8</c:v>
                </c:pt>
                <c:pt idx="1468">
                  <c:v>48</c:v>
                </c:pt>
                <c:pt idx="1469">
                  <c:v>16</c:v>
                </c:pt>
                <c:pt idx="1470">
                  <c:v>18</c:v>
                </c:pt>
                <c:pt idx="1471">
                  <c:v>7</c:v>
                </c:pt>
                <c:pt idx="1472">
                  <c:v>68</c:v>
                </c:pt>
                <c:pt idx="1473">
                  <c:v>49</c:v>
                </c:pt>
                <c:pt idx="1474">
                  <c:v>80</c:v>
                </c:pt>
                <c:pt idx="1475">
                  <c:v>31</c:v>
                </c:pt>
                <c:pt idx="1476">
                  <c:v>25</c:v>
                </c:pt>
                <c:pt idx="1477">
                  <c:v>39</c:v>
                </c:pt>
                <c:pt idx="1478">
                  <c:v>35</c:v>
                </c:pt>
                <c:pt idx="1479">
                  <c:v>71</c:v>
                </c:pt>
                <c:pt idx="1480">
                  <c:v>71</c:v>
                </c:pt>
                <c:pt idx="1481">
                  <c:v>40</c:v>
                </c:pt>
                <c:pt idx="1482">
                  <c:v>41</c:v>
                </c:pt>
                <c:pt idx="1483">
                  <c:v>2</c:v>
                </c:pt>
                <c:pt idx="1484">
                  <c:v>3</c:v>
                </c:pt>
                <c:pt idx="1485">
                  <c:v>53</c:v>
                </c:pt>
                <c:pt idx="1486">
                  <c:v>1.88</c:v>
                </c:pt>
                <c:pt idx="1487">
                  <c:v>60</c:v>
                </c:pt>
                <c:pt idx="1488">
                  <c:v>5</c:v>
                </c:pt>
                <c:pt idx="1489">
                  <c:v>30</c:v>
                </c:pt>
                <c:pt idx="1490">
                  <c:v>49</c:v>
                </c:pt>
                <c:pt idx="1491">
                  <c:v>68</c:v>
                </c:pt>
                <c:pt idx="1492">
                  <c:v>23</c:v>
                </c:pt>
                <c:pt idx="1493">
                  <c:v>2</c:v>
                </c:pt>
                <c:pt idx="1494">
                  <c:v>24</c:v>
                </c:pt>
                <c:pt idx="1495">
                  <c:v>41</c:v>
                </c:pt>
                <c:pt idx="1496">
                  <c:v>63</c:v>
                </c:pt>
                <c:pt idx="1497">
                  <c:v>64</c:v>
                </c:pt>
                <c:pt idx="1498">
                  <c:v>38</c:v>
                </c:pt>
                <c:pt idx="1499">
                  <c:v>1.24</c:v>
                </c:pt>
                <c:pt idx="1500">
                  <c:v>38</c:v>
                </c:pt>
                <c:pt idx="1501">
                  <c:v>43</c:v>
                </c:pt>
                <c:pt idx="1502">
                  <c:v>27</c:v>
                </c:pt>
                <c:pt idx="1503">
                  <c:v>61</c:v>
                </c:pt>
                <c:pt idx="1504">
                  <c:v>42</c:v>
                </c:pt>
                <c:pt idx="1505">
                  <c:v>46</c:v>
                </c:pt>
                <c:pt idx="1506">
                  <c:v>67</c:v>
                </c:pt>
                <c:pt idx="1507">
                  <c:v>34</c:v>
                </c:pt>
                <c:pt idx="1508">
                  <c:v>51</c:v>
                </c:pt>
                <c:pt idx="1509">
                  <c:v>77</c:v>
                </c:pt>
                <c:pt idx="1510">
                  <c:v>30</c:v>
                </c:pt>
                <c:pt idx="1511">
                  <c:v>81</c:v>
                </c:pt>
                <c:pt idx="1512">
                  <c:v>12</c:v>
                </c:pt>
                <c:pt idx="1513">
                  <c:v>18</c:v>
                </c:pt>
                <c:pt idx="1514">
                  <c:v>35</c:v>
                </c:pt>
                <c:pt idx="1515">
                  <c:v>82</c:v>
                </c:pt>
                <c:pt idx="1516">
                  <c:v>53</c:v>
                </c:pt>
                <c:pt idx="1517">
                  <c:v>75</c:v>
                </c:pt>
                <c:pt idx="1518">
                  <c:v>32</c:v>
                </c:pt>
                <c:pt idx="1519">
                  <c:v>27</c:v>
                </c:pt>
                <c:pt idx="1520">
                  <c:v>56</c:v>
                </c:pt>
                <c:pt idx="1521">
                  <c:v>71</c:v>
                </c:pt>
                <c:pt idx="1522">
                  <c:v>78</c:v>
                </c:pt>
                <c:pt idx="1523">
                  <c:v>44</c:v>
                </c:pt>
                <c:pt idx="1524">
                  <c:v>62</c:v>
                </c:pt>
                <c:pt idx="1525">
                  <c:v>27</c:v>
                </c:pt>
                <c:pt idx="1526">
                  <c:v>42</c:v>
                </c:pt>
                <c:pt idx="1527">
                  <c:v>66</c:v>
                </c:pt>
                <c:pt idx="1528">
                  <c:v>25</c:v>
                </c:pt>
                <c:pt idx="1529">
                  <c:v>82</c:v>
                </c:pt>
                <c:pt idx="1530">
                  <c:v>49</c:v>
                </c:pt>
                <c:pt idx="1531">
                  <c:v>77</c:v>
                </c:pt>
                <c:pt idx="1532">
                  <c:v>59</c:v>
                </c:pt>
                <c:pt idx="1533">
                  <c:v>54</c:v>
                </c:pt>
                <c:pt idx="1534">
                  <c:v>38</c:v>
                </c:pt>
                <c:pt idx="1535">
                  <c:v>55</c:v>
                </c:pt>
                <c:pt idx="1536">
                  <c:v>13</c:v>
                </c:pt>
                <c:pt idx="1537">
                  <c:v>45</c:v>
                </c:pt>
                <c:pt idx="1538">
                  <c:v>54</c:v>
                </c:pt>
                <c:pt idx="1539">
                  <c:v>30</c:v>
                </c:pt>
                <c:pt idx="1540">
                  <c:v>51</c:v>
                </c:pt>
                <c:pt idx="1541">
                  <c:v>47</c:v>
                </c:pt>
                <c:pt idx="1542">
                  <c:v>25</c:v>
                </c:pt>
                <c:pt idx="1543">
                  <c:v>61</c:v>
                </c:pt>
                <c:pt idx="1544">
                  <c:v>55</c:v>
                </c:pt>
                <c:pt idx="1545">
                  <c:v>23</c:v>
                </c:pt>
                <c:pt idx="1546">
                  <c:v>71</c:v>
                </c:pt>
                <c:pt idx="1547">
                  <c:v>59</c:v>
                </c:pt>
                <c:pt idx="1548">
                  <c:v>4</c:v>
                </c:pt>
                <c:pt idx="1549">
                  <c:v>65</c:v>
                </c:pt>
                <c:pt idx="1550">
                  <c:v>50</c:v>
                </c:pt>
                <c:pt idx="1551">
                  <c:v>42</c:v>
                </c:pt>
                <c:pt idx="1552">
                  <c:v>51</c:v>
                </c:pt>
                <c:pt idx="1553">
                  <c:v>66</c:v>
                </c:pt>
                <c:pt idx="1554">
                  <c:v>22</c:v>
                </c:pt>
                <c:pt idx="1555">
                  <c:v>5</c:v>
                </c:pt>
                <c:pt idx="1556">
                  <c:v>19</c:v>
                </c:pt>
                <c:pt idx="1557">
                  <c:v>47</c:v>
                </c:pt>
                <c:pt idx="1558">
                  <c:v>12</c:v>
                </c:pt>
                <c:pt idx="1559">
                  <c:v>53</c:v>
                </c:pt>
                <c:pt idx="1560">
                  <c:v>26</c:v>
                </c:pt>
                <c:pt idx="1561">
                  <c:v>62</c:v>
                </c:pt>
                <c:pt idx="1562">
                  <c:v>81</c:v>
                </c:pt>
                <c:pt idx="1563">
                  <c:v>63</c:v>
                </c:pt>
                <c:pt idx="1564">
                  <c:v>25</c:v>
                </c:pt>
                <c:pt idx="1565">
                  <c:v>8</c:v>
                </c:pt>
                <c:pt idx="1566">
                  <c:v>76</c:v>
                </c:pt>
                <c:pt idx="1567">
                  <c:v>44</c:v>
                </c:pt>
                <c:pt idx="1568">
                  <c:v>65</c:v>
                </c:pt>
                <c:pt idx="1569">
                  <c:v>54</c:v>
                </c:pt>
                <c:pt idx="1570">
                  <c:v>24</c:v>
                </c:pt>
                <c:pt idx="1571">
                  <c:v>65</c:v>
                </c:pt>
                <c:pt idx="1572">
                  <c:v>12</c:v>
                </c:pt>
                <c:pt idx="1573">
                  <c:v>33</c:v>
                </c:pt>
                <c:pt idx="1574">
                  <c:v>74</c:v>
                </c:pt>
                <c:pt idx="1575">
                  <c:v>18</c:v>
                </c:pt>
                <c:pt idx="1576">
                  <c:v>77</c:v>
                </c:pt>
                <c:pt idx="1577">
                  <c:v>48</c:v>
                </c:pt>
                <c:pt idx="1578">
                  <c:v>52</c:v>
                </c:pt>
                <c:pt idx="1579">
                  <c:v>23</c:v>
                </c:pt>
                <c:pt idx="1580">
                  <c:v>25</c:v>
                </c:pt>
                <c:pt idx="1581">
                  <c:v>44</c:v>
                </c:pt>
                <c:pt idx="1582">
                  <c:v>78</c:v>
                </c:pt>
                <c:pt idx="1583">
                  <c:v>37</c:v>
                </c:pt>
                <c:pt idx="1584">
                  <c:v>32</c:v>
                </c:pt>
                <c:pt idx="1585">
                  <c:v>67</c:v>
                </c:pt>
                <c:pt idx="1586">
                  <c:v>41</c:v>
                </c:pt>
                <c:pt idx="1587">
                  <c:v>2</c:v>
                </c:pt>
                <c:pt idx="1588">
                  <c:v>75</c:v>
                </c:pt>
                <c:pt idx="1589">
                  <c:v>17</c:v>
                </c:pt>
                <c:pt idx="1590">
                  <c:v>13</c:v>
                </c:pt>
                <c:pt idx="1591">
                  <c:v>25</c:v>
                </c:pt>
                <c:pt idx="1592">
                  <c:v>57</c:v>
                </c:pt>
                <c:pt idx="1593">
                  <c:v>31</c:v>
                </c:pt>
                <c:pt idx="1594">
                  <c:v>61</c:v>
                </c:pt>
                <c:pt idx="1595">
                  <c:v>46</c:v>
                </c:pt>
                <c:pt idx="1596">
                  <c:v>47</c:v>
                </c:pt>
                <c:pt idx="1597">
                  <c:v>15</c:v>
                </c:pt>
                <c:pt idx="1598">
                  <c:v>47</c:v>
                </c:pt>
                <c:pt idx="1599">
                  <c:v>68</c:v>
                </c:pt>
                <c:pt idx="1600">
                  <c:v>0.4</c:v>
                </c:pt>
                <c:pt idx="1601">
                  <c:v>40</c:v>
                </c:pt>
                <c:pt idx="1602">
                  <c:v>62</c:v>
                </c:pt>
                <c:pt idx="1603">
                  <c:v>45</c:v>
                </c:pt>
                <c:pt idx="1604">
                  <c:v>47</c:v>
                </c:pt>
                <c:pt idx="1605">
                  <c:v>35</c:v>
                </c:pt>
                <c:pt idx="1606">
                  <c:v>51</c:v>
                </c:pt>
                <c:pt idx="1607">
                  <c:v>60</c:v>
                </c:pt>
                <c:pt idx="1608">
                  <c:v>59</c:v>
                </c:pt>
                <c:pt idx="1609">
                  <c:v>1.24</c:v>
                </c:pt>
                <c:pt idx="1610">
                  <c:v>18</c:v>
                </c:pt>
                <c:pt idx="1611">
                  <c:v>81</c:v>
                </c:pt>
                <c:pt idx="1612">
                  <c:v>15</c:v>
                </c:pt>
                <c:pt idx="1613">
                  <c:v>73</c:v>
                </c:pt>
                <c:pt idx="1614">
                  <c:v>0.08</c:v>
                </c:pt>
                <c:pt idx="1615">
                  <c:v>53</c:v>
                </c:pt>
                <c:pt idx="1616">
                  <c:v>45</c:v>
                </c:pt>
                <c:pt idx="1617">
                  <c:v>70</c:v>
                </c:pt>
                <c:pt idx="1618">
                  <c:v>56</c:v>
                </c:pt>
                <c:pt idx="1619">
                  <c:v>7</c:v>
                </c:pt>
                <c:pt idx="1620">
                  <c:v>66</c:v>
                </c:pt>
                <c:pt idx="1621">
                  <c:v>53</c:v>
                </c:pt>
                <c:pt idx="1622">
                  <c:v>20</c:v>
                </c:pt>
                <c:pt idx="1623">
                  <c:v>15</c:v>
                </c:pt>
                <c:pt idx="1624">
                  <c:v>51</c:v>
                </c:pt>
                <c:pt idx="1625">
                  <c:v>34</c:v>
                </c:pt>
                <c:pt idx="1626">
                  <c:v>33</c:v>
                </c:pt>
                <c:pt idx="1627">
                  <c:v>53</c:v>
                </c:pt>
                <c:pt idx="1628">
                  <c:v>69</c:v>
                </c:pt>
                <c:pt idx="1629">
                  <c:v>28</c:v>
                </c:pt>
                <c:pt idx="1630">
                  <c:v>81</c:v>
                </c:pt>
                <c:pt idx="1631">
                  <c:v>20</c:v>
                </c:pt>
                <c:pt idx="1632">
                  <c:v>1.48</c:v>
                </c:pt>
                <c:pt idx="1633">
                  <c:v>2</c:v>
                </c:pt>
                <c:pt idx="1634">
                  <c:v>77</c:v>
                </c:pt>
                <c:pt idx="1635">
                  <c:v>38</c:v>
                </c:pt>
                <c:pt idx="1636">
                  <c:v>23</c:v>
                </c:pt>
                <c:pt idx="1637">
                  <c:v>67</c:v>
                </c:pt>
                <c:pt idx="1638">
                  <c:v>59</c:v>
                </c:pt>
                <c:pt idx="1639">
                  <c:v>41</c:v>
                </c:pt>
                <c:pt idx="1640">
                  <c:v>76</c:v>
                </c:pt>
                <c:pt idx="1641">
                  <c:v>21</c:v>
                </c:pt>
                <c:pt idx="1642">
                  <c:v>41</c:v>
                </c:pt>
                <c:pt idx="1643">
                  <c:v>54</c:v>
                </c:pt>
                <c:pt idx="1644">
                  <c:v>29</c:v>
                </c:pt>
                <c:pt idx="1645">
                  <c:v>25</c:v>
                </c:pt>
                <c:pt idx="1646">
                  <c:v>48</c:v>
                </c:pt>
                <c:pt idx="1647">
                  <c:v>6</c:v>
                </c:pt>
                <c:pt idx="1648">
                  <c:v>21</c:v>
                </c:pt>
                <c:pt idx="1649">
                  <c:v>32</c:v>
                </c:pt>
                <c:pt idx="1650">
                  <c:v>57</c:v>
                </c:pt>
                <c:pt idx="1651">
                  <c:v>64</c:v>
                </c:pt>
                <c:pt idx="1652">
                  <c:v>70</c:v>
                </c:pt>
                <c:pt idx="1653">
                  <c:v>44</c:v>
                </c:pt>
                <c:pt idx="1654">
                  <c:v>60</c:v>
                </c:pt>
                <c:pt idx="1655">
                  <c:v>56</c:v>
                </c:pt>
                <c:pt idx="1656">
                  <c:v>53</c:v>
                </c:pt>
                <c:pt idx="1657">
                  <c:v>59</c:v>
                </c:pt>
                <c:pt idx="1658">
                  <c:v>53</c:v>
                </c:pt>
                <c:pt idx="1659">
                  <c:v>63</c:v>
                </c:pt>
                <c:pt idx="1660">
                  <c:v>42</c:v>
                </c:pt>
                <c:pt idx="1661">
                  <c:v>63</c:v>
                </c:pt>
                <c:pt idx="1662">
                  <c:v>52</c:v>
                </c:pt>
                <c:pt idx="1663">
                  <c:v>62</c:v>
                </c:pt>
                <c:pt idx="1664">
                  <c:v>68</c:v>
                </c:pt>
                <c:pt idx="1665">
                  <c:v>36</c:v>
                </c:pt>
                <c:pt idx="1666">
                  <c:v>3</c:v>
                </c:pt>
                <c:pt idx="1667">
                  <c:v>40</c:v>
                </c:pt>
                <c:pt idx="1668">
                  <c:v>8</c:v>
                </c:pt>
                <c:pt idx="1669">
                  <c:v>58</c:v>
                </c:pt>
                <c:pt idx="1670">
                  <c:v>45</c:v>
                </c:pt>
                <c:pt idx="1671">
                  <c:v>65</c:v>
                </c:pt>
                <c:pt idx="1672">
                  <c:v>28</c:v>
                </c:pt>
                <c:pt idx="1673">
                  <c:v>40</c:v>
                </c:pt>
                <c:pt idx="1674">
                  <c:v>65</c:v>
                </c:pt>
                <c:pt idx="1675">
                  <c:v>58</c:v>
                </c:pt>
                <c:pt idx="1676">
                  <c:v>44</c:v>
                </c:pt>
                <c:pt idx="1677">
                  <c:v>54</c:v>
                </c:pt>
                <c:pt idx="1678">
                  <c:v>79</c:v>
                </c:pt>
                <c:pt idx="1679">
                  <c:v>62</c:v>
                </c:pt>
                <c:pt idx="1680">
                  <c:v>37</c:v>
                </c:pt>
                <c:pt idx="1681">
                  <c:v>66</c:v>
                </c:pt>
                <c:pt idx="1682">
                  <c:v>63</c:v>
                </c:pt>
                <c:pt idx="1683">
                  <c:v>27</c:v>
                </c:pt>
                <c:pt idx="1684">
                  <c:v>6</c:v>
                </c:pt>
                <c:pt idx="1685">
                  <c:v>30</c:v>
                </c:pt>
                <c:pt idx="1686">
                  <c:v>15</c:v>
                </c:pt>
                <c:pt idx="1687">
                  <c:v>50</c:v>
                </c:pt>
                <c:pt idx="1688">
                  <c:v>32</c:v>
                </c:pt>
                <c:pt idx="1689">
                  <c:v>33</c:v>
                </c:pt>
                <c:pt idx="1690">
                  <c:v>62</c:v>
                </c:pt>
                <c:pt idx="1691">
                  <c:v>82</c:v>
                </c:pt>
                <c:pt idx="1692">
                  <c:v>71</c:v>
                </c:pt>
                <c:pt idx="1693">
                  <c:v>20</c:v>
                </c:pt>
                <c:pt idx="1694">
                  <c:v>44</c:v>
                </c:pt>
                <c:pt idx="1695">
                  <c:v>57</c:v>
                </c:pt>
                <c:pt idx="1696">
                  <c:v>50</c:v>
                </c:pt>
                <c:pt idx="1697">
                  <c:v>50</c:v>
                </c:pt>
                <c:pt idx="1698">
                  <c:v>44</c:v>
                </c:pt>
                <c:pt idx="1699">
                  <c:v>47</c:v>
                </c:pt>
                <c:pt idx="1700">
                  <c:v>35</c:v>
                </c:pt>
                <c:pt idx="1701">
                  <c:v>8</c:v>
                </c:pt>
                <c:pt idx="1702">
                  <c:v>3</c:v>
                </c:pt>
                <c:pt idx="1703">
                  <c:v>29</c:v>
                </c:pt>
                <c:pt idx="1704">
                  <c:v>36</c:v>
                </c:pt>
                <c:pt idx="1705">
                  <c:v>19</c:v>
                </c:pt>
                <c:pt idx="1706">
                  <c:v>41</c:v>
                </c:pt>
                <c:pt idx="1707">
                  <c:v>23</c:v>
                </c:pt>
                <c:pt idx="1708">
                  <c:v>14</c:v>
                </c:pt>
                <c:pt idx="1709">
                  <c:v>35</c:v>
                </c:pt>
                <c:pt idx="1710">
                  <c:v>45</c:v>
                </c:pt>
                <c:pt idx="1711">
                  <c:v>52</c:v>
                </c:pt>
                <c:pt idx="1712">
                  <c:v>19</c:v>
                </c:pt>
                <c:pt idx="1713">
                  <c:v>21</c:v>
                </c:pt>
                <c:pt idx="1714">
                  <c:v>8</c:v>
                </c:pt>
                <c:pt idx="1715">
                  <c:v>35</c:v>
                </c:pt>
                <c:pt idx="1716">
                  <c:v>33</c:v>
                </c:pt>
                <c:pt idx="1717">
                  <c:v>53</c:v>
                </c:pt>
                <c:pt idx="1718">
                  <c:v>59</c:v>
                </c:pt>
                <c:pt idx="1719">
                  <c:v>34</c:v>
                </c:pt>
                <c:pt idx="1720">
                  <c:v>31</c:v>
                </c:pt>
                <c:pt idx="1721">
                  <c:v>43</c:v>
                </c:pt>
                <c:pt idx="1722">
                  <c:v>61</c:v>
                </c:pt>
                <c:pt idx="1723">
                  <c:v>57</c:v>
                </c:pt>
                <c:pt idx="1724">
                  <c:v>11</c:v>
                </c:pt>
                <c:pt idx="1725">
                  <c:v>36</c:v>
                </c:pt>
                <c:pt idx="1726">
                  <c:v>16</c:v>
                </c:pt>
                <c:pt idx="1727">
                  <c:v>60</c:v>
                </c:pt>
                <c:pt idx="1728">
                  <c:v>13</c:v>
                </c:pt>
                <c:pt idx="1729">
                  <c:v>69</c:v>
                </c:pt>
                <c:pt idx="1730">
                  <c:v>69</c:v>
                </c:pt>
                <c:pt idx="1731">
                  <c:v>22</c:v>
                </c:pt>
                <c:pt idx="1732">
                  <c:v>63</c:v>
                </c:pt>
                <c:pt idx="1733">
                  <c:v>45</c:v>
                </c:pt>
                <c:pt idx="1734">
                  <c:v>58</c:v>
                </c:pt>
                <c:pt idx="1735">
                  <c:v>61</c:v>
                </c:pt>
                <c:pt idx="1736">
                  <c:v>30</c:v>
                </c:pt>
                <c:pt idx="1737">
                  <c:v>78</c:v>
                </c:pt>
                <c:pt idx="1738">
                  <c:v>68</c:v>
                </c:pt>
                <c:pt idx="1739">
                  <c:v>16</c:v>
                </c:pt>
                <c:pt idx="1740">
                  <c:v>38</c:v>
                </c:pt>
                <c:pt idx="1741">
                  <c:v>39</c:v>
                </c:pt>
                <c:pt idx="1742">
                  <c:v>51</c:v>
                </c:pt>
                <c:pt idx="1743">
                  <c:v>37</c:v>
                </c:pt>
                <c:pt idx="1744">
                  <c:v>16</c:v>
                </c:pt>
                <c:pt idx="1745">
                  <c:v>39</c:v>
                </c:pt>
                <c:pt idx="1746">
                  <c:v>24</c:v>
                </c:pt>
                <c:pt idx="1747">
                  <c:v>51</c:v>
                </c:pt>
                <c:pt idx="1748">
                  <c:v>50</c:v>
                </c:pt>
                <c:pt idx="1749">
                  <c:v>27</c:v>
                </c:pt>
                <c:pt idx="1750">
                  <c:v>73</c:v>
                </c:pt>
                <c:pt idx="1751">
                  <c:v>65</c:v>
                </c:pt>
                <c:pt idx="1752">
                  <c:v>76</c:v>
                </c:pt>
                <c:pt idx="1753">
                  <c:v>66</c:v>
                </c:pt>
                <c:pt idx="1754">
                  <c:v>53</c:v>
                </c:pt>
                <c:pt idx="1755">
                  <c:v>65</c:v>
                </c:pt>
                <c:pt idx="1756">
                  <c:v>48</c:v>
                </c:pt>
                <c:pt idx="1757">
                  <c:v>31</c:v>
                </c:pt>
                <c:pt idx="1758">
                  <c:v>1.72</c:v>
                </c:pt>
                <c:pt idx="1759">
                  <c:v>45</c:v>
                </c:pt>
                <c:pt idx="1760">
                  <c:v>56</c:v>
                </c:pt>
                <c:pt idx="1761">
                  <c:v>62</c:v>
                </c:pt>
                <c:pt idx="1762">
                  <c:v>35</c:v>
                </c:pt>
                <c:pt idx="1763">
                  <c:v>16</c:v>
                </c:pt>
                <c:pt idx="1764">
                  <c:v>31</c:v>
                </c:pt>
                <c:pt idx="1765">
                  <c:v>5</c:v>
                </c:pt>
                <c:pt idx="1766">
                  <c:v>26</c:v>
                </c:pt>
                <c:pt idx="1767">
                  <c:v>10</c:v>
                </c:pt>
                <c:pt idx="1768">
                  <c:v>22</c:v>
                </c:pt>
                <c:pt idx="1769">
                  <c:v>82</c:v>
                </c:pt>
                <c:pt idx="1770">
                  <c:v>50</c:v>
                </c:pt>
                <c:pt idx="1771">
                  <c:v>47</c:v>
                </c:pt>
                <c:pt idx="1772">
                  <c:v>31</c:v>
                </c:pt>
                <c:pt idx="1773">
                  <c:v>22</c:v>
                </c:pt>
                <c:pt idx="1774">
                  <c:v>12</c:v>
                </c:pt>
                <c:pt idx="1775">
                  <c:v>63</c:v>
                </c:pt>
                <c:pt idx="1776">
                  <c:v>78</c:v>
                </c:pt>
                <c:pt idx="1777">
                  <c:v>4</c:v>
                </c:pt>
                <c:pt idx="1778">
                  <c:v>76</c:v>
                </c:pt>
                <c:pt idx="1779">
                  <c:v>32</c:v>
                </c:pt>
                <c:pt idx="1780">
                  <c:v>81</c:v>
                </c:pt>
                <c:pt idx="1781">
                  <c:v>39</c:v>
                </c:pt>
                <c:pt idx="1782">
                  <c:v>59</c:v>
                </c:pt>
                <c:pt idx="1783">
                  <c:v>2</c:v>
                </c:pt>
                <c:pt idx="1784">
                  <c:v>37</c:v>
                </c:pt>
                <c:pt idx="1785">
                  <c:v>78</c:v>
                </c:pt>
                <c:pt idx="1786">
                  <c:v>75</c:v>
                </c:pt>
                <c:pt idx="1787">
                  <c:v>34</c:v>
                </c:pt>
                <c:pt idx="1788">
                  <c:v>48</c:v>
                </c:pt>
                <c:pt idx="1789">
                  <c:v>13</c:v>
                </c:pt>
                <c:pt idx="1790">
                  <c:v>54</c:v>
                </c:pt>
                <c:pt idx="1791">
                  <c:v>13</c:v>
                </c:pt>
                <c:pt idx="1792">
                  <c:v>24</c:v>
                </c:pt>
                <c:pt idx="1793">
                  <c:v>76</c:v>
                </c:pt>
                <c:pt idx="1794">
                  <c:v>1</c:v>
                </c:pt>
                <c:pt idx="1795">
                  <c:v>57</c:v>
                </c:pt>
                <c:pt idx="1796">
                  <c:v>46</c:v>
                </c:pt>
                <c:pt idx="1797">
                  <c:v>26</c:v>
                </c:pt>
                <c:pt idx="1798">
                  <c:v>56</c:v>
                </c:pt>
                <c:pt idx="1799">
                  <c:v>34</c:v>
                </c:pt>
                <c:pt idx="1800">
                  <c:v>25</c:v>
                </c:pt>
                <c:pt idx="1801">
                  <c:v>60</c:v>
                </c:pt>
                <c:pt idx="1802">
                  <c:v>22</c:v>
                </c:pt>
                <c:pt idx="1803">
                  <c:v>35</c:v>
                </c:pt>
                <c:pt idx="1804">
                  <c:v>48</c:v>
                </c:pt>
                <c:pt idx="1805">
                  <c:v>38</c:v>
                </c:pt>
                <c:pt idx="1806">
                  <c:v>12</c:v>
                </c:pt>
                <c:pt idx="1807">
                  <c:v>22</c:v>
                </c:pt>
                <c:pt idx="1808">
                  <c:v>0.64</c:v>
                </c:pt>
                <c:pt idx="1809">
                  <c:v>13</c:v>
                </c:pt>
                <c:pt idx="1810">
                  <c:v>78</c:v>
                </c:pt>
                <c:pt idx="1811">
                  <c:v>23</c:v>
                </c:pt>
                <c:pt idx="1812">
                  <c:v>35</c:v>
                </c:pt>
                <c:pt idx="1813">
                  <c:v>78</c:v>
                </c:pt>
                <c:pt idx="1814">
                  <c:v>50</c:v>
                </c:pt>
                <c:pt idx="1815">
                  <c:v>61</c:v>
                </c:pt>
                <c:pt idx="1816">
                  <c:v>60</c:v>
                </c:pt>
                <c:pt idx="1817">
                  <c:v>43</c:v>
                </c:pt>
                <c:pt idx="1818">
                  <c:v>60</c:v>
                </c:pt>
                <c:pt idx="1819">
                  <c:v>51</c:v>
                </c:pt>
                <c:pt idx="1820">
                  <c:v>21</c:v>
                </c:pt>
                <c:pt idx="1821">
                  <c:v>16</c:v>
                </c:pt>
                <c:pt idx="1822">
                  <c:v>25</c:v>
                </c:pt>
                <c:pt idx="1823">
                  <c:v>36</c:v>
                </c:pt>
                <c:pt idx="1824">
                  <c:v>8</c:v>
                </c:pt>
                <c:pt idx="1825">
                  <c:v>48</c:v>
                </c:pt>
                <c:pt idx="1826">
                  <c:v>14</c:v>
                </c:pt>
                <c:pt idx="1827">
                  <c:v>60</c:v>
                </c:pt>
                <c:pt idx="1828">
                  <c:v>61</c:v>
                </c:pt>
                <c:pt idx="1829">
                  <c:v>60</c:v>
                </c:pt>
                <c:pt idx="1830">
                  <c:v>56</c:v>
                </c:pt>
                <c:pt idx="1831">
                  <c:v>9</c:v>
                </c:pt>
                <c:pt idx="1832">
                  <c:v>45</c:v>
                </c:pt>
                <c:pt idx="1833">
                  <c:v>14</c:v>
                </c:pt>
                <c:pt idx="1834">
                  <c:v>37</c:v>
                </c:pt>
                <c:pt idx="1835">
                  <c:v>52</c:v>
                </c:pt>
                <c:pt idx="1836">
                  <c:v>30</c:v>
                </c:pt>
                <c:pt idx="1837">
                  <c:v>60</c:v>
                </c:pt>
                <c:pt idx="1838">
                  <c:v>47</c:v>
                </c:pt>
                <c:pt idx="1839">
                  <c:v>82</c:v>
                </c:pt>
                <c:pt idx="1840">
                  <c:v>64</c:v>
                </c:pt>
                <c:pt idx="1841">
                  <c:v>12</c:v>
                </c:pt>
                <c:pt idx="1842">
                  <c:v>79</c:v>
                </c:pt>
                <c:pt idx="1843">
                  <c:v>77</c:v>
                </c:pt>
                <c:pt idx="1844">
                  <c:v>25</c:v>
                </c:pt>
                <c:pt idx="1845">
                  <c:v>26</c:v>
                </c:pt>
                <c:pt idx="1846">
                  <c:v>14</c:v>
                </c:pt>
                <c:pt idx="1847">
                  <c:v>42</c:v>
                </c:pt>
                <c:pt idx="1848">
                  <c:v>37</c:v>
                </c:pt>
                <c:pt idx="1849">
                  <c:v>8</c:v>
                </c:pt>
                <c:pt idx="1850">
                  <c:v>78</c:v>
                </c:pt>
                <c:pt idx="1851">
                  <c:v>18</c:v>
                </c:pt>
                <c:pt idx="1852">
                  <c:v>78</c:v>
                </c:pt>
                <c:pt idx="1853">
                  <c:v>55</c:v>
                </c:pt>
                <c:pt idx="1854">
                  <c:v>68</c:v>
                </c:pt>
                <c:pt idx="1855">
                  <c:v>47</c:v>
                </c:pt>
                <c:pt idx="1856">
                  <c:v>47</c:v>
                </c:pt>
                <c:pt idx="1857">
                  <c:v>51</c:v>
                </c:pt>
                <c:pt idx="1858">
                  <c:v>43</c:v>
                </c:pt>
                <c:pt idx="1859">
                  <c:v>78</c:v>
                </c:pt>
                <c:pt idx="1860">
                  <c:v>63</c:v>
                </c:pt>
                <c:pt idx="1861">
                  <c:v>45</c:v>
                </c:pt>
                <c:pt idx="1862">
                  <c:v>53</c:v>
                </c:pt>
                <c:pt idx="1863">
                  <c:v>12</c:v>
                </c:pt>
                <c:pt idx="1864">
                  <c:v>56</c:v>
                </c:pt>
                <c:pt idx="1865">
                  <c:v>29</c:v>
                </c:pt>
                <c:pt idx="1866">
                  <c:v>10</c:v>
                </c:pt>
                <c:pt idx="1867">
                  <c:v>55</c:v>
                </c:pt>
                <c:pt idx="1868">
                  <c:v>49</c:v>
                </c:pt>
                <c:pt idx="1869">
                  <c:v>23</c:v>
                </c:pt>
                <c:pt idx="1870">
                  <c:v>53</c:v>
                </c:pt>
                <c:pt idx="1871">
                  <c:v>56</c:v>
                </c:pt>
                <c:pt idx="1872">
                  <c:v>56</c:v>
                </c:pt>
                <c:pt idx="1873">
                  <c:v>61</c:v>
                </c:pt>
                <c:pt idx="1874">
                  <c:v>45</c:v>
                </c:pt>
                <c:pt idx="1875">
                  <c:v>80</c:v>
                </c:pt>
                <c:pt idx="1876">
                  <c:v>47</c:v>
                </c:pt>
                <c:pt idx="1877">
                  <c:v>3</c:v>
                </c:pt>
                <c:pt idx="1878">
                  <c:v>63</c:v>
                </c:pt>
                <c:pt idx="1879">
                  <c:v>68</c:v>
                </c:pt>
                <c:pt idx="1880">
                  <c:v>76</c:v>
                </c:pt>
                <c:pt idx="1881">
                  <c:v>62</c:v>
                </c:pt>
                <c:pt idx="1882">
                  <c:v>30</c:v>
                </c:pt>
                <c:pt idx="1883">
                  <c:v>44</c:v>
                </c:pt>
                <c:pt idx="1884">
                  <c:v>47</c:v>
                </c:pt>
                <c:pt idx="1885">
                  <c:v>25</c:v>
                </c:pt>
                <c:pt idx="1886">
                  <c:v>31</c:v>
                </c:pt>
                <c:pt idx="1887">
                  <c:v>71</c:v>
                </c:pt>
                <c:pt idx="1888">
                  <c:v>32</c:v>
                </c:pt>
                <c:pt idx="1889">
                  <c:v>72</c:v>
                </c:pt>
                <c:pt idx="1890">
                  <c:v>44</c:v>
                </c:pt>
                <c:pt idx="1891">
                  <c:v>63</c:v>
                </c:pt>
                <c:pt idx="1892">
                  <c:v>37</c:v>
                </c:pt>
                <c:pt idx="1893">
                  <c:v>54</c:v>
                </c:pt>
                <c:pt idx="1894">
                  <c:v>20</c:v>
                </c:pt>
                <c:pt idx="1895">
                  <c:v>56</c:v>
                </c:pt>
                <c:pt idx="1896">
                  <c:v>25</c:v>
                </c:pt>
                <c:pt idx="1897">
                  <c:v>19</c:v>
                </c:pt>
                <c:pt idx="1898">
                  <c:v>62</c:v>
                </c:pt>
                <c:pt idx="1899">
                  <c:v>27</c:v>
                </c:pt>
                <c:pt idx="1900">
                  <c:v>5</c:v>
                </c:pt>
                <c:pt idx="1901">
                  <c:v>20</c:v>
                </c:pt>
                <c:pt idx="1902">
                  <c:v>21</c:v>
                </c:pt>
                <c:pt idx="1903">
                  <c:v>44</c:v>
                </c:pt>
                <c:pt idx="1904">
                  <c:v>39</c:v>
                </c:pt>
                <c:pt idx="1905">
                  <c:v>38</c:v>
                </c:pt>
                <c:pt idx="1906">
                  <c:v>77</c:v>
                </c:pt>
                <c:pt idx="1907">
                  <c:v>26</c:v>
                </c:pt>
                <c:pt idx="1908">
                  <c:v>51</c:v>
                </c:pt>
                <c:pt idx="1909">
                  <c:v>39</c:v>
                </c:pt>
                <c:pt idx="1910">
                  <c:v>5</c:v>
                </c:pt>
                <c:pt idx="1911">
                  <c:v>59</c:v>
                </c:pt>
                <c:pt idx="1912">
                  <c:v>67</c:v>
                </c:pt>
                <c:pt idx="1913">
                  <c:v>45</c:v>
                </c:pt>
                <c:pt idx="1914">
                  <c:v>43</c:v>
                </c:pt>
                <c:pt idx="1915">
                  <c:v>80</c:v>
                </c:pt>
                <c:pt idx="1916">
                  <c:v>42</c:v>
                </c:pt>
                <c:pt idx="1917">
                  <c:v>8</c:v>
                </c:pt>
                <c:pt idx="1918">
                  <c:v>68</c:v>
                </c:pt>
                <c:pt idx="1919">
                  <c:v>5</c:v>
                </c:pt>
                <c:pt idx="1920">
                  <c:v>57</c:v>
                </c:pt>
                <c:pt idx="1921">
                  <c:v>44</c:v>
                </c:pt>
                <c:pt idx="1922">
                  <c:v>16</c:v>
                </c:pt>
                <c:pt idx="1923">
                  <c:v>60</c:v>
                </c:pt>
                <c:pt idx="1924">
                  <c:v>58</c:v>
                </c:pt>
                <c:pt idx="1925">
                  <c:v>43</c:v>
                </c:pt>
                <c:pt idx="1926">
                  <c:v>50</c:v>
                </c:pt>
                <c:pt idx="1927">
                  <c:v>1.48</c:v>
                </c:pt>
                <c:pt idx="1928">
                  <c:v>5</c:v>
                </c:pt>
                <c:pt idx="1929">
                  <c:v>9</c:v>
                </c:pt>
                <c:pt idx="1930">
                  <c:v>67</c:v>
                </c:pt>
                <c:pt idx="1931">
                  <c:v>21</c:v>
                </c:pt>
                <c:pt idx="1932">
                  <c:v>36</c:v>
                </c:pt>
                <c:pt idx="1933">
                  <c:v>70</c:v>
                </c:pt>
                <c:pt idx="1934">
                  <c:v>57</c:v>
                </c:pt>
                <c:pt idx="1935">
                  <c:v>52</c:v>
                </c:pt>
                <c:pt idx="1936">
                  <c:v>28</c:v>
                </c:pt>
                <c:pt idx="1937">
                  <c:v>41</c:v>
                </c:pt>
                <c:pt idx="1938">
                  <c:v>81</c:v>
                </c:pt>
                <c:pt idx="1939">
                  <c:v>33</c:v>
                </c:pt>
                <c:pt idx="1940">
                  <c:v>31</c:v>
                </c:pt>
                <c:pt idx="1941">
                  <c:v>42</c:v>
                </c:pt>
                <c:pt idx="1942">
                  <c:v>10</c:v>
                </c:pt>
                <c:pt idx="1943">
                  <c:v>34</c:v>
                </c:pt>
                <c:pt idx="1944">
                  <c:v>70</c:v>
                </c:pt>
                <c:pt idx="1945">
                  <c:v>33</c:v>
                </c:pt>
                <c:pt idx="1946">
                  <c:v>58</c:v>
                </c:pt>
                <c:pt idx="1947">
                  <c:v>25</c:v>
                </c:pt>
                <c:pt idx="1948">
                  <c:v>1.4</c:v>
                </c:pt>
                <c:pt idx="1949">
                  <c:v>47</c:v>
                </c:pt>
                <c:pt idx="1950">
                  <c:v>14</c:v>
                </c:pt>
                <c:pt idx="1951">
                  <c:v>82</c:v>
                </c:pt>
                <c:pt idx="1952">
                  <c:v>52</c:v>
                </c:pt>
                <c:pt idx="1953">
                  <c:v>72</c:v>
                </c:pt>
                <c:pt idx="1954">
                  <c:v>52</c:v>
                </c:pt>
                <c:pt idx="1955">
                  <c:v>61</c:v>
                </c:pt>
                <c:pt idx="1956">
                  <c:v>15</c:v>
                </c:pt>
                <c:pt idx="1957">
                  <c:v>1.56</c:v>
                </c:pt>
                <c:pt idx="1958">
                  <c:v>6</c:v>
                </c:pt>
                <c:pt idx="1959">
                  <c:v>3</c:v>
                </c:pt>
                <c:pt idx="1960">
                  <c:v>18</c:v>
                </c:pt>
                <c:pt idx="1961">
                  <c:v>53</c:v>
                </c:pt>
                <c:pt idx="1962">
                  <c:v>58</c:v>
                </c:pt>
                <c:pt idx="1963">
                  <c:v>31</c:v>
                </c:pt>
                <c:pt idx="1964">
                  <c:v>29</c:v>
                </c:pt>
                <c:pt idx="1965">
                  <c:v>5</c:v>
                </c:pt>
                <c:pt idx="1966">
                  <c:v>40</c:v>
                </c:pt>
                <c:pt idx="1967">
                  <c:v>75</c:v>
                </c:pt>
                <c:pt idx="1968">
                  <c:v>52</c:v>
                </c:pt>
                <c:pt idx="1969">
                  <c:v>39</c:v>
                </c:pt>
                <c:pt idx="1970">
                  <c:v>40</c:v>
                </c:pt>
                <c:pt idx="1971">
                  <c:v>78</c:v>
                </c:pt>
                <c:pt idx="1972">
                  <c:v>39</c:v>
                </c:pt>
                <c:pt idx="1973">
                  <c:v>17</c:v>
                </c:pt>
                <c:pt idx="1974">
                  <c:v>45</c:v>
                </c:pt>
                <c:pt idx="1975">
                  <c:v>0.56000000000000005</c:v>
                </c:pt>
                <c:pt idx="1976">
                  <c:v>13</c:v>
                </c:pt>
                <c:pt idx="1977">
                  <c:v>26</c:v>
                </c:pt>
                <c:pt idx="1978">
                  <c:v>42</c:v>
                </c:pt>
                <c:pt idx="1979">
                  <c:v>44</c:v>
                </c:pt>
                <c:pt idx="1980">
                  <c:v>3</c:v>
                </c:pt>
                <c:pt idx="1981">
                  <c:v>42</c:v>
                </c:pt>
                <c:pt idx="1982">
                  <c:v>25</c:v>
                </c:pt>
                <c:pt idx="1983">
                  <c:v>41</c:v>
                </c:pt>
                <c:pt idx="1984">
                  <c:v>51</c:v>
                </c:pt>
                <c:pt idx="1985">
                  <c:v>20</c:v>
                </c:pt>
                <c:pt idx="1986">
                  <c:v>25</c:v>
                </c:pt>
                <c:pt idx="1987">
                  <c:v>18</c:v>
                </c:pt>
                <c:pt idx="1988">
                  <c:v>37</c:v>
                </c:pt>
                <c:pt idx="1989">
                  <c:v>51</c:v>
                </c:pt>
                <c:pt idx="1990">
                  <c:v>2</c:v>
                </c:pt>
                <c:pt idx="1991">
                  <c:v>38</c:v>
                </c:pt>
                <c:pt idx="1992">
                  <c:v>64</c:v>
                </c:pt>
                <c:pt idx="1993">
                  <c:v>60</c:v>
                </c:pt>
                <c:pt idx="1994">
                  <c:v>22</c:v>
                </c:pt>
                <c:pt idx="1995">
                  <c:v>71</c:v>
                </c:pt>
                <c:pt idx="1996">
                  <c:v>32</c:v>
                </c:pt>
                <c:pt idx="1997">
                  <c:v>32</c:v>
                </c:pt>
                <c:pt idx="1998">
                  <c:v>63</c:v>
                </c:pt>
                <c:pt idx="1999">
                  <c:v>0.24</c:v>
                </c:pt>
                <c:pt idx="2000">
                  <c:v>54</c:v>
                </c:pt>
                <c:pt idx="2001">
                  <c:v>25</c:v>
                </c:pt>
                <c:pt idx="2002">
                  <c:v>80</c:v>
                </c:pt>
                <c:pt idx="2003">
                  <c:v>31</c:v>
                </c:pt>
                <c:pt idx="2004">
                  <c:v>53</c:v>
                </c:pt>
                <c:pt idx="2005">
                  <c:v>35</c:v>
                </c:pt>
                <c:pt idx="2006">
                  <c:v>31</c:v>
                </c:pt>
                <c:pt idx="2007">
                  <c:v>60</c:v>
                </c:pt>
                <c:pt idx="2008">
                  <c:v>0.56000000000000005</c:v>
                </c:pt>
                <c:pt idx="2009">
                  <c:v>21</c:v>
                </c:pt>
                <c:pt idx="2010">
                  <c:v>78</c:v>
                </c:pt>
                <c:pt idx="2011">
                  <c:v>59</c:v>
                </c:pt>
                <c:pt idx="2012">
                  <c:v>0.64</c:v>
                </c:pt>
                <c:pt idx="2013">
                  <c:v>10</c:v>
                </c:pt>
                <c:pt idx="2014">
                  <c:v>60</c:v>
                </c:pt>
                <c:pt idx="2015">
                  <c:v>11</c:v>
                </c:pt>
                <c:pt idx="2016">
                  <c:v>48</c:v>
                </c:pt>
                <c:pt idx="2017">
                  <c:v>50</c:v>
                </c:pt>
                <c:pt idx="2018">
                  <c:v>69</c:v>
                </c:pt>
                <c:pt idx="2019">
                  <c:v>20</c:v>
                </c:pt>
                <c:pt idx="2020">
                  <c:v>22</c:v>
                </c:pt>
                <c:pt idx="2021">
                  <c:v>55</c:v>
                </c:pt>
                <c:pt idx="2022">
                  <c:v>57</c:v>
                </c:pt>
                <c:pt idx="2023">
                  <c:v>29</c:v>
                </c:pt>
                <c:pt idx="2024">
                  <c:v>32</c:v>
                </c:pt>
                <c:pt idx="2025">
                  <c:v>54</c:v>
                </c:pt>
                <c:pt idx="2026">
                  <c:v>37</c:v>
                </c:pt>
                <c:pt idx="2027">
                  <c:v>58</c:v>
                </c:pt>
                <c:pt idx="2028">
                  <c:v>41</c:v>
                </c:pt>
                <c:pt idx="2029">
                  <c:v>72</c:v>
                </c:pt>
                <c:pt idx="2030">
                  <c:v>0.48</c:v>
                </c:pt>
                <c:pt idx="2031">
                  <c:v>32</c:v>
                </c:pt>
                <c:pt idx="2032">
                  <c:v>54</c:v>
                </c:pt>
                <c:pt idx="2033">
                  <c:v>79</c:v>
                </c:pt>
                <c:pt idx="2034">
                  <c:v>56</c:v>
                </c:pt>
                <c:pt idx="2035">
                  <c:v>45</c:v>
                </c:pt>
                <c:pt idx="2036">
                  <c:v>6</c:v>
                </c:pt>
                <c:pt idx="2037">
                  <c:v>45</c:v>
                </c:pt>
                <c:pt idx="2038">
                  <c:v>60</c:v>
                </c:pt>
                <c:pt idx="2039">
                  <c:v>65</c:v>
                </c:pt>
                <c:pt idx="2040">
                  <c:v>57</c:v>
                </c:pt>
                <c:pt idx="2041">
                  <c:v>58</c:v>
                </c:pt>
                <c:pt idx="2042">
                  <c:v>8</c:v>
                </c:pt>
                <c:pt idx="2043">
                  <c:v>18</c:v>
                </c:pt>
                <c:pt idx="2044">
                  <c:v>49</c:v>
                </c:pt>
                <c:pt idx="2045">
                  <c:v>2</c:v>
                </c:pt>
                <c:pt idx="2046">
                  <c:v>52</c:v>
                </c:pt>
                <c:pt idx="2047">
                  <c:v>63</c:v>
                </c:pt>
                <c:pt idx="2048">
                  <c:v>57</c:v>
                </c:pt>
                <c:pt idx="2049">
                  <c:v>50</c:v>
                </c:pt>
                <c:pt idx="2050">
                  <c:v>12</c:v>
                </c:pt>
                <c:pt idx="2051">
                  <c:v>35</c:v>
                </c:pt>
                <c:pt idx="2052">
                  <c:v>35</c:v>
                </c:pt>
                <c:pt idx="2053">
                  <c:v>64</c:v>
                </c:pt>
                <c:pt idx="2054">
                  <c:v>42</c:v>
                </c:pt>
                <c:pt idx="2055">
                  <c:v>62</c:v>
                </c:pt>
                <c:pt idx="2056">
                  <c:v>3</c:v>
                </c:pt>
                <c:pt idx="2057">
                  <c:v>43</c:v>
                </c:pt>
                <c:pt idx="2058">
                  <c:v>52</c:v>
                </c:pt>
                <c:pt idx="2059">
                  <c:v>64</c:v>
                </c:pt>
                <c:pt idx="2060">
                  <c:v>59</c:v>
                </c:pt>
                <c:pt idx="2061">
                  <c:v>81</c:v>
                </c:pt>
                <c:pt idx="2062">
                  <c:v>15</c:v>
                </c:pt>
                <c:pt idx="2063">
                  <c:v>50</c:v>
                </c:pt>
                <c:pt idx="2064">
                  <c:v>73</c:v>
                </c:pt>
                <c:pt idx="2065">
                  <c:v>19</c:v>
                </c:pt>
                <c:pt idx="2066">
                  <c:v>30</c:v>
                </c:pt>
                <c:pt idx="2067">
                  <c:v>40</c:v>
                </c:pt>
                <c:pt idx="2068">
                  <c:v>47</c:v>
                </c:pt>
                <c:pt idx="2069">
                  <c:v>66</c:v>
                </c:pt>
                <c:pt idx="2070">
                  <c:v>47</c:v>
                </c:pt>
                <c:pt idx="2071">
                  <c:v>41</c:v>
                </c:pt>
                <c:pt idx="2072">
                  <c:v>63</c:v>
                </c:pt>
                <c:pt idx="2073">
                  <c:v>12</c:v>
                </c:pt>
                <c:pt idx="2074">
                  <c:v>1.32</c:v>
                </c:pt>
                <c:pt idx="2075">
                  <c:v>46</c:v>
                </c:pt>
                <c:pt idx="2076">
                  <c:v>8</c:v>
                </c:pt>
                <c:pt idx="2077">
                  <c:v>74</c:v>
                </c:pt>
                <c:pt idx="2078">
                  <c:v>74</c:v>
                </c:pt>
                <c:pt idx="2079">
                  <c:v>4</c:v>
                </c:pt>
                <c:pt idx="2080">
                  <c:v>26</c:v>
                </c:pt>
                <c:pt idx="2081">
                  <c:v>63</c:v>
                </c:pt>
                <c:pt idx="2082">
                  <c:v>48</c:v>
                </c:pt>
                <c:pt idx="2083">
                  <c:v>24</c:v>
                </c:pt>
                <c:pt idx="2084">
                  <c:v>47</c:v>
                </c:pt>
                <c:pt idx="2085">
                  <c:v>70</c:v>
                </c:pt>
                <c:pt idx="2086">
                  <c:v>41</c:v>
                </c:pt>
                <c:pt idx="2087">
                  <c:v>42</c:v>
                </c:pt>
                <c:pt idx="2088">
                  <c:v>57</c:v>
                </c:pt>
                <c:pt idx="2089">
                  <c:v>51</c:v>
                </c:pt>
                <c:pt idx="2090">
                  <c:v>15</c:v>
                </c:pt>
                <c:pt idx="2091">
                  <c:v>11</c:v>
                </c:pt>
                <c:pt idx="2092">
                  <c:v>27</c:v>
                </c:pt>
                <c:pt idx="2093">
                  <c:v>53</c:v>
                </c:pt>
                <c:pt idx="2094">
                  <c:v>52</c:v>
                </c:pt>
                <c:pt idx="2095">
                  <c:v>68</c:v>
                </c:pt>
                <c:pt idx="2096">
                  <c:v>65</c:v>
                </c:pt>
                <c:pt idx="2097">
                  <c:v>23</c:v>
                </c:pt>
                <c:pt idx="2098">
                  <c:v>43</c:v>
                </c:pt>
                <c:pt idx="2099">
                  <c:v>55</c:v>
                </c:pt>
                <c:pt idx="2100">
                  <c:v>52</c:v>
                </c:pt>
                <c:pt idx="2101">
                  <c:v>21</c:v>
                </c:pt>
                <c:pt idx="2102">
                  <c:v>78</c:v>
                </c:pt>
                <c:pt idx="2103">
                  <c:v>35</c:v>
                </c:pt>
                <c:pt idx="2104">
                  <c:v>49</c:v>
                </c:pt>
                <c:pt idx="2105">
                  <c:v>50</c:v>
                </c:pt>
                <c:pt idx="2106">
                  <c:v>27</c:v>
                </c:pt>
                <c:pt idx="2107">
                  <c:v>52</c:v>
                </c:pt>
                <c:pt idx="2108">
                  <c:v>22</c:v>
                </c:pt>
                <c:pt idx="2109">
                  <c:v>19</c:v>
                </c:pt>
                <c:pt idx="2110">
                  <c:v>77</c:v>
                </c:pt>
                <c:pt idx="2111">
                  <c:v>57</c:v>
                </c:pt>
                <c:pt idx="2112">
                  <c:v>13</c:v>
                </c:pt>
                <c:pt idx="2113">
                  <c:v>14</c:v>
                </c:pt>
                <c:pt idx="2114">
                  <c:v>29</c:v>
                </c:pt>
                <c:pt idx="2115">
                  <c:v>49</c:v>
                </c:pt>
                <c:pt idx="2116">
                  <c:v>1.24</c:v>
                </c:pt>
                <c:pt idx="2117">
                  <c:v>21</c:v>
                </c:pt>
                <c:pt idx="2118">
                  <c:v>36</c:v>
                </c:pt>
                <c:pt idx="2119">
                  <c:v>42</c:v>
                </c:pt>
                <c:pt idx="2120">
                  <c:v>56</c:v>
                </c:pt>
                <c:pt idx="2121">
                  <c:v>46</c:v>
                </c:pt>
                <c:pt idx="2122">
                  <c:v>79</c:v>
                </c:pt>
                <c:pt idx="2123">
                  <c:v>25</c:v>
                </c:pt>
                <c:pt idx="2124">
                  <c:v>67</c:v>
                </c:pt>
                <c:pt idx="2125">
                  <c:v>37</c:v>
                </c:pt>
                <c:pt idx="2126">
                  <c:v>44</c:v>
                </c:pt>
                <c:pt idx="2127">
                  <c:v>36</c:v>
                </c:pt>
                <c:pt idx="2128">
                  <c:v>17</c:v>
                </c:pt>
                <c:pt idx="2129">
                  <c:v>50</c:v>
                </c:pt>
                <c:pt idx="2130">
                  <c:v>53</c:v>
                </c:pt>
                <c:pt idx="2131">
                  <c:v>39</c:v>
                </c:pt>
                <c:pt idx="2132">
                  <c:v>71</c:v>
                </c:pt>
                <c:pt idx="2133">
                  <c:v>18</c:v>
                </c:pt>
                <c:pt idx="2134">
                  <c:v>55</c:v>
                </c:pt>
                <c:pt idx="2135">
                  <c:v>52</c:v>
                </c:pt>
                <c:pt idx="2136">
                  <c:v>27</c:v>
                </c:pt>
                <c:pt idx="2137">
                  <c:v>24</c:v>
                </c:pt>
                <c:pt idx="2138">
                  <c:v>72</c:v>
                </c:pt>
                <c:pt idx="2139">
                  <c:v>41</c:v>
                </c:pt>
                <c:pt idx="2140">
                  <c:v>29</c:v>
                </c:pt>
                <c:pt idx="2141">
                  <c:v>26</c:v>
                </c:pt>
                <c:pt idx="2142">
                  <c:v>23</c:v>
                </c:pt>
                <c:pt idx="2143">
                  <c:v>43</c:v>
                </c:pt>
                <c:pt idx="2144">
                  <c:v>43</c:v>
                </c:pt>
                <c:pt idx="2145">
                  <c:v>49</c:v>
                </c:pt>
                <c:pt idx="2146">
                  <c:v>13</c:v>
                </c:pt>
                <c:pt idx="2147">
                  <c:v>26</c:v>
                </c:pt>
                <c:pt idx="2148">
                  <c:v>10</c:v>
                </c:pt>
                <c:pt idx="2149">
                  <c:v>39</c:v>
                </c:pt>
                <c:pt idx="2150">
                  <c:v>41</c:v>
                </c:pt>
                <c:pt idx="2151">
                  <c:v>25</c:v>
                </c:pt>
                <c:pt idx="2152">
                  <c:v>10</c:v>
                </c:pt>
                <c:pt idx="2153">
                  <c:v>54</c:v>
                </c:pt>
                <c:pt idx="2154">
                  <c:v>7</c:v>
                </c:pt>
                <c:pt idx="2155">
                  <c:v>53</c:v>
                </c:pt>
                <c:pt idx="2156">
                  <c:v>55</c:v>
                </c:pt>
                <c:pt idx="2157">
                  <c:v>6</c:v>
                </c:pt>
                <c:pt idx="2158">
                  <c:v>72</c:v>
                </c:pt>
                <c:pt idx="2159">
                  <c:v>42</c:v>
                </c:pt>
                <c:pt idx="2160">
                  <c:v>50</c:v>
                </c:pt>
                <c:pt idx="2161">
                  <c:v>55</c:v>
                </c:pt>
                <c:pt idx="2162">
                  <c:v>47</c:v>
                </c:pt>
                <c:pt idx="2163">
                  <c:v>3</c:v>
                </c:pt>
                <c:pt idx="2164">
                  <c:v>49</c:v>
                </c:pt>
                <c:pt idx="2165">
                  <c:v>12</c:v>
                </c:pt>
                <c:pt idx="2166">
                  <c:v>28</c:v>
                </c:pt>
                <c:pt idx="2167">
                  <c:v>40</c:v>
                </c:pt>
                <c:pt idx="2168">
                  <c:v>55</c:v>
                </c:pt>
                <c:pt idx="2169">
                  <c:v>9</c:v>
                </c:pt>
                <c:pt idx="2170">
                  <c:v>77</c:v>
                </c:pt>
                <c:pt idx="2171">
                  <c:v>18</c:v>
                </c:pt>
                <c:pt idx="2172">
                  <c:v>73</c:v>
                </c:pt>
                <c:pt idx="2173">
                  <c:v>67</c:v>
                </c:pt>
                <c:pt idx="2174">
                  <c:v>58</c:v>
                </c:pt>
                <c:pt idx="2175">
                  <c:v>2</c:v>
                </c:pt>
                <c:pt idx="2176">
                  <c:v>38</c:v>
                </c:pt>
                <c:pt idx="2177">
                  <c:v>5</c:v>
                </c:pt>
                <c:pt idx="2178">
                  <c:v>34</c:v>
                </c:pt>
                <c:pt idx="2179">
                  <c:v>78</c:v>
                </c:pt>
                <c:pt idx="2180">
                  <c:v>57</c:v>
                </c:pt>
                <c:pt idx="2181">
                  <c:v>17</c:v>
                </c:pt>
                <c:pt idx="2182">
                  <c:v>71</c:v>
                </c:pt>
                <c:pt idx="2183">
                  <c:v>19</c:v>
                </c:pt>
                <c:pt idx="2184">
                  <c:v>56</c:v>
                </c:pt>
                <c:pt idx="2185">
                  <c:v>64</c:v>
                </c:pt>
                <c:pt idx="2186">
                  <c:v>13</c:v>
                </c:pt>
                <c:pt idx="2187">
                  <c:v>40</c:v>
                </c:pt>
                <c:pt idx="2188">
                  <c:v>80</c:v>
                </c:pt>
                <c:pt idx="2189">
                  <c:v>62</c:v>
                </c:pt>
                <c:pt idx="2190">
                  <c:v>79</c:v>
                </c:pt>
                <c:pt idx="2191">
                  <c:v>9</c:v>
                </c:pt>
                <c:pt idx="2192">
                  <c:v>77</c:v>
                </c:pt>
                <c:pt idx="2193">
                  <c:v>26</c:v>
                </c:pt>
                <c:pt idx="2194">
                  <c:v>1.72</c:v>
                </c:pt>
                <c:pt idx="2195">
                  <c:v>16</c:v>
                </c:pt>
                <c:pt idx="2196">
                  <c:v>40</c:v>
                </c:pt>
                <c:pt idx="2197">
                  <c:v>46</c:v>
                </c:pt>
                <c:pt idx="2198">
                  <c:v>45</c:v>
                </c:pt>
                <c:pt idx="2199">
                  <c:v>59</c:v>
                </c:pt>
                <c:pt idx="2200">
                  <c:v>31</c:v>
                </c:pt>
                <c:pt idx="2201">
                  <c:v>69</c:v>
                </c:pt>
                <c:pt idx="2202">
                  <c:v>73</c:v>
                </c:pt>
                <c:pt idx="2203">
                  <c:v>56</c:v>
                </c:pt>
                <c:pt idx="2204">
                  <c:v>80</c:v>
                </c:pt>
                <c:pt idx="2205">
                  <c:v>60</c:v>
                </c:pt>
                <c:pt idx="2206">
                  <c:v>40</c:v>
                </c:pt>
                <c:pt idx="2207">
                  <c:v>30</c:v>
                </c:pt>
                <c:pt idx="2208">
                  <c:v>66</c:v>
                </c:pt>
                <c:pt idx="2209">
                  <c:v>78</c:v>
                </c:pt>
                <c:pt idx="2210">
                  <c:v>37</c:v>
                </c:pt>
                <c:pt idx="2211">
                  <c:v>41</c:v>
                </c:pt>
                <c:pt idx="2212">
                  <c:v>34</c:v>
                </c:pt>
                <c:pt idx="2213">
                  <c:v>18</c:v>
                </c:pt>
                <c:pt idx="2214">
                  <c:v>69</c:v>
                </c:pt>
                <c:pt idx="2215">
                  <c:v>67</c:v>
                </c:pt>
                <c:pt idx="2216">
                  <c:v>28</c:v>
                </c:pt>
                <c:pt idx="2217">
                  <c:v>3</c:v>
                </c:pt>
                <c:pt idx="2218">
                  <c:v>57</c:v>
                </c:pt>
                <c:pt idx="2219">
                  <c:v>34</c:v>
                </c:pt>
                <c:pt idx="2220">
                  <c:v>50</c:v>
                </c:pt>
                <c:pt idx="2221">
                  <c:v>55</c:v>
                </c:pt>
                <c:pt idx="2222">
                  <c:v>2</c:v>
                </c:pt>
                <c:pt idx="2223">
                  <c:v>27</c:v>
                </c:pt>
                <c:pt idx="2224">
                  <c:v>57</c:v>
                </c:pt>
                <c:pt idx="2225">
                  <c:v>73</c:v>
                </c:pt>
                <c:pt idx="2226">
                  <c:v>52</c:v>
                </c:pt>
                <c:pt idx="2227">
                  <c:v>65</c:v>
                </c:pt>
                <c:pt idx="2228">
                  <c:v>48</c:v>
                </c:pt>
                <c:pt idx="2229">
                  <c:v>54</c:v>
                </c:pt>
                <c:pt idx="2230">
                  <c:v>8</c:v>
                </c:pt>
                <c:pt idx="2231">
                  <c:v>45</c:v>
                </c:pt>
                <c:pt idx="2232">
                  <c:v>48</c:v>
                </c:pt>
                <c:pt idx="2233">
                  <c:v>77</c:v>
                </c:pt>
                <c:pt idx="2234">
                  <c:v>34</c:v>
                </c:pt>
                <c:pt idx="2235">
                  <c:v>33</c:v>
                </c:pt>
                <c:pt idx="2236">
                  <c:v>39</c:v>
                </c:pt>
                <c:pt idx="2237">
                  <c:v>39</c:v>
                </c:pt>
                <c:pt idx="2238">
                  <c:v>40</c:v>
                </c:pt>
                <c:pt idx="2239">
                  <c:v>46</c:v>
                </c:pt>
                <c:pt idx="2240">
                  <c:v>1</c:v>
                </c:pt>
                <c:pt idx="2241">
                  <c:v>5</c:v>
                </c:pt>
                <c:pt idx="2242">
                  <c:v>14</c:v>
                </c:pt>
                <c:pt idx="2243">
                  <c:v>49</c:v>
                </c:pt>
                <c:pt idx="2244">
                  <c:v>45</c:v>
                </c:pt>
                <c:pt idx="2245">
                  <c:v>13</c:v>
                </c:pt>
                <c:pt idx="2246">
                  <c:v>76</c:v>
                </c:pt>
                <c:pt idx="2247">
                  <c:v>14</c:v>
                </c:pt>
                <c:pt idx="2248">
                  <c:v>20</c:v>
                </c:pt>
                <c:pt idx="2249">
                  <c:v>9</c:v>
                </c:pt>
                <c:pt idx="2250">
                  <c:v>78</c:v>
                </c:pt>
                <c:pt idx="2251">
                  <c:v>49</c:v>
                </c:pt>
                <c:pt idx="2252">
                  <c:v>55</c:v>
                </c:pt>
                <c:pt idx="2253">
                  <c:v>43</c:v>
                </c:pt>
                <c:pt idx="2254">
                  <c:v>16</c:v>
                </c:pt>
                <c:pt idx="2255">
                  <c:v>58</c:v>
                </c:pt>
                <c:pt idx="2256">
                  <c:v>67</c:v>
                </c:pt>
                <c:pt idx="2257">
                  <c:v>71</c:v>
                </c:pt>
                <c:pt idx="2258">
                  <c:v>8</c:v>
                </c:pt>
                <c:pt idx="2259">
                  <c:v>18</c:v>
                </c:pt>
                <c:pt idx="2260">
                  <c:v>47</c:v>
                </c:pt>
                <c:pt idx="2261">
                  <c:v>59</c:v>
                </c:pt>
                <c:pt idx="2262">
                  <c:v>28</c:v>
                </c:pt>
                <c:pt idx="2263">
                  <c:v>20</c:v>
                </c:pt>
                <c:pt idx="2264">
                  <c:v>67</c:v>
                </c:pt>
                <c:pt idx="2265">
                  <c:v>71</c:v>
                </c:pt>
                <c:pt idx="2266">
                  <c:v>56</c:v>
                </c:pt>
                <c:pt idx="2267">
                  <c:v>44</c:v>
                </c:pt>
                <c:pt idx="2268">
                  <c:v>6</c:v>
                </c:pt>
                <c:pt idx="2269">
                  <c:v>78</c:v>
                </c:pt>
                <c:pt idx="2270">
                  <c:v>32</c:v>
                </c:pt>
                <c:pt idx="2271">
                  <c:v>40</c:v>
                </c:pt>
                <c:pt idx="2272">
                  <c:v>63</c:v>
                </c:pt>
                <c:pt idx="2273">
                  <c:v>51</c:v>
                </c:pt>
                <c:pt idx="2274">
                  <c:v>22</c:v>
                </c:pt>
                <c:pt idx="2275">
                  <c:v>82</c:v>
                </c:pt>
                <c:pt idx="2276">
                  <c:v>17</c:v>
                </c:pt>
                <c:pt idx="2277">
                  <c:v>34</c:v>
                </c:pt>
                <c:pt idx="2278">
                  <c:v>42</c:v>
                </c:pt>
                <c:pt idx="2279">
                  <c:v>32</c:v>
                </c:pt>
                <c:pt idx="2280">
                  <c:v>73</c:v>
                </c:pt>
                <c:pt idx="2281">
                  <c:v>47</c:v>
                </c:pt>
                <c:pt idx="2282">
                  <c:v>34</c:v>
                </c:pt>
                <c:pt idx="2283">
                  <c:v>64</c:v>
                </c:pt>
                <c:pt idx="2284">
                  <c:v>52</c:v>
                </c:pt>
                <c:pt idx="2285">
                  <c:v>49</c:v>
                </c:pt>
                <c:pt idx="2286">
                  <c:v>55</c:v>
                </c:pt>
                <c:pt idx="2287">
                  <c:v>64</c:v>
                </c:pt>
                <c:pt idx="2288">
                  <c:v>23</c:v>
                </c:pt>
                <c:pt idx="2289">
                  <c:v>18</c:v>
                </c:pt>
                <c:pt idx="2290">
                  <c:v>65</c:v>
                </c:pt>
                <c:pt idx="2291">
                  <c:v>12</c:v>
                </c:pt>
                <c:pt idx="2292">
                  <c:v>61</c:v>
                </c:pt>
                <c:pt idx="2293">
                  <c:v>66</c:v>
                </c:pt>
                <c:pt idx="2294">
                  <c:v>59</c:v>
                </c:pt>
                <c:pt idx="2295">
                  <c:v>47</c:v>
                </c:pt>
                <c:pt idx="2296">
                  <c:v>47</c:v>
                </c:pt>
                <c:pt idx="2297">
                  <c:v>71</c:v>
                </c:pt>
                <c:pt idx="2298">
                  <c:v>62</c:v>
                </c:pt>
                <c:pt idx="2299">
                  <c:v>28</c:v>
                </c:pt>
                <c:pt idx="2300">
                  <c:v>7</c:v>
                </c:pt>
                <c:pt idx="2301">
                  <c:v>68</c:v>
                </c:pt>
                <c:pt idx="2302">
                  <c:v>37</c:v>
                </c:pt>
                <c:pt idx="2303">
                  <c:v>75</c:v>
                </c:pt>
                <c:pt idx="2304">
                  <c:v>5</c:v>
                </c:pt>
                <c:pt idx="2305">
                  <c:v>1.08</c:v>
                </c:pt>
                <c:pt idx="2306">
                  <c:v>34</c:v>
                </c:pt>
                <c:pt idx="2307">
                  <c:v>49</c:v>
                </c:pt>
                <c:pt idx="2308">
                  <c:v>8</c:v>
                </c:pt>
                <c:pt idx="2309">
                  <c:v>50</c:v>
                </c:pt>
                <c:pt idx="2310">
                  <c:v>2</c:v>
                </c:pt>
                <c:pt idx="2311">
                  <c:v>1.1599999999999999</c:v>
                </c:pt>
                <c:pt idx="2312">
                  <c:v>76</c:v>
                </c:pt>
                <c:pt idx="2313">
                  <c:v>18</c:v>
                </c:pt>
                <c:pt idx="2314">
                  <c:v>82</c:v>
                </c:pt>
                <c:pt idx="2315">
                  <c:v>67</c:v>
                </c:pt>
                <c:pt idx="2316">
                  <c:v>27</c:v>
                </c:pt>
                <c:pt idx="2317">
                  <c:v>57</c:v>
                </c:pt>
                <c:pt idx="2318">
                  <c:v>51</c:v>
                </c:pt>
                <c:pt idx="2319">
                  <c:v>68</c:v>
                </c:pt>
                <c:pt idx="2320">
                  <c:v>56</c:v>
                </c:pt>
                <c:pt idx="2321">
                  <c:v>77</c:v>
                </c:pt>
                <c:pt idx="2322">
                  <c:v>52</c:v>
                </c:pt>
                <c:pt idx="2323">
                  <c:v>18</c:v>
                </c:pt>
                <c:pt idx="2324">
                  <c:v>63</c:v>
                </c:pt>
                <c:pt idx="2325">
                  <c:v>31</c:v>
                </c:pt>
                <c:pt idx="2326">
                  <c:v>37</c:v>
                </c:pt>
                <c:pt idx="2327">
                  <c:v>64</c:v>
                </c:pt>
                <c:pt idx="2328">
                  <c:v>47</c:v>
                </c:pt>
                <c:pt idx="2329">
                  <c:v>1.8</c:v>
                </c:pt>
                <c:pt idx="2330">
                  <c:v>42</c:v>
                </c:pt>
                <c:pt idx="2331">
                  <c:v>37</c:v>
                </c:pt>
                <c:pt idx="2332">
                  <c:v>69</c:v>
                </c:pt>
                <c:pt idx="2333">
                  <c:v>13</c:v>
                </c:pt>
                <c:pt idx="2334">
                  <c:v>73</c:v>
                </c:pt>
                <c:pt idx="2335">
                  <c:v>48</c:v>
                </c:pt>
                <c:pt idx="2336">
                  <c:v>78</c:v>
                </c:pt>
                <c:pt idx="2337">
                  <c:v>21</c:v>
                </c:pt>
                <c:pt idx="2338">
                  <c:v>54</c:v>
                </c:pt>
                <c:pt idx="2339">
                  <c:v>43</c:v>
                </c:pt>
                <c:pt idx="2340">
                  <c:v>19</c:v>
                </c:pt>
                <c:pt idx="2341">
                  <c:v>82</c:v>
                </c:pt>
                <c:pt idx="2342">
                  <c:v>80</c:v>
                </c:pt>
                <c:pt idx="2343">
                  <c:v>69</c:v>
                </c:pt>
                <c:pt idx="2344">
                  <c:v>21</c:v>
                </c:pt>
                <c:pt idx="2345">
                  <c:v>46</c:v>
                </c:pt>
                <c:pt idx="2346">
                  <c:v>14</c:v>
                </c:pt>
                <c:pt idx="2347">
                  <c:v>6</c:v>
                </c:pt>
                <c:pt idx="2348">
                  <c:v>3</c:v>
                </c:pt>
                <c:pt idx="2349">
                  <c:v>47</c:v>
                </c:pt>
                <c:pt idx="2350">
                  <c:v>34</c:v>
                </c:pt>
                <c:pt idx="2351">
                  <c:v>41</c:v>
                </c:pt>
                <c:pt idx="2352">
                  <c:v>67</c:v>
                </c:pt>
                <c:pt idx="2353">
                  <c:v>5</c:v>
                </c:pt>
                <c:pt idx="2354">
                  <c:v>20</c:v>
                </c:pt>
                <c:pt idx="2355">
                  <c:v>63</c:v>
                </c:pt>
                <c:pt idx="2356">
                  <c:v>73</c:v>
                </c:pt>
                <c:pt idx="2357">
                  <c:v>62</c:v>
                </c:pt>
                <c:pt idx="2358">
                  <c:v>0.88</c:v>
                </c:pt>
                <c:pt idx="2359">
                  <c:v>50</c:v>
                </c:pt>
                <c:pt idx="2360">
                  <c:v>71</c:v>
                </c:pt>
                <c:pt idx="2361">
                  <c:v>30</c:v>
                </c:pt>
                <c:pt idx="2362">
                  <c:v>80</c:v>
                </c:pt>
                <c:pt idx="2363">
                  <c:v>64</c:v>
                </c:pt>
                <c:pt idx="2364">
                  <c:v>7</c:v>
                </c:pt>
                <c:pt idx="2365">
                  <c:v>36</c:v>
                </c:pt>
                <c:pt idx="2366">
                  <c:v>79</c:v>
                </c:pt>
                <c:pt idx="2367">
                  <c:v>35</c:v>
                </c:pt>
                <c:pt idx="2368">
                  <c:v>28</c:v>
                </c:pt>
                <c:pt idx="2369">
                  <c:v>72</c:v>
                </c:pt>
                <c:pt idx="2370">
                  <c:v>12</c:v>
                </c:pt>
                <c:pt idx="2371">
                  <c:v>25</c:v>
                </c:pt>
                <c:pt idx="2372">
                  <c:v>27</c:v>
                </c:pt>
                <c:pt idx="2373">
                  <c:v>62</c:v>
                </c:pt>
                <c:pt idx="2374">
                  <c:v>58</c:v>
                </c:pt>
                <c:pt idx="2375">
                  <c:v>30</c:v>
                </c:pt>
                <c:pt idx="2376">
                  <c:v>56</c:v>
                </c:pt>
                <c:pt idx="2377">
                  <c:v>28</c:v>
                </c:pt>
                <c:pt idx="2378">
                  <c:v>47</c:v>
                </c:pt>
                <c:pt idx="2379">
                  <c:v>16</c:v>
                </c:pt>
                <c:pt idx="2380">
                  <c:v>29</c:v>
                </c:pt>
                <c:pt idx="2381">
                  <c:v>26</c:v>
                </c:pt>
                <c:pt idx="2382">
                  <c:v>26</c:v>
                </c:pt>
                <c:pt idx="2383">
                  <c:v>55</c:v>
                </c:pt>
                <c:pt idx="2384">
                  <c:v>29</c:v>
                </c:pt>
                <c:pt idx="2385">
                  <c:v>29</c:v>
                </c:pt>
                <c:pt idx="2386">
                  <c:v>33</c:v>
                </c:pt>
                <c:pt idx="2387">
                  <c:v>19</c:v>
                </c:pt>
                <c:pt idx="2388">
                  <c:v>10</c:v>
                </c:pt>
                <c:pt idx="2389">
                  <c:v>3</c:v>
                </c:pt>
                <c:pt idx="2390">
                  <c:v>60</c:v>
                </c:pt>
                <c:pt idx="2391">
                  <c:v>16</c:v>
                </c:pt>
                <c:pt idx="2392">
                  <c:v>35</c:v>
                </c:pt>
                <c:pt idx="2393">
                  <c:v>41</c:v>
                </c:pt>
                <c:pt idx="2394">
                  <c:v>19</c:v>
                </c:pt>
                <c:pt idx="2395">
                  <c:v>79</c:v>
                </c:pt>
                <c:pt idx="2396">
                  <c:v>41</c:v>
                </c:pt>
                <c:pt idx="2397">
                  <c:v>1.64</c:v>
                </c:pt>
                <c:pt idx="2398">
                  <c:v>51</c:v>
                </c:pt>
                <c:pt idx="2399">
                  <c:v>33</c:v>
                </c:pt>
                <c:pt idx="2400">
                  <c:v>33</c:v>
                </c:pt>
                <c:pt idx="2401">
                  <c:v>48</c:v>
                </c:pt>
                <c:pt idx="2402">
                  <c:v>45</c:v>
                </c:pt>
                <c:pt idx="2403">
                  <c:v>61</c:v>
                </c:pt>
                <c:pt idx="2404">
                  <c:v>31</c:v>
                </c:pt>
                <c:pt idx="2405">
                  <c:v>60</c:v>
                </c:pt>
                <c:pt idx="2406">
                  <c:v>51</c:v>
                </c:pt>
                <c:pt idx="2407">
                  <c:v>53</c:v>
                </c:pt>
                <c:pt idx="2408">
                  <c:v>52</c:v>
                </c:pt>
                <c:pt idx="2409">
                  <c:v>42</c:v>
                </c:pt>
                <c:pt idx="2410">
                  <c:v>56</c:v>
                </c:pt>
                <c:pt idx="2411">
                  <c:v>14</c:v>
                </c:pt>
                <c:pt idx="2412">
                  <c:v>40</c:v>
                </c:pt>
                <c:pt idx="2413">
                  <c:v>58</c:v>
                </c:pt>
                <c:pt idx="2414">
                  <c:v>52</c:v>
                </c:pt>
                <c:pt idx="2415">
                  <c:v>30</c:v>
                </c:pt>
                <c:pt idx="2416">
                  <c:v>47</c:v>
                </c:pt>
                <c:pt idx="2417">
                  <c:v>34</c:v>
                </c:pt>
                <c:pt idx="2418">
                  <c:v>82</c:v>
                </c:pt>
                <c:pt idx="2419">
                  <c:v>31</c:v>
                </c:pt>
                <c:pt idx="2420">
                  <c:v>58</c:v>
                </c:pt>
                <c:pt idx="2421">
                  <c:v>47</c:v>
                </c:pt>
                <c:pt idx="2422">
                  <c:v>65</c:v>
                </c:pt>
                <c:pt idx="2423">
                  <c:v>13</c:v>
                </c:pt>
                <c:pt idx="2424">
                  <c:v>37</c:v>
                </c:pt>
                <c:pt idx="2425">
                  <c:v>9</c:v>
                </c:pt>
                <c:pt idx="2426">
                  <c:v>7</c:v>
                </c:pt>
                <c:pt idx="2427">
                  <c:v>37</c:v>
                </c:pt>
                <c:pt idx="2428">
                  <c:v>62</c:v>
                </c:pt>
                <c:pt idx="2429">
                  <c:v>14</c:v>
                </c:pt>
                <c:pt idx="2430">
                  <c:v>77</c:v>
                </c:pt>
                <c:pt idx="2431">
                  <c:v>36</c:v>
                </c:pt>
                <c:pt idx="2432">
                  <c:v>3</c:v>
                </c:pt>
                <c:pt idx="2433">
                  <c:v>78</c:v>
                </c:pt>
                <c:pt idx="2434">
                  <c:v>49</c:v>
                </c:pt>
                <c:pt idx="2435">
                  <c:v>44</c:v>
                </c:pt>
                <c:pt idx="2436">
                  <c:v>10</c:v>
                </c:pt>
                <c:pt idx="2437">
                  <c:v>8</c:v>
                </c:pt>
                <c:pt idx="2438">
                  <c:v>60</c:v>
                </c:pt>
                <c:pt idx="2439">
                  <c:v>56</c:v>
                </c:pt>
                <c:pt idx="2440">
                  <c:v>73</c:v>
                </c:pt>
                <c:pt idx="2441">
                  <c:v>65</c:v>
                </c:pt>
                <c:pt idx="2442">
                  <c:v>34</c:v>
                </c:pt>
                <c:pt idx="2443">
                  <c:v>13</c:v>
                </c:pt>
                <c:pt idx="2444">
                  <c:v>80</c:v>
                </c:pt>
                <c:pt idx="2445">
                  <c:v>46</c:v>
                </c:pt>
                <c:pt idx="2446">
                  <c:v>80</c:v>
                </c:pt>
                <c:pt idx="2447">
                  <c:v>65</c:v>
                </c:pt>
                <c:pt idx="2448">
                  <c:v>24</c:v>
                </c:pt>
                <c:pt idx="2449">
                  <c:v>33</c:v>
                </c:pt>
                <c:pt idx="2450">
                  <c:v>11</c:v>
                </c:pt>
                <c:pt idx="2451">
                  <c:v>57</c:v>
                </c:pt>
                <c:pt idx="2452">
                  <c:v>19</c:v>
                </c:pt>
                <c:pt idx="2453">
                  <c:v>82</c:v>
                </c:pt>
                <c:pt idx="2454">
                  <c:v>39</c:v>
                </c:pt>
                <c:pt idx="2455">
                  <c:v>14</c:v>
                </c:pt>
                <c:pt idx="2456">
                  <c:v>60</c:v>
                </c:pt>
                <c:pt idx="2457">
                  <c:v>3</c:v>
                </c:pt>
                <c:pt idx="2458">
                  <c:v>57</c:v>
                </c:pt>
                <c:pt idx="2459">
                  <c:v>79</c:v>
                </c:pt>
                <c:pt idx="2460">
                  <c:v>65</c:v>
                </c:pt>
                <c:pt idx="2461">
                  <c:v>67</c:v>
                </c:pt>
                <c:pt idx="2462">
                  <c:v>60</c:v>
                </c:pt>
                <c:pt idx="2463">
                  <c:v>36</c:v>
                </c:pt>
                <c:pt idx="2464">
                  <c:v>36</c:v>
                </c:pt>
                <c:pt idx="2465">
                  <c:v>26</c:v>
                </c:pt>
                <c:pt idx="2466">
                  <c:v>71</c:v>
                </c:pt>
                <c:pt idx="2467">
                  <c:v>78</c:v>
                </c:pt>
                <c:pt idx="2468">
                  <c:v>77</c:v>
                </c:pt>
                <c:pt idx="2469">
                  <c:v>74</c:v>
                </c:pt>
                <c:pt idx="2470">
                  <c:v>50</c:v>
                </c:pt>
                <c:pt idx="2471">
                  <c:v>9</c:v>
                </c:pt>
                <c:pt idx="2472">
                  <c:v>1.64</c:v>
                </c:pt>
                <c:pt idx="2473">
                  <c:v>54</c:v>
                </c:pt>
                <c:pt idx="2474">
                  <c:v>8</c:v>
                </c:pt>
                <c:pt idx="2475">
                  <c:v>36</c:v>
                </c:pt>
                <c:pt idx="2476">
                  <c:v>38</c:v>
                </c:pt>
                <c:pt idx="2477">
                  <c:v>34</c:v>
                </c:pt>
                <c:pt idx="2478">
                  <c:v>7</c:v>
                </c:pt>
                <c:pt idx="2479">
                  <c:v>5</c:v>
                </c:pt>
                <c:pt idx="2480">
                  <c:v>14</c:v>
                </c:pt>
                <c:pt idx="2481">
                  <c:v>0.88</c:v>
                </c:pt>
                <c:pt idx="2482">
                  <c:v>30</c:v>
                </c:pt>
                <c:pt idx="2483">
                  <c:v>39</c:v>
                </c:pt>
                <c:pt idx="2484">
                  <c:v>17</c:v>
                </c:pt>
                <c:pt idx="2485">
                  <c:v>14</c:v>
                </c:pt>
                <c:pt idx="2486">
                  <c:v>52</c:v>
                </c:pt>
                <c:pt idx="2487">
                  <c:v>78</c:v>
                </c:pt>
                <c:pt idx="2488">
                  <c:v>2</c:v>
                </c:pt>
                <c:pt idx="2489">
                  <c:v>32</c:v>
                </c:pt>
                <c:pt idx="2490">
                  <c:v>0.88</c:v>
                </c:pt>
                <c:pt idx="2491">
                  <c:v>50</c:v>
                </c:pt>
                <c:pt idx="2492">
                  <c:v>48</c:v>
                </c:pt>
                <c:pt idx="2493">
                  <c:v>66</c:v>
                </c:pt>
                <c:pt idx="2494">
                  <c:v>78</c:v>
                </c:pt>
                <c:pt idx="2495">
                  <c:v>46</c:v>
                </c:pt>
                <c:pt idx="2496">
                  <c:v>54</c:v>
                </c:pt>
                <c:pt idx="2497">
                  <c:v>81</c:v>
                </c:pt>
                <c:pt idx="2498">
                  <c:v>15</c:v>
                </c:pt>
                <c:pt idx="2499">
                  <c:v>77</c:v>
                </c:pt>
                <c:pt idx="2500">
                  <c:v>59</c:v>
                </c:pt>
                <c:pt idx="2501">
                  <c:v>48</c:v>
                </c:pt>
                <c:pt idx="2502">
                  <c:v>76</c:v>
                </c:pt>
                <c:pt idx="2503">
                  <c:v>49</c:v>
                </c:pt>
                <c:pt idx="2504">
                  <c:v>44</c:v>
                </c:pt>
                <c:pt idx="2505">
                  <c:v>39</c:v>
                </c:pt>
                <c:pt idx="2506">
                  <c:v>34</c:v>
                </c:pt>
                <c:pt idx="2507">
                  <c:v>50</c:v>
                </c:pt>
                <c:pt idx="2508">
                  <c:v>62</c:v>
                </c:pt>
                <c:pt idx="2509">
                  <c:v>38</c:v>
                </c:pt>
                <c:pt idx="2510">
                  <c:v>43</c:v>
                </c:pt>
                <c:pt idx="2511">
                  <c:v>28</c:v>
                </c:pt>
                <c:pt idx="2512">
                  <c:v>58</c:v>
                </c:pt>
                <c:pt idx="2513">
                  <c:v>28</c:v>
                </c:pt>
                <c:pt idx="2514">
                  <c:v>18</c:v>
                </c:pt>
                <c:pt idx="2515">
                  <c:v>62</c:v>
                </c:pt>
                <c:pt idx="2516">
                  <c:v>31</c:v>
                </c:pt>
                <c:pt idx="2517">
                  <c:v>55</c:v>
                </c:pt>
                <c:pt idx="2518">
                  <c:v>54</c:v>
                </c:pt>
                <c:pt idx="2519">
                  <c:v>73</c:v>
                </c:pt>
                <c:pt idx="2520">
                  <c:v>26</c:v>
                </c:pt>
                <c:pt idx="2521">
                  <c:v>73</c:v>
                </c:pt>
                <c:pt idx="2522">
                  <c:v>38</c:v>
                </c:pt>
                <c:pt idx="2523">
                  <c:v>75</c:v>
                </c:pt>
                <c:pt idx="2524">
                  <c:v>81</c:v>
                </c:pt>
                <c:pt idx="2525">
                  <c:v>20</c:v>
                </c:pt>
                <c:pt idx="2526">
                  <c:v>12</c:v>
                </c:pt>
                <c:pt idx="2527">
                  <c:v>78</c:v>
                </c:pt>
                <c:pt idx="2528">
                  <c:v>42</c:v>
                </c:pt>
                <c:pt idx="2529">
                  <c:v>71</c:v>
                </c:pt>
                <c:pt idx="2530">
                  <c:v>16</c:v>
                </c:pt>
                <c:pt idx="2531">
                  <c:v>4</c:v>
                </c:pt>
                <c:pt idx="2532">
                  <c:v>79</c:v>
                </c:pt>
                <c:pt idx="2533">
                  <c:v>60</c:v>
                </c:pt>
                <c:pt idx="2534">
                  <c:v>45</c:v>
                </c:pt>
                <c:pt idx="2535">
                  <c:v>23</c:v>
                </c:pt>
                <c:pt idx="2536">
                  <c:v>21</c:v>
                </c:pt>
                <c:pt idx="2537">
                  <c:v>67</c:v>
                </c:pt>
                <c:pt idx="2538">
                  <c:v>10</c:v>
                </c:pt>
                <c:pt idx="2539">
                  <c:v>24</c:v>
                </c:pt>
                <c:pt idx="2540">
                  <c:v>50</c:v>
                </c:pt>
                <c:pt idx="2541">
                  <c:v>79</c:v>
                </c:pt>
                <c:pt idx="2542">
                  <c:v>14</c:v>
                </c:pt>
                <c:pt idx="2543">
                  <c:v>13</c:v>
                </c:pt>
                <c:pt idx="2544">
                  <c:v>71</c:v>
                </c:pt>
                <c:pt idx="2545">
                  <c:v>66</c:v>
                </c:pt>
                <c:pt idx="2546">
                  <c:v>32</c:v>
                </c:pt>
                <c:pt idx="2547">
                  <c:v>46</c:v>
                </c:pt>
                <c:pt idx="2548">
                  <c:v>48</c:v>
                </c:pt>
                <c:pt idx="2549">
                  <c:v>45</c:v>
                </c:pt>
                <c:pt idx="2550">
                  <c:v>55</c:v>
                </c:pt>
                <c:pt idx="2551">
                  <c:v>31</c:v>
                </c:pt>
                <c:pt idx="2552">
                  <c:v>25</c:v>
                </c:pt>
                <c:pt idx="2553">
                  <c:v>73</c:v>
                </c:pt>
                <c:pt idx="2554">
                  <c:v>14</c:v>
                </c:pt>
                <c:pt idx="2555">
                  <c:v>56</c:v>
                </c:pt>
                <c:pt idx="2556">
                  <c:v>60</c:v>
                </c:pt>
                <c:pt idx="2557">
                  <c:v>27</c:v>
                </c:pt>
                <c:pt idx="2558">
                  <c:v>28</c:v>
                </c:pt>
                <c:pt idx="2559">
                  <c:v>46</c:v>
                </c:pt>
                <c:pt idx="2560">
                  <c:v>11</c:v>
                </c:pt>
                <c:pt idx="2561">
                  <c:v>63</c:v>
                </c:pt>
                <c:pt idx="2562">
                  <c:v>59</c:v>
                </c:pt>
                <c:pt idx="2563">
                  <c:v>57</c:v>
                </c:pt>
                <c:pt idx="2564">
                  <c:v>35</c:v>
                </c:pt>
                <c:pt idx="2565">
                  <c:v>54</c:v>
                </c:pt>
                <c:pt idx="2566">
                  <c:v>7</c:v>
                </c:pt>
                <c:pt idx="2567">
                  <c:v>48</c:v>
                </c:pt>
                <c:pt idx="2568">
                  <c:v>69</c:v>
                </c:pt>
                <c:pt idx="2569">
                  <c:v>59</c:v>
                </c:pt>
                <c:pt idx="2570">
                  <c:v>72</c:v>
                </c:pt>
                <c:pt idx="2571">
                  <c:v>49</c:v>
                </c:pt>
                <c:pt idx="2572">
                  <c:v>73</c:v>
                </c:pt>
                <c:pt idx="2573">
                  <c:v>24</c:v>
                </c:pt>
                <c:pt idx="2574">
                  <c:v>26</c:v>
                </c:pt>
                <c:pt idx="2575">
                  <c:v>27</c:v>
                </c:pt>
                <c:pt idx="2576">
                  <c:v>78</c:v>
                </c:pt>
                <c:pt idx="2577">
                  <c:v>77</c:v>
                </c:pt>
                <c:pt idx="2578">
                  <c:v>59</c:v>
                </c:pt>
                <c:pt idx="2579">
                  <c:v>0.32</c:v>
                </c:pt>
                <c:pt idx="2580">
                  <c:v>39</c:v>
                </c:pt>
                <c:pt idx="2581">
                  <c:v>35</c:v>
                </c:pt>
                <c:pt idx="2582">
                  <c:v>54</c:v>
                </c:pt>
                <c:pt idx="2583">
                  <c:v>75</c:v>
                </c:pt>
                <c:pt idx="2584">
                  <c:v>80</c:v>
                </c:pt>
                <c:pt idx="2585">
                  <c:v>35</c:v>
                </c:pt>
                <c:pt idx="2586">
                  <c:v>22</c:v>
                </c:pt>
                <c:pt idx="2587">
                  <c:v>39</c:v>
                </c:pt>
                <c:pt idx="2588">
                  <c:v>6</c:v>
                </c:pt>
                <c:pt idx="2589">
                  <c:v>62</c:v>
                </c:pt>
                <c:pt idx="2590">
                  <c:v>13</c:v>
                </c:pt>
                <c:pt idx="2591">
                  <c:v>56</c:v>
                </c:pt>
                <c:pt idx="2592">
                  <c:v>53</c:v>
                </c:pt>
                <c:pt idx="2593">
                  <c:v>5</c:v>
                </c:pt>
                <c:pt idx="2594">
                  <c:v>44</c:v>
                </c:pt>
                <c:pt idx="2595">
                  <c:v>13</c:v>
                </c:pt>
                <c:pt idx="2596">
                  <c:v>59</c:v>
                </c:pt>
                <c:pt idx="2597">
                  <c:v>35</c:v>
                </c:pt>
                <c:pt idx="2598">
                  <c:v>52</c:v>
                </c:pt>
                <c:pt idx="2599">
                  <c:v>76</c:v>
                </c:pt>
                <c:pt idx="2600">
                  <c:v>51</c:v>
                </c:pt>
                <c:pt idx="2601">
                  <c:v>79</c:v>
                </c:pt>
                <c:pt idx="2602">
                  <c:v>69</c:v>
                </c:pt>
                <c:pt idx="2603">
                  <c:v>78</c:v>
                </c:pt>
                <c:pt idx="2604">
                  <c:v>60</c:v>
                </c:pt>
                <c:pt idx="2605">
                  <c:v>10</c:v>
                </c:pt>
                <c:pt idx="2606">
                  <c:v>42</c:v>
                </c:pt>
                <c:pt idx="2607">
                  <c:v>21</c:v>
                </c:pt>
                <c:pt idx="2608">
                  <c:v>56</c:v>
                </c:pt>
                <c:pt idx="2609">
                  <c:v>59</c:v>
                </c:pt>
                <c:pt idx="2610">
                  <c:v>69</c:v>
                </c:pt>
                <c:pt idx="2611">
                  <c:v>25</c:v>
                </c:pt>
                <c:pt idx="2612">
                  <c:v>63</c:v>
                </c:pt>
                <c:pt idx="2613">
                  <c:v>25</c:v>
                </c:pt>
                <c:pt idx="2614">
                  <c:v>58</c:v>
                </c:pt>
                <c:pt idx="2615">
                  <c:v>28</c:v>
                </c:pt>
                <c:pt idx="2616">
                  <c:v>46</c:v>
                </c:pt>
                <c:pt idx="2617">
                  <c:v>53</c:v>
                </c:pt>
                <c:pt idx="2618">
                  <c:v>37</c:v>
                </c:pt>
                <c:pt idx="2619">
                  <c:v>12</c:v>
                </c:pt>
                <c:pt idx="2620">
                  <c:v>14</c:v>
                </c:pt>
                <c:pt idx="2621">
                  <c:v>60</c:v>
                </c:pt>
                <c:pt idx="2622">
                  <c:v>42</c:v>
                </c:pt>
                <c:pt idx="2623">
                  <c:v>65</c:v>
                </c:pt>
                <c:pt idx="2624">
                  <c:v>80</c:v>
                </c:pt>
                <c:pt idx="2625">
                  <c:v>32</c:v>
                </c:pt>
                <c:pt idx="2626">
                  <c:v>53</c:v>
                </c:pt>
                <c:pt idx="2627">
                  <c:v>50</c:v>
                </c:pt>
                <c:pt idx="2628">
                  <c:v>23</c:v>
                </c:pt>
                <c:pt idx="2629">
                  <c:v>45</c:v>
                </c:pt>
                <c:pt idx="2630">
                  <c:v>0.8</c:v>
                </c:pt>
                <c:pt idx="2631">
                  <c:v>49</c:v>
                </c:pt>
                <c:pt idx="2632">
                  <c:v>70</c:v>
                </c:pt>
                <c:pt idx="2633">
                  <c:v>82</c:v>
                </c:pt>
                <c:pt idx="2634">
                  <c:v>23</c:v>
                </c:pt>
                <c:pt idx="2635">
                  <c:v>79</c:v>
                </c:pt>
                <c:pt idx="2636">
                  <c:v>74</c:v>
                </c:pt>
                <c:pt idx="2637">
                  <c:v>78</c:v>
                </c:pt>
                <c:pt idx="2638">
                  <c:v>50</c:v>
                </c:pt>
                <c:pt idx="2639">
                  <c:v>34</c:v>
                </c:pt>
                <c:pt idx="2640">
                  <c:v>47</c:v>
                </c:pt>
                <c:pt idx="2641">
                  <c:v>52</c:v>
                </c:pt>
                <c:pt idx="2642">
                  <c:v>67</c:v>
                </c:pt>
                <c:pt idx="2643">
                  <c:v>62</c:v>
                </c:pt>
                <c:pt idx="2644">
                  <c:v>18</c:v>
                </c:pt>
                <c:pt idx="2645">
                  <c:v>75</c:v>
                </c:pt>
                <c:pt idx="2646">
                  <c:v>42</c:v>
                </c:pt>
                <c:pt idx="2647">
                  <c:v>29</c:v>
                </c:pt>
                <c:pt idx="2648">
                  <c:v>52</c:v>
                </c:pt>
                <c:pt idx="2649">
                  <c:v>18</c:v>
                </c:pt>
                <c:pt idx="2650">
                  <c:v>67</c:v>
                </c:pt>
                <c:pt idx="2651">
                  <c:v>66</c:v>
                </c:pt>
                <c:pt idx="2652">
                  <c:v>5</c:v>
                </c:pt>
                <c:pt idx="2653">
                  <c:v>18</c:v>
                </c:pt>
                <c:pt idx="2654">
                  <c:v>52</c:v>
                </c:pt>
                <c:pt idx="2655">
                  <c:v>44</c:v>
                </c:pt>
                <c:pt idx="2656">
                  <c:v>46</c:v>
                </c:pt>
                <c:pt idx="2657">
                  <c:v>36</c:v>
                </c:pt>
                <c:pt idx="2658">
                  <c:v>61</c:v>
                </c:pt>
                <c:pt idx="2659">
                  <c:v>7</c:v>
                </c:pt>
                <c:pt idx="2660">
                  <c:v>15</c:v>
                </c:pt>
                <c:pt idx="2661">
                  <c:v>61</c:v>
                </c:pt>
                <c:pt idx="2662">
                  <c:v>20</c:v>
                </c:pt>
                <c:pt idx="2663">
                  <c:v>2</c:v>
                </c:pt>
                <c:pt idx="2664">
                  <c:v>47</c:v>
                </c:pt>
                <c:pt idx="2665">
                  <c:v>25</c:v>
                </c:pt>
                <c:pt idx="2666">
                  <c:v>66</c:v>
                </c:pt>
                <c:pt idx="2667">
                  <c:v>2</c:v>
                </c:pt>
                <c:pt idx="2668">
                  <c:v>63</c:v>
                </c:pt>
                <c:pt idx="2669">
                  <c:v>53</c:v>
                </c:pt>
                <c:pt idx="2670">
                  <c:v>33</c:v>
                </c:pt>
                <c:pt idx="2671">
                  <c:v>23</c:v>
                </c:pt>
                <c:pt idx="2672">
                  <c:v>23</c:v>
                </c:pt>
                <c:pt idx="2673">
                  <c:v>81</c:v>
                </c:pt>
                <c:pt idx="2674">
                  <c:v>55</c:v>
                </c:pt>
                <c:pt idx="2675">
                  <c:v>69</c:v>
                </c:pt>
                <c:pt idx="2676">
                  <c:v>58</c:v>
                </c:pt>
                <c:pt idx="2677">
                  <c:v>70</c:v>
                </c:pt>
                <c:pt idx="2678">
                  <c:v>48</c:v>
                </c:pt>
                <c:pt idx="2679">
                  <c:v>15</c:v>
                </c:pt>
                <c:pt idx="2680">
                  <c:v>31</c:v>
                </c:pt>
                <c:pt idx="2681">
                  <c:v>2</c:v>
                </c:pt>
                <c:pt idx="2682">
                  <c:v>80</c:v>
                </c:pt>
                <c:pt idx="2683">
                  <c:v>69</c:v>
                </c:pt>
                <c:pt idx="2684">
                  <c:v>52</c:v>
                </c:pt>
                <c:pt idx="2685">
                  <c:v>80</c:v>
                </c:pt>
                <c:pt idx="2686">
                  <c:v>54</c:v>
                </c:pt>
                <c:pt idx="2687">
                  <c:v>2</c:v>
                </c:pt>
                <c:pt idx="2688">
                  <c:v>39</c:v>
                </c:pt>
                <c:pt idx="2689">
                  <c:v>38</c:v>
                </c:pt>
                <c:pt idx="2690">
                  <c:v>76</c:v>
                </c:pt>
                <c:pt idx="2691">
                  <c:v>45</c:v>
                </c:pt>
                <c:pt idx="2692">
                  <c:v>1.24</c:v>
                </c:pt>
                <c:pt idx="2693">
                  <c:v>77</c:v>
                </c:pt>
                <c:pt idx="2694">
                  <c:v>46</c:v>
                </c:pt>
                <c:pt idx="2695">
                  <c:v>50</c:v>
                </c:pt>
                <c:pt idx="2696">
                  <c:v>52</c:v>
                </c:pt>
                <c:pt idx="2697">
                  <c:v>73</c:v>
                </c:pt>
                <c:pt idx="2698">
                  <c:v>41</c:v>
                </c:pt>
                <c:pt idx="2699">
                  <c:v>40</c:v>
                </c:pt>
                <c:pt idx="2700">
                  <c:v>59</c:v>
                </c:pt>
                <c:pt idx="2701">
                  <c:v>48</c:v>
                </c:pt>
                <c:pt idx="2702">
                  <c:v>42</c:v>
                </c:pt>
                <c:pt idx="2703">
                  <c:v>26</c:v>
                </c:pt>
                <c:pt idx="2704">
                  <c:v>39</c:v>
                </c:pt>
                <c:pt idx="2705">
                  <c:v>34</c:v>
                </c:pt>
                <c:pt idx="2706">
                  <c:v>54</c:v>
                </c:pt>
                <c:pt idx="2707">
                  <c:v>57</c:v>
                </c:pt>
                <c:pt idx="2708">
                  <c:v>1.56</c:v>
                </c:pt>
                <c:pt idx="2709">
                  <c:v>50</c:v>
                </c:pt>
                <c:pt idx="2710">
                  <c:v>64</c:v>
                </c:pt>
                <c:pt idx="2711">
                  <c:v>44</c:v>
                </c:pt>
                <c:pt idx="2712">
                  <c:v>38</c:v>
                </c:pt>
                <c:pt idx="2713">
                  <c:v>32</c:v>
                </c:pt>
                <c:pt idx="2714">
                  <c:v>17</c:v>
                </c:pt>
                <c:pt idx="2715">
                  <c:v>81</c:v>
                </c:pt>
                <c:pt idx="2716">
                  <c:v>15</c:v>
                </c:pt>
                <c:pt idx="2717">
                  <c:v>5</c:v>
                </c:pt>
                <c:pt idx="2718">
                  <c:v>70</c:v>
                </c:pt>
                <c:pt idx="2719">
                  <c:v>52</c:v>
                </c:pt>
                <c:pt idx="2720">
                  <c:v>67</c:v>
                </c:pt>
                <c:pt idx="2721">
                  <c:v>17</c:v>
                </c:pt>
                <c:pt idx="2722">
                  <c:v>61</c:v>
                </c:pt>
                <c:pt idx="2723">
                  <c:v>31</c:v>
                </c:pt>
                <c:pt idx="2724">
                  <c:v>58</c:v>
                </c:pt>
                <c:pt idx="2725">
                  <c:v>12</c:v>
                </c:pt>
                <c:pt idx="2726">
                  <c:v>30</c:v>
                </c:pt>
                <c:pt idx="2727">
                  <c:v>65</c:v>
                </c:pt>
                <c:pt idx="2728">
                  <c:v>23</c:v>
                </c:pt>
                <c:pt idx="2729">
                  <c:v>14</c:v>
                </c:pt>
                <c:pt idx="2730">
                  <c:v>27</c:v>
                </c:pt>
                <c:pt idx="2731">
                  <c:v>53</c:v>
                </c:pt>
                <c:pt idx="2732">
                  <c:v>58</c:v>
                </c:pt>
                <c:pt idx="2733">
                  <c:v>9</c:v>
                </c:pt>
                <c:pt idx="2734">
                  <c:v>59</c:v>
                </c:pt>
                <c:pt idx="2735">
                  <c:v>46</c:v>
                </c:pt>
                <c:pt idx="2736">
                  <c:v>41</c:v>
                </c:pt>
                <c:pt idx="2737">
                  <c:v>55</c:v>
                </c:pt>
                <c:pt idx="2738">
                  <c:v>43</c:v>
                </c:pt>
                <c:pt idx="2739">
                  <c:v>5</c:v>
                </c:pt>
                <c:pt idx="2740">
                  <c:v>15</c:v>
                </c:pt>
                <c:pt idx="2741">
                  <c:v>36</c:v>
                </c:pt>
                <c:pt idx="2742">
                  <c:v>36</c:v>
                </c:pt>
                <c:pt idx="2743">
                  <c:v>47</c:v>
                </c:pt>
                <c:pt idx="2744">
                  <c:v>18</c:v>
                </c:pt>
                <c:pt idx="2745">
                  <c:v>19</c:v>
                </c:pt>
                <c:pt idx="2746">
                  <c:v>65</c:v>
                </c:pt>
                <c:pt idx="2747">
                  <c:v>17</c:v>
                </c:pt>
                <c:pt idx="2748">
                  <c:v>54</c:v>
                </c:pt>
                <c:pt idx="2749">
                  <c:v>46</c:v>
                </c:pt>
                <c:pt idx="2750">
                  <c:v>59</c:v>
                </c:pt>
                <c:pt idx="2751">
                  <c:v>48</c:v>
                </c:pt>
                <c:pt idx="2752">
                  <c:v>38</c:v>
                </c:pt>
                <c:pt idx="2753">
                  <c:v>18</c:v>
                </c:pt>
                <c:pt idx="2754">
                  <c:v>56</c:v>
                </c:pt>
                <c:pt idx="2755">
                  <c:v>3</c:v>
                </c:pt>
                <c:pt idx="2756">
                  <c:v>41</c:v>
                </c:pt>
                <c:pt idx="2757">
                  <c:v>67</c:v>
                </c:pt>
                <c:pt idx="2758">
                  <c:v>60</c:v>
                </c:pt>
                <c:pt idx="2759">
                  <c:v>47</c:v>
                </c:pt>
                <c:pt idx="2760">
                  <c:v>24</c:v>
                </c:pt>
                <c:pt idx="2761">
                  <c:v>43</c:v>
                </c:pt>
                <c:pt idx="2762">
                  <c:v>17</c:v>
                </c:pt>
                <c:pt idx="2763">
                  <c:v>45</c:v>
                </c:pt>
                <c:pt idx="2764">
                  <c:v>24</c:v>
                </c:pt>
                <c:pt idx="2765">
                  <c:v>79</c:v>
                </c:pt>
                <c:pt idx="2766">
                  <c:v>79</c:v>
                </c:pt>
                <c:pt idx="2767">
                  <c:v>27</c:v>
                </c:pt>
                <c:pt idx="2768">
                  <c:v>72</c:v>
                </c:pt>
                <c:pt idx="2769">
                  <c:v>64</c:v>
                </c:pt>
                <c:pt idx="2770">
                  <c:v>34</c:v>
                </c:pt>
                <c:pt idx="2771">
                  <c:v>50</c:v>
                </c:pt>
                <c:pt idx="2772">
                  <c:v>58</c:v>
                </c:pt>
                <c:pt idx="2773">
                  <c:v>26</c:v>
                </c:pt>
                <c:pt idx="2774">
                  <c:v>50</c:v>
                </c:pt>
                <c:pt idx="2775">
                  <c:v>80</c:v>
                </c:pt>
                <c:pt idx="2776">
                  <c:v>2</c:v>
                </c:pt>
                <c:pt idx="2777">
                  <c:v>46</c:v>
                </c:pt>
                <c:pt idx="2778">
                  <c:v>29</c:v>
                </c:pt>
                <c:pt idx="2779">
                  <c:v>6</c:v>
                </c:pt>
                <c:pt idx="2780">
                  <c:v>32</c:v>
                </c:pt>
                <c:pt idx="2781">
                  <c:v>16</c:v>
                </c:pt>
                <c:pt idx="2782">
                  <c:v>44</c:v>
                </c:pt>
                <c:pt idx="2783">
                  <c:v>23</c:v>
                </c:pt>
                <c:pt idx="2784">
                  <c:v>48</c:v>
                </c:pt>
                <c:pt idx="2785">
                  <c:v>34</c:v>
                </c:pt>
                <c:pt idx="2786">
                  <c:v>78</c:v>
                </c:pt>
                <c:pt idx="2787">
                  <c:v>42</c:v>
                </c:pt>
                <c:pt idx="2788">
                  <c:v>14</c:v>
                </c:pt>
                <c:pt idx="2789">
                  <c:v>40</c:v>
                </c:pt>
                <c:pt idx="2790">
                  <c:v>10</c:v>
                </c:pt>
                <c:pt idx="2791">
                  <c:v>39</c:v>
                </c:pt>
                <c:pt idx="2792">
                  <c:v>42</c:v>
                </c:pt>
                <c:pt idx="2793">
                  <c:v>47</c:v>
                </c:pt>
                <c:pt idx="2794">
                  <c:v>14</c:v>
                </c:pt>
                <c:pt idx="2795">
                  <c:v>45</c:v>
                </c:pt>
                <c:pt idx="2796">
                  <c:v>58</c:v>
                </c:pt>
                <c:pt idx="2797">
                  <c:v>73</c:v>
                </c:pt>
                <c:pt idx="2798">
                  <c:v>62</c:v>
                </c:pt>
                <c:pt idx="2799">
                  <c:v>62</c:v>
                </c:pt>
                <c:pt idx="2800">
                  <c:v>51</c:v>
                </c:pt>
                <c:pt idx="2801">
                  <c:v>0.8</c:v>
                </c:pt>
                <c:pt idx="2802">
                  <c:v>57</c:v>
                </c:pt>
                <c:pt idx="2803">
                  <c:v>8</c:v>
                </c:pt>
                <c:pt idx="2804">
                  <c:v>69</c:v>
                </c:pt>
                <c:pt idx="2805">
                  <c:v>16</c:v>
                </c:pt>
                <c:pt idx="2806">
                  <c:v>56</c:v>
                </c:pt>
                <c:pt idx="2807">
                  <c:v>41</c:v>
                </c:pt>
                <c:pt idx="2808">
                  <c:v>1.24</c:v>
                </c:pt>
                <c:pt idx="2809">
                  <c:v>42</c:v>
                </c:pt>
                <c:pt idx="2810">
                  <c:v>57</c:v>
                </c:pt>
                <c:pt idx="2811">
                  <c:v>20</c:v>
                </c:pt>
                <c:pt idx="2812">
                  <c:v>8</c:v>
                </c:pt>
                <c:pt idx="2813">
                  <c:v>43</c:v>
                </c:pt>
                <c:pt idx="2814">
                  <c:v>62</c:v>
                </c:pt>
                <c:pt idx="2815">
                  <c:v>42</c:v>
                </c:pt>
                <c:pt idx="2816">
                  <c:v>50</c:v>
                </c:pt>
                <c:pt idx="2817">
                  <c:v>63</c:v>
                </c:pt>
                <c:pt idx="2818">
                  <c:v>80</c:v>
                </c:pt>
                <c:pt idx="2819">
                  <c:v>13</c:v>
                </c:pt>
                <c:pt idx="2820">
                  <c:v>20</c:v>
                </c:pt>
                <c:pt idx="2821">
                  <c:v>71</c:v>
                </c:pt>
                <c:pt idx="2822">
                  <c:v>50</c:v>
                </c:pt>
                <c:pt idx="2823">
                  <c:v>76</c:v>
                </c:pt>
                <c:pt idx="2824">
                  <c:v>41</c:v>
                </c:pt>
                <c:pt idx="2825">
                  <c:v>76</c:v>
                </c:pt>
                <c:pt idx="2826">
                  <c:v>78</c:v>
                </c:pt>
                <c:pt idx="2827">
                  <c:v>5</c:v>
                </c:pt>
                <c:pt idx="2828">
                  <c:v>29</c:v>
                </c:pt>
                <c:pt idx="2829">
                  <c:v>43</c:v>
                </c:pt>
                <c:pt idx="2830">
                  <c:v>49</c:v>
                </c:pt>
                <c:pt idx="2831">
                  <c:v>70</c:v>
                </c:pt>
                <c:pt idx="2832">
                  <c:v>24</c:v>
                </c:pt>
                <c:pt idx="2833">
                  <c:v>41</c:v>
                </c:pt>
                <c:pt idx="2834">
                  <c:v>20</c:v>
                </c:pt>
                <c:pt idx="2835">
                  <c:v>34</c:v>
                </c:pt>
                <c:pt idx="2836">
                  <c:v>32</c:v>
                </c:pt>
                <c:pt idx="2837">
                  <c:v>27</c:v>
                </c:pt>
                <c:pt idx="2838">
                  <c:v>44</c:v>
                </c:pt>
                <c:pt idx="2839">
                  <c:v>20</c:v>
                </c:pt>
                <c:pt idx="2840">
                  <c:v>52</c:v>
                </c:pt>
                <c:pt idx="2841">
                  <c:v>57</c:v>
                </c:pt>
                <c:pt idx="2842">
                  <c:v>29</c:v>
                </c:pt>
                <c:pt idx="2843">
                  <c:v>16</c:v>
                </c:pt>
                <c:pt idx="2844">
                  <c:v>35</c:v>
                </c:pt>
                <c:pt idx="2845">
                  <c:v>5</c:v>
                </c:pt>
                <c:pt idx="2846">
                  <c:v>63</c:v>
                </c:pt>
                <c:pt idx="2847">
                  <c:v>59</c:v>
                </c:pt>
                <c:pt idx="2848">
                  <c:v>63</c:v>
                </c:pt>
                <c:pt idx="2849">
                  <c:v>52</c:v>
                </c:pt>
                <c:pt idx="2850">
                  <c:v>50</c:v>
                </c:pt>
                <c:pt idx="2851">
                  <c:v>43</c:v>
                </c:pt>
                <c:pt idx="2852">
                  <c:v>27</c:v>
                </c:pt>
                <c:pt idx="2853">
                  <c:v>30</c:v>
                </c:pt>
                <c:pt idx="2854">
                  <c:v>8</c:v>
                </c:pt>
                <c:pt idx="2855">
                  <c:v>75</c:v>
                </c:pt>
                <c:pt idx="2856">
                  <c:v>14</c:v>
                </c:pt>
                <c:pt idx="2857">
                  <c:v>23</c:v>
                </c:pt>
                <c:pt idx="2858">
                  <c:v>6</c:v>
                </c:pt>
                <c:pt idx="2859">
                  <c:v>37</c:v>
                </c:pt>
                <c:pt idx="2860">
                  <c:v>38</c:v>
                </c:pt>
                <c:pt idx="2861">
                  <c:v>3</c:v>
                </c:pt>
                <c:pt idx="2862">
                  <c:v>26</c:v>
                </c:pt>
                <c:pt idx="2863">
                  <c:v>58</c:v>
                </c:pt>
                <c:pt idx="2864">
                  <c:v>57</c:v>
                </c:pt>
                <c:pt idx="2865">
                  <c:v>58</c:v>
                </c:pt>
                <c:pt idx="2866">
                  <c:v>76</c:v>
                </c:pt>
                <c:pt idx="2867">
                  <c:v>68</c:v>
                </c:pt>
                <c:pt idx="2868">
                  <c:v>79</c:v>
                </c:pt>
                <c:pt idx="2869">
                  <c:v>34</c:v>
                </c:pt>
                <c:pt idx="2870">
                  <c:v>75</c:v>
                </c:pt>
                <c:pt idx="2871">
                  <c:v>11</c:v>
                </c:pt>
                <c:pt idx="2872">
                  <c:v>71</c:v>
                </c:pt>
                <c:pt idx="2873">
                  <c:v>40</c:v>
                </c:pt>
                <c:pt idx="2874">
                  <c:v>24</c:v>
                </c:pt>
                <c:pt idx="2875">
                  <c:v>0.64</c:v>
                </c:pt>
                <c:pt idx="2876">
                  <c:v>82</c:v>
                </c:pt>
                <c:pt idx="2877">
                  <c:v>32</c:v>
                </c:pt>
                <c:pt idx="2878">
                  <c:v>81</c:v>
                </c:pt>
                <c:pt idx="2879">
                  <c:v>33</c:v>
                </c:pt>
                <c:pt idx="2880">
                  <c:v>79</c:v>
                </c:pt>
                <c:pt idx="2881">
                  <c:v>62</c:v>
                </c:pt>
                <c:pt idx="2882">
                  <c:v>39</c:v>
                </c:pt>
                <c:pt idx="2883">
                  <c:v>60</c:v>
                </c:pt>
                <c:pt idx="2884">
                  <c:v>48</c:v>
                </c:pt>
                <c:pt idx="2885">
                  <c:v>24</c:v>
                </c:pt>
                <c:pt idx="2886">
                  <c:v>70</c:v>
                </c:pt>
                <c:pt idx="2887">
                  <c:v>17</c:v>
                </c:pt>
                <c:pt idx="2888">
                  <c:v>56</c:v>
                </c:pt>
                <c:pt idx="2889">
                  <c:v>3</c:v>
                </c:pt>
                <c:pt idx="2890">
                  <c:v>65</c:v>
                </c:pt>
                <c:pt idx="2891">
                  <c:v>72</c:v>
                </c:pt>
                <c:pt idx="2892">
                  <c:v>10</c:v>
                </c:pt>
                <c:pt idx="2893">
                  <c:v>29</c:v>
                </c:pt>
                <c:pt idx="2894">
                  <c:v>44</c:v>
                </c:pt>
                <c:pt idx="2895">
                  <c:v>46</c:v>
                </c:pt>
                <c:pt idx="2896">
                  <c:v>33</c:v>
                </c:pt>
                <c:pt idx="2897">
                  <c:v>63</c:v>
                </c:pt>
                <c:pt idx="2898">
                  <c:v>0.24</c:v>
                </c:pt>
                <c:pt idx="2899">
                  <c:v>55</c:v>
                </c:pt>
                <c:pt idx="2900">
                  <c:v>56</c:v>
                </c:pt>
                <c:pt idx="2901">
                  <c:v>50</c:v>
                </c:pt>
                <c:pt idx="2902">
                  <c:v>78</c:v>
                </c:pt>
                <c:pt idx="2903">
                  <c:v>63</c:v>
                </c:pt>
                <c:pt idx="2904">
                  <c:v>31</c:v>
                </c:pt>
                <c:pt idx="2905">
                  <c:v>65</c:v>
                </c:pt>
                <c:pt idx="2906">
                  <c:v>51</c:v>
                </c:pt>
                <c:pt idx="2907">
                  <c:v>60</c:v>
                </c:pt>
                <c:pt idx="2908">
                  <c:v>69</c:v>
                </c:pt>
                <c:pt idx="2909">
                  <c:v>23</c:v>
                </c:pt>
                <c:pt idx="2910">
                  <c:v>46</c:v>
                </c:pt>
                <c:pt idx="2911">
                  <c:v>16</c:v>
                </c:pt>
                <c:pt idx="2912">
                  <c:v>26</c:v>
                </c:pt>
                <c:pt idx="2913">
                  <c:v>44</c:v>
                </c:pt>
                <c:pt idx="2914">
                  <c:v>56</c:v>
                </c:pt>
                <c:pt idx="2915">
                  <c:v>23</c:v>
                </c:pt>
                <c:pt idx="2916">
                  <c:v>38</c:v>
                </c:pt>
                <c:pt idx="2917">
                  <c:v>18</c:v>
                </c:pt>
                <c:pt idx="2918">
                  <c:v>63</c:v>
                </c:pt>
                <c:pt idx="2919">
                  <c:v>23</c:v>
                </c:pt>
                <c:pt idx="2920">
                  <c:v>32</c:v>
                </c:pt>
                <c:pt idx="2921">
                  <c:v>8</c:v>
                </c:pt>
                <c:pt idx="2922">
                  <c:v>77</c:v>
                </c:pt>
                <c:pt idx="2923">
                  <c:v>41</c:v>
                </c:pt>
                <c:pt idx="2924">
                  <c:v>34</c:v>
                </c:pt>
                <c:pt idx="2925">
                  <c:v>25</c:v>
                </c:pt>
                <c:pt idx="2926">
                  <c:v>35</c:v>
                </c:pt>
                <c:pt idx="2927">
                  <c:v>15</c:v>
                </c:pt>
                <c:pt idx="2928">
                  <c:v>1.64</c:v>
                </c:pt>
                <c:pt idx="2929">
                  <c:v>4</c:v>
                </c:pt>
                <c:pt idx="2930">
                  <c:v>33</c:v>
                </c:pt>
                <c:pt idx="2931">
                  <c:v>28</c:v>
                </c:pt>
                <c:pt idx="2932">
                  <c:v>37</c:v>
                </c:pt>
                <c:pt idx="2933">
                  <c:v>50</c:v>
                </c:pt>
                <c:pt idx="2934">
                  <c:v>76</c:v>
                </c:pt>
                <c:pt idx="2935">
                  <c:v>72</c:v>
                </c:pt>
                <c:pt idx="2936">
                  <c:v>16</c:v>
                </c:pt>
                <c:pt idx="2937">
                  <c:v>44</c:v>
                </c:pt>
                <c:pt idx="2938">
                  <c:v>46</c:v>
                </c:pt>
                <c:pt idx="2939">
                  <c:v>46</c:v>
                </c:pt>
                <c:pt idx="2940">
                  <c:v>73</c:v>
                </c:pt>
                <c:pt idx="2941">
                  <c:v>29</c:v>
                </c:pt>
                <c:pt idx="2942">
                  <c:v>19</c:v>
                </c:pt>
                <c:pt idx="2943">
                  <c:v>27</c:v>
                </c:pt>
                <c:pt idx="2944">
                  <c:v>36</c:v>
                </c:pt>
                <c:pt idx="2945">
                  <c:v>61</c:v>
                </c:pt>
                <c:pt idx="2946">
                  <c:v>9</c:v>
                </c:pt>
                <c:pt idx="2947">
                  <c:v>25</c:v>
                </c:pt>
                <c:pt idx="2948">
                  <c:v>68</c:v>
                </c:pt>
                <c:pt idx="2949">
                  <c:v>26</c:v>
                </c:pt>
                <c:pt idx="2950">
                  <c:v>17</c:v>
                </c:pt>
                <c:pt idx="2951">
                  <c:v>75</c:v>
                </c:pt>
                <c:pt idx="2952">
                  <c:v>34</c:v>
                </c:pt>
                <c:pt idx="2953">
                  <c:v>53</c:v>
                </c:pt>
                <c:pt idx="2954">
                  <c:v>18</c:v>
                </c:pt>
                <c:pt idx="2955">
                  <c:v>48</c:v>
                </c:pt>
                <c:pt idx="2956">
                  <c:v>5</c:v>
                </c:pt>
                <c:pt idx="2957">
                  <c:v>79</c:v>
                </c:pt>
                <c:pt idx="2958">
                  <c:v>16</c:v>
                </c:pt>
                <c:pt idx="2959">
                  <c:v>32</c:v>
                </c:pt>
                <c:pt idx="2960">
                  <c:v>70</c:v>
                </c:pt>
                <c:pt idx="2961">
                  <c:v>55</c:v>
                </c:pt>
                <c:pt idx="2962">
                  <c:v>70</c:v>
                </c:pt>
                <c:pt idx="2963">
                  <c:v>51</c:v>
                </c:pt>
                <c:pt idx="2964">
                  <c:v>39</c:v>
                </c:pt>
                <c:pt idx="2965">
                  <c:v>79</c:v>
                </c:pt>
                <c:pt idx="2966">
                  <c:v>80</c:v>
                </c:pt>
                <c:pt idx="2967">
                  <c:v>34</c:v>
                </c:pt>
                <c:pt idx="2968">
                  <c:v>59</c:v>
                </c:pt>
                <c:pt idx="2969">
                  <c:v>54</c:v>
                </c:pt>
                <c:pt idx="2970">
                  <c:v>22</c:v>
                </c:pt>
                <c:pt idx="2971">
                  <c:v>21</c:v>
                </c:pt>
                <c:pt idx="2972">
                  <c:v>4</c:v>
                </c:pt>
                <c:pt idx="2973">
                  <c:v>26</c:v>
                </c:pt>
                <c:pt idx="2974">
                  <c:v>62</c:v>
                </c:pt>
                <c:pt idx="2975">
                  <c:v>33</c:v>
                </c:pt>
                <c:pt idx="2976">
                  <c:v>51</c:v>
                </c:pt>
                <c:pt idx="2977">
                  <c:v>75</c:v>
                </c:pt>
                <c:pt idx="2978">
                  <c:v>42</c:v>
                </c:pt>
                <c:pt idx="2979">
                  <c:v>82</c:v>
                </c:pt>
                <c:pt idx="2980">
                  <c:v>61</c:v>
                </c:pt>
                <c:pt idx="2981">
                  <c:v>62</c:v>
                </c:pt>
                <c:pt idx="2982">
                  <c:v>59</c:v>
                </c:pt>
                <c:pt idx="2983">
                  <c:v>31</c:v>
                </c:pt>
                <c:pt idx="2984">
                  <c:v>12</c:v>
                </c:pt>
                <c:pt idx="2985">
                  <c:v>76</c:v>
                </c:pt>
                <c:pt idx="2986">
                  <c:v>71</c:v>
                </c:pt>
                <c:pt idx="2987">
                  <c:v>15</c:v>
                </c:pt>
                <c:pt idx="2988">
                  <c:v>44</c:v>
                </c:pt>
                <c:pt idx="2989">
                  <c:v>30</c:v>
                </c:pt>
                <c:pt idx="2990">
                  <c:v>47</c:v>
                </c:pt>
                <c:pt idx="2991">
                  <c:v>47</c:v>
                </c:pt>
                <c:pt idx="2992">
                  <c:v>60</c:v>
                </c:pt>
                <c:pt idx="2993">
                  <c:v>62</c:v>
                </c:pt>
                <c:pt idx="2994">
                  <c:v>47</c:v>
                </c:pt>
                <c:pt idx="2995">
                  <c:v>78</c:v>
                </c:pt>
                <c:pt idx="2996">
                  <c:v>35</c:v>
                </c:pt>
                <c:pt idx="2997">
                  <c:v>71</c:v>
                </c:pt>
                <c:pt idx="2998">
                  <c:v>57</c:v>
                </c:pt>
                <c:pt idx="2999">
                  <c:v>12</c:v>
                </c:pt>
                <c:pt idx="3000">
                  <c:v>26</c:v>
                </c:pt>
                <c:pt idx="3001">
                  <c:v>33</c:v>
                </c:pt>
                <c:pt idx="3002">
                  <c:v>60</c:v>
                </c:pt>
                <c:pt idx="3003">
                  <c:v>35</c:v>
                </c:pt>
                <c:pt idx="3004">
                  <c:v>10</c:v>
                </c:pt>
                <c:pt idx="3005">
                  <c:v>50</c:v>
                </c:pt>
                <c:pt idx="3006">
                  <c:v>44</c:v>
                </c:pt>
                <c:pt idx="3007">
                  <c:v>73</c:v>
                </c:pt>
                <c:pt idx="3008">
                  <c:v>41</c:v>
                </c:pt>
                <c:pt idx="3009">
                  <c:v>7</c:v>
                </c:pt>
                <c:pt idx="3010">
                  <c:v>45</c:v>
                </c:pt>
                <c:pt idx="3011">
                  <c:v>60</c:v>
                </c:pt>
                <c:pt idx="3012">
                  <c:v>49</c:v>
                </c:pt>
                <c:pt idx="3013">
                  <c:v>45</c:v>
                </c:pt>
                <c:pt idx="3014">
                  <c:v>55</c:v>
                </c:pt>
                <c:pt idx="3015">
                  <c:v>54</c:v>
                </c:pt>
                <c:pt idx="3016">
                  <c:v>39</c:v>
                </c:pt>
                <c:pt idx="3017">
                  <c:v>76</c:v>
                </c:pt>
                <c:pt idx="3018">
                  <c:v>28</c:v>
                </c:pt>
                <c:pt idx="3019">
                  <c:v>70</c:v>
                </c:pt>
                <c:pt idx="3020">
                  <c:v>28</c:v>
                </c:pt>
                <c:pt idx="3021">
                  <c:v>79</c:v>
                </c:pt>
                <c:pt idx="3022">
                  <c:v>30</c:v>
                </c:pt>
                <c:pt idx="3023">
                  <c:v>26</c:v>
                </c:pt>
                <c:pt idx="3024">
                  <c:v>57</c:v>
                </c:pt>
                <c:pt idx="3025">
                  <c:v>16</c:v>
                </c:pt>
                <c:pt idx="3026">
                  <c:v>40</c:v>
                </c:pt>
                <c:pt idx="3027">
                  <c:v>77</c:v>
                </c:pt>
                <c:pt idx="3028">
                  <c:v>67</c:v>
                </c:pt>
                <c:pt idx="3029">
                  <c:v>36</c:v>
                </c:pt>
                <c:pt idx="3030">
                  <c:v>40</c:v>
                </c:pt>
                <c:pt idx="3031">
                  <c:v>2</c:v>
                </c:pt>
                <c:pt idx="3032">
                  <c:v>52</c:v>
                </c:pt>
                <c:pt idx="3033">
                  <c:v>78</c:v>
                </c:pt>
                <c:pt idx="3034">
                  <c:v>22</c:v>
                </c:pt>
                <c:pt idx="3035">
                  <c:v>33</c:v>
                </c:pt>
                <c:pt idx="3036">
                  <c:v>40</c:v>
                </c:pt>
                <c:pt idx="3037">
                  <c:v>20</c:v>
                </c:pt>
                <c:pt idx="3038">
                  <c:v>19</c:v>
                </c:pt>
                <c:pt idx="3039">
                  <c:v>25</c:v>
                </c:pt>
                <c:pt idx="3040">
                  <c:v>23</c:v>
                </c:pt>
                <c:pt idx="3041">
                  <c:v>28</c:v>
                </c:pt>
                <c:pt idx="3042">
                  <c:v>6</c:v>
                </c:pt>
                <c:pt idx="3043">
                  <c:v>37</c:v>
                </c:pt>
                <c:pt idx="3044">
                  <c:v>10</c:v>
                </c:pt>
                <c:pt idx="3045">
                  <c:v>34</c:v>
                </c:pt>
                <c:pt idx="3046">
                  <c:v>60</c:v>
                </c:pt>
                <c:pt idx="3047">
                  <c:v>22</c:v>
                </c:pt>
                <c:pt idx="3048">
                  <c:v>62</c:v>
                </c:pt>
                <c:pt idx="3049">
                  <c:v>52</c:v>
                </c:pt>
                <c:pt idx="3050">
                  <c:v>61</c:v>
                </c:pt>
                <c:pt idx="3051">
                  <c:v>10</c:v>
                </c:pt>
                <c:pt idx="3052">
                  <c:v>36</c:v>
                </c:pt>
                <c:pt idx="3053">
                  <c:v>29</c:v>
                </c:pt>
                <c:pt idx="3054">
                  <c:v>69</c:v>
                </c:pt>
                <c:pt idx="3055">
                  <c:v>62</c:v>
                </c:pt>
                <c:pt idx="3056">
                  <c:v>62</c:v>
                </c:pt>
                <c:pt idx="3057">
                  <c:v>79</c:v>
                </c:pt>
                <c:pt idx="3058">
                  <c:v>13</c:v>
                </c:pt>
                <c:pt idx="3059">
                  <c:v>38</c:v>
                </c:pt>
                <c:pt idx="3060">
                  <c:v>49</c:v>
                </c:pt>
                <c:pt idx="3061">
                  <c:v>41</c:v>
                </c:pt>
                <c:pt idx="3062">
                  <c:v>56</c:v>
                </c:pt>
                <c:pt idx="3063">
                  <c:v>8</c:v>
                </c:pt>
                <c:pt idx="3064">
                  <c:v>24</c:v>
                </c:pt>
                <c:pt idx="3065">
                  <c:v>61</c:v>
                </c:pt>
                <c:pt idx="3066">
                  <c:v>40</c:v>
                </c:pt>
                <c:pt idx="3067">
                  <c:v>22</c:v>
                </c:pt>
                <c:pt idx="3068">
                  <c:v>80</c:v>
                </c:pt>
                <c:pt idx="3069">
                  <c:v>60</c:v>
                </c:pt>
                <c:pt idx="3070">
                  <c:v>57</c:v>
                </c:pt>
                <c:pt idx="3071">
                  <c:v>55</c:v>
                </c:pt>
                <c:pt idx="3072">
                  <c:v>39</c:v>
                </c:pt>
                <c:pt idx="3073">
                  <c:v>51</c:v>
                </c:pt>
                <c:pt idx="3074">
                  <c:v>47</c:v>
                </c:pt>
                <c:pt idx="3075">
                  <c:v>77</c:v>
                </c:pt>
                <c:pt idx="3076">
                  <c:v>32</c:v>
                </c:pt>
                <c:pt idx="3077">
                  <c:v>45</c:v>
                </c:pt>
                <c:pt idx="3078">
                  <c:v>49</c:v>
                </c:pt>
                <c:pt idx="3079">
                  <c:v>13</c:v>
                </c:pt>
                <c:pt idx="3080">
                  <c:v>74</c:v>
                </c:pt>
                <c:pt idx="3081">
                  <c:v>72</c:v>
                </c:pt>
                <c:pt idx="3082">
                  <c:v>57</c:v>
                </c:pt>
                <c:pt idx="3083">
                  <c:v>51</c:v>
                </c:pt>
                <c:pt idx="3084">
                  <c:v>55</c:v>
                </c:pt>
                <c:pt idx="3085">
                  <c:v>73</c:v>
                </c:pt>
                <c:pt idx="3086">
                  <c:v>12</c:v>
                </c:pt>
                <c:pt idx="3087">
                  <c:v>6</c:v>
                </c:pt>
                <c:pt idx="3088">
                  <c:v>76</c:v>
                </c:pt>
                <c:pt idx="3089">
                  <c:v>38</c:v>
                </c:pt>
                <c:pt idx="3090">
                  <c:v>50</c:v>
                </c:pt>
                <c:pt idx="3091">
                  <c:v>75</c:v>
                </c:pt>
                <c:pt idx="3092">
                  <c:v>1.1599999999999999</c:v>
                </c:pt>
                <c:pt idx="3093">
                  <c:v>32</c:v>
                </c:pt>
                <c:pt idx="3094">
                  <c:v>12</c:v>
                </c:pt>
                <c:pt idx="3095">
                  <c:v>32</c:v>
                </c:pt>
                <c:pt idx="3096">
                  <c:v>13</c:v>
                </c:pt>
                <c:pt idx="3097">
                  <c:v>1.32</c:v>
                </c:pt>
                <c:pt idx="3098">
                  <c:v>63</c:v>
                </c:pt>
                <c:pt idx="3099">
                  <c:v>29</c:v>
                </c:pt>
                <c:pt idx="3100">
                  <c:v>53</c:v>
                </c:pt>
                <c:pt idx="3101">
                  <c:v>49</c:v>
                </c:pt>
                <c:pt idx="3102">
                  <c:v>81</c:v>
                </c:pt>
                <c:pt idx="3103">
                  <c:v>66</c:v>
                </c:pt>
                <c:pt idx="3104">
                  <c:v>42</c:v>
                </c:pt>
                <c:pt idx="3105">
                  <c:v>61</c:v>
                </c:pt>
                <c:pt idx="3106">
                  <c:v>52</c:v>
                </c:pt>
                <c:pt idx="3107">
                  <c:v>8</c:v>
                </c:pt>
                <c:pt idx="3108">
                  <c:v>82</c:v>
                </c:pt>
                <c:pt idx="3109">
                  <c:v>43</c:v>
                </c:pt>
                <c:pt idx="3110">
                  <c:v>4</c:v>
                </c:pt>
                <c:pt idx="3111">
                  <c:v>58</c:v>
                </c:pt>
                <c:pt idx="3112">
                  <c:v>45</c:v>
                </c:pt>
                <c:pt idx="3113">
                  <c:v>62</c:v>
                </c:pt>
                <c:pt idx="3114">
                  <c:v>42</c:v>
                </c:pt>
                <c:pt idx="3115">
                  <c:v>72</c:v>
                </c:pt>
                <c:pt idx="3116">
                  <c:v>26</c:v>
                </c:pt>
                <c:pt idx="3117">
                  <c:v>9</c:v>
                </c:pt>
                <c:pt idx="3118">
                  <c:v>31</c:v>
                </c:pt>
                <c:pt idx="3119">
                  <c:v>20</c:v>
                </c:pt>
                <c:pt idx="3120">
                  <c:v>22</c:v>
                </c:pt>
                <c:pt idx="3121">
                  <c:v>23</c:v>
                </c:pt>
                <c:pt idx="3122">
                  <c:v>57</c:v>
                </c:pt>
                <c:pt idx="3123">
                  <c:v>52</c:v>
                </c:pt>
                <c:pt idx="3124">
                  <c:v>64</c:v>
                </c:pt>
                <c:pt idx="3125">
                  <c:v>26</c:v>
                </c:pt>
                <c:pt idx="3126">
                  <c:v>54</c:v>
                </c:pt>
                <c:pt idx="3127">
                  <c:v>32</c:v>
                </c:pt>
                <c:pt idx="3128">
                  <c:v>66</c:v>
                </c:pt>
                <c:pt idx="3129">
                  <c:v>13</c:v>
                </c:pt>
                <c:pt idx="3130">
                  <c:v>77</c:v>
                </c:pt>
                <c:pt idx="3131">
                  <c:v>18</c:v>
                </c:pt>
                <c:pt idx="3132">
                  <c:v>11</c:v>
                </c:pt>
                <c:pt idx="3133">
                  <c:v>16</c:v>
                </c:pt>
                <c:pt idx="3134">
                  <c:v>73</c:v>
                </c:pt>
                <c:pt idx="3135">
                  <c:v>44</c:v>
                </c:pt>
                <c:pt idx="3136">
                  <c:v>36</c:v>
                </c:pt>
                <c:pt idx="3137">
                  <c:v>10</c:v>
                </c:pt>
                <c:pt idx="3138">
                  <c:v>54</c:v>
                </c:pt>
                <c:pt idx="3139">
                  <c:v>42</c:v>
                </c:pt>
                <c:pt idx="3140">
                  <c:v>52</c:v>
                </c:pt>
                <c:pt idx="3141">
                  <c:v>32</c:v>
                </c:pt>
                <c:pt idx="3142">
                  <c:v>43</c:v>
                </c:pt>
                <c:pt idx="3143">
                  <c:v>28</c:v>
                </c:pt>
                <c:pt idx="3144">
                  <c:v>79</c:v>
                </c:pt>
                <c:pt idx="3145">
                  <c:v>11</c:v>
                </c:pt>
                <c:pt idx="3146">
                  <c:v>75</c:v>
                </c:pt>
                <c:pt idx="3147">
                  <c:v>55</c:v>
                </c:pt>
                <c:pt idx="3148">
                  <c:v>78</c:v>
                </c:pt>
                <c:pt idx="3149">
                  <c:v>48</c:v>
                </c:pt>
                <c:pt idx="3150">
                  <c:v>73</c:v>
                </c:pt>
                <c:pt idx="3151">
                  <c:v>56</c:v>
                </c:pt>
                <c:pt idx="3152">
                  <c:v>54</c:v>
                </c:pt>
                <c:pt idx="3153">
                  <c:v>55</c:v>
                </c:pt>
                <c:pt idx="3154">
                  <c:v>65</c:v>
                </c:pt>
                <c:pt idx="3155">
                  <c:v>69</c:v>
                </c:pt>
                <c:pt idx="3156">
                  <c:v>29</c:v>
                </c:pt>
                <c:pt idx="3157">
                  <c:v>64</c:v>
                </c:pt>
                <c:pt idx="3158">
                  <c:v>16</c:v>
                </c:pt>
                <c:pt idx="3159">
                  <c:v>75</c:v>
                </c:pt>
                <c:pt idx="3160">
                  <c:v>17</c:v>
                </c:pt>
                <c:pt idx="3161">
                  <c:v>42</c:v>
                </c:pt>
                <c:pt idx="3162">
                  <c:v>78</c:v>
                </c:pt>
                <c:pt idx="3163">
                  <c:v>24</c:v>
                </c:pt>
                <c:pt idx="3164">
                  <c:v>68</c:v>
                </c:pt>
                <c:pt idx="3165">
                  <c:v>50</c:v>
                </c:pt>
                <c:pt idx="3166">
                  <c:v>52</c:v>
                </c:pt>
                <c:pt idx="3167">
                  <c:v>82</c:v>
                </c:pt>
                <c:pt idx="3168">
                  <c:v>56</c:v>
                </c:pt>
                <c:pt idx="3169">
                  <c:v>56</c:v>
                </c:pt>
                <c:pt idx="3170">
                  <c:v>18</c:v>
                </c:pt>
                <c:pt idx="3171">
                  <c:v>33</c:v>
                </c:pt>
                <c:pt idx="3172">
                  <c:v>57</c:v>
                </c:pt>
                <c:pt idx="3173">
                  <c:v>30</c:v>
                </c:pt>
                <c:pt idx="3174">
                  <c:v>52</c:v>
                </c:pt>
                <c:pt idx="3175">
                  <c:v>3</c:v>
                </c:pt>
                <c:pt idx="3176">
                  <c:v>39</c:v>
                </c:pt>
                <c:pt idx="3177">
                  <c:v>44</c:v>
                </c:pt>
                <c:pt idx="3178">
                  <c:v>33</c:v>
                </c:pt>
                <c:pt idx="3179">
                  <c:v>24</c:v>
                </c:pt>
                <c:pt idx="3180">
                  <c:v>24</c:v>
                </c:pt>
                <c:pt idx="3181">
                  <c:v>54</c:v>
                </c:pt>
                <c:pt idx="3182">
                  <c:v>72</c:v>
                </c:pt>
                <c:pt idx="3183">
                  <c:v>37</c:v>
                </c:pt>
                <c:pt idx="3184">
                  <c:v>36</c:v>
                </c:pt>
                <c:pt idx="3185">
                  <c:v>22</c:v>
                </c:pt>
                <c:pt idx="3186">
                  <c:v>68</c:v>
                </c:pt>
                <c:pt idx="3187">
                  <c:v>24</c:v>
                </c:pt>
                <c:pt idx="3188">
                  <c:v>35</c:v>
                </c:pt>
                <c:pt idx="3189">
                  <c:v>32</c:v>
                </c:pt>
                <c:pt idx="3190">
                  <c:v>52</c:v>
                </c:pt>
                <c:pt idx="3191">
                  <c:v>21</c:v>
                </c:pt>
                <c:pt idx="3192">
                  <c:v>82</c:v>
                </c:pt>
                <c:pt idx="3193">
                  <c:v>33</c:v>
                </c:pt>
                <c:pt idx="3194">
                  <c:v>62</c:v>
                </c:pt>
                <c:pt idx="3195">
                  <c:v>57</c:v>
                </c:pt>
                <c:pt idx="3196">
                  <c:v>14</c:v>
                </c:pt>
                <c:pt idx="3197">
                  <c:v>60</c:v>
                </c:pt>
                <c:pt idx="3198">
                  <c:v>63</c:v>
                </c:pt>
                <c:pt idx="3199">
                  <c:v>50</c:v>
                </c:pt>
                <c:pt idx="3200">
                  <c:v>12</c:v>
                </c:pt>
                <c:pt idx="3201">
                  <c:v>80</c:v>
                </c:pt>
                <c:pt idx="3202">
                  <c:v>74</c:v>
                </c:pt>
                <c:pt idx="3203">
                  <c:v>46</c:v>
                </c:pt>
                <c:pt idx="3204">
                  <c:v>66</c:v>
                </c:pt>
                <c:pt idx="3205">
                  <c:v>26</c:v>
                </c:pt>
                <c:pt idx="3206">
                  <c:v>70</c:v>
                </c:pt>
                <c:pt idx="3207">
                  <c:v>62</c:v>
                </c:pt>
                <c:pt idx="3208">
                  <c:v>15</c:v>
                </c:pt>
                <c:pt idx="3209">
                  <c:v>67</c:v>
                </c:pt>
                <c:pt idx="3210">
                  <c:v>63</c:v>
                </c:pt>
                <c:pt idx="3211">
                  <c:v>42</c:v>
                </c:pt>
                <c:pt idx="3212">
                  <c:v>49</c:v>
                </c:pt>
                <c:pt idx="3213">
                  <c:v>78</c:v>
                </c:pt>
                <c:pt idx="3214">
                  <c:v>31</c:v>
                </c:pt>
                <c:pt idx="3215">
                  <c:v>67</c:v>
                </c:pt>
                <c:pt idx="3216">
                  <c:v>52</c:v>
                </c:pt>
                <c:pt idx="3217">
                  <c:v>61</c:v>
                </c:pt>
                <c:pt idx="3218">
                  <c:v>41</c:v>
                </c:pt>
                <c:pt idx="3219">
                  <c:v>73</c:v>
                </c:pt>
                <c:pt idx="3220">
                  <c:v>64</c:v>
                </c:pt>
                <c:pt idx="3221">
                  <c:v>65</c:v>
                </c:pt>
                <c:pt idx="3222">
                  <c:v>81</c:v>
                </c:pt>
                <c:pt idx="3223">
                  <c:v>47</c:v>
                </c:pt>
                <c:pt idx="3224">
                  <c:v>40</c:v>
                </c:pt>
                <c:pt idx="3225">
                  <c:v>46</c:v>
                </c:pt>
                <c:pt idx="3226">
                  <c:v>2</c:v>
                </c:pt>
                <c:pt idx="3227">
                  <c:v>56</c:v>
                </c:pt>
                <c:pt idx="3228">
                  <c:v>54</c:v>
                </c:pt>
                <c:pt idx="3229">
                  <c:v>26</c:v>
                </c:pt>
                <c:pt idx="3230">
                  <c:v>45</c:v>
                </c:pt>
                <c:pt idx="3231">
                  <c:v>57</c:v>
                </c:pt>
                <c:pt idx="3232">
                  <c:v>78</c:v>
                </c:pt>
                <c:pt idx="3233">
                  <c:v>2</c:v>
                </c:pt>
                <c:pt idx="3234">
                  <c:v>76</c:v>
                </c:pt>
                <c:pt idx="3235">
                  <c:v>51</c:v>
                </c:pt>
                <c:pt idx="3236">
                  <c:v>54</c:v>
                </c:pt>
                <c:pt idx="3237">
                  <c:v>36</c:v>
                </c:pt>
                <c:pt idx="3238">
                  <c:v>57</c:v>
                </c:pt>
                <c:pt idx="3239">
                  <c:v>25</c:v>
                </c:pt>
                <c:pt idx="3240">
                  <c:v>7</c:v>
                </c:pt>
                <c:pt idx="3241">
                  <c:v>76</c:v>
                </c:pt>
                <c:pt idx="3242">
                  <c:v>45</c:v>
                </c:pt>
                <c:pt idx="3243">
                  <c:v>66</c:v>
                </c:pt>
                <c:pt idx="3244">
                  <c:v>45</c:v>
                </c:pt>
                <c:pt idx="3245">
                  <c:v>79</c:v>
                </c:pt>
                <c:pt idx="3246">
                  <c:v>25</c:v>
                </c:pt>
                <c:pt idx="3247">
                  <c:v>53</c:v>
                </c:pt>
                <c:pt idx="3248">
                  <c:v>35</c:v>
                </c:pt>
                <c:pt idx="3249">
                  <c:v>78</c:v>
                </c:pt>
                <c:pt idx="3250">
                  <c:v>32</c:v>
                </c:pt>
                <c:pt idx="3251">
                  <c:v>0.56000000000000005</c:v>
                </c:pt>
                <c:pt idx="3252">
                  <c:v>26</c:v>
                </c:pt>
                <c:pt idx="3253">
                  <c:v>34</c:v>
                </c:pt>
                <c:pt idx="3254">
                  <c:v>65</c:v>
                </c:pt>
                <c:pt idx="3255">
                  <c:v>15</c:v>
                </c:pt>
                <c:pt idx="3256">
                  <c:v>17</c:v>
                </c:pt>
                <c:pt idx="3257">
                  <c:v>71</c:v>
                </c:pt>
                <c:pt idx="3258">
                  <c:v>42</c:v>
                </c:pt>
                <c:pt idx="3259">
                  <c:v>30</c:v>
                </c:pt>
                <c:pt idx="3260">
                  <c:v>75</c:v>
                </c:pt>
                <c:pt idx="3261">
                  <c:v>9</c:v>
                </c:pt>
                <c:pt idx="3262">
                  <c:v>47</c:v>
                </c:pt>
                <c:pt idx="3263">
                  <c:v>75</c:v>
                </c:pt>
                <c:pt idx="3264">
                  <c:v>61</c:v>
                </c:pt>
                <c:pt idx="3265">
                  <c:v>61</c:v>
                </c:pt>
                <c:pt idx="3266">
                  <c:v>27</c:v>
                </c:pt>
                <c:pt idx="3267">
                  <c:v>55</c:v>
                </c:pt>
                <c:pt idx="3268">
                  <c:v>2</c:v>
                </c:pt>
                <c:pt idx="3269">
                  <c:v>51</c:v>
                </c:pt>
                <c:pt idx="3270">
                  <c:v>45</c:v>
                </c:pt>
                <c:pt idx="3271">
                  <c:v>36</c:v>
                </c:pt>
                <c:pt idx="3272">
                  <c:v>46</c:v>
                </c:pt>
                <c:pt idx="3273">
                  <c:v>48</c:v>
                </c:pt>
                <c:pt idx="3274">
                  <c:v>79</c:v>
                </c:pt>
                <c:pt idx="3275">
                  <c:v>50</c:v>
                </c:pt>
                <c:pt idx="3276">
                  <c:v>79</c:v>
                </c:pt>
                <c:pt idx="3277">
                  <c:v>32</c:v>
                </c:pt>
                <c:pt idx="3278">
                  <c:v>36</c:v>
                </c:pt>
                <c:pt idx="3279">
                  <c:v>27</c:v>
                </c:pt>
                <c:pt idx="3280">
                  <c:v>22</c:v>
                </c:pt>
                <c:pt idx="3281">
                  <c:v>5</c:v>
                </c:pt>
                <c:pt idx="3282">
                  <c:v>9</c:v>
                </c:pt>
                <c:pt idx="3283">
                  <c:v>31</c:v>
                </c:pt>
                <c:pt idx="3284">
                  <c:v>26</c:v>
                </c:pt>
                <c:pt idx="3285">
                  <c:v>43</c:v>
                </c:pt>
                <c:pt idx="3286">
                  <c:v>33</c:v>
                </c:pt>
                <c:pt idx="3287">
                  <c:v>34</c:v>
                </c:pt>
                <c:pt idx="3288">
                  <c:v>66</c:v>
                </c:pt>
                <c:pt idx="3289">
                  <c:v>44</c:v>
                </c:pt>
                <c:pt idx="3290">
                  <c:v>56</c:v>
                </c:pt>
                <c:pt idx="3291">
                  <c:v>67</c:v>
                </c:pt>
                <c:pt idx="3292">
                  <c:v>18</c:v>
                </c:pt>
                <c:pt idx="3293">
                  <c:v>55</c:v>
                </c:pt>
                <c:pt idx="3294">
                  <c:v>61</c:v>
                </c:pt>
                <c:pt idx="3295">
                  <c:v>0.08</c:v>
                </c:pt>
                <c:pt idx="3296">
                  <c:v>48</c:v>
                </c:pt>
                <c:pt idx="3297">
                  <c:v>44</c:v>
                </c:pt>
                <c:pt idx="3298">
                  <c:v>68</c:v>
                </c:pt>
                <c:pt idx="3299">
                  <c:v>52</c:v>
                </c:pt>
                <c:pt idx="3300">
                  <c:v>15</c:v>
                </c:pt>
                <c:pt idx="3301">
                  <c:v>2</c:v>
                </c:pt>
                <c:pt idx="3302">
                  <c:v>60</c:v>
                </c:pt>
                <c:pt idx="3303">
                  <c:v>37</c:v>
                </c:pt>
                <c:pt idx="3304">
                  <c:v>5</c:v>
                </c:pt>
                <c:pt idx="3305">
                  <c:v>25</c:v>
                </c:pt>
                <c:pt idx="3306">
                  <c:v>52</c:v>
                </c:pt>
                <c:pt idx="3307">
                  <c:v>79</c:v>
                </c:pt>
                <c:pt idx="3308">
                  <c:v>61</c:v>
                </c:pt>
                <c:pt idx="3309">
                  <c:v>36</c:v>
                </c:pt>
                <c:pt idx="3310">
                  <c:v>34</c:v>
                </c:pt>
                <c:pt idx="3311">
                  <c:v>2</c:v>
                </c:pt>
                <c:pt idx="3312">
                  <c:v>43</c:v>
                </c:pt>
                <c:pt idx="3313">
                  <c:v>1.48</c:v>
                </c:pt>
                <c:pt idx="3314">
                  <c:v>49</c:v>
                </c:pt>
                <c:pt idx="3315">
                  <c:v>2</c:v>
                </c:pt>
                <c:pt idx="3316">
                  <c:v>82</c:v>
                </c:pt>
                <c:pt idx="3317">
                  <c:v>81</c:v>
                </c:pt>
                <c:pt idx="3318">
                  <c:v>81</c:v>
                </c:pt>
                <c:pt idx="3319">
                  <c:v>1.08</c:v>
                </c:pt>
                <c:pt idx="3320">
                  <c:v>60</c:v>
                </c:pt>
                <c:pt idx="3321">
                  <c:v>1.88</c:v>
                </c:pt>
                <c:pt idx="3322">
                  <c:v>58</c:v>
                </c:pt>
                <c:pt idx="3323">
                  <c:v>8</c:v>
                </c:pt>
                <c:pt idx="3324">
                  <c:v>9</c:v>
                </c:pt>
                <c:pt idx="3325">
                  <c:v>34</c:v>
                </c:pt>
                <c:pt idx="3326">
                  <c:v>23</c:v>
                </c:pt>
                <c:pt idx="3327">
                  <c:v>74</c:v>
                </c:pt>
                <c:pt idx="3328">
                  <c:v>72</c:v>
                </c:pt>
                <c:pt idx="3329">
                  <c:v>47</c:v>
                </c:pt>
                <c:pt idx="3330">
                  <c:v>56</c:v>
                </c:pt>
                <c:pt idx="3331">
                  <c:v>5</c:v>
                </c:pt>
                <c:pt idx="3332">
                  <c:v>27</c:v>
                </c:pt>
                <c:pt idx="3333">
                  <c:v>38</c:v>
                </c:pt>
                <c:pt idx="3334">
                  <c:v>13</c:v>
                </c:pt>
                <c:pt idx="3335">
                  <c:v>41</c:v>
                </c:pt>
                <c:pt idx="3336">
                  <c:v>50</c:v>
                </c:pt>
                <c:pt idx="3337">
                  <c:v>41</c:v>
                </c:pt>
                <c:pt idx="3338">
                  <c:v>6</c:v>
                </c:pt>
                <c:pt idx="3339">
                  <c:v>62</c:v>
                </c:pt>
                <c:pt idx="3340">
                  <c:v>4</c:v>
                </c:pt>
                <c:pt idx="3341">
                  <c:v>59</c:v>
                </c:pt>
                <c:pt idx="3342">
                  <c:v>63</c:v>
                </c:pt>
                <c:pt idx="3343">
                  <c:v>9</c:v>
                </c:pt>
                <c:pt idx="3344">
                  <c:v>41</c:v>
                </c:pt>
                <c:pt idx="3345">
                  <c:v>72</c:v>
                </c:pt>
                <c:pt idx="3346">
                  <c:v>45</c:v>
                </c:pt>
                <c:pt idx="3347">
                  <c:v>80</c:v>
                </c:pt>
                <c:pt idx="3348">
                  <c:v>19</c:v>
                </c:pt>
                <c:pt idx="3349">
                  <c:v>37</c:v>
                </c:pt>
                <c:pt idx="3350">
                  <c:v>58</c:v>
                </c:pt>
                <c:pt idx="3351">
                  <c:v>77</c:v>
                </c:pt>
                <c:pt idx="3352">
                  <c:v>38</c:v>
                </c:pt>
                <c:pt idx="3353">
                  <c:v>49</c:v>
                </c:pt>
                <c:pt idx="3354">
                  <c:v>20</c:v>
                </c:pt>
                <c:pt idx="3355">
                  <c:v>23</c:v>
                </c:pt>
                <c:pt idx="3356">
                  <c:v>55</c:v>
                </c:pt>
                <c:pt idx="3357">
                  <c:v>16</c:v>
                </c:pt>
                <c:pt idx="3358">
                  <c:v>81</c:v>
                </c:pt>
                <c:pt idx="3359">
                  <c:v>23</c:v>
                </c:pt>
                <c:pt idx="3360">
                  <c:v>82</c:v>
                </c:pt>
                <c:pt idx="3361">
                  <c:v>48</c:v>
                </c:pt>
                <c:pt idx="3362">
                  <c:v>56</c:v>
                </c:pt>
                <c:pt idx="3363">
                  <c:v>61</c:v>
                </c:pt>
                <c:pt idx="3364">
                  <c:v>43</c:v>
                </c:pt>
                <c:pt idx="3365">
                  <c:v>39</c:v>
                </c:pt>
                <c:pt idx="3366">
                  <c:v>22</c:v>
                </c:pt>
                <c:pt idx="3367">
                  <c:v>41</c:v>
                </c:pt>
                <c:pt idx="3368">
                  <c:v>37</c:v>
                </c:pt>
                <c:pt idx="3369">
                  <c:v>65</c:v>
                </c:pt>
                <c:pt idx="3370">
                  <c:v>8</c:v>
                </c:pt>
                <c:pt idx="3371">
                  <c:v>51</c:v>
                </c:pt>
                <c:pt idx="3372">
                  <c:v>63</c:v>
                </c:pt>
                <c:pt idx="3373">
                  <c:v>48</c:v>
                </c:pt>
                <c:pt idx="3374">
                  <c:v>17</c:v>
                </c:pt>
                <c:pt idx="3375">
                  <c:v>53</c:v>
                </c:pt>
                <c:pt idx="3376">
                  <c:v>75</c:v>
                </c:pt>
                <c:pt idx="3377">
                  <c:v>51</c:v>
                </c:pt>
                <c:pt idx="3378">
                  <c:v>51</c:v>
                </c:pt>
                <c:pt idx="3379">
                  <c:v>41</c:v>
                </c:pt>
                <c:pt idx="3380">
                  <c:v>75</c:v>
                </c:pt>
                <c:pt idx="3381">
                  <c:v>57</c:v>
                </c:pt>
                <c:pt idx="3382">
                  <c:v>33</c:v>
                </c:pt>
                <c:pt idx="3383">
                  <c:v>72</c:v>
                </c:pt>
                <c:pt idx="3384">
                  <c:v>52</c:v>
                </c:pt>
                <c:pt idx="3385">
                  <c:v>11</c:v>
                </c:pt>
                <c:pt idx="3386">
                  <c:v>28</c:v>
                </c:pt>
                <c:pt idx="3387">
                  <c:v>78</c:v>
                </c:pt>
                <c:pt idx="3388">
                  <c:v>82</c:v>
                </c:pt>
                <c:pt idx="3389">
                  <c:v>74</c:v>
                </c:pt>
                <c:pt idx="3390">
                  <c:v>31</c:v>
                </c:pt>
                <c:pt idx="3391">
                  <c:v>53</c:v>
                </c:pt>
                <c:pt idx="3392">
                  <c:v>0.24</c:v>
                </c:pt>
                <c:pt idx="3393">
                  <c:v>67</c:v>
                </c:pt>
                <c:pt idx="3394">
                  <c:v>17</c:v>
                </c:pt>
                <c:pt idx="3395">
                  <c:v>29</c:v>
                </c:pt>
                <c:pt idx="3396">
                  <c:v>56</c:v>
                </c:pt>
                <c:pt idx="3397">
                  <c:v>15</c:v>
                </c:pt>
                <c:pt idx="3398">
                  <c:v>29</c:v>
                </c:pt>
                <c:pt idx="3399">
                  <c:v>79</c:v>
                </c:pt>
                <c:pt idx="3400">
                  <c:v>82</c:v>
                </c:pt>
                <c:pt idx="3401">
                  <c:v>17</c:v>
                </c:pt>
                <c:pt idx="3402">
                  <c:v>8</c:v>
                </c:pt>
                <c:pt idx="3403">
                  <c:v>23</c:v>
                </c:pt>
                <c:pt idx="3404">
                  <c:v>36</c:v>
                </c:pt>
                <c:pt idx="3405">
                  <c:v>47</c:v>
                </c:pt>
                <c:pt idx="3406">
                  <c:v>24</c:v>
                </c:pt>
                <c:pt idx="3407">
                  <c:v>60</c:v>
                </c:pt>
                <c:pt idx="3408">
                  <c:v>63</c:v>
                </c:pt>
                <c:pt idx="3409">
                  <c:v>44</c:v>
                </c:pt>
                <c:pt idx="3410">
                  <c:v>38</c:v>
                </c:pt>
                <c:pt idx="3411">
                  <c:v>26</c:v>
                </c:pt>
                <c:pt idx="3412">
                  <c:v>18</c:v>
                </c:pt>
                <c:pt idx="3413">
                  <c:v>18</c:v>
                </c:pt>
                <c:pt idx="3414">
                  <c:v>13</c:v>
                </c:pt>
                <c:pt idx="3415">
                  <c:v>13</c:v>
                </c:pt>
                <c:pt idx="3416">
                  <c:v>47</c:v>
                </c:pt>
                <c:pt idx="3417">
                  <c:v>80</c:v>
                </c:pt>
                <c:pt idx="3418">
                  <c:v>24</c:v>
                </c:pt>
                <c:pt idx="3419">
                  <c:v>72</c:v>
                </c:pt>
                <c:pt idx="3420">
                  <c:v>5</c:v>
                </c:pt>
                <c:pt idx="3421">
                  <c:v>51</c:v>
                </c:pt>
                <c:pt idx="3422">
                  <c:v>82</c:v>
                </c:pt>
                <c:pt idx="3423">
                  <c:v>5</c:v>
                </c:pt>
                <c:pt idx="3424">
                  <c:v>66</c:v>
                </c:pt>
                <c:pt idx="3425">
                  <c:v>53</c:v>
                </c:pt>
                <c:pt idx="3426">
                  <c:v>15</c:v>
                </c:pt>
                <c:pt idx="3427">
                  <c:v>53</c:v>
                </c:pt>
                <c:pt idx="3428">
                  <c:v>78</c:v>
                </c:pt>
                <c:pt idx="3429">
                  <c:v>62</c:v>
                </c:pt>
                <c:pt idx="3430">
                  <c:v>41</c:v>
                </c:pt>
                <c:pt idx="3431">
                  <c:v>49</c:v>
                </c:pt>
                <c:pt idx="3432">
                  <c:v>41</c:v>
                </c:pt>
                <c:pt idx="3433">
                  <c:v>78</c:v>
                </c:pt>
                <c:pt idx="3434">
                  <c:v>14</c:v>
                </c:pt>
                <c:pt idx="3435">
                  <c:v>1.48</c:v>
                </c:pt>
                <c:pt idx="3436">
                  <c:v>71</c:v>
                </c:pt>
                <c:pt idx="3437">
                  <c:v>32</c:v>
                </c:pt>
                <c:pt idx="3438">
                  <c:v>16</c:v>
                </c:pt>
                <c:pt idx="3439">
                  <c:v>68</c:v>
                </c:pt>
                <c:pt idx="3440">
                  <c:v>0.56000000000000005</c:v>
                </c:pt>
                <c:pt idx="3441">
                  <c:v>59</c:v>
                </c:pt>
                <c:pt idx="3442">
                  <c:v>32</c:v>
                </c:pt>
                <c:pt idx="3443">
                  <c:v>58</c:v>
                </c:pt>
                <c:pt idx="3444">
                  <c:v>40</c:v>
                </c:pt>
                <c:pt idx="3445">
                  <c:v>41</c:v>
                </c:pt>
                <c:pt idx="3446">
                  <c:v>21</c:v>
                </c:pt>
                <c:pt idx="3447">
                  <c:v>1.88</c:v>
                </c:pt>
                <c:pt idx="3448">
                  <c:v>55</c:v>
                </c:pt>
                <c:pt idx="3449">
                  <c:v>67</c:v>
                </c:pt>
                <c:pt idx="3450">
                  <c:v>49</c:v>
                </c:pt>
                <c:pt idx="3451">
                  <c:v>42</c:v>
                </c:pt>
                <c:pt idx="3452">
                  <c:v>54</c:v>
                </c:pt>
                <c:pt idx="3453">
                  <c:v>25</c:v>
                </c:pt>
                <c:pt idx="3454">
                  <c:v>62</c:v>
                </c:pt>
                <c:pt idx="3455">
                  <c:v>75</c:v>
                </c:pt>
                <c:pt idx="3456">
                  <c:v>72</c:v>
                </c:pt>
                <c:pt idx="3457">
                  <c:v>14</c:v>
                </c:pt>
                <c:pt idx="3458">
                  <c:v>38</c:v>
                </c:pt>
                <c:pt idx="3459">
                  <c:v>59</c:v>
                </c:pt>
                <c:pt idx="3460">
                  <c:v>23</c:v>
                </c:pt>
                <c:pt idx="3461">
                  <c:v>63</c:v>
                </c:pt>
                <c:pt idx="3462">
                  <c:v>82</c:v>
                </c:pt>
                <c:pt idx="3463">
                  <c:v>34</c:v>
                </c:pt>
                <c:pt idx="3464">
                  <c:v>8</c:v>
                </c:pt>
                <c:pt idx="3465">
                  <c:v>28</c:v>
                </c:pt>
                <c:pt idx="3466">
                  <c:v>49</c:v>
                </c:pt>
                <c:pt idx="3467">
                  <c:v>24</c:v>
                </c:pt>
                <c:pt idx="3468">
                  <c:v>17</c:v>
                </c:pt>
                <c:pt idx="3469">
                  <c:v>69</c:v>
                </c:pt>
                <c:pt idx="3470">
                  <c:v>58</c:v>
                </c:pt>
                <c:pt idx="3471">
                  <c:v>50</c:v>
                </c:pt>
                <c:pt idx="3472">
                  <c:v>5</c:v>
                </c:pt>
                <c:pt idx="3473">
                  <c:v>34</c:v>
                </c:pt>
                <c:pt idx="3474">
                  <c:v>64</c:v>
                </c:pt>
                <c:pt idx="3475">
                  <c:v>47</c:v>
                </c:pt>
                <c:pt idx="3476">
                  <c:v>61</c:v>
                </c:pt>
                <c:pt idx="3477">
                  <c:v>14</c:v>
                </c:pt>
                <c:pt idx="3478">
                  <c:v>57</c:v>
                </c:pt>
                <c:pt idx="3479">
                  <c:v>53</c:v>
                </c:pt>
                <c:pt idx="3480">
                  <c:v>67</c:v>
                </c:pt>
                <c:pt idx="3481">
                  <c:v>57</c:v>
                </c:pt>
                <c:pt idx="3482">
                  <c:v>38</c:v>
                </c:pt>
                <c:pt idx="3483">
                  <c:v>13</c:v>
                </c:pt>
                <c:pt idx="3484">
                  <c:v>37</c:v>
                </c:pt>
                <c:pt idx="3485">
                  <c:v>39</c:v>
                </c:pt>
                <c:pt idx="3486">
                  <c:v>13</c:v>
                </c:pt>
                <c:pt idx="3487">
                  <c:v>57</c:v>
                </c:pt>
                <c:pt idx="3488">
                  <c:v>11</c:v>
                </c:pt>
                <c:pt idx="3489">
                  <c:v>68</c:v>
                </c:pt>
                <c:pt idx="3490">
                  <c:v>79</c:v>
                </c:pt>
                <c:pt idx="3491">
                  <c:v>24</c:v>
                </c:pt>
                <c:pt idx="3492">
                  <c:v>44</c:v>
                </c:pt>
                <c:pt idx="3493">
                  <c:v>46</c:v>
                </c:pt>
                <c:pt idx="3494">
                  <c:v>66</c:v>
                </c:pt>
                <c:pt idx="3495">
                  <c:v>61</c:v>
                </c:pt>
                <c:pt idx="3496">
                  <c:v>16</c:v>
                </c:pt>
                <c:pt idx="3497">
                  <c:v>37</c:v>
                </c:pt>
                <c:pt idx="3498">
                  <c:v>43</c:v>
                </c:pt>
                <c:pt idx="3499">
                  <c:v>27</c:v>
                </c:pt>
                <c:pt idx="3500">
                  <c:v>44</c:v>
                </c:pt>
                <c:pt idx="3501">
                  <c:v>14</c:v>
                </c:pt>
                <c:pt idx="3502">
                  <c:v>81</c:v>
                </c:pt>
                <c:pt idx="3503">
                  <c:v>52</c:v>
                </c:pt>
                <c:pt idx="3504">
                  <c:v>54</c:v>
                </c:pt>
                <c:pt idx="3505">
                  <c:v>77</c:v>
                </c:pt>
                <c:pt idx="3506">
                  <c:v>27</c:v>
                </c:pt>
                <c:pt idx="3507">
                  <c:v>35</c:v>
                </c:pt>
                <c:pt idx="3508">
                  <c:v>30</c:v>
                </c:pt>
                <c:pt idx="3509">
                  <c:v>48</c:v>
                </c:pt>
                <c:pt idx="3510">
                  <c:v>15</c:v>
                </c:pt>
                <c:pt idx="3511">
                  <c:v>26</c:v>
                </c:pt>
                <c:pt idx="3512">
                  <c:v>38</c:v>
                </c:pt>
                <c:pt idx="3513">
                  <c:v>29</c:v>
                </c:pt>
                <c:pt idx="3514">
                  <c:v>49</c:v>
                </c:pt>
                <c:pt idx="3515">
                  <c:v>55</c:v>
                </c:pt>
                <c:pt idx="3516">
                  <c:v>52</c:v>
                </c:pt>
                <c:pt idx="3517">
                  <c:v>49</c:v>
                </c:pt>
                <c:pt idx="3518">
                  <c:v>21</c:v>
                </c:pt>
                <c:pt idx="3519">
                  <c:v>24</c:v>
                </c:pt>
                <c:pt idx="3520">
                  <c:v>18</c:v>
                </c:pt>
                <c:pt idx="3521">
                  <c:v>52</c:v>
                </c:pt>
                <c:pt idx="3522">
                  <c:v>70</c:v>
                </c:pt>
                <c:pt idx="3523">
                  <c:v>51</c:v>
                </c:pt>
                <c:pt idx="3524">
                  <c:v>58</c:v>
                </c:pt>
                <c:pt idx="3525">
                  <c:v>46</c:v>
                </c:pt>
                <c:pt idx="3526">
                  <c:v>79</c:v>
                </c:pt>
                <c:pt idx="3527">
                  <c:v>11</c:v>
                </c:pt>
                <c:pt idx="3528">
                  <c:v>61</c:v>
                </c:pt>
                <c:pt idx="3529">
                  <c:v>51</c:v>
                </c:pt>
                <c:pt idx="3530">
                  <c:v>21</c:v>
                </c:pt>
                <c:pt idx="3531">
                  <c:v>71</c:v>
                </c:pt>
                <c:pt idx="3532">
                  <c:v>13</c:v>
                </c:pt>
                <c:pt idx="3533">
                  <c:v>16</c:v>
                </c:pt>
                <c:pt idx="3534">
                  <c:v>61</c:v>
                </c:pt>
                <c:pt idx="3535">
                  <c:v>49</c:v>
                </c:pt>
                <c:pt idx="3536">
                  <c:v>65</c:v>
                </c:pt>
                <c:pt idx="3537">
                  <c:v>40</c:v>
                </c:pt>
                <c:pt idx="3538">
                  <c:v>44</c:v>
                </c:pt>
                <c:pt idx="3539">
                  <c:v>11</c:v>
                </c:pt>
                <c:pt idx="3540">
                  <c:v>20</c:v>
                </c:pt>
                <c:pt idx="3541">
                  <c:v>24</c:v>
                </c:pt>
                <c:pt idx="3542">
                  <c:v>44</c:v>
                </c:pt>
                <c:pt idx="3543">
                  <c:v>5</c:v>
                </c:pt>
                <c:pt idx="3544">
                  <c:v>41</c:v>
                </c:pt>
                <c:pt idx="3545">
                  <c:v>23</c:v>
                </c:pt>
                <c:pt idx="3546">
                  <c:v>7</c:v>
                </c:pt>
                <c:pt idx="3547">
                  <c:v>74</c:v>
                </c:pt>
                <c:pt idx="3548">
                  <c:v>61</c:v>
                </c:pt>
                <c:pt idx="3549">
                  <c:v>80</c:v>
                </c:pt>
                <c:pt idx="3550">
                  <c:v>35</c:v>
                </c:pt>
                <c:pt idx="3551">
                  <c:v>43</c:v>
                </c:pt>
                <c:pt idx="3552">
                  <c:v>25</c:v>
                </c:pt>
                <c:pt idx="3553">
                  <c:v>72</c:v>
                </c:pt>
                <c:pt idx="3554">
                  <c:v>45</c:v>
                </c:pt>
                <c:pt idx="3555">
                  <c:v>9</c:v>
                </c:pt>
                <c:pt idx="3556">
                  <c:v>33</c:v>
                </c:pt>
                <c:pt idx="3557">
                  <c:v>53</c:v>
                </c:pt>
                <c:pt idx="3558">
                  <c:v>67</c:v>
                </c:pt>
                <c:pt idx="3559">
                  <c:v>59</c:v>
                </c:pt>
                <c:pt idx="3560">
                  <c:v>1.32</c:v>
                </c:pt>
                <c:pt idx="3561">
                  <c:v>27</c:v>
                </c:pt>
                <c:pt idx="3562">
                  <c:v>41</c:v>
                </c:pt>
                <c:pt idx="3563">
                  <c:v>64</c:v>
                </c:pt>
                <c:pt idx="3564">
                  <c:v>55</c:v>
                </c:pt>
                <c:pt idx="3565">
                  <c:v>40</c:v>
                </c:pt>
                <c:pt idx="3566">
                  <c:v>33</c:v>
                </c:pt>
                <c:pt idx="3567">
                  <c:v>33</c:v>
                </c:pt>
                <c:pt idx="3568">
                  <c:v>39</c:v>
                </c:pt>
                <c:pt idx="3569">
                  <c:v>74</c:v>
                </c:pt>
                <c:pt idx="3570">
                  <c:v>38</c:v>
                </c:pt>
                <c:pt idx="3571">
                  <c:v>53</c:v>
                </c:pt>
                <c:pt idx="3572">
                  <c:v>22</c:v>
                </c:pt>
                <c:pt idx="3573">
                  <c:v>5</c:v>
                </c:pt>
                <c:pt idx="3574">
                  <c:v>24</c:v>
                </c:pt>
                <c:pt idx="3575">
                  <c:v>27</c:v>
                </c:pt>
                <c:pt idx="3576">
                  <c:v>41</c:v>
                </c:pt>
                <c:pt idx="3577">
                  <c:v>20</c:v>
                </c:pt>
                <c:pt idx="3578">
                  <c:v>71</c:v>
                </c:pt>
                <c:pt idx="3579">
                  <c:v>65</c:v>
                </c:pt>
                <c:pt idx="3580">
                  <c:v>38</c:v>
                </c:pt>
                <c:pt idx="3581">
                  <c:v>25</c:v>
                </c:pt>
                <c:pt idx="3582">
                  <c:v>53</c:v>
                </c:pt>
                <c:pt idx="3583">
                  <c:v>50</c:v>
                </c:pt>
                <c:pt idx="3584">
                  <c:v>1.24</c:v>
                </c:pt>
                <c:pt idx="3585">
                  <c:v>55</c:v>
                </c:pt>
                <c:pt idx="3586">
                  <c:v>38</c:v>
                </c:pt>
                <c:pt idx="3587">
                  <c:v>72</c:v>
                </c:pt>
                <c:pt idx="3588">
                  <c:v>43</c:v>
                </c:pt>
                <c:pt idx="3589">
                  <c:v>30</c:v>
                </c:pt>
                <c:pt idx="3590">
                  <c:v>69</c:v>
                </c:pt>
                <c:pt idx="3591">
                  <c:v>61</c:v>
                </c:pt>
                <c:pt idx="3592">
                  <c:v>34</c:v>
                </c:pt>
                <c:pt idx="3593">
                  <c:v>43</c:v>
                </c:pt>
                <c:pt idx="3594">
                  <c:v>62</c:v>
                </c:pt>
                <c:pt idx="3595">
                  <c:v>48</c:v>
                </c:pt>
                <c:pt idx="3596">
                  <c:v>37</c:v>
                </c:pt>
                <c:pt idx="3597">
                  <c:v>64</c:v>
                </c:pt>
                <c:pt idx="3598">
                  <c:v>51</c:v>
                </c:pt>
                <c:pt idx="3599">
                  <c:v>69</c:v>
                </c:pt>
                <c:pt idx="3600">
                  <c:v>75</c:v>
                </c:pt>
                <c:pt idx="3601">
                  <c:v>27</c:v>
                </c:pt>
                <c:pt idx="3602">
                  <c:v>49</c:v>
                </c:pt>
                <c:pt idx="3603">
                  <c:v>82</c:v>
                </c:pt>
                <c:pt idx="3604">
                  <c:v>36</c:v>
                </c:pt>
                <c:pt idx="3605">
                  <c:v>1.88</c:v>
                </c:pt>
                <c:pt idx="3606">
                  <c:v>45</c:v>
                </c:pt>
                <c:pt idx="3607">
                  <c:v>64</c:v>
                </c:pt>
                <c:pt idx="3608">
                  <c:v>32</c:v>
                </c:pt>
                <c:pt idx="3609">
                  <c:v>15</c:v>
                </c:pt>
                <c:pt idx="3610">
                  <c:v>1.64</c:v>
                </c:pt>
                <c:pt idx="3611">
                  <c:v>34</c:v>
                </c:pt>
                <c:pt idx="3612">
                  <c:v>17</c:v>
                </c:pt>
                <c:pt idx="3613">
                  <c:v>76</c:v>
                </c:pt>
                <c:pt idx="3614">
                  <c:v>61</c:v>
                </c:pt>
                <c:pt idx="3615">
                  <c:v>30</c:v>
                </c:pt>
                <c:pt idx="3616">
                  <c:v>18</c:v>
                </c:pt>
                <c:pt idx="3617">
                  <c:v>48</c:v>
                </c:pt>
                <c:pt idx="3618">
                  <c:v>0.16</c:v>
                </c:pt>
                <c:pt idx="3619">
                  <c:v>4</c:v>
                </c:pt>
                <c:pt idx="3620">
                  <c:v>38</c:v>
                </c:pt>
                <c:pt idx="3621">
                  <c:v>27</c:v>
                </c:pt>
                <c:pt idx="3622">
                  <c:v>50</c:v>
                </c:pt>
                <c:pt idx="3623">
                  <c:v>19</c:v>
                </c:pt>
                <c:pt idx="3624">
                  <c:v>8</c:v>
                </c:pt>
                <c:pt idx="3625">
                  <c:v>78</c:v>
                </c:pt>
                <c:pt idx="3626">
                  <c:v>0.8</c:v>
                </c:pt>
                <c:pt idx="3627">
                  <c:v>53</c:v>
                </c:pt>
                <c:pt idx="3628">
                  <c:v>73</c:v>
                </c:pt>
                <c:pt idx="3629">
                  <c:v>34</c:v>
                </c:pt>
                <c:pt idx="3630">
                  <c:v>58</c:v>
                </c:pt>
                <c:pt idx="3631">
                  <c:v>62</c:v>
                </c:pt>
                <c:pt idx="3632">
                  <c:v>78</c:v>
                </c:pt>
                <c:pt idx="3633">
                  <c:v>51</c:v>
                </c:pt>
                <c:pt idx="3634">
                  <c:v>78</c:v>
                </c:pt>
                <c:pt idx="3635">
                  <c:v>40</c:v>
                </c:pt>
                <c:pt idx="3636">
                  <c:v>35</c:v>
                </c:pt>
                <c:pt idx="3637">
                  <c:v>82</c:v>
                </c:pt>
                <c:pt idx="3638">
                  <c:v>46</c:v>
                </c:pt>
                <c:pt idx="3639">
                  <c:v>51</c:v>
                </c:pt>
                <c:pt idx="3640">
                  <c:v>53</c:v>
                </c:pt>
                <c:pt idx="3641">
                  <c:v>55</c:v>
                </c:pt>
                <c:pt idx="3642">
                  <c:v>43</c:v>
                </c:pt>
                <c:pt idx="3643">
                  <c:v>81</c:v>
                </c:pt>
                <c:pt idx="3644">
                  <c:v>12</c:v>
                </c:pt>
                <c:pt idx="3645">
                  <c:v>20</c:v>
                </c:pt>
                <c:pt idx="3646">
                  <c:v>53</c:v>
                </c:pt>
                <c:pt idx="3647">
                  <c:v>1.32</c:v>
                </c:pt>
                <c:pt idx="3648">
                  <c:v>22</c:v>
                </c:pt>
                <c:pt idx="3649">
                  <c:v>75</c:v>
                </c:pt>
                <c:pt idx="3650">
                  <c:v>66</c:v>
                </c:pt>
                <c:pt idx="3651">
                  <c:v>7</c:v>
                </c:pt>
                <c:pt idx="3652">
                  <c:v>26</c:v>
                </c:pt>
                <c:pt idx="3653">
                  <c:v>14</c:v>
                </c:pt>
                <c:pt idx="3654">
                  <c:v>32</c:v>
                </c:pt>
                <c:pt idx="3655">
                  <c:v>6</c:v>
                </c:pt>
                <c:pt idx="3656">
                  <c:v>42</c:v>
                </c:pt>
                <c:pt idx="3657">
                  <c:v>4</c:v>
                </c:pt>
                <c:pt idx="3658">
                  <c:v>75</c:v>
                </c:pt>
                <c:pt idx="3659">
                  <c:v>80</c:v>
                </c:pt>
                <c:pt idx="3660">
                  <c:v>52</c:v>
                </c:pt>
                <c:pt idx="3661">
                  <c:v>11</c:v>
                </c:pt>
                <c:pt idx="3662">
                  <c:v>14</c:v>
                </c:pt>
                <c:pt idx="3663">
                  <c:v>74</c:v>
                </c:pt>
                <c:pt idx="3664">
                  <c:v>58</c:v>
                </c:pt>
                <c:pt idx="3665">
                  <c:v>80</c:v>
                </c:pt>
                <c:pt idx="3666">
                  <c:v>31</c:v>
                </c:pt>
                <c:pt idx="3667">
                  <c:v>28</c:v>
                </c:pt>
                <c:pt idx="3668">
                  <c:v>25</c:v>
                </c:pt>
                <c:pt idx="3669">
                  <c:v>71</c:v>
                </c:pt>
                <c:pt idx="3670">
                  <c:v>51</c:v>
                </c:pt>
                <c:pt idx="3671">
                  <c:v>15</c:v>
                </c:pt>
                <c:pt idx="3672">
                  <c:v>45</c:v>
                </c:pt>
                <c:pt idx="3673">
                  <c:v>53</c:v>
                </c:pt>
                <c:pt idx="3674">
                  <c:v>69</c:v>
                </c:pt>
                <c:pt idx="3675">
                  <c:v>42</c:v>
                </c:pt>
                <c:pt idx="3676">
                  <c:v>4</c:v>
                </c:pt>
                <c:pt idx="3677">
                  <c:v>64</c:v>
                </c:pt>
                <c:pt idx="3678">
                  <c:v>5</c:v>
                </c:pt>
                <c:pt idx="3679">
                  <c:v>44</c:v>
                </c:pt>
                <c:pt idx="3680">
                  <c:v>78</c:v>
                </c:pt>
                <c:pt idx="3681">
                  <c:v>16</c:v>
                </c:pt>
                <c:pt idx="3682">
                  <c:v>69</c:v>
                </c:pt>
                <c:pt idx="3683">
                  <c:v>80</c:v>
                </c:pt>
                <c:pt idx="3684">
                  <c:v>7</c:v>
                </c:pt>
                <c:pt idx="3685">
                  <c:v>2</c:v>
                </c:pt>
                <c:pt idx="3686">
                  <c:v>80</c:v>
                </c:pt>
                <c:pt idx="3687">
                  <c:v>69</c:v>
                </c:pt>
                <c:pt idx="3688">
                  <c:v>58</c:v>
                </c:pt>
                <c:pt idx="3689">
                  <c:v>75</c:v>
                </c:pt>
                <c:pt idx="3690">
                  <c:v>60</c:v>
                </c:pt>
                <c:pt idx="3691">
                  <c:v>75</c:v>
                </c:pt>
                <c:pt idx="3692">
                  <c:v>10</c:v>
                </c:pt>
                <c:pt idx="3693">
                  <c:v>38</c:v>
                </c:pt>
                <c:pt idx="3694">
                  <c:v>28</c:v>
                </c:pt>
                <c:pt idx="3695">
                  <c:v>3</c:v>
                </c:pt>
                <c:pt idx="3696">
                  <c:v>31</c:v>
                </c:pt>
                <c:pt idx="3697">
                  <c:v>59</c:v>
                </c:pt>
                <c:pt idx="3698">
                  <c:v>31</c:v>
                </c:pt>
                <c:pt idx="3699">
                  <c:v>45</c:v>
                </c:pt>
                <c:pt idx="3700">
                  <c:v>58</c:v>
                </c:pt>
                <c:pt idx="3701">
                  <c:v>57</c:v>
                </c:pt>
                <c:pt idx="3702">
                  <c:v>31</c:v>
                </c:pt>
                <c:pt idx="3703">
                  <c:v>43</c:v>
                </c:pt>
                <c:pt idx="3704">
                  <c:v>40</c:v>
                </c:pt>
                <c:pt idx="3705">
                  <c:v>1.08</c:v>
                </c:pt>
                <c:pt idx="3706">
                  <c:v>34</c:v>
                </c:pt>
                <c:pt idx="3707">
                  <c:v>55</c:v>
                </c:pt>
                <c:pt idx="3708">
                  <c:v>39</c:v>
                </c:pt>
                <c:pt idx="3709">
                  <c:v>42</c:v>
                </c:pt>
                <c:pt idx="3710">
                  <c:v>44</c:v>
                </c:pt>
                <c:pt idx="3711">
                  <c:v>69</c:v>
                </c:pt>
                <c:pt idx="3712">
                  <c:v>16</c:v>
                </c:pt>
                <c:pt idx="3713">
                  <c:v>8</c:v>
                </c:pt>
                <c:pt idx="3714">
                  <c:v>1.48</c:v>
                </c:pt>
                <c:pt idx="3715">
                  <c:v>1.88</c:v>
                </c:pt>
                <c:pt idx="3716">
                  <c:v>69</c:v>
                </c:pt>
                <c:pt idx="3717">
                  <c:v>13</c:v>
                </c:pt>
                <c:pt idx="3718">
                  <c:v>53</c:v>
                </c:pt>
                <c:pt idx="3719">
                  <c:v>16</c:v>
                </c:pt>
                <c:pt idx="3720">
                  <c:v>64</c:v>
                </c:pt>
                <c:pt idx="3721">
                  <c:v>7</c:v>
                </c:pt>
                <c:pt idx="3722">
                  <c:v>41</c:v>
                </c:pt>
                <c:pt idx="3723">
                  <c:v>65</c:v>
                </c:pt>
                <c:pt idx="3724">
                  <c:v>61</c:v>
                </c:pt>
                <c:pt idx="3725">
                  <c:v>63</c:v>
                </c:pt>
                <c:pt idx="3726">
                  <c:v>1.8</c:v>
                </c:pt>
                <c:pt idx="3727">
                  <c:v>54</c:v>
                </c:pt>
                <c:pt idx="3728">
                  <c:v>14</c:v>
                </c:pt>
                <c:pt idx="3729">
                  <c:v>45</c:v>
                </c:pt>
                <c:pt idx="3730">
                  <c:v>51</c:v>
                </c:pt>
                <c:pt idx="3731">
                  <c:v>8</c:v>
                </c:pt>
                <c:pt idx="3732">
                  <c:v>52</c:v>
                </c:pt>
                <c:pt idx="3733">
                  <c:v>39</c:v>
                </c:pt>
                <c:pt idx="3734">
                  <c:v>13</c:v>
                </c:pt>
                <c:pt idx="3735">
                  <c:v>69</c:v>
                </c:pt>
                <c:pt idx="3736">
                  <c:v>71</c:v>
                </c:pt>
                <c:pt idx="3737">
                  <c:v>73</c:v>
                </c:pt>
                <c:pt idx="3738">
                  <c:v>54</c:v>
                </c:pt>
                <c:pt idx="3739">
                  <c:v>10</c:v>
                </c:pt>
                <c:pt idx="3740">
                  <c:v>26</c:v>
                </c:pt>
                <c:pt idx="3741">
                  <c:v>41</c:v>
                </c:pt>
                <c:pt idx="3742">
                  <c:v>71</c:v>
                </c:pt>
                <c:pt idx="3743">
                  <c:v>46</c:v>
                </c:pt>
                <c:pt idx="3744">
                  <c:v>15</c:v>
                </c:pt>
                <c:pt idx="3745">
                  <c:v>29</c:v>
                </c:pt>
                <c:pt idx="3746">
                  <c:v>8</c:v>
                </c:pt>
                <c:pt idx="3747">
                  <c:v>21</c:v>
                </c:pt>
                <c:pt idx="3748">
                  <c:v>56</c:v>
                </c:pt>
                <c:pt idx="3749">
                  <c:v>14</c:v>
                </c:pt>
                <c:pt idx="3750">
                  <c:v>78</c:v>
                </c:pt>
                <c:pt idx="3751">
                  <c:v>36</c:v>
                </c:pt>
                <c:pt idx="3752">
                  <c:v>57</c:v>
                </c:pt>
                <c:pt idx="3753">
                  <c:v>79</c:v>
                </c:pt>
                <c:pt idx="3754">
                  <c:v>26</c:v>
                </c:pt>
                <c:pt idx="3755">
                  <c:v>22</c:v>
                </c:pt>
                <c:pt idx="3756">
                  <c:v>72</c:v>
                </c:pt>
                <c:pt idx="3757">
                  <c:v>54</c:v>
                </c:pt>
                <c:pt idx="3758">
                  <c:v>8</c:v>
                </c:pt>
                <c:pt idx="3759">
                  <c:v>62</c:v>
                </c:pt>
                <c:pt idx="3760">
                  <c:v>28</c:v>
                </c:pt>
                <c:pt idx="3761">
                  <c:v>50</c:v>
                </c:pt>
                <c:pt idx="3762">
                  <c:v>7</c:v>
                </c:pt>
                <c:pt idx="3763">
                  <c:v>33</c:v>
                </c:pt>
                <c:pt idx="3764">
                  <c:v>55</c:v>
                </c:pt>
                <c:pt idx="3765">
                  <c:v>25</c:v>
                </c:pt>
                <c:pt idx="3766">
                  <c:v>25</c:v>
                </c:pt>
                <c:pt idx="3767">
                  <c:v>37</c:v>
                </c:pt>
                <c:pt idx="3768">
                  <c:v>58</c:v>
                </c:pt>
                <c:pt idx="3769">
                  <c:v>45</c:v>
                </c:pt>
                <c:pt idx="3770">
                  <c:v>60</c:v>
                </c:pt>
                <c:pt idx="3771">
                  <c:v>66</c:v>
                </c:pt>
                <c:pt idx="3772">
                  <c:v>80</c:v>
                </c:pt>
                <c:pt idx="3773">
                  <c:v>38</c:v>
                </c:pt>
                <c:pt idx="3774">
                  <c:v>11</c:v>
                </c:pt>
                <c:pt idx="3775">
                  <c:v>63</c:v>
                </c:pt>
                <c:pt idx="3776">
                  <c:v>19</c:v>
                </c:pt>
                <c:pt idx="3777">
                  <c:v>17</c:v>
                </c:pt>
                <c:pt idx="3778">
                  <c:v>19</c:v>
                </c:pt>
                <c:pt idx="3779">
                  <c:v>40</c:v>
                </c:pt>
                <c:pt idx="3780">
                  <c:v>49</c:v>
                </c:pt>
                <c:pt idx="3781">
                  <c:v>69</c:v>
                </c:pt>
                <c:pt idx="3782">
                  <c:v>46</c:v>
                </c:pt>
                <c:pt idx="3783">
                  <c:v>78</c:v>
                </c:pt>
                <c:pt idx="3784">
                  <c:v>63</c:v>
                </c:pt>
                <c:pt idx="3785">
                  <c:v>3</c:v>
                </c:pt>
                <c:pt idx="3786">
                  <c:v>1.8</c:v>
                </c:pt>
                <c:pt idx="3787">
                  <c:v>18</c:v>
                </c:pt>
                <c:pt idx="3788">
                  <c:v>46</c:v>
                </c:pt>
                <c:pt idx="3789">
                  <c:v>8</c:v>
                </c:pt>
                <c:pt idx="3790">
                  <c:v>53</c:v>
                </c:pt>
                <c:pt idx="3791">
                  <c:v>38</c:v>
                </c:pt>
                <c:pt idx="3792">
                  <c:v>74</c:v>
                </c:pt>
                <c:pt idx="3793">
                  <c:v>24</c:v>
                </c:pt>
                <c:pt idx="3794">
                  <c:v>78</c:v>
                </c:pt>
                <c:pt idx="3795">
                  <c:v>60</c:v>
                </c:pt>
                <c:pt idx="3796">
                  <c:v>12</c:v>
                </c:pt>
                <c:pt idx="3797">
                  <c:v>32</c:v>
                </c:pt>
                <c:pt idx="3798">
                  <c:v>5</c:v>
                </c:pt>
                <c:pt idx="3799">
                  <c:v>40</c:v>
                </c:pt>
                <c:pt idx="3800">
                  <c:v>19</c:v>
                </c:pt>
                <c:pt idx="3801">
                  <c:v>28</c:v>
                </c:pt>
                <c:pt idx="3802">
                  <c:v>61</c:v>
                </c:pt>
                <c:pt idx="3803">
                  <c:v>44</c:v>
                </c:pt>
                <c:pt idx="3804">
                  <c:v>50</c:v>
                </c:pt>
                <c:pt idx="3805">
                  <c:v>50</c:v>
                </c:pt>
                <c:pt idx="3806">
                  <c:v>18</c:v>
                </c:pt>
                <c:pt idx="3807">
                  <c:v>1.64</c:v>
                </c:pt>
                <c:pt idx="3808">
                  <c:v>37</c:v>
                </c:pt>
                <c:pt idx="3809">
                  <c:v>5</c:v>
                </c:pt>
                <c:pt idx="3810">
                  <c:v>39</c:v>
                </c:pt>
                <c:pt idx="3811">
                  <c:v>65</c:v>
                </c:pt>
                <c:pt idx="3812">
                  <c:v>26</c:v>
                </c:pt>
                <c:pt idx="3813">
                  <c:v>42</c:v>
                </c:pt>
                <c:pt idx="3814">
                  <c:v>34</c:v>
                </c:pt>
                <c:pt idx="3815">
                  <c:v>45</c:v>
                </c:pt>
                <c:pt idx="3816">
                  <c:v>43</c:v>
                </c:pt>
                <c:pt idx="3817">
                  <c:v>40</c:v>
                </c:pt>
                <c:pt idx="3818">
                  <c:v>35</c:v>
                </c:pt>
                <c:pt idx="3819">
                  <c:v>2</c:v>
                </c:pt>
                <c:pt idx="3820">
                  <c:v>61</c:v>
                </c:pt>
                <c:pt idx="3821">
                  <c:v>64</c:v>
                </c:pt>
                <c:pt idx="3822">
                  <c:v>32</c:v>
                </c:pt>
                <c:pt idx="3823">
                  <c:v>23</c:v>
                </c:pt>
                <c:pt idx="3824">
                  <c:v>51</c:v>
                </c:pt>
                <c:pt idx="3825">
                  <c:v>52</c:v>
                </c:pt>
                <c:pt idx="3826">
                  <c:v>75</c:v>
                </c:pt>
                <c:pt idx="3827">
                  <c:v>40</c:v>
                </c:pt>
                <c:pt idx="3828">
                  <c:v>39</c:v>
                </c:pt>
                <c:pt idx="3829">
                  <c:v>6</c:v>
                </c:pt>
                <c:pt idx="3830">
                  <c:v>32</c:v>
                </c:pt>
                <c:pt idx="3831">
                  <c:v>55</c:v>
                </c:pt>
                <c:pt idx="3832">
                  <c:v>23</c:v>
                </c:pt>
                <c:pt idx="3833">
                  <c:v>52</c:v>
                </c:pt>
                <c:pt idx="3834">
                  <c:v>58</c:v>
                </c:pt>
                <c:pt idx="3835">
                  <c:v>17</c:v>
                </c:pt>
                <c:pt idx="3836">
                  <c:v>3</c:v>
                </c:pt>
                <c:pt idx="3837">
                  <c:v>23</c:v>
                </c:pt>
                <c:pt idx="3838">
                  <c:v>56</c:v>
                </c:pt>
                <c:pt idx="3839">
                  <c:v>45</c:v>
                </c:pt>
                <c:pt idx="3840">
                  <c:v>14</c:v>
                </c:pt>
                <c:pt idx="3841">
                  <c:v>45</c:v>
                </c:pt>
                <c:pt idx="3842">
                  <c:v>57</c:v>
                </c:pt>
                <c:pt idx="3843">
                  <c:v>35</c:v>
                </c:pt>
                <c:pt idx="3844">
                  <c:v>8</c:v>
                </c:pt>
                <c:pt idx="3845">
                  <c:v>42</c:v>
                </c:pt>
                <c:pt idx="3846">
                  <c:v>8</c:v>
                </c:pt>
                <c:pt idx="3847">
                  <c:v>62</c:v>
                </c:pt>
                <c:pt idx="3848">
                  <c:v>43</c:v>
                </c:pt>
                <c:pt idx="3849">
                  <c:v>8</c:v>
                </c:pt>
                <c:pt idx="3850">
                  <c:v>40</c:v>
                </c:pt>
                <c:pt idx="3851">
                  <c:v>2</c:v>
                </c:pt>
                <c:pt idx="3852">
                  <c:v>27</c:v>
                </c:pt>
                <c:pt idx="3853">
                  <c:v>47</c:v>
                </c:pt>
                <c:pt idx="3854">
                  <c:v>53</c:v>
                </c:pt>
                <c:pt idx="3855">
                  <c:v>62</c:v>
                </c:pt>
                <c:pt idx="3856">
                  <c:v>50</c:v>
                </c:pt>
                <c:pt idx="3857">
                  <c:v>26</c:v>
                </c:pt>
                <c:pt idx="3858">
                  <c:v>19</c:v>
                </c:pt>
                <c:pt idx="3859">
                  <c:v>0.32</c:v>
                </c:pt>
                <c:pt idx="3860">
                  <c:v>45</c:v>
                </c:pt>
                <c:pt idx="3861">
                  <c:v>45</c:v>
                </c:pt>
                <c:pt idx="3862">
                  <c:v>54</c:v>
                </c:pt>
                <c:pt idx="3863">
                  <c:v>64</c:v>
                </c:pt>
                <c:pt idx="3864">
                  <c:v>2</c:v>
                </c:pt>
                <c:pt idx="3865">
                  <c:v>66</c:v>
                </c:pt>
                <c:pt idx="3866">
                  <c:v>73</c:v>
                </c:pt>
                <c:pt idx="3867">
                  <c:v>31</c:v>
                </c:pt>
                <c:pt idx="3868">
                  <c:v>1.88</c:v>
                </c:pt>
                <c:pt idx="3869">
                  <c:v>58</c:v>
                </c:pt>
                <c:pt idx="3870">
                  <c:v>12</c:v>
                </c:pt>
                <c:pt idx="3871">
                  <c:v>60</c:v>
                </c:pt>
                <c:pt idx="3872">
                  <c:v>32</c:v>
                </c:pt>
                <c:pt idx="3873">
                  <c:v>23</c:v>
                </c:pt>
                <c:pt idx="3874">
                  <c:v>26</c:v>
                </c:pt>
                <c:pt idx="3875">
                  <c:v>36</c:v>
                </c:pt>
                <c:pt idx="3876">
                  <c:v>3</c:v>
                </c:pt>
                <c:pt idx="3877">
                  <c:v>21</c:v>
                </c:pt>
                <c:pt idx="3878">
                  <c:v>67</c:v>
                </c:pt>
                <c:pt idx="3879">
                  <c:v>35</c:v>
                </c:pt>
                <c:pt idx="3880">
                  <c:v>26</c:v>
                </c:pt>
                <c:pt idx="3881">
                  <c:v>47</c:v>
                </c:pt>
                <c:pt idx="3882">
                  <c:v>81</c:v>
                </c:pt>
                <c:pt idx="3883">
                  <c:v>1.64</c:v>
                </c:pt>
                <c:pt idx="3884">
                  <c:v>52</c:v>
                </c:pt>
                <c:pt idx="3885">
                  <c:v>28</c:v>
                </c:pt>
                <c:pt idx="3886">
                  <c:v>45</c:v>
                </c:pt>
                <c:pt idx="3887">
                  <c:v>20</c:v>
                </c:pt>
                <c:pt idx="3888">
                  <c:v>1.56</c:v>
                </c:pt>
                <c:pt idx="3889">
                  <c:v>65</c:v>
                </c:pt>
                <c:pt idx="3890">
                  <c:v>45</c:v>
                </c:pt>
                <c:pt idx="3891">
                  <c:v>77</c:v>
                </c:pt>
                <c:pt idx="3892">
                  <c:v>37</c:v>
                </c:pt>
                <c:pt idx="3893">
                  <c:v>50</c:v>
                </c:pt>
                <c:pt idx="3894">
                  <c:v>0.56000000000000005</c:v>
                </c:pt>
                <c:pt idx="3895">
                  <c:v>30</c:v>
                </c:pt>
                <c:pt idx="3896">
                  <c:v>31</c:v>
                </c:pt>
                <c:pt idx="3897">
                  <c:v>4</c:v>
                </c:pt>
                <c:pt idx="3898">
                  <c:v>65</c:v>
                </c:pt>
                <c:pt idx="3899">
                  <c:v>68</c:v>
                </c:pt>
                <c:pt idx="3900">
                  <c:v>63</c:v>
                </c:pt>
                <c:pt idx="3901">
                  <c:v>46</c:v>
                </c:pt>
                <c:pt idx="3902">
                  <c:v>54</c:v>
                </c:pt>
                <c:pt idx="3903">
                  <c:v>66</c:v>
                </c:pt>
                <c:pt idx="3904">
                  <c:v>29</c:v>
                </c:pt>
                <c:pt idx="3905">
                  <c:v>78</c:v>
                </c:pt>
                <c:pt idx="3906">
                  <c:v>56</c:v>
                </c:pt>
                <c:pt idx="3907">
                  <c:v>57</c:v>
                </c:pt>
                <c:pt idx="3908">
                  <c:v>2</c:v>
                </c:pt>
                <c:pt idx="3909">
                  <c:v>49</c:v>
                </c:pt>
                <c:pt idx="3910">
                  <c:v>31</c:v>
                </c:pt>
                <c:pt idx="3911">
                  <c:v>47</c:v>
                </c:pt>
                <c:pt idx="3912">
                  <c:v>37</c:v>
                </c:pt>
                <c:pt idx="3913">
                  <c:v>79</c:v>
                </c:pt>
                <c:pt idx="3914">
                  <c:v>65</c:v>
                </c:pt>
                <c:pt idx="3915">
                  <c:v>61</c:v>
                </c:pt>
                <c:pt idx="3916">
                  <c:v>66</c:v>
                </c:pt>
                <c:pt idx="3917">
                  <c:v>24</c:v>
                </c:pt>
                <c:pt idx="3918">
                  <c:v>66</c:v>
                </c:pt>
                <c:pt idx="3919">
                  <c:v>64</c:v>
                </c:pt>
                <c:pt idx="3920">
                  <c:v>38</c:v>
                </c:pt>
                <c:pt idx="3921">
                  <c:v>7</c:v>
                </c:pt>
                <c:pt idx="3922">
                  <c:v>63</c:v>
                </c:pt>
                <c:pt idx="3923">
                  <c:v>71</c:v>
                </c:pt>
                <c:pt idx="3924">
                  <c:v>18</c:v>
                </c:pt>
                <c:pt idx="3925">
                  <c:v>65</c:v>
                </c:pt>
                <c:pt idx="3926">
                  <c:v>57</c:v>
                </c:pt>
                <c:pt idx="3927">
                  <c:v>62</c:v>
                </c:pt>
                <c:pt idx="3928">
                  <c:v>1.8</c:v>
                </c:pt>
                <c:pt idx="3929">
                  <c:v>35</c:v>
                </c:pt>
                <c:pt idx="3930">
                  <c:v>50</c:v>
                </c:pt>
                <c:pt idx="3931">
                  <c:v>73</c:v>
                </c:pt>
                <c:pt idx="3932">
                  <c:v>23</c:v>
                </c:pt>
                <c:pt idx="3933">
                  <c:v>32</c:v>
                </c:pt>
                <c:pt idx="3934">
                  <c:v>38</c:v>
                </c:pt>
                <c:pt idx="3935">
                  <c:v>50</c:v>
                </c:pt>
                <c:pt idx="3936">
                  <c:v>39</c:v>
                </c:pt>
                <c:pt idx="3937">
                  <c:v>7</c:v>
                </c:pt>
                <c:pt idx="3938">
                  <c:v>15</c:v>
                </c:pt>
                <c:pt idx="3939">
                  <c:v>67</c:v>
                </c:pt>
                <c:pt idx="3940">
                  <c:v>8</c:v>
                </c:pt>
                <c:pt idx="3941">
                  <c:v>32</c:v>
                </c:pt>
                <c:pt idx="3942">
                  <c:v>5</c:v>
                </c:pt>
                <c:pt idx="3943">
                  <c:v>56</c:v>
                </c:pt>
                <c:pt idx="3944">
                  <c:v>49</c:v>
                </c:pt>
                <c:pt idx="3945">
                  <c:v>75</c:v>
                </c:pt>
                <c:pt idx="3946">
                  <c:v>11</c:v>
                </c:pt>
                <c:pt idx="3947">
                  <c:v>61</c:v>
                </c:pt>
                <c:pt idx="3948">
                  <c:v>76</c:v>
                </c:pt>
                <c:pt idx="3949">
                  <c:v>34</c:v>
                </c:pt>
                <c:pt idx="3950">
                  <c:v>20</c:v>
                </c:pt>
                <c:pt idx="3951">
                  <c:v>79</c:v>
                </c:pt>
                <c:pt idx="3952">
                  <c:v>24</c:v>
                </c:pt>
                <c:pt idx="3953">
                  <c:v>39</c:v>
                </c:pt>
                <c:pt idx="3954">
                  <c:v>55</c:v>
                </c:pt>
                <c:pt idx="3955">
                  <c:v>16</c:v>
                </c:pt>
                <c:pt idx="3956">
                  <c:v>36</c:v>
                </c:pt>
                <c:pt idx="3957">
                  <c:v>38</c:v>
                </c:pt>
                <c:pt idx="3958">
                  <c:v>20</c:v>
                </c:pt>
                <c:pt idx="3959">
                  <c:v>38</c:v>
                </c:pt>
                <c:pt idx="3960">
                  <c:v>52</c:v>
                </c:pt>
                <c:pt idx="3961">
                  <c:v>49</c:v>
                </c:pt>
                <c:pt idx="3962">
                  <c:v>80</c:v>
                </c:pt>
                <c:pt idx="3963">
                  <c:v>75</c:v>
                </c:pt>
                <c:pt idx="3964">
                  <c:v>13</c:v>
                </c:pt>
                <c:pt idx="3965">
                  <c:v>54</c:v>
                </c:pt>
                <c:pt idx="3966">
                  <c:v>28</c:v>
                </c:pt>
                <c:pt idx="3967">
                  <c:v>61</c:v>
                </c:pt>
                <c:pt idx="3968">
                  <c:v>0.16</c:v>
                </c:pt>
                <c:pt idx="3969">
                  <c:v>59</c:v>
                </c:pt>
                <c:pt idx="3970">
                  <c:v>12</c:v>
                </c:pt>
                <c:pt idx="3971">
                  <c:v>38</c:v>
                </c:pt>
                <c:pt idx="3972">
                  <c:v>15</c:v>
                </c:pt>
                <c:pt idx="3973">
                  <c:v>31</c:v>
                </c:pt>
                <c:pt idx="3974">
                  <c:v>52</c:v>
                </c:pt>
                <c:pt idx="3975">
                  <c:v>61</c:v>
                </c:pt>
                <c:pt idx="3976">
                  <c:v>50</c:v>
                </c:pt>
                <c:pt idx="3977">
                  <c:v>41</c:v>
                </c:pt>
                <c:pt idx="3978">
                  <c:v>20</c:v>
                </c:pt>
                <c:pt idx="3979">
                  <c:v>67</c:v>
                </c:pt>
                <c:pt idx="3980">
                  <c:v>45</c:v>
                </c:pt>
                <c:pt idx="3981">
                  <c:v>73</c:v>
                </c:pt>
                <c:pt idx="3982">
                  <c:v>52</c:v>
                </c:pt>
                <c:pt idx="3983">
                  <c:v>51</c:v>
                </c:pt>
                <c:pt idx="3984">
                  <c:v>56</c:v>
                </c:pt>
                <c:pt idx="3985">
                  <c:v>49</c:v>
                </c:pt>
                <c:pt idx="3986">
                  <c:v>10</c:v>
                </c:pt>
                <c:pt idx="3987">
                  <c:v>51</c:v>
                </c:pt>
                <c:pt idx="3988">
                  <c:v>57</c:v>
                </c:pt>
                <c:pt idx="3989">
                  <c:v>76</c:v>
                </c:pt>
                <c:pt idx="3990">
                  <c:v>28</c:v>
                </c:pt>
                <c:pt idx="3991">
                  <c:v>57</c:v>
                </c:pt>
                <c:pt idx="3992">
                  <c:v>39</c:v>
                </c:pt>
                <c:pt idx="3993">
                  <c:v>41</c:v>
                </c:pt>
                <c:pt idx="3994">
                  <c:v>72</c:v>
                </c:pt>
                <c:pt idx="3995">
                  <c:v>45</c:v>
                </c:pt>
                <c:pt idx="3996">
                  <c:v>33</c:v>
                </c:pt>
                <c:pt idx="3997">
                  <c:v>62</c:v>
                </c:pt>
                <c:pt idx="3998">
                  <c:v>27</c:v>
                </c:pt>
                <c:pt idx="3999">
                  <c:v>31</c:v>
                </c:pt>
                <c:pt idx="4000">
                  <c:v>24</c:v>
                </c:pt>
                <c:pt idx="4001">
                  <c:v>1.88</c:v>
                </c:pt>
                <c:pt idx="4002">
                  <c:v>28</c:v>
                </c:pt>
                <c:pt idx="4003">
                  <c:v>24</c:v>
                </c:pt>
                <c:pt idx="4004">
                  <c:v>30</c:v>
                </c:pt>
                <c:pt idx="4005">
                  <c:v>38</c:v>
                </c:pt>
                <c:pt idx="4006">
                  <c:v>1.64</c:v>
                </c:pt>
                <c:pt idx="4007">
                  <c:v>0.72</c:v>
                </c:pt>
                <c:pt idx="4008">
                  <c:v>57</c:v>
                </c:pt>
                <c:pt idx="4009">
                  <c:v>27</c:v>
                </c:pt>
                <c:pt idx="4010">
                  <c:v>30</c:v>
                </c:pt>
                <c:pt idx="4011">
                  <c:v>42</c:v>
                </c:pt>
                <c:pt idx="4012">
                  <c:v>36</c:v>
                </c:pt>
                <c:pt idx="4013">
                  <c:v>44</c:v>
                </c:pt>
                <c:pt idx="4014">
                  <c:v>59</c:v>
                </c:pt>
                <c:pt idx="4015">
                  <c:v>61</c:v>
                </c:pt>
                <c:pt idx="4016">
                  <c:v>18</c:v>
                </c:pt>
                <c:pt idx="4017">
                  <c:v>44</c:v>
                </c:pt>
                <c:pt idx="4018">
                  <c:v>16</c:v>
                </c:pt>
                <c:pt idx="4019">
                  <c:v>13</c:v>
                </c:pt>
                <c:pt idx="4020">
                  <c:v>9</c:v>
                </c:pt>
                <c:pt idx="4021">
                  <c:v>0.16</c:v>
                </c:pt>
                <c:pt idx="4022">
                  <c:v>81</c:v>
                </c:pt>
                <c:pt idx="4023">
                  <c:v>38</c:v>
                </c:pt>
                <c:pt idx="4024">
                  <c:v>58</c:v>
                </c:pt>
                <c:pt idx="4025">
                  <c:v>5</c:v>
                </c:pt>
                <c:pt idx="4026">
                  <c:v>64</c:v>
                </c:pt>
                <c:pt idx="4027">
                  <c:v>38</c:v>
                </c:pt>
                <c:pt idx="4028">
                  <c:v>56</c:v>
                </c:pt>
                <c:pt idx="4029">
                  <c:v>58</c:v>
                </c:pt>
                <c:pt idx="4030">
                  <c:v>9</c:v>
                </c:pt>
                <c:pt idx="4031">
                  <c:v>34</c:v>
                </c:pt>
                <c:pt idx="4032">
                  <c:v>79</c:v>
                </c:pt>
                <c:pt idx="4033">
                  <c:v>62</c:v>
                </c:pt>
                <c:pt idx="4034">
                  <c:v>60</c:v>
                </c:pt>
                <c:pt idx="4035">
                  <c:v>42</c:v>
                </c:pt>
                <c:pt idx="4036">
                  <c:v>59</c:v>
                </c:pt>
                <c:pt idx="4037">
                  <c:v>54</c:v>
                </c:pt>
                <c:pt idx="4038">
                  <c:v>59</c:v>
                </c:pt>
                <c:pt idx="4039">
                  <c:v>15</c:v>
                </c:pt>
                <c:pt idx="4040">
                  <c:v>14</c:v>
                </c:pt>
                <c:pt idx="4041">
                  <c:v>5</c:v>
                </c:pt>
                <c:pt idx="4042">
                  <c:v>17</c:v>
                </c:pt>
                <c:pt idx="4043">
                  <c:v>13</c:v>
                </c:pt>
                <c:pt idx="4044">
                  <c:v>48</c:v>
                </c:pt>
                <c:pt idx="4045">
                  <c:v>37</c:v>
                </c:pt>
                <c:pt idx="4046">
                  <c:v>69</c:v>
                </c:pt>
                <c:pt idx="4047">
                  <c:v>74</c:v>
                </c:pt>
                <c:pt idx="4048">
                  <c:v>54</c:v>
                </c:pt>
                <c:pt idx="4049">
                  <c:v>64</c:v>
                </c:pt>
                <c:pt idx="4050">
                  <c:v>26</c:v>
                </c:pt>
                <c:pt idx="4051">
                  <c:v>55</c:v>
                </c:pt>
                <c:pt idx="4052">
                  <c:v>74</c:v>
                </c:pt>
                <c:pt idx="4053">
                  <c:v>0.48</c:v>
                </c:pt>
                <c:pt idx="4054">
                  <c:v>41</c:v>
                </c:pt>
                <c:pt idx="4055">
                  <c:v>68</c:v>
                </c:pt>
                <c:pt idx="4056">
                  <c:v>9</c:v>
                </c:pt>
                <c:pt idx="4057">
                  <c:v>36</c:v>
                </c:pt>
                <c:pt idx="4058">
                  <c:v>17</c:v>
                </c:pt>
                <c:pt idx="4059">
                  <c:v>24</c:v>
                </c:pt>
                <c:pt idx="4060">
                  <c:v>69</c:v>
                </c:pt>
                <c:pt idx="4061">
                  <c:v>38</c:v>
                </c:pt>
                <c:pt idx="4062">
                  <c:v>69</c:v>
                </c:pt>
                <c:pt idx="4063">
                  <c:v>32</c:v>
                </c:pt>
                <c:pt idx="4064">
                  <c:v>25</c:v>
                </c:pt>
                <c:pt idx="4065">
                  <c:v>2</c:v>
                </c:pt>
                <c:pt idx="4066">
                  <c:v>79</c:v>
                </c:pt>
                <c:pt idx="4067">
                  <c:v>28</c:v>
                </c:pt>
                <c:pt idx="4068">
                  <c:v>16</c:v>
                </c:pt>
                <c:pt idx="4069">
                  <c:v>31</c:v>
                </c:pt>
                <c:pt idx="4070">
                  <c:v>66</c:v>
                </c:pt>
                <c:pt idx="4071">
                  <c:v>57</c:v>
                </c:pt>
                <c:pt idx="4072">
                  <c:v>61</c:v>
                </c:pt>
                <c:pt idx="4073">
                  <c:v>74</c:v>
                </c:pt>
                <c:pt idx="4074">
                  <c:v>70</c:v>
                </c:pt>
                <c:pt idx="4075">
                  <c:v>8</c:v>
                </c:pt>
                <c:pt idx="4076">
                  <c:v>49</c:v>
                </c:pt>
                <c:pt idx="4077">
                  <c:v>30</c:v>
                </c:pt>
                <c:pt idx="4078">
                  <c:v>51</c:v>
                </c:pt>
                <c:pt idx="4079">
                  <c:v>10</c:v>
                </c:pt>
                <c:pt idx="4080">
                  <c:v>34</c:v>
                </c:pt>
                <c:pt idx="4081">
                  <c:v>40</c:v>
                </c:pt>
                <c:pt idx="4082">
                  <c:v>3</c:v>
                </c:pt>
                <c:pt idx="4083">
                  <c:v>45</c:v>
                </c:pt>
                <c:pt idx="4084">
                  <c:v>4</c:v>
                </c:pt>
                <c:pt idx="4085">
                  <c:v>52</c:v>
                </c:pt>
                <c:pt idx="4086">
                  <c:v>68</c:v>
                </c:pt>
                <c:pt idx="4087">
                  <c:v>8</c:v>
                </c:pt>
                <c:pt idx="4088">
                  <c:v>82</c:v>
                </c:pt>
                <c:pt idx="4089">
                  <c:v>36</c:v>
                </c:pt>
                <c:pt idx="4090">
                  <c:v>42</c:v>
                </c:pt>
                <c:pt idx="4091">
                  <c:v>27</c:v>
                </c:pt>
                <c:pt idx="4092">
                  <c:v>55</c:v>
                </c:pt>
                <c:pt idx="4093">
                  <c:v>31</c:v>
                </c:pt>
                <c:pt idx="4094">
                  <c:v>82</c:v>
                </c:pt>
                <c:pt idx="4095">
                  <c:v>57</c:v>
                </c:pt>
                <c:pt idx="4096">
                  <c:v>78</c:v>
                </c:pt>
                <c:pt idx="4097">
                  <c:v>55</c:v>
                </c:pt>
                <c:pt idx="4098">
                  <c:v>51</c:v>
                </c:pt>
                <c:pt idx="4099">
                  <c:v>80</c:v>
                </c:pt>
                <c:pt idx="4100">
                  <c:v>17</c:v>
                </c:pt>
                <c:pt idx="4101">
                  <c:v>61</c:v>
                </c:pt>
                <c:pt idx="4102">
                  <c:v>62</c:v>
                </c:pt>
                <c:pt idx="4103">
                  <c:v>14</c:v>
                </c:pt>
                <c:pt idx="4104">
                  <c:v>62</c:v>
                </c:pt>
                <c:pt idx="4105">
                  <c:v>56</c:v>
                </c:pt>
                <c:pt idx="4106">
                  <c:v>41</c:v>
                </c:pt>
                <c:pt idx="4107">
                  <c:v>59</c:v>
                </c:pt>
                <c:pt idx="4108">
                  <c:v>29</c:v>
                </c:pt>
                <c:pt idx="4109">
                  <c:v>39</c:v>
                </c:pt>
                <c:pt idx="4110">
                  <c:v>66</c:v>
                </c:pt>
                <c:pt idx="4111">
                  <c:v>35</c:v>
                </c:pt>
                <c:pt idx="4112">
                  <c:v>36</c:v>
                </c:pt>
                <c:pt idx="4113">
                  <c:v>35</c:v>
                </c:pt>
                <c:pt idx="4114">
                  <c:v>26</c:v>
                </c:pt>
                <c:pt idx="4115">
                  <c:v>31</c:v>
                </c:pt>
                <c:pt idx="4116">
                  <c:v>56</c:v>
                </c:pt>
                <c:pt idx="4117">
                  <c:v>36</c:v>
                </c:pt>
                <c:pt idx="4118">
                  <c:v>41</c:v>
                </c:pt>
                <c:pt idx="4119">
                  <c:v>50</c:v>
                </c:pt>
                <c:pt idx="4120">
                  <c:v>42</c:v>
                </c:pt>
                <c:pt idx="4121">
                  <c:v>79</c:v>
                </c:pt>
                <c:pt idx="4122">
                  <c:v>57</c:v>
                </c:pt>
                <c:pt idx="4123">
                  <c:v>68</c:v>
                </c:pt>
                <c:pt idx="4124">
                  <c:v>25</c:v>
                </c:pt>
                <c:pt idx="4125">
                  <c:v>69</c:v>
                </c:pt>
                <c:pt idx="4126">
                  <c:v>42</c:v>
                </c:pt>
                <c:pt idx="4127">
                  <c:v>37</c:v>
                </c:pt>
                <c:pt idx="4128">
                  <c:v>2</c:v>
                </c:pt>
                <c:pt idx="4129">
                  <c:v>78</c:v>
                </c:pt>
                <c:pt idx="4130">
                  <c:v>36</c:v>
                </c:pt>
                <c:pt idx="4131">
                  <c:v>10</c:v>
                </c:pt>
                <c:pt idx="4132">
                  <c:v>39</c:v>
                </c:pt>
                <c:pt idx="4133">
                  <c:v>4</c:v>
                </c:pt>
                <c:pt idx="4134">
                  <c:v>48</c:v>
                </c:pt>
                <c:pt idx="4135">
                  <c:v>72</c:v>
                </c:pt>
                <c:pt idx="4136">
                  <c:v>63</c:v>
                </c:pt>
                <c:pt idx="4137">
                  <c:v>28</c:v>
                </c:pt>
                <c:pt idx="4138">
                  <c:v>80</c:v>
                </c:pt>
                <c:pt idx="4139">
                  <c:v>49</c:v>
                </c:pt>
                <c:pt idx="4140">
                  <c:v>57</c:v>
                </c:pt>
                <c:pt idx="4141">
                  <c:v>59</c:v>
                </c:pt>
                <c:pt idx="4142">
                  <c:v>43</c:v>
                </c:pt>
                <c:pt idx="4143">
                  <c:v>47</c:v>
                </c:pt>
                <c:pt idx="4144">
                  <c:v>54</c:v>
                </c:pt>
                <c:pt idx="4145">
                  <c:v>57</c:v>
                </c:pt>
                <c:pt idx="4146">
                  <c:v>56</c:v>
                </c:pt>
                <c:pt idx="4147">
                  <c:v>66</c:v>
                </c:pt>
                <c:pt idx="4148">
                  <c:v>18</c:v>
                </c:pt>
                <c:pt idx="4149">
                  <c:v>81</c:v>
                </c:pt>
                <c:pt idx="4150">
                  <c:v>30</c:v>
                </c:pt>
                <c:pt idx="4151">
                  <c:v>8</c:v>
                </c:pt>
                <c:pt idx="4152">
                  <c:v>55</c:v>
                </c:pt>
                <c:pt idx="4153">
                  <c:v>79</c:v>
                </c:pt>
                <c:pt idx="4154">
                  <c:v>49</c:v>
                </c:pt>
                <c:pt idx="4155">
                  <c:v>53</c:v>
                </c:pt>
                <c:pt idx="4156">
                  <c:v>26</c:v>
                </c:pt>
                <c:pt idx="4157">
                  <c:v>14</c:v>
                </c:pt>
                <c:pt idx="4158">
                  <c:v>25</c:v>
                </c:pt>
                <c:pt idx="4159">
                  <c:v>20</c:v>
                </c:pt>
                <c:pt idx="4160">
                  <c:v>18</c:v>
                </c:pt>
                <c:pt idx="4161">
                  <c:v>38</c:v>
                </c:pt>
                <c:pt idx="4162">
                  <c:v>72</c:v>
                </c:pt>
                <c:pt idx="4163">
                  <c:v>52</c:v>
                </c:pt>
                <c:pt idx="4164">
                  <c:v>82</c:v>
                </c:pt>
                <c:pt idx="4165">
                  <c:v>71</c:v>
                </c:pt>
                <c:pt idx="4166">
                  <c:v>46</c:v>
                </c:pt>
                <c:pt idx="4167">
                  <c:v>33</c:v>
                </c:pt>
                <c:pt idx="4168">
                  <c:v>37</c:v>
                </c:pt>
                <c:pt idx="4169">
                  <c:v>54</c:v>
                </c:pt>
                <c:pt idx="4170">
                  <c:v>5</c:v>
                </c:pt>
                <c:pt idx="4171">
                  <c:v>45</c:v>
                </c:pt>
                <c:pt idx="4172">
                  <c:v>14</c:v>
                </c:pt>
                <c:pt idx="4173">
                  <c:v>5</c:v>
                </c:pt>
                <c:pt idx="4174">
                  <c:v>35</c:v>
                </c:pt>
                <c:pt idx="4175">
                  <c:v>20</c:v>
                </c:pt>
                <c:pt idx="4176">
                  <c:v>51</c:v>
                </c:pt>
                <c:pt idx="4177">
                  <c:v>40</c:v>
                </c:pt>
                <c:pt idx="4178">
                  <c:v>79</c:v>
                </c:pt>
                <c:pt idx="4179">
                  <c:v>61</c:v>
                </c:pt>
                <c:pt idx="4180">
                  <c:v>33</c:v>
                </c:pt>
                <c:pt idx="4181">
                  <c:v>27</c:v>
                </c:pt>
                <c:pt idx="4182">
                  <c:v>28</c:v>
                </c:pt>
                <c:pt idx="4183">
                  <c:v>67</c:v>
                </c:pt>
                <c:pt idx="4184">
                  <c:v>35</c:v>
                </c:pt>
                <c:pt idx="4185">
                  <c:v>78</c:v>
                </c:pt>
                <c:pt idx="4186">
                  <c:v>20</c:v>
                </c:pt>
                <c:pt idx="4187">
                  <c:v>43</c:v>
                </c:pt>
                <c:pt idx="4188">
                  <c:v>27</c:v>
                </c:pt>
                <c:pt idx="4189">
                  <c:v>45</c:v>
                </c:pt>
                <c:pt idx="4190">
                  <c:v>11</c:v>
                </c:pt>
                <c:pt idx="4191">
                  <c:v>31</c:v>
                </c:pt>
                <c:pt idx="4192">
                  <c:v>30</c:v>
                </c:pt>
                <c:pt idx="4193">
                  <c:v>27</c:v>
                </c:pt>
                <c:pt idx="4194">
                  <c:v>34</c:v>
                </c:pt>
                <c:pt idx="4195">
                  <c:v>19</c:v>
                </c:pt>
                <c:pt idx="4196">
                  <c:v>3</c:v>
                </c:pt>
                <c:pt idx="4197">
                  <c:v>53</c:v>
                </c:pt>
                <c:pt idx="4198">
                  <c:v>81</c:v>
                </c:pt>
                <c:pt idx="4199">
                  <c:v>44</c:v>
                </c:pt>
                <c:pt idx="4200">
                  <c:v>59</c:v>
                </c:pt>
                <c:pt idx="4201">
                  <c:v>43</c:v>
                </c:pt>
                <c:pt idx="4202">
                  <c:v>32</c:v>
                </c:pt>
                <c:pt idx="4203">
                  <c:v>5</c:v>
                </c:pt>
                <c:pt idx="4204">
                  <c:v>31</c:v>
                </c:pt>
                <c:pt idx="4205">
                  <c:v>47</c:v>
                </c:pt>
                <c:pt idx="4206">
                  <c:v>12</c:v>
                </c:pt>
                <c:pt idx="4207">
                  <c:v>40</c:v>
                </c:pt>
                <c:pt idx="4208">
                  <c:v>49</c:v>
                </c:pt>
                <c:pt idx="4209">
                  <c:v>38</c:v>
                </c:pt>
                <c:pt idx="4210">
                  <c:v>15</c:v>
                </c:pt>
                <c:pt idx="4211">
                  <c:v>81</c:v>
                </c:pt>
                <c:pt idx="4212">
                  <c:v>48</c:v>
                </c:pt>
                <c:pt idx="4213">
                  <c:v>24</c:v>
                </c:pt>
                <c:pt idx="4214">
                  <c:v>47</c:v>
                </c:pt>
                <c:pt idx="4215">
                  <c:v>13</c:v>
                </c:pt>
                <c:pt idx="4216">
                  <c:v>16</c:v>
                </c:pt>
                <c:pt idx="4217">
                  <c:v>64</c:v>
                </c:pt>
                <c:pt idx="4218">
                  <c:v>11</c:v>
                </c:pt>
                <c:pt idx="4219">
                  <c:v>55</c:v>
                </c:pt>
                <c:pt idx="4220">
                  <c:v>38</c:v>
                </c:pt>
                <c:pt idx="4221">
                  <c:v>37</c:v>
                </c:pt>
                <c:pt idx="4222">
                  <c:v>34</c:v>
                </c:pt>
                <c:pt idx="4223">
                  <c:v>52</c:v>
                </c:pt>
                <c:pt idx="4224">
                  <c:v>50</c:v>
                </c:pt>
                <c:pt idx="4225">
                  <c:v>37</c:v>
                </c:pt>
                <c:pt idx="4226">
                  <c:v>55</c:v>
                </c:pt>
                <c:pt idx="4227">
                  <c:v>2</c:v>
                </c:pt>
                <c:pt idx="4228">
                  <c:v>68</c:v>
                </c:pt>
                <c:pt idx="4229">
                  <c:v>27</c:v>
                </c:pt>
                <c:pt idx="4230">
                  <c:v>17</c:v>
                </c:pt>
                <c:pt idx="4231">
                  <c:v>53</c:v>
                </c:pt>
                <c:pt idx="4232">
                  <c:v>5</c:v>
                </c:pt>
                <c:pt idx="4233">
                  <c:v>3</c:v>
                </c:pt>
                <c:pt idx="4234">
                  <c:v>20</c:v>
                </c:pt>
                <c:pt idx="4235">
                  <c:v>19</c:v>
                </c:pt>
                <c:pt idx="4236">
                  <c:v>31</c:v>
                </c:pt>
                <c:pt idx="4237">
                  <c:v>63</c:v>
                </c:pt>
                <c:pt idx="4238">
                  <c:v>49</c:v>
                </c:pt>
                <c:pt idx="4239">
                  <c:v>72</c:v>
                </c:pt>
                <c:pt idx="4240">
                  <c:v>50</c:v>
                </c:pt>
                <c:pt idx="4241">
                  <c:v>41</c:v>
                </c:pt>
                <c:pt idx="4242">
                  <c:v>40</c:v>
                </c:pt>
                <c:pt idx="4243">
                  <c:v>17</c:v>
                </c:pt>
                <c:pt idx="4244">
                  <c:v>3</c:v>
                </c:pt>
                <c:pt idx="4245">
                  <c:v>33</c:v>
                </c:pt>
                <c:pt idx="4246">
                  <c:v>12</c:v>
                </c:pt>
                <c:pt idx="4247">
                  <c:v>23</c:v>
                </c:pt>
                <c:pt idx="4248">
                  <c:v>31</c:v>
                </c:pt>
                <c:pt idx="4249">
                  <c:v>65</c:v>
                </c:pt>
                <c:pt idx="4250">
                  <c:v>43</c:v>
                </c:pt>
                <c:pt idx="4251">
                  <c:v>22</c:v>
                </c:pt>
                <c:pt idx="4252">
                  <c:v>7</c:v>
                </c:pt>
                <c:pt idx="4253">
                  <c:v>81</c:v>
                </c:pt>
                <c:pt idx="4254">
                  <c:v>10</c:v>
                </c:pt>
                <c:pt idx="4255">
                  <c:v>18</c:v>
                </c:pt>
                <c:pt idx="4256">
                  <c:v>5</c:v>
                </c:pt>
                <c:pt idx="4257">
                  <c:v>24</c:v>
                </c:pt>
                <c:pt idx="4258">
                  <c:v>45</c:v>
                </c:pt>
                <c:pt idx="4259">
                  <c:v>46</c:v>
                </c:pt>
                <c:pt idx="4260">
                  <c:v>64</c:v>
                </c:pt>
                <c:pt idx="4261">
                  <c:v>25</c:v>
                </c:pt>
                <c:pt idx="4262">
                  <c:v>12</c:v>
                </c:pt>
                <c:pt idx="4263">
                  <c:v>81</c:v>
                </c:pt>
                <c:pt idx="4264">
                  <c:v>65</c:v>
                </c:pt>
                <c:pt idx="4265">
                  <c:v>40</c:v>
                </c:pt>
                <c:pt idx="4266">
                  <c:v>81</c:v>
                </c:pt>
                <c:pt idx="4267">
                  <c:v>36</c:v>
                </c:pt>
                <c:pt idx="4268">
                  <c:v>32</c:v>
                </c:pt>
                <c:pt idx="4269">
                  <c:v>31</c:v>
                </c:pt>
                <c:pt idx="4270">
                  <c:v>55</c:v>
                </c:pt>
                <c:pt idx="4271">
                  <c:v>39</c:v>
                </c:pt>
                <c:pt idx="4272">
                  <c:v>17</c:v>
                </c:pt>
                <c:pt idx="4273">
                  <c:v>31</c:v>
                </c:pt>
                <c:pt idx="4274">
                  <c:v>36</c:v>
                </c:pt>
                <c:pt idx="4275">
                  <c:v>5</c:v>
                </c:pt>
                <c:pt idx="4276">
                  <c:v>29</c:v>
                </c:pt>
                <c:pt idx="4277">
                  <c:v>2</c:v>
                </c:pt>
                <c:pt idx="4278">
                  <c:v>62</c:v>
                </c:pt>
                <c:pt idx="4279">
                  <c:v>45</c:v>
                </c:pt>
                <c:pt idx="4280">
                  <c:v>18</c:v>
                </c:pt>
                <c:pt idx="4281">
                  <c:v>29</c:v>
                </c:pt>
                <c:pt idx="4282">
                  <c:v>52</c:v>
                </c:pt>
                <c:pt idx="4283">
                  <c:v>59</c:v>
                </c:pt>
                <c:pt idx="4284">
                  <c:v>69</c:v>
                </c:pt>
                <c:pt idx="4285">
                  <c:v>71</c:v>
                </c:pt>
                <c:pt idx="4286">
                  <c:v>3</c:v>
                </c:pt>
                <c:pt idx="4287">
                  <c:v>33</c:v>
                </c:pt>
                <c:pt idx="4288">
                  <c:v>43</c:v>
                </c:pt>
                <c:pt idx="4289">
                  <c:v>39</c:v>
                </c:pt>
                <c:pt idx="4290">
                  <c:v>60</c:v>
                </c:pt>
                <c:pt idx="4291">
                  <c:v>54</c:v>
                </c:pt>
                <c:pt idx="4292">
                  <c:v>61</c:v>
                </c:pt>
                <c:pt idx="4293">
                  <c:v>0.24</c:v>
                </c:pt>
                <c:pt idx="4294">
                  <c:v>11</c:v>
                </c:pt>
                <c:pt idx="4295">
                  <c:v>75</c:v>
                </c:pt>
                <c:pt idx="4296">
                  <c:v>64</c:v>
                </c:pt>
                <c:pt idx="4297">
                  <c:v>78</c:v>
                </c:pt>
                <c:pt idx="4298">
                  <c:v>14</c:v>
                </c:pt>
                <c:pt idx="4299">
                  <c:v>66</c:v>
                </c:pt>
                <c:pt idx="4300">
                  <c:v>48</c:v>
                </c:pt>
                <c:pt idx="4301">
                  <c:v>44</c:v>
                </c:pt>
                <c:pt idx="4302">
                  <c:v>30</c:v>
                </c:pt>
                <c:pt idx="4303">
                  <c:v>1.48</c:v>
                </c:pt>
                <c:pt idx="4304">
                  <c:v>61</c:v>
                </c:pt>
                <c:pt idx="4305">
                  <c:v>54</c:v>
                </c:pt>
                <c:pt idx="4306">
                  <c:v>22</c:v>
                </c:pt>
                <c:pt idx="4307">
                  <c:v>47</c:v>
                </c:pt>
                <c:pt idx="4308">
                  <c:v>67</c:v>
                </c:pt>
                <c:pt idx="4309">
                  <c:v>53</c:v>
                </c:pt>
                <c:pt idx="4310">
                  <c:v>45</c:v>
                </c:pt>
                <c:pt idx="4311">
                  <c:v>65</c:v>
                </c:pt>
                <c:pt idx="4312">
                  <c:v>39</c:v>
                </c:pt>
                <c:pt idx="4313">
                  <c:v>57</c:v>
                </c:pt>
                <c:pt idx="4314">
                  <c:v>45</c:v>
                </c:pt>
                <c:pt idx="4315">
                  <c:v>28</c:v>
                </c:pt>
                <c:pt idx="4316">
                  <c:v>30</c:v>
                </c:pt>
                <c:pt idx="4317">
                  <c:v>31</c:v>
                </c:pt>
                <c:pt idx="4318">
                  <c:v>70</c:v>
                </c:pt>
                <c:pt idx="4319">
                  <c:v>17</c:v>
                </c:pt>
                <c:pt idx="4320">
                  <c:v>44</c:v>
                </c:pt>
                <c:pt idx="4321">
                  <c:v>65</c:v>
                </c:pt>
                <c:pt idx="4322">
                  <c:v>6</c:v>
                </c:pt>
                <c:pt idx="4323">
                  <c:v>15</c:v>
                </c:pt>
                <c:pt idx="4324">
                  <c:v>80</c:v>
                </c:pt>
                <c:pt idx="4325">
                  <c:v>54</c:v>
                </c:pt>
                <c:pt idx="4326">
                  <c:v>79</c:v>
                </c:pt>
                <c:pt idx="4327">
                  <c:v>60</c:v>
                </c:pt>
                <c:pt idx="4328">
                  <c:v>12</c:v>
                </c:pt>
                <c:pt idx="4329">
                  <c:v>36</c:v>
                </c:pt>
                <c:pt idx="4330">
                  <c:v>54</c:v>
                </c:pt>
                <c:pt idx="4331">
                  <c:v>63</c:v>
                </c:pt>
                <c:pt idx="4332">
                  <c:v>2</c:v>
                </c:pt>
                <c:pt idx="4333">
                  <c:v>28</c:v>
                </c:pt>
                <c:pt idx="4334">
                  <c:v>38</c:v>
                </c:pt>
                <c:pt idx="4335">
                  <c:v>37</c:v>
                </c:pt>
                <c:pt idx="4336">
                  <c:v>80</c:v>
                </c:pt>
                <c:pt idx="4337">
                  <c:v>43</c:v>
                </c:pt>
                <c:pt idx="4338">
                  <c:v>60</c:v>
                </c:pt>
                <c:pt idx="4339">
                  <c:v>66</c:v>
                </c:pt>
                <c:pt idx="4340">
                  <c:v>45</c:v>
                </c:pt>
                <c:pt idx="4341">
                  <c:v>29</c:v>
                </c:pt>
                <c:pt idx="4342">
                  <c:v>4</c:v>
                </c:pt>
                <c:pt idx="4343">
                  <c:v>48</c:v>
                </c:pt>
                <c:pt idx="4344">
                  <c:v>68</c:v>
                </c:pt>
                <c:pt idx="4345">
                  <c:v>57</c:v>
                </c:pt>
                <c:pt idx="4346">
                  <c:v>29</c:v>
                </c:pt>
                <c:pt idx="4347">
                  <c:v>30</c:v>
                </c:pt>
                <c:pt idx="4348">
                  <c:v>47</c:v>
                </c:pt>
                <c:pt idx="4349">
                  <c:v>73</c:v>
                </c:pt>
                <c:pt idx="4350">
                  <c:v>66</c:v>
                </c:pt>
                <c:pt idx="4351">
                  <c:v>39</c:v>
                </c:pt>
                <c:pt idx="4352">
                  <c:v>66</c:v>
                </c:pt>
                <c:pt idx="4353">
                  <c:v>52</c:v>
                </c:pt>
                <c:pt idx="4354">
                  <c:v>34</c:v>
                </c:pt>
                <c:pt idx="4355">
                  <c:v>79</c:v>
                </c:pt>
                <c:pt idx="4356">
                  <c:v>39</c:v>
                </c:pt>
                <c:pt idx="4357">
                  <c:v>61</c:v>
                </c:pt>
                <c:pt idx="4358">
                  <c:v>26</c:v>
                </c:pt>
                <c:pt idx="4359">
                  <c:v>37</c:v>
                </c:pt>
                <c:pt idx="4360">
                  <c:v>66</c:v>
                </c:pt>
                <c:pt idx="4361">
                  <c:v>16</c:v>
                </c:pt>
                <c:pt idx="4362">
                  <c:v>51</c:v>
                </c:pt>
                <c:pt idx="4363">
                  <c:v>15</c:v>
                </c:pt>
                <c:pt idx="4364">
                  <c:v>1.72</c:v>
                </c:pt>
                <c:pt idx="4365">
                  <c:v>60</c:v>
                </c:pt>
                <c:pt idx="4366">
                  <c:v>66</c:v>
                </c:pt>
                <c:pt idx="4367">
                  <c:v>75</c:v>
                </c:pt>
                <c:pt idx="4368">
                  <c:v>40</c:v>
                </c:pt>
                <c:pt idx="4369">
                  <c:v>52</c:v>
                </c:pt>
                <c:pt idx="4370">
                  <c:v>13</c:v>
                </c:pt>
                <c:pt idx="4371">
                  <c:v>44</c:v>
                </c:pt>
                <c:pt idx="4372">
                  <c:v>37</c:v>
                </c:pt>
                <c:pt idx="4373">
                  <c:v>2</c:v>
                </c:pt>
                <c:pt idx="4374">
                  <c:v>48</c:v>
                </c:pt>
                <c:pt idx="4375">
                  <c:v>81</c:v>
                </c:pt>
                <c:pt idx="4376">
                  <c:v>76</c:v>
                </c:pt>
                <c:pt idx="4377">
                  <c:v>58</c:v>
                </c:pt>
                <c:pt idx="4378">
                  <c:v>11</c:v>
                </c:pt>
                <c:pt idx="4379">
                  <c:v>9</c:v>
                </c:pt>
                <c:pt idx="4380">
                  <c:v>54</c:v>
                </c:pt>
                <c:pt idx="4381">
                  <c:v>37</c:v>
                </c:pt>
                <c:pt idx="4382">
                  <c:v>16</c:v>
                </c:pt>
                <c:pt idx="4383">
                  <c:v>11</c:v>
                </c:pt>
                <c:pt idx="4384">
                  <c:v>32</c:v>
                </c:pt>
                <c:pt idx="4385">
                  <c:v>26</c:v>
                </c:pt>
                <c:pt idx="4386">
                  <c:v>21</c:v>
                </c:pt>
                <c:pt idx="4387">
                  <c:v>45</c:v>
                </c:pt>
                <c:pt idx="4388">
                  <c:v>40</c:v>
                </c:pt>
                <c:pt idx="4389">
                  <c:v>41</c:v>
                </c:pt>
                <c:pt idx="4390">
                  <c:v>71</c:v>
                </c:pt>
                <c:pt idx="4391">
                  <c:v>16</c:v>
                </c:pt>
                <c:pt idx="4392">
                  <c:v>7</c:v>
                </c:pt>
                <c:pt idx="4393">
                  <c:v>27</c:v>
                </c:pt>
                <c:pt idx="4394">
                  <c:v>22</c:v>
                </c:pt>
                <c:pt idx="4395">
                  <c:v>79</c:v>
                </c:pt>
                <c:pt idx="4396">
                  <c:v>38</c:v>
                </c:pt>
                <c:pt idx="4397">
                  <c:v>64</c:v>
                </c:pt>
                <c:pt idx="4398">
                  <c:v>4</c:v>
                </c:pt>
                <c:pt idx="4399">
                  <c:v>23</c:v>
                </c:pt>
                <c:pt idx="4400">
                  <c:v>35</c:v>
                </c:pt>
                <c:pt idx="4401">
                  <c:v>66</c:v>
                </c:pt>
                <c:pt idx="4402">
                  <c:v>34</c:v>
                </c:pt>
                <c:pt idx="4403">
                  <c:v>19</c:v>
                </c:pt>
                <c:pt idx="4404">
                  <c:v>73</c:v>
                </c:pt>
                <c:pt idx="4405">
                  <c:v>70</c:v>
                </c:pt>
                <c:pt idx="4406">
                  <c:v>45</c:v>
                </c:pt>
                <c:pt idx="4407">
                  <c:v>34</c:v>
                </c:pt>
                <c:pt idx="4408">
                  <c:v>81</c:v>
                </c:pt>
                <c:pt idx="4409">
                  <c:v>0.72</c:v>
                </c:pt>
                <c:pt idx="4410">
                  <c:v>13</c:v>
                </c:pt>
                <c:pt idx="4411">
                  <c:v>57</c:v>
                </c:pt>
                <c:pt idx="4412">
                  <c:v>38</c:v>
                </c:pt>
                <c:pt idx="4413">
                  <c:v>21</c:v>
                </c:pt>
                <c:pt idx="4414">
                  <c:v>38</c:v>
                </c:pt>
                <c:pt idx="4415">
                  <c:v>41</c:v>
                </c:pt>
                <c:pt idx="4416">
                  <c:v>26</c:v>
                </c:pt>
                <c:pt idx="4417">
                  <c:v>48</c:v>
                </c:pt>
                <c:pt idx="4418">
                  <c:v>18</c:v>
                </c:pt>
                <c:pt idx="4419">
                  <c:v>66</c:v>
                </c:pt>
                <c:pt idx="4420">
                  <c:v>27</c:v>
                </c:pt>
                <c:pt idx="4421">
                  <c:v>18</c:v>
                </c:pt>
                <c:pt idx="4422">
                  <c:v>20</c:v>
                </c:pt>
                <c:pt idx="4423">
                  <c:v>11</c:v>
                </c:pt>
                <c:pt idx="4424">
                  <c:v>7</c:v>
                </c:pt>
                <c:pt idx="4425">
                  <c:v>54</c:v>
                </c:pt>
                <c:pt idx="4426">
                  <c:v>43</c:v>
                </c:pt>
                <c:pt idx="4427">
                  <c:v>61</c:v>
                </c:pt>
                <c:pt idx="4428">
                  <c:v>31</c:v>
                </c:pt>
                <c:pt idx="4429">
                  <c:v>40</c:v>
                </c:pt>
                <c:pt idx="4430">
                  <c:v>71</c:v>
                </c:pt>
                <c:pt idx="4431">
                  <c:v>57</c:v>
                </c:pt>
                <c:pt idx="4432">
                  <c:v>13</c:v>
                </c:pt>
                <c:pt idx="4433">
                  <c:v>21</c:v>
                </c:pt>
                <c:pt idx="4434">
                  <c:v>63</c:v>
                </c:pt>
                <c:pt idx="4435">
                  <c:v>7</c:v>
                </c:pt>
                <c:pt idx="4436">
                  <c:v>78</c:v>
                </c:pt>
                <c:pt idx="4437">
                  <c:v>66</c:v>
                </c:pt>
                <c:pt idx="4438">
                  <c:v>41</c:v>
                </c:pt>
                <c:pt idx="4439">
                  <c:v>11</c:v>
                </c:pt>
                <c:pt idx="4440">
                  <c:v>55</c:v>
                </c:pt>
                <c:pt idx="4441">
                  <c:v>42</c:v>
                </c:pt>
                <c:pt idx="4442">
                  <c:v>51</c:v>
                </c:pt>
                <c:pt idx="4443">
                  <c:v>79</c:v>
                </c:pt>
                <c:pt idx="4444">
                  <c:v>28</c:v>
                </c:pt>
                <c:pt idx="4445">
                  <c:v>73</c:v>
                </c:pt>
                <c:pt idx="4446">
                  <c:v>42</c:v>
                </c:pt>
                <c:pt idx="4447">
                  <c:v>37</c:v>
                </c:pt>
                <c:pt idx="4448">
                  <c:v>78</c:v>
                </c:pt>
                <c:pt idx="4449">
                  <c:v>74</c:v>
                </c:pt>
                <c:pt idx="4450">
                  <c:v>59</c:v>
                </c:pt>
                <c:pt idx="4451">
                  <c:v>78</c:v>
                </c:pt>
                <c:pt idx="4452">
                  <c:v>82</c:v>
                </c:pt>
                <c:pt idx="4453">
                  <c:v>71</c:v>
                </c:pt>
                <c:pt idx="4454">
                  <c:v>19</c:v>
                </c:pt>
                <c:pt idx="4455">
                  <c:v>18</c:v>
                </c:pt>
                <c:pt idx="4456">
                  <c:v>53</c:v>
                </c:pt>
                <c:pt idx="4457">
                  <c:v>62</c:v>
                </c:pt>
                <c:pt idx="4458">
                  <c:v>3</c:v>
                </c:pt>
                <c:pt idx="4459">
                  <c:v>49</c:v>
                </c:pt>
                <c:pt idx="4460">
                  <c:v>51</c:v>
                </c:pt>
                <c:pt idx="4461">
                  <c:v>53</c:v>
                </c:pt>
                <c:pt idx="4462">
                  <c:v>10</c:v>
                </c:pt>
                <c:pt idx="4463">
                  <c:v>54</c:v>
                </c:pt>
                <c:pt idx="4464">
                  <c:v>40</c:v>
                </c:pt>
                <c:pt idx="4465">
                  <c:v>3</c:v>
                </c:pt>
                <c:pt idx="4466">
                  <c:v>12</c:v>
                </c:pt>
                <c:pt idx="4467">
                  <c:v>56</c:v>
                </c:pt>
                <c:pt idx="4468">
                  <c:v>43</c:v>
                </c:pt>
                <c:pt idx="4469">
                  <c:v>28</c:v>
                </c:pt>
                <c:pt idx="4470">
                  <c:v>28</c:v>
                </c:pt>
                <c:pt idx="4471">
                  <c:v>56</c:v>
                </c:pt>
                <c:pt idx="4472">
                  <c:v>14</c:v>
                </c:pt>
                <c:pt idx="4473">
                  <c:v>63</c:v>
                </c:pt>
                <c:pt idx="4474">
                  <c:v>29</c:v>
                </c:pt>
                <c:pt idx="4475">
                  <c:v>48</c:v>
                </c:pt>
                <c:pt idx="4476">
                  <c:v>47</c:v>
                </c:pt>
                <c:pt idx="4477">
                  <c:v>63</c:v>
                </c:pt>
                <c:pt idx="4478">
                  <c:v>40</c:v>
                </c:pt>
                <c:pt idx="4479">
                  <c:v>40</c:v>
                </c:pt>
                <c:pt idx="4480">
                  <c:v>55</c:v>
                </c:pt>
                <c:pt idx="4481">
                  <c:v>43</c:v>
                </c:pt>
                <c:pt idx="4482">
                  <c:v>59</c:v>
                </c:pt>
                <c:pt idx="4483">
                  <c:v>78</c:v>
                </c:pt>
                <c:pt idx="4484">
                  <c:v>27</c:v>
                </c:pt>
                <c:pt idx="4485">
                  <c:v>49</c:v>
                </c:pt>
                <c:pt idx="4486">
                  <c:v>14</c:v>
                </c:pt>
                <c:pt idx="4487">
                  <c:v>17</c:v>
                </c:pt>
                <c:pt idx="4488">
                  <c:v>42</c:v>
                </c:pt>
                <c:pt idx="4489">
                  <c:v>36</c:v>
                </c:pt>
                <c:pt idx="4490">
                  <c:v>19</c:v>
                </c:pt>
                <c:pt idx="4491">
                  <c:v>55</c:v>
                </c:pt>
                <c:pt idx="4492">
                  <c:v>8</c:v>
                </c:pt>
                <c:pt idx="4493">
                  <c:v>56</c:v>
                </c:pt>
                <c:pt idx="4494">
                  <c:v>54</c:v>
                </c:pt>
                <c:pt idx="4495">
                  <c:v>15</c:v>
                </c:pt>
                <c:pt idx="4496">
                  <c:v>43</c:v>
                </c:pt>
                <c:pt idx="4497">
                  <c:v>52</c:v>
                </c:pt>
                <c:pt idx="4498">
                  <c:v>62</c:v>
                </c:pt>
                <c:pt idx="4499">
                  <c:v>54</c:v>
                </c:pt>
                <c:pt idx="4500">
                  <c:v>60</c:v>
                </c:pt>
                <c:pt idx="4501">
                  <c:v>7</c:v>
                </c:pt>
                <c:pt idx="4502">
                  <c:v>3</c:v>
                </c:pt>
                <c:pt idx="4503">
                  <c:v>39</c:v>
                </c:pt>
                <c:pt idx="4504">
                  <c:v>60</c:v>
                </c:pt>
                <c:pt idx="4505">
                  <c:v>60</c:v>
                </c:pt>
                <c:pt idx="4506">
                  <c:v>46</c:v>
                </c:pt>
                <c:pt idx="4507">
                  <c:v>26</c:v>
                </c:pt>
                <c:pt idx="4508">
                  <c:v>12</c:v>
                </c:pt>
                <c:pt idx="4509">
                  <c:v>16</c:v>
                </c:pt>
                <c:pt idx="4510">
                  <c:v>2</c:v>
                </c:pt>
                <c:pt idx="4511">
                  <c:v>82</c:v>
                </c:pt>
                <c:pt idx="4512">
                  <c:v>32</c:v>
                </c:pt>
                <c:pt idx="4513">
                  <c:v>62</c:v>
                </c:pt>
                <c:pt idx="4514">
                  <c:v>75</c:v>
                </c:pt>
                <c:pt idx="4515">
                  <c:v>81</c:v>
                </c:pt>
                <c:pt idx="4516">
                  <c:v>37</c:v>
                </c:pt>
                <c:pt idx="4517">
                  <c:v>28</c:v>
                </c:pt>
                <c:pt idx="4518">
                  <c:v>25</c:v>
                </c:pt>
                <c:pt idx="4519">
                  <c:v>44</c:v>
                </c:pt>
                <c:pt idx="4520">
                  <c:v>11</c:v>
                </c:pt>
                <c:pt idx="4521">
                  <c:v>54</c:v>
                </c:pt>
                <c:pt idx="4522">
                  <c:v>52</c:v>
                </c:pt>
                <c:pt idx="4523">
                  <c:v>43</c:v>
                </c:pt>
                <c:pt idx="4524">
                  <c:v>56</c:v>
                </c:pt>
                <c:pt idx="4525">
                  <c:v>37</c:v>
                </c:pt>
                <c:pt idx="4526">
                  <c:v>60</c:v>
                </c:pt>
                <c:pt idx="4527">
                  <c:v>4</c:v>
                </c:pt>
                <c:pt idx="4528">
                  <c:v>51</c:v>
                </c:pt>
                <c:pt idx="4529">
                  <c:v>82</c:v>
                </c:pt>
                <c:pt idx="4530">
                  <c:v>56</c:v>
                </c:pt>
                <c:pt idx="4531">
                  <c:v>60</c:v>
                </c:pt>
                <c:pt idx="4532">
                  <c:v>35</c:v>
                </c:pt>
                <c:pt idx="4533">
                  <c:v>32</c:v>
                </c:pt>
                <c:pt idx="4534">
                  <c:v>45</c:v>
                </c:pt>
                <c:pt idx="4535">
                  <c:v>10</c:v>
                </c:pt>
                <c:pt idx="4536">
                  <c:v>68</c:v>
                </c:pt>
                <c:pt idx="4537">
                  <c:v>51</c:v>
                </c:pt>
                <c:pt idx="4538">
                  <c:v>8</c:v>
                </c:pt>
                <c:pt idx="4539">
                  <c:v>63</c:v>
                </c:pt>
                <c:pt idx="4540">
                  <c:v>4</c:v>
                </c:pt>
                <c:pt idx="4541">
                  <c:v>33</c:v>
                </c:pt>
                <c:pt idx="4542">
                  <c:v>56</c:v>
                </c:pt>
                <c:pt idx="4543">
                  <c:v>49</c:v>
                </c:pt>
                <c:pt idx="4544">
                  <c:v>30</c:v>
                </c:pt>
                <c:pt idx="4545">
                  <c:v>16</c:v>
                </c:pt>
                <c:pt idx="4546">
                  <c:v>1.8</c:v>
                </c:pt>
                <c:pt idx="4547">
                  <c:v>54</c:v>
                </c:pt>
                <c:pt idx="4548">
                  <c:v>49</c:v>
                </c:pt>
                <c:pt idx="4549">
                  <c:v>17</c:v>
                </c:pt>
                <c:pt idx="4550">
                  <c:v>11</c:v>
                </c:pt>
                <c:pt idx="4551">
                  <c:v>51</c:v>
                </c:pt>
                <c:pt idx="4552">
                  <c:v>74</c:v>
                </c:pt>
                <c:pt idx="4553">
                  <c:v>42</c:v>
                </c:pt>
                <c:pt idx="4554">
                  <c:v>69</c:v>
                </c:pt>
                <c:pt idx="4555">
                  <c:v>22</c:v>
                </c:pt>
                <c:pt idx="4556">
                  <c:v>25</c:v>
                </c:pt>
                <c:pt idx="4557">
                  <c:v>17</c:v>
                </c:pt>
                <c:pt idx="4558">
                  <c:v>64</c:v>
                </c:pt>
                <c:pt idx="4559">
                  <c:v>50</c:v>
                </c:pt>
                <c:pt idx="4560">
                  <c:v>52</c:v>
                </c:pt>
                <c:pt idx="4561">
                  <c:v>65</c:v>
                </c:pt>
                <c:pt idx="4562">
                  <c:v>37</c:v>
                </c:pt>
                <c:pt idx="4563">
                  <c:v>31</c:v>
                </c:pt>
                <c:pt idx="4564">
                  <c:v>52</c:v>
                </c:pt>
                <c:pt idx="4565">
                  <c:v>56</c:v>
                </c:pt>
                <c:pt idx="4566">
                  <c:v>43</c:v>
                </c:pt>
                <c:pt idx="4567">
                  <c:v>11</c:v>
                </c:pt>
                <c:pt idx="4568">
                  <c:v>2</c:v>
                </c:pt>
                <c:pt idx="4569">
                  <c:v>16</c:v>
                </c:pt>
                <c:pt idx="4570">
                  <c:v>23</c:v>
                </c:pt>
                <c:pt idx="4571">
                  <c:v>40</c:v>
                </c:pt>
                <c:pt idx="4572">
                  <c:v>15</c:v>
                </c:pt>
                <c:pt idx="4573">
                  <c:v>48</c:v>
                </c:pt>
                <c:pt idx="4574">
                  <c:v>33</c:v>
                </c:pt>
                <c:pt idx="4575">
                  <c:v>46</c:v>
                </c:pt>
                <c:pt idx="4576">
                  <c:v>53</c:v>
                </c:pt>
                <c:pt idx="4577">
                  <c:v>68</c:v>
                </c:pt>
                <c:pt idx="4578">
                  <c:v>60</c:v>
                </c:pt>
                <c:pt idx="4579">
                  <c:v>57</c:v>
                </c:pt>
                <c:pt idx="4580">
                  <c:v>51</c:v>
                </c:pt>
                <c:pt idx="4581">
                  <c:v>0.4</c:v>
                </c:pt>
                <c:pt idx="4582">
                  <c:v>76</c:v>
                </c:pt>
                <c:pt idx="4583">
                  <c:v>46</c:v>
                </c:pt>
                <c:pt idx="4584">
                  <c:v>23</c:v>
                </c:pt>
                <c:pt idx="4585">
                  <c:v>9</c:v>
                </c:pt>
                <c:pt idx="4586">
                  <c:v>53</c:v>
                </c:pt>
                <c:pt idx="4587">
                  <c:v>4</c:v>
                </c:pt>
                <c:pt idx="4588">
                  <c:v>62</c:v>
                </c:pt>
                <c:pt idx="4589">
                  <c:v>37</c:v>
                </c:pt>
                <c:pt idx="4590">
                  <c:v>82</c:v>
                </c:pt>
                <c:pt idx="4591">
                  <c:v>33</c:v>
                </c:pt>
                <c:pt idx="4592">
                  <c:v>3</c:v>
                </c:pt>
                <c:pt idx="4593">
                  <c:v>14</c:v>
                </c:pt>
                <c:pt idx="4594">
                  <c:v>16</c:v>
                </c:pt>
                <c:pt idx="4595">
                  <c:v>40</c:v>
                </c:pt>
                <c:pt idx="4596">
                  <c:v>18</c:v>
                </c:pt>
                <c:pt idx="4597">
                  <c:v>29</c:v>
                </c:pt>
                <c:pt idx="4598">
                  <c:v>56</c:v>
                </c:pt>
                <c:pt idx="4599">
                  <c:v>33</c:v>
                </c:pt>
                <c:pt idx="4600">
                  <c:v>2</c:v>
                </c:pt>
                <c:pt idx="4601">
                  <c:v>36</c:v>
                </c:pt>
                <c:pt idx="4602">
                  <c:v>30</c:v>
                </c:pt>
                <c:pt idx="4603">
                  <c:v>31</c:v>
                </c:pt>
                <c:pt idx="4604">
                  <c:v>16</c:v>
                </c:pt>
                <c:pt idx="4605">
                  <c:v>58</c:v>
                </c:pt>
                <c:pt idx="4606">
                  <c:v>19</c:v>
                </c:pt>
                <c:pt idx="4607">
                  <c:v>47</c:v>
                </c:pt>
                <c:pt idx="4608">
                  <c:v>59</c:v>
                </c:pt>
                <c:pt idx="4609">
                  <c:v>40</c:v>
                </c:pt>
                <c:pt idx="4610">
                  <c:v>26</c:v>
                </c:pt>
                <c:pt idx="4611">
                  <c:v>17</c:v>
                </c:pt>
                <c:pt idx="4612">
                  <c:v>30</c:v>
                </c:pt>
                <c:pt idx="4613">
                  <c:v>19</c:v>
                </c:pt>
                <c:pt idx="4614">
                  <c:v>78</c:v>
                </c:pt>
                <c:pt idx="4615">
                  <c:v>55</c:v>
                </c:pt>
                <c:pt idx="4616">
                  <c:v>59</c:v>
                </c:pt>
                <c:pt idx="4617">
                  <c:v>57</c:v>
                </c:pt>
                <c:pt idx="4618">
                  <c:v>33</c:v>
                </c:pt>
                <c:pt idx="4619">
                  <c:v>35</c:v>
                </c:pt>
                <c:pt idx="4620">
                  <c:v>32</c:v>
                </c:pt>
                <c:pt idx="4621">
                  <c:v>55</c:v>
                </c:pt>
                <c:pt idx="4622">
                  <c:v>28</c:v>
                </c:pt>
                <c:pt idx="4623">
                  <c:v>25</c:v>
                </c:pt>
                <c:pt idx="4624">
                  <c:v>45</c:v>
                </c:pt>
                <c:pt idx="4625">
                  <c:v>34</c:v>
                </c:pt>
                <c:pt idx="4626">
                  <c:v>33</c:v>
                </c:pt>
                <c:pt idx="4627">
                  <c:v>65</c:v>
                </c:pt>
                <c:pt idx="4628">
                  <c:v>62</c:v>
                </c:pt>
                <c:pt idx="4629">
                  <c:v>36</c:v>
                </c:pt>
                <c:pt idx="4630">
                  <c:v>31</c:v>
                </c:pt>
                <c:pt idx="4631">
                  <c:v>54</c:v>
                </c:pt>
                <c:pt idx="4632">
                  <c:v>53</c:v>
                </c:pt>
                <c:pt idx="4633">
                  <c:v>44</c:v>
                </c:pt>
                <c:pt idx="4634">
                  <c:v>77</c:v>
                </c:pt>
                <c:pt idx="4635">
                  <c:v>67</c:v>
                </c:pt>
                <c:pt idx="4636">
                  <c:v>48</c:v>
                </c:pt>
                <c:pt idx="4637">
                  <c:v>42</c:v>
                </c:pt>
                <c:pt idx="4638">
                  <c:v>72</c:v>
                </c:pt>
                <c:pt idx="4639">
                  <c:v>49</c:v>
                </c:pt>
                <c:pt idx="4640">
                  <c:v>1.32</c:v>
                </c:pt>
                <c:pt idx="4641">
                  <c:v>45</c:v>
                </c:pt>
                <c:pt idx="4642">
                  <c:v>63</c:v>
                </c:pt>
                <c:pt idx="4643">
                  <c:v>33</c:v>
                </c:pt>
                <c:pt idx="4644">
                  <c:v>32</c:v>
                </c:pt>
                <c:pt idx="4645">
                  <c:v>0.48</c:v>
                </c:pt>
                <c:pt idx="4646">
                  <c:v>63</c:v>
                </c:pt>
                <c:pt idx="4647">
                  <c:v>70</c:v>
                </c:pt>
                <c:pt idx="4648">
                  <c:v>57</c:v>
                </c:pt>
                <c:pt idx="4649">
                  <c:v>8</c:v>
                </c:pt>
                <c:pt idx="4650">
                  <c:v>54</c:v>
                </c:pt>
                <c:pt idx="4651">
                  <c:v>37</c:v>
                </c:pt>
                <c:pt idx="4652">
                  <c:v>59</c:v>
                </c:pt>
                <c:pt idx="4653">
                  <c:v>78</c:v>
                </c:pt>
                <c:pt idx="4654">
                  <c:v>59</c:v>
                </c:pt>
                <c:pt idx="4655">
                  <c:v>10</c:v>
                </c:pt>
                <c:pt idx="4656">
                  <c:v>21</c:v>
                </c:pt>
                <c:pt idx="4657">
                  <c:v>2</c:v>
                </c:pt>
                <c:pt idx="4658">
                  <c:v>55</c:v>
                </c:pt>
                <c:pt idx="4659">
                  <c:v>20</c:v>
                </c:pt>
                <c:pt idx="4660">
                  <c:v>38</c:v>
                </c:pt>
                <c:pt idx="4661">
                  <c:v>33</c:v>
                </c:pt>
                <c:pt idx="4662">
                  <c:v>14</c:v>
                </c:pt>
                <c:pt idx="4663">
                  <c:v>32</c:v>
                </c:pt>
                <c:pt idx="4664">
                  <c:v>32</c:v>
                </c:pt>
                <c:pt idx="4665">
                  <c:v>68</c:v>
                </c:pt>
                <c:pt idx="4666">
                  <c:v>70</c:v>
                </c:pt>
                <c:pt idx="4667">
                  <c:v>24</c:v>
                </c:pt>
                <c:pt idx="4668">
                  <c:v>44</c:v>
                </c:pt>
                <c:pt idx="4669">
                  <c:v>39</c:v>
                </c:pt>
                <c:pt idx="4670">
                  <c:v>81</c:v>
                </c:pt>
                <c:pt idx="4671">
                  <c:v>19</c:v>
                </c:pt>
                <c:pt idx="4672">
                  <c:v>69</c:v>
                </c:pt>
                <c:pt idx="4673">
                  <c:v>42</c:v>
                </c:pt>
                <c:pt idx="4674">
                  <c:v>8</c:v>
                </c:pt>
                <c:pt idx="4675">
                  <c:v>8</c:v>
                </c:pt>
                <c:pt idx="4676">
                  <c:v>28</c:v>
                </c:pt>
                <c:pt idx="4677">
                  <c:v>66</c:v>
                </c:pt>
                <c:pt idx="4678">
                  <c:v>66</c:v>
                </c:pt>
                <c:pt idx="4679">
                  <c:v>47</c:v>
                </c:pt>
                <c:pt idx="4680">
                  <c:v>78</c:v>
                </c:pt>
                <c:pt idx="4681">
                  <c:v>65</c:v>
                </c:pt>
                <c:pt idx="4682">
                  <c:v>78</c:v>
                </c:pt>
                <c:pt idx="4683">
                  <c:v>68</c:v>
                </c:pt>
                <c:pt idx="4684">
                  <c:v>78</c:v>
                </c:pt>
                <c:pt idx="4685">
                  <c:v>65</c:v>
                </c:pt>
                <c:pt idx="4686">
                  <c:v>70</c:v>
                </c:pt>
                <c:pt idx="4687">
                  <c:v>59</c:v>
                </c:pt>
                <c:pt idx="4688">
                  <c:v>31</c:v>
                </c:pt>
                <c:pt idx="4689">
                  <c:v>32</c:v>
                </c:pt>
                <c:pt idx="4690">
                  <c:v>5</c:v>
                </c:pt>
                <c:pt idx="4691">
                  <c:v>55</c:v>
                </c:pt>
                <c:pt idx="4692">
                  <c:v>61</c:v>
                </c:pt>
                <c:pt idx="4693">
                  <c:v>48</c:v>
                </c:pt>
                <c:pt idx="4694">
                  <c:v>1.1599999999999999</c:v>
                </c:pt>
                <c:pt idx="4695">
                  <c:v>50</c:v>
                </c:pt>
                <c:pt idx="4696">
                  <c:v>63</c:v>
                </c:pt>
                <c:pt idx="4697">
                  <c:v>67</c:v>
                </c:pt>
                <c:pt idx="4698">
                  <c:v>43</c:v>
                </c:pt>
                <c:pt idx="4699">
                  <c:v>59</c:v>
                </c:pt>
                <c:pt idx="4700">
                  <c:v>47</c:v>
                </c:pt>
                <c:pt idx="4701">
                  <c:v>50</c:v>
                </c:pt>
                <c:pt idx="4702">
                  <c:v>51</c:v>
                </c:pt>
                <c:pt idx="4703">
                  <c:v>44</c:v>
                </c:pt>
                <c:pt idx="4704">
                  <c:v>39</c:v>
                </c:pt>
                <c:pt idx="4705">
                  <c:v>24</c:v>
                </c:pt>
                <c:pt idx="4706">
                  <c:v>62</c:v>
                </c:pt>
                <c:pt idx="4707">
                  <c:v>61</c:v>
                </c:pt>
                <c:pt idx="4708">
                  <c:v>78</c:v>
                </c:pt>
                <c:pt idx="4709">
                  <c:v>15</c:v>
                </c:pt>
                <c:pt idx="4710">
                  <c:v>23</c:v>
                </c:pt>
                <c:pt idx="4711">
                  <c:v>79</c:v>
                </c:pt>
                <c:pt idx="4712">
                  <c:v>57</c:v>
                </c:pt>
                <c:pt idx="4713">
                  <c:v>70</c:v>
                </c:pt>
                <c:pt idx="4714">
                  <c:v>9</c:v>
                </c:pt>
                <c:pt idx="4715">
                  <c:v>55</c:v>
                </c:pt>
                <c:pt idx="4716">
                  <c:v>82</c:v>
                </c:pt>
                <c:pt idx="4717">
                  <c:v>19</c:v>
                </c:pt>
                <c:pt idx="4718">
                  <c:v>41</c:v>
                </c:pt>
                <c:pt idx="4719">
                  <c:v>79</c:v>
                </c:pt>
                <c:pt idx="4720">
                  <c:v>23</c:v>
                </c:pt>
                <c:pt idx="4721">
                  <c:v>77</c:v>
                </c:pt>
                <c:pt idx="4722">
                  <c:v>78</c:v>
                </c:pt>
                <c:pt idx="4723">
                  <c:v>24</c:v>
                </c:pt>
                <c:pt idx="4724">
                  <c:v>81</c:v>
                </c:pt>
                <c:pt idx="4725">
                  <c:v>46</c:v>
                </c:pt>
                <c:pt idx="4726">
                  <c:v>29</c:v>
                </c:pt>
                <c:pt idx="4727">
                  <c:v>59</c:v>
                </c:pt>
                <c:pt idx="4728">
                  <c:v>41</c:v>
                </c:pt>
                <c:pt idx="4729">
                  <c:v>17</c:v>
                </c:pt>
                <c:pt idx="4730">
                  <c:v>8</c:v>
                </c:pt>
                <c:pt idx="4731">
                  <c:v>23</c:v>
                </c:pt>
                <c:pt idx="4732">
                  <c:v>45</c:v>
                </c:pt>
                <c:pt idx="4733">
                  <c:v>67</c:v>
                </c:pt>
                <c:pt idx="4734">
                  <c:v>78</c:v>
                </c:pt>
                <c:pt idx="4735">
                  <c:v>18</c:v>
                </c:pt>
                <c:pt idx="4736">
                  <c:v>35</c:v>
                </c:pt>
                <c:pt idx="4737">
                  <c:v>54</c:v>
                </c:pt>
                <c:pt idx="4738">
                  <c:v>71</c:v>
                </c:pt>
                <c:pt idx="4739">
                  <c:v>24</c:v>
                </c:pt>
                <c:pt idx="4740">
                  <c:v>60</c:v>
                </c:pt>
                <c:pt idx="4741">
                  <c:v>75</c:v>
                </c:pt>
                <c:pt idx="4742">
                  <c:v>48</c:v>
                </c:pt>
                <c:pt idx="4743">
                  <c:v>62</c:v>
                </c:pt>
                <c:pt idx="4744">
                  <c:v>20</c:v>
                </c:pt>
                <c:pt idx="4745">
                  <c:v>69</c:v>
                </c:pt>
                <c:pt idx="4746">
                  <c:v>60</c:v>
                </c:pt>
                <c:pt idx="4747">
                  <c:v>12</c:v>
                </c:pt>
                <c:pt idx="4748">
                  <c:v>28</c:v>
                </c:pt>
                <c:pt idx="4749">
                  <c:v>55</c:v>
                </c:pt>
                <c:pt idx="4750">
                  <c:v>70</c:v>
                </c:pt>
                <c:pt idx="4751">
                  <c:v>51</c:v>
                </c:pt>
                <c:pt idx="4752">
                  <c:v>16</c:v>
                </c:pt>
                <c:pt idx="4753">
                  <c:v>56</c:v>
                </c:pt>
                <c:pt idx="4754">
                  <c:v>52</c:v>
                </c:pt>
                <c:pt idx="4755">
                  <c:v>59</c:v>
                </c:pt>
                <c:pt idx="4756">
                  <c:v>9</c:v>
                </c:pt>
                <c:pt idx="4757">
                  <c:v>34</c:v>
                </c:pt>
                <c:pt idx="4758">
                  <c:v>47</c:v>
                </c:pt>
                <c:pt idx="4759">
                  <c:v>46</c:v>
                </c:pt>
                <c:pt idx="4760">
                  <c:v>49</c:v>
                </c:pt>
                <c:pt idx="4761">
                  <c:v>10</c:v>
                </c:pt>
                <c:pt idx="4762">
                  <c:v>76</c:v>
                </c:pt>
                <c:pt idx="4763">
                  <c:v>82</c:v>
                </c:pt>
                <c:pt idx="4764">
                  <c:v>3</c:v>
                </c:pt>
                <c:pt idx="4765">
                  <c:v>76</c:v>
                </c:pt>
                <c:pt idx="4766">
                  <c:v>16</c:v>
                </c:pt>
                <c:pt idx="4767">
                  <c:v>44</c:v>
                </c:pt>
                <c:pt idx="4768">
                  <c:v>17</c:v>
                </c:pt>
                <c:pt idx="4769">
                  <c:v>73</c:v>
                </c:pt>
                <c:pt idx="4770">
                  <c:v>31</c:v>
                </c:pt>
                <c:pt idx="4771">
                  <c:v>17</c:v>
                </c:pt>
                <c:pt idx="4772">
                  <c:v>18</c:v>
                </c:pt>
                <c:pt idx="4773">
                  <c:v>73</c:v>
                </c:pt>
                <c:pt idx="4774">
                  <c:v>8</c:v>
                </c:pt>
                <c:pt idx="4775">
                  <c:v>42</c:v>
                </c:pt>
                <c:pt idx="4776">
                  <c:v>40</c:v>
                </c:pt>
                <c:pt idx="4777">
                  <c:v>79</c:v>
                </c:pt>
                <c:pt idx="4778">
                  <c:v>53</c:v>
                </c:pt>
                <c:pt idx="4779">
                  <c:v>58</c:v>
                </c:pt>
                <c:pt idx="4780">
                  <c:v>48</c:v>
                </c:pt>
                <c:pt idx="4781">
                  <c:v>17</c:v>
                </c:pt>
                <c:pt idx="4782">
                  <c:v>23</c:v>
                </c:pt>
                <c:pt idx="4783">
                  <c:v>9</c:v>
                </c:pt>
                <c:pt idx="4784">
                  <c:v>81</c:v>
                </c:pt>
                <c:pt idx="4785">
                  <c:v>16</c:v>
                </c:pt>
                <c:pt idx="4786">
                  <c:v>21</c:v>
                </c:pt>
                <c:pt idx="4787">
                  <c:v>29</c:v>
                </c:pt>
                <c:pt idx="4788">
                  <c:v>8</c:v>
                </c:pt>
                <c:pt idx="4789">
                  <c:v>39</c:v>
                </c:pt>
                <c:pt idx="4790">
                  <c:v>37</c:v>
                </c:pt>
                <c:pt idx="4791">
                  <c:v>64</c:v>
                </c:pt>
                <c:pt idx="4792">
                  <c:v>9</c:v>
                </c:pt>
                <c:pt idx="4793">
                  <c:v>17</c:v>
                </c:pt>
                <c:pt idx="4794">
                  <c:v>8</c:v>
                </c:pt>
                <c:pt idx="4795">
                  <c:v>62</c:v>
                </c:pt>
                <c:pt idx="4796">
                  <c:v>73</c:v>
                </c:pt>
                <c:pt idx="4797">
                  <c:v>48</c:v>
                </c:pt>
                <c:pt idx="4798">
                  <c:v>17</c:v>
                </c:pt>
                <c:pt idx="4799">
                  <c:v>10</c:v>
                </c:pt>
                <c:pt idx="4800">
                  <c:v>74</c:v>
                </c:pt>
                <c:pt idx="4801">
                  <c:v>62</c:v>
                </c:pt>
                <c:pt idx="4802">
                  <c:v>5</c:v>
                </c:pt>
                <c:pt idx="4803">
                  <c:v>43</c:v>
                </c:pt>
                <c:pt idx="4804">
                  <c:v>39</c:v>
                </c:pt>
                <c:pt idx="4805">
                  <c:v>37</c:v>
                </c:pt>
                <c:pt idx="4806">
                  <c:v>15</c:v>
                </c:pt>
                <c:pt idx="4807">
                  <c:v>36</c:v>
                </c:pt>
                <c:pt idx="4808">
                  <c:v>34</c:v>
                </c:pt>
                <c:pt idx="4809">
                  <c:v>75</c:v>
                </c:pt>
                <c:pt idx="4810">
                  <c:v>53</c:v>
                </c:pt>
                <c:pt idx="4811">
                  <c:v>61</c:v>
                </c:pt>
                <c:pt idx="4812">
                  <c:v>45</c:v>
                </c:pt>
                <c:pt idx="4813">
                  <c:v>17</c:v>
                </c:pt>
                <c:pt idx="4814">
                  <c:v>17</c:v>
                </c:pt>
                <c:pt idx="4815">
                  <c:v>19</c:v>
                </c:pt>
                <c:pt idx="4816">
                  <c:v>54</c:v>
                </c:pt>
                <c:pt idx="4817">
                  <c:v>51</c:v>
                </c:pt>
                <c:pt idx="4818">
                  <c:v>44</c:v>
                </c:pt>
                <c:pt idx="4819">
                  <c:v>82</c:v>
                </c:pt>
                <c:pt idx="4820">
                  <c:v>49</c:v>
                </c:pt>
                <c:pt idx="4821">
                  <c:v>34</c:v>
                </c:pt>
                <c:pt idx="4822">
                  <c:v>63</c:v>
                </c:pt>
                <c:pt idx="4823">
                  <c:v>79</c:v>
                </c:pt>
                <c:pt idx="4824">
                  <c:v>81</c:v>
                </c:pt>
                <c:pt idx="4825">
                  <c:v>14</c:v>
                </c:pt>
                <c:pt idx="4826">
                  <c:v>31</c:v>
                </c:pt>
                <c:pt idx="4827">
                  <c:v>57</c:v>
                </c:pt>
                <c:pt idx="4828">
                  <c:v>32</c:v>
                </c:pt>
                <c:pt idx="4829">
                  <c:v>66</c:v>
                </c:pt>
                <c:pt idx="4830">
                  <c:v>22</c:v>
                </c:pt>
                <c:pt idx="4831">
                  <c:v>1.32</c:v>
                </c:pt>
                <c:pt idx="4832">
                  <c:v>20</c:v>
                </c:pt>
                <c:pt idx="4833">
                  <c:v>41</c:v>
                </c:pt>
                <c:pt idx="4834">
                  <c:v>48</c:v>
                </c:pt>
                <c:pt idx="4835">
                  <c:v>49</c:v>
                </c:pt>
                <c:pt idx="4836">
                  <c:v>73</c:v>
                </c:pt>
                <c:pt idx="4837">
                  <c:v>19</c:v>
                </c:pt>
                <c:pt idx="4838">
                  <c:v>51</c:v>
                </c:pt>
                <c:pt idx="4839">
                  <c:v>1.08</c:v>
                </c:pt>
                <c:pt idx="4840">
                  <c:v>31</c:v>
                </c:pt>
                <c:pt idx="4841">
                  <c:v>4</c:v>
                </c:pt>
                <c:pt idx="4842">
                  <c:v>1.8</c:v>
                </c:pt>
                <c:pt idx="4843">
                  <c:v>44</c:v>
                </c:pt>
                <c:pt idx="4844">
                  <c:v>4</c:v>
                </c:pt>
                <c:pt idx="4845">
                  <c:v>55</c:v>
                </c:pt>
                <c:pt idx="4846">
                  <c:v>34</c:v>
                </c:pt>
                <c:pt idx="4847">
                  <c:v>30</c:v>
                </c:pt>
                <c:pt idx="4848">
                  <c:v>7</c:v>
                </c:pt>
                <c:pt idx="4849">
                  <c:v>75</c:v>
                </c:pt>
                <c:pt idx="4850">
                  <c:v>14</c:v>
                </c:pt>
                <c:pt idx="4851">
                  <c:v>61</c:v>
                </c:pt>
                <c:pt idx="4852">
                  <c:v>55</c:v>
                </c:pt>
                <c:pt idx="4853">
                  <c:v>14</c:v>
                </c:pt>
                <c:pt idx="4854">
                  <c:v>36</c:v>
                </c:pt>
                <c:pt idx="4855">
                  <c:v>57</c:v>
                </c:pt>
                <c:pt idx="4856">
                  <c:v>20</c:v>
                </c:pt>
                <c:pt idx="4857">
                  <c:v>32</c:v>
                </c:pt>
                <c:pt idx="4858">
                  <c:v>43</c:v>
                </c:pt>
                <c:pt idx="4859">
                  <c:v>43</c:v>
                </c:pt>
                <c:pt idx="4860">
                  <c:v>1.08</c:v>
                </c:pt>
                <c:pt idx="4861">
                  <c:v>49</c:v>
                </c:pt>
                <c:pt idx="4862">
                  <c:v>53</c:v>
                </c:pt>
                <c:pt idx="4863">
                  <c:v>18</c:v>
                </c:pt>
                <c:pt idx="4864">
                  <c:v>13</c:v>
                </c:pt>
                <c:pt idx="4865">
                  <c:v>5</c:v>
                </c:pt>
                <c:pt idx="4866">
                  <c:v>37</c:v>
                </c:pt>
                <c:pt idx="4867">
                  <c:v>49</c:v>
                </c:pt>
                <c:pt idx="4868">
                  <c:v>45</c:v>
                </c:pt>
                <c:pt idx="4869">
                  <c:v>50</c:v>
                </c:pt>
                <c:pt idx="4870">
                  <c:v>12</c:v>
                </c:pt>
                <c:pt idx="4871">
                  <c:v>12</c:v>
                </c:pt>
                <c:pt idx="4872">
                  <c:v>5</c:v>
                </c:pt>
                <c:pt idx="4873">
                  <c:v>39</c:v>
                </c:pt>
                <c:pt idx="4874">
                  <c:v>41</c:v>
                </c:pt>
                <c:pt idx="4875">
                  <c:v>41</c:v>
                </c:pt>
                <c:pt idx="4876">
                  <c:v>47</c:v>
                </c:pt>
                <c:pt idx="4877">
                  <c:v>57</c:v>
                </c:pt>
                <c:pt idx="4878">
                  <c:v>16</c:v>
                </c:pt>
                <c:pt idx="4879">
                  <c:v>3</c:v>
                </c:pt>
                <c:pt idx="4880">
                  <c:v>65</c:v>
                </c:pt>
                <c:pt idx="4881">
                  <c:v>80</c:v>
                </c:pt>
                <c:pt idx="4882">
                  <c:v>58</c:v>
                </c:pt>
                <c:pt idx="4883">
                  <c:v>74</c:v>
                </c:pt>
                <c:pt idx="4884">
                  <c:v>62</c:v>
                </c:pt>
                <c:pt idx="4885">
                  <c:v>33</c:v>
                </c:pt>
                <c:pt idx="4886">
                  <c:v>21</c:v>
                </c:pt>
                <c:pt idx="4887">
                  <c:v>17</c:v>
                </c:pt>
                <c:pt idx="4888">
                  <c:v>49</c:v>
                </c:pt>
                <c:pt idx="4889">
                  <c:v>24</c:v>
                </c:pt>
                <c:pt idx="4890">
                  <c:v>56</c:v>
                </c:pt>
                <c:pt idx="4891">
                  <c:v>26</c:v>
                </c:pt>
                <c:pt idx="4892">
                  <c:v>54</c:v>
                </c:pt>
                <c:pt idx="4893">
                  <c:v>42</c:v>
                </c:pt>
                <c:pt idx="4894">
                  <c:v>34</c:v>
                </c:pt>
                <c:pt idx="4895">
                  <c:v>56</c:v>
                </c:pt>
                <c:pt idx="4896">
                  <c:v>39</c:v>
                </c:pt>
                <c:pt idx="4897">
                  <c:v>77</c:v>
                </c:pt>
                <c:pt idx="4898">
                  <c:v>12</c:v>
                </c:pt>
                <c:pt idx="4899">
                  <c:v>65</c:v>
                </c:pt>
                <c:pt idx="4900">
                  <c:v>7</c:v>
                </c:pt>
                <c:pt idx="4901">
                  <c:v>25</c:v>
                </c:pt>
                <c:pt idx="4902">
                  <c:v>31</c:v>
                </c:pt>
                <c:pt idx="4903">
                  <c:v>14</c:v>
                </c:pt>
                <c:pt idx="4904">
                  <c:v>5</c:v>
                </c:pt>
                <c:pt idx="4905">
                  <c:v>60</c:v>
                </c:pt>
                <c:pt idx="4906">
                  <c:v>53</c:v>
                </c:pt>
                <c:pt idx="4907">
                  <c:v>55</c:v>
                </c:pt>
                <c:pt idx="4908">
                  <c:v>69</c:v>
                </c:pt>
                <c:pt idx="4909">
                  <c:v>39</c:v>
                </c:pt>
                <c:pt idx="4910">
                  <c:v>0.32</c:v>
                </c:pt>
                <c:pt idx="4911">
                  <c:v>34</c:v>
                </c:pt>
                <c:pt idx="4912">
                  <c:v>80</c:v>
                </c:pt>
                <c:pt idx="4913">
                  <c:v>20</c:v>
                </c:pt>
                <c:pt idx="4914">
                  <c:v>45</c:v>
                </c:pt>
                <c:pt idx="4915">
                  <c:v>41</c:v>
                </c:pt>
                <c:pt idx="4916">
                  <c:v>54</c:v>
                </c:pt>
                <c:pt idx="4917">
                  <c:v>23</c:v>
                </c:pt>
                <c:pt idx="4918">
                  <c:v>75</c:v>
                </c:pt>
                <c:pt idx="4919">
                  <c:v>36</c:v>
                </c:pt>
                <c:pt idx="4920">
                  <c:v>75</c:v>
                </c:pt>
                <c:pt idx="4921">
                  <c:v>72</c:v>
                </c:pt>
                <c:pt idx="4922">
                  <c:v>47</c:v>
                </c:pt>
                <c:pt idx="4923">
                  <c:v>15</c:v>
                </c:pt>
                <c:pt idx="4924">
                  <c:v>40</c:v>
                </c:pt>
                <c:pt idx="4925">
                  <c:v>71</c:v>
                </c:pt>
                <c:pt idx="4926">
                  <c:v>38</c:v>
                </c:pt>
                <c:pt idx="4927">
                  <c:v>10</c:v>
                </c:pt>
                <c:pt idx="4928">
                  <c:v>11</c:v>
                </c:pt>
                <c:pt idx="4929">
                  <c:v>0.72</c:v>
                </c:pt>
                <c:pt idx="4930">
                  <c:v>9</c:v>
                </c:pt>
                <c:pt idx="4931">
                  <c:v>53</c:v>
                </c:pt>
                <c:pt idx="4932">
                  <c:v>28</c:v>
                </c:pt>
                <c:pt idx="4933">
                  <c:v>81</c:v>
                </c:pt>
                <c:pt idx="4934">
                  <c:v>1.32</c:v>
                </c:pt>
                <c:pt idx="4935">
                  <c:v>16</c:v>
                </c:pt>
                <c:pt idx="4936">
                  <c:v>24</c:v>
                </c:pt>
                <c:pt idx="4937">
                  <c:v>62</c:v>
                </c:pt>
                <c:pt idx="4938">
                  <c:v>62</c:v>
                </c:pt>
                <c:pt idx="4939">
                  <c:v>59</c:v>
                </c:pt>
                <c:pt idx="4940">
                  <c:v>19</c:v>
                </c:pt>
                <c:pt idx="4941">
                  <c:v>51</c:v>
                </c:pt>
                <c:pt idx="4942">
                  <c:v>38</c:v>
                </c:pt>
                <c:pt idx="4943">
                  <c:v>26</c:v>
                </c:pt>
                <c:pt idx="4944">
                  <c:v>13</c:v>
                </c:pt>
                <c:pt idx="4945">
                  <c:v>4</c:v>
                </c:pt>
                <c:pt idx="4946">
                  <c:v>55</c:v>
                </c:pt>
                <c:pt idx="4947">
                  <c:v>44</c:v>
                </c:pt>
                <c:pt idx="4948">
                  <c:v>31</c:v>
                </c:pt>
                <c:pt idx="4949">
                  <c:v>58</c:v>
                </c:pt>
                <c:pt idx="4950">
                  <c:v>17</c:v>
                </c:pt>
                <c:pt idx="4951">
                  <c:v>23</c:v>
                </c:pt>
                <c:pt idx="4952">
                  <c:v>51</c:v>
                </c:pt>
                <c:pt idx="4953">
                  <c:v>46</c:v>
                </c:pt>
                <c:pt idx="4954">
                  <c:v>81</c:v>
                </c:pt>
                <c:pt idx="4955">
                  <c:v>38</c:v>
                </c:pt>
                <c:pt idx="4956">
                  <c:v>50</c:v>
                </c:pt>
                <c:pt idx="4957">
                  <c:v>34</c:v>
                </c:pt>
                <c:pt idx="4958">
                  <c:v>60</c:v>
                </c:pt>
                <c:pt idx="4959">
                  <c:v>50</c:v>
                </c:pt>
                <c:pt idx="4960">
                  <c:v>49</c:v>
                </c:pt>
                <c:pt idx="4961">
                  <c:v>2</c:v>
                </c:pt>
                <c:pt idx="4962">
                  <c:v>47</c:v>
                </c:pt>
                <c:pt idx="4963">
                  <c:v>34</c:v>
                </c:pt>
                <c:pt idx="4964">
                  <c:v>22</c:v>
                </c:pt>
                <c:pt idx="4965">
                  <c:v>11</c:v>
                </c:pt>
                <c:pt idx="4966">
                  <c:v>54</c:v>
                </c:pt>
                <c:pt idx="4967">
                  <c:v>60</c:v>
                </c:pt>
                <c:pt idx="4968">
                  <c:v>3</c:v>
                </c:pt>
                <c:pt idx="4969">
                  <c:v>46</c:v>
                </c:pt>
                <c:pt idx="4970">
                  <c:v>30</c:v>
                </c:pt>
                <c:pt idx="4971">
                  <c:v>63</c:v>
                </c:pt>
                <c:pt idx="4972">
                  <c:v>50</c:v>
                </c:pt>
                <c:pt idx="4973">
                  <c:v>65</c:v>
                </c:pt>
                <c:pt idx="4974">
                  <c:v>78</c:v>
                </c:pt>
                <c:pt idx="4975">
                  <c:v>36</c:v>
                </c:pt>
                <c:pt idx="4976">
                  <c:v>18</c:v>
                </c:pt>
                <c:pt idx="4977">
                  <c:v>44</c:v>
                </c:pt>
                <c:pt idx="4978">
                  <c:v>4</c:v>
                </c:pt>
                <c:pt idx="4979">
                  <c:v>60</c:v>
                </c:pt>
                <c:pt idx="4980">
                  <c:v>19</c:v>
                </c:pt>
                <c:pt idx="4981">
                  <c:v>15</c:v>
                </c:pt>
                <c:pt idx="4982">
                  <c:v>20</c:v>
                </c:pt>
                <c:pt idx="4983">
                  <c:v>76</c:v>
                </c:pt>
                <c:pt idx="4984">
                  <c:v>31</c:v>
                </c:pt>
                <c:pt idx="4985">
                  <c:v>39</c:v>
                </c:pt>
                <c:pt idx="4986">
                  <c:v>58</c:v>
                </c:pt>
                <c:pt idx="4987">
                  <c:v>64</c:v>
                </c:pt>
                <c:pt idx="4988">
                  <c:v>79</c:v>
                </c:pt>
                <c:pt idx="4989">
                  <c:v>11</c:v>
                </c:pt>
                <c:pt idx="4990">
                  <c:v>4</c:v>
                </c:pt>
                <c:pt idx="4991">
                  <c:v>43</c:v>
                </c:pt>
                <c:pt idx="4992">
                  <c:v>44</c:v>
                </c:pt>
                <c:pt idx="4993">
                  <c:v>37</c:v>
                </c:pt>
                <c:pt idx="4994">
                  <c:v>34</c:v>
                </c:pt>
                <c:pt idx="4995">
                  <c:v>59</c:v>
                </c:pt>
                <c:pt idx="4996">
                  <c:v>40</c:v>
                </c:pt>
                <c:pt idx="4997">
                  <c:v>8</c:v>
                </c:pt>
                <c:pt idx="4998">
                  <c:v>24</c:v>
                </c:pt>
                <c:pt idx="4999">
                  <c:v>18</c:v>
                </c:pt>
                <c:pt idx="5000">
                  <c:v>20</c:v>
                </c:pt>
                <c:pt idx="5001">
                  <c:v>70</c:v>
                </c:pt>
                <c:pt idx="5002">
                  <c:v>68</c:v>
                </c:pt>
                <c:pt idx="5003">
                  <c:v>17</c:v>
                </c:pt>
                <c:pt idx="5004">
                  <c:v>17</c:v>
                </c:pt>
                <c:pt idx="5005">
                  <c:v>21</c:v>
                </c:pt>
                <c:pt idx="5006">
                  <c:v>38</c:v>
                </c:pt>
                <c:pt idx="5007">
                  <c:v>59</c:v>
                </c:pt>
                <c:pt idx="5008">
                  <c:v>79</c:v>
                </c:pt>
                <c:pt idx="5009">
                  <c:v>50</c:v>
                </c:pt>
                <c:pt idx="5010">
                  <c:v>72</c:v>
                </c:pt>
                <c:pt idx="5011">
                  <c:v>54</c:v>
                </c:pt>
                <c:pt idx="5012">
                  <c:v>44</c:v>
                </c:pt>
                <c:pt idx="5013">
                  <c:v>48</c:v>
                </c:pt>
                <c:pt idx="5014">
                  <c:v>29</c:v>
                </c:pt>
                <c:pt idx="5015">
                  <c:v>44</c:v>
                </c:pt>
                <c:pt idx="5016">
                  <c:v>61</c:v>
                </c:pt>
                <c:pt idx="5017">
                  <c:v>58</c:v>
                </c:pt>
                <c:pt idx="5018">
                  <c:v>81</c:v>
                </c:pt>
                <c:pt idx="5019">
                  <c:v>29</c:v>
                </c:pt>
                <c:pt idx="5020">
                  <c:v>5</c:v>
                </c:pt>
                <c:pt idx="5021">
                  <c:v>35</c:v>
                </c:pt>
                <c:pt idx="5022">
                  <c:v>40</c:v>
                </c:pt>
                <c:pt idx="5023">
                  <c:v>37</c:v>
                </c:pt>
                <c:pt idx="5024">
                  <c:v>33</c:v>
                </c:pt>
                <c:pt idx="5025">
                  <c:v>35</c:v>
                </c:pt>
                <c:pt idx="5026">
                  <c:v>38</c:v>
                </c:pt>
                <c:pt idx="5027">
                  <c:v>26</c:v>
                </c:pt>
                <c:pt idx="5028">
                  <c:v>10</c:v>
                </c:pt>
                <c:pt idx="5029">
                  <c:v>72</c:v>
                </c:pt>
                <c:pt idx="5030">
                  <c:v>21</c:v>
                </c:pt>
                <c:pt idx="5031">
                  <c:v>20</c:v>
                </c:pt>
                <c:pt idx="5032">
                  <c:v>1.24</c:v>
                </c:pt>
                <c:pt idx="5033">
                  <c:v>26</c:v>
                </c:pt>
                <c:pt idx="5034">
                  <c:v>79</c:v>
                </c:pt>
                <c:pt idx="5035">
                  <c:v>78</c:v>
                </c:pt>
                <c:pt idx="5036">
                  <c:v>56</c:v>
                </c:pt>
                <c:pt idx="5037">
                  <c:v>46</c:v>
                </c:pt>
                <c:pt idx="5038">
                  <c:v>55</c:v>
                </c:pt>
                <c:pt idx="5039">
                  <c:v>41</c:v>
                </c:pt>
                <c:pt idx="5040">
                  <c:v>30</c:v>
                </c:pt>
                <c:pt idx="5041">
                  <c:v>53</c:v>
                </c:pt>
                <c:pt idx="5042">
                  <c:v>32</c:v>
                </c:pt>
                <c:pt idx="5043">
                  <c:v>38</c:v>
                </c:pt>
                <c:pt idx="5044">
                  <c:v>33</c:v>
                </c:pt>
                <c:pt idx="5045">
                  <c:v>44</c:v>
                </c:pt>
                <c:pt idx="5046">
                  <c:v>44</c:v>
                </c:pt>
                <c:pt idx="5047">
                  <c:v>51</c:v>
                </c:pt>
                <c:pt idx="5048">
                  <c:v>40</c:v>
                </c:pt>
                <c:pt idx="5049">
                  <c:v>41</c:v>
                </c:pt>
                <c:pt idx="5050">
                  <c:v>5</c:v>
                </c:pt>
                <c:pt idx="5051">
                  <c:v>42</c:v>
                </c:pt>
                <c:pt idx="5052">
                  <c:v>6</c:v>
                </c:pt>
                <c:pt idx="5053">
                  <c:v>46</c:v>
                </c:pt>
                <c:pt idx="5054">
                  <c:v>47</c:v>
                </c:pt>
                <c:pt idx="5055">
                  <c:v>25</c:v>
                </c:pt>
                <c:pt idx="5056">
                  <c:v>40</c:v>
                </c:pt>
                <c:pt idx="5057">
                  <c:v>49</c:v>
                </c:pt>
                <c:pt idx="5058">
                  <c:v>21</c:v>
                </c:pt>
                <c:pt idx="5059">
                  <c:v>61</c:v>
                </c:pt>
                <c:pt idx="5060">
                  <c:v>78</c:v>
                </c:pt>
                <c:pt idx="5061">
                  <c:v>41</c:v>
                </c:pt>
                <c:pt idx="5062">
                  <c:v>82</c:v>
                </c:pt>
                <c:pt idx="5063">
                  <c:v>39</c:v>
                </c:pt>
                <c:pt idx="5064">
                  <c:v>70</c:v>
                </c:pt>
                <c:pt idx="5065">
                  <c:v>31</c:v>
                </c:pt>
                <c:pt idx="5066">
                  <c:v>37</c:v>
                </c:pt>
                <c:pt idx="5067">
                  <c:v>21</c:v>
                </c:pt>
                <c:pt idx="5068">
                  <c:v>80</c:v>
                </c:pt>
                <c:pt idx="5069">
                  <c:v>21</c:v>
                </c:pt>
                <c:pt idx="5070">
                  <c:v>5</c:v>
                </c:pt>
                <c:pt idx="5071">
                  <c:v>81</c:v>
                </c:pt>
                <c:pt idx="5072">
                  <c:v>35</c:v>
                </c:pt>
                <c:pt idx="5073">
                  <c:v>24</c:v>
                </c:pt>
                <c:pt idx="5074">
                  <c:v>52</c:v>
                </c:pt>
                <c:pt idx="5075">
                  <c:v>70</c:v>
                </c:pt>
                <c:pt idx="5076">
                  <c:v>34</c:v>
                </c:pt>
                <c:pt idx="5077">
                  <c:v>17</c:v>
                </c:pt>
                <c:pt idx="5078">
                  <c:v>8</c:v>
                </c:pt>
                <c:pt idx="5079">
                  <c:v>1.72</c:v>
                </c:pt>
                <c:pt idx="5080">
                  <c:v>29</c:v>
                </c:pt>
                <c:pt idx="5081">
                  <c:v>55</c:v>
                </c:pt>
                <c:pt idx="5082">
                  <c:v>44</c:v>
                </c:pt>
                <c:pt idx="5083">
                  <c:v>19</c:v>
                </c:pt>
                <c:pt idx="5084">
                  <c:v>67</c:v>
                </c:pt>
                <c:pt idx="5085">
                  <c:v>72</c:v>
                </c:pt>
                <c:pt idx="5086">
                  <c:v>51</c:v>
                </c:pt>
                <c:pt idx="5087">
                  <c:v>63</c:v>
                </c:pt>
                <c:pt idx="5088">
                  <c:v>64</c:v>
                </c:pt>
                <c:pt idx="5089">
                  <c:v>0.72</c:v>
                </c:pt>
                <c:pt idx="5090">
                  <c:v>26</c:v>
                </c:pt>
                <c:pt idx="5091">
                  <c:v>59</c:v>
                </c:pt>
                <c:pt idx="5092">
                  <c:v>76</c:v>
                </c:pt>
                <c:pt idx="5093">
                  <c:v>45</c:v>
                </c:pt>
                <c:pt idx="5094">
                  <c:v>13</c:v>
                </c:pt>
                <c:pt idx="5095">
                  <c:v>1.08</c:v>
                </c:pt>
                <c:pt idx="5096">
                  <c:v>57</c:v>
                </c:pt>
                <c:pt idx="5097">
                  <c:v>68</c:v>
                </c:pt>
                <c:pt idx="5098">
                  <c:v>9</c:v>
                </c:pt>
                <c:pt idx="5099">
                  <c:v>40</c:v>
                </c:pt>
                <c:pt idx="5100">
                  <c:v>82</c:v>
                </c:pt>
                <c:pt idx="5101">
                  <c:v>45</c:v>
                </c:pt>
                <c:pt idx="5102">
                  <c:v>57</c:v>
                </c:pt>
                <c:pt idx="5103">
                  <c:v>18</c:v>
                </c:pt>
                <c:pt idx="5104">
                  <c:v>13</c:v>
                </c:pt>
                <c:pt idx="5105">
                  <c:v>80</c:v>
                </c:pt>
                <c:pt idx="5106">
                  <c:v>81</c:v>
                </c:pt>
                <c:pt idx="5107">
                  <c:v>35</c:v>
                </c:pt>
                <c:pt idx="5108">
                  <c:v>51</c:v>
                </c:pt>
                <c:pt idx="5109">
                  <c:v>44</c:v>
                </c:pt>
              </c:numCache>
            </c:numRef>
          </c:xVal>
          <c:yVal>
            <c:numRef>
              <c:f>Sheet3!$B$2:$B$5111</c:f>
              <c:numCache>
                <c:formatCode>General</c:formatCode>
                <c:ptCount val="5110"/>
                <c:pt idx="0">
                  <c:v>228.69</c:v>
                </c:pt>
                <c:pt idx="1">
                  <c:v>202.21</c:v>
                </c:pt>
                <c:pt idx="2">
                  <c:v>105.92</c:v>
                </c:pt>
                <c:pt idx="3">
                  <c:v>171.23</c:v>
                </c:pt>
                <c:pt idx="4">
                  <c:v>174.12</c:v>
                </c:pt>
                <c:pt idx="5">
                  <c:v>186.21</c:v>
                </c:pt>
                <c:pt idx="6">
                  <c:v>70.09</c:v>
                </c:pt>
                <c:pt idx="7">
                  <c:v>94.39</c:v>
                </c:pt>
                <c:pt idx="8">
                  <c:v>76.150000000000006</c:v>
                </c:pt>
                <c:pt idx="9">
                  <c:v>58.57</c:v>
                </c:pt>
                <c:pt idx="10">
                  <c:v>80.430000000000007</c:v>
                </c:pt>
                <c:pt idx="11">
                  <c:v>120.46</c:v>
                </c:pt>
                <c:pt idx="12">
                  <c:v>104.51</c:v>
                </c:pt>
                <c:pt idx="13">
                  <c:v>219.84</c:v>
                </c:pt>
                <c:pt idx="14">
                  <c:v>214.09</c:v>
                </c:pt>
                <c:pt idx="15">
                  <c:v>167.41</c:v>
                </c:pt>
                <c:pt idx="16">
                  <c:v>191.61</c:v>
                </c:pt>
                <c:pt idx="17">
                  <c:v>221.29</c:v>
                </c:pt>
                <c:pt idx="18">
                  <c:v>89.22</c:v>
                </c:pt>
                <c:pt idx="19">
                  <c:v>217.08</c:v>
                </c:pt>
                <c:pt idx="20">
                  <c:v>193.94</c:v>
                </c:pt>
                <c:pt idx="21">
                  <c:v>233.29</c:v>
                </c:pt>
                <c:pt idx="22">
                  <c:v>228.7</c:v>
                </c:pt>
                <c:pt idx="23">
                  <c:v>208.3</c:v>
                </c:pt>
                <c:pt idx="24">
                  <c:v>102.87</c:v>
                </c:pt>
                <c:pt idx="25">
                  <c:v>104.12</c:v>
                </c:pt>
                <c:pt idx="26">
                  <c:v>100.98</c:v>
                </c:pt>
                <c:pt idx="27">
                  <c:v>189.84</c:v>
                </c:pt>
                <c:pt idx="28">
                  <c:v>195.23</c:v>
                </c:pt>
                <c:pt idx="29">
                  <c:v>211.78</c:v>
                </c:pt>
                <c:pt idx="30">
                  <c:v>212.08</c:v>
                </c:pt>
                <c:pt idx="31">
                  <c:v>83.41</c:v>
                </c:pt>
                <c:pt idx="32">
                  <c:v>196.92</c:v>
                </c:pt>
                <c:pt idx="33">
                  <c:v>252.72</c:v>
                </c:pt>
                <c:pt idx="34">
                  <c:v>84.2</c:v>
                </c:pt>
                <c:pt idx="35">
                  <c:v>84.03</c:v>
                </c:pt>
                <c:pt idx="36">
                  <c:v>219.72</c:v>
                </c:pt>
                <c:pt idx="37">
                  <c:v>74.63</c:v>
                </c:pt>
                <c:pt idx="38">
                  <c:v>92.62</c:v>
                </c:pt>
                <c:pt idx="39">
                  <c:v>60.91</c:v>
                </c:pt>
                <c:pt idx="40">
                  <c:v>78.03</c:v>
                </c:pt>
                <c:pt idx="41">
                  <c:v>71.22</c:v>
                </c:pt>
                <c:pt idx="42">
                  <c:v>144.9</c:v>
                </c:pt>
                <c:pt idx="43">
                  <c:v>90.9</c:v>
                </c:pt>
                <c:pt idx="44">
                  <c:v>213.03</c:v>
                </c:pt>
                <c:pt idx="45">
                  <c:v>243.58</c:v>
                </c:pt>
                <c:pt idx="46">
                  <c:v>109.78</c:v>
                </c:pt>
                <c:pt idx="47">
                  <c:v>107.26</c:v>
                </c:pt>
                <c:pt idx="48">
                  <c:v>99.33</c:v>
                </c:pt>
                <c:pt idx="49">
                  <c:v>58.09</c:v>
                </c:pt>
                <c:pt idx="50">
                  <c:v>89.96</c:v>
                </c:pt>
                <c:pt idx="51">
                  <c:v>75.319999999999993</c:v>
                </c:pt>
                <c:pt idx="52">
                  <c:v>127.29</c:v>
                </c:pt>
                <c:pt idx="53">
                  <c:v>124.13</c:v>
                </c:pt>
                <c:pt idx="54">
                  <c:v>197.54</c:v>
                </c:pt>
                <c:pt idx="55">
                  <c:v>196.71</c:v>
                </c:pt>
                <c:pt idx="56">
                  <c:v>59.32</c:v>
                </c:pt>
                <c:pt idx="57">
                  <c:v>237.75</c:v>
                </c:pt>
                <c:pt idx="58">
                  <c:v>194.99</c:v>
                </c:pt>
                <c:pt idx="59">
                  <c:v>180.93</c:v>
                </c:pt>
                <c:pt idx="60">
                  <c:v>185.17</c:v>
                </c:pt>
                <c:pt idx="61">
                  <c:v>74.900000000000006</c:v>
                </c:pt>
                <c:pt idx="62">
                  <c:v>61.94</c:v>
                </c:pt>
                <c:pt idx="63">
                  <c:v>93.72</c:v>
                </c:pt>
                <c:pt idx="64">
                  <c:v>104.72</c:v>
                </c:pt>
                <c:pt idx="65">
                  <c:v>113.01</c:v>
                </c:pt>
                <c:pt idx="66">
                  <c:v>221.58</c:v>
                </c:pt>
                <c:pt idx="67">
                  <c:v>104.47</c:v>
                </c:pt>
                <c:pt idx="68">
                  <c:v>86.23</c:v>
                </c:pt>
                <c:pt idx="69">
                  <c:v>72.67</c:v>
                </c:pt>
                <c:pt idx="70">
                  <c:v>62.57</c:v>
                </c:pt>
                <c:pt idx="71">
                  <c:v>179.12</c:v>
                </c:pt>
                <c:pt idx="72">
                  <c:v>116.55</c:v>
                </c:pt>
                <c:pt idx="73">
                  <c:v>228.56</c:v>
                </c:pt>
                <c:pt idx="74">
                  <c:v>96.59</c:v>
                </c:pt>
                <c:pt idx="75">
                  <c:v>66.72</c:v>
                </c:pt>
                <c:pt idx="76">
                  <c:v>240.09</c:v>
                </c:pt>
                <c:pt idx="77">
                  <c:v>110.85</c:v>
                </c:pt>
                <c:pt idx="78">
                  <c:v>165.31</c:v>
                </c:pt>
                <c:pt idx="79">
                  <c:v>143.43</c:v>
                </c:pt>
                <c:pt idx="80">
                  <c:v>96.16</c:v>
                </c:pt>
                <c:pt idx="81">
                  <c:v>101.45</c:v>
                </c:pt>
                <c:pt idx="82">
                  <c:v>88.92</c:v>
                </c:pt>
                <c:pt idx="83">
                  <c:v>79.790000000000006</c:v>
                </c:pt>
                <c:pt idx="84">
                  <c:v>71.2</c:v>
                </c:pt>
                <c:pt idx="85">
                  <c:v>96.97</c:v>
                </c:pt>
                <c:pt idx="86">
                  <c:v>111.81</c:v>
                </c:pt>
                <c:pt idx="87">
                  <c:v>59.35</c:v>
                </c:pt>
                <c:pt idx="88">
                  <c:v>86.94</c:v>
                </c:pt>
                <c:pt idx="89">
                  <c:v>98.55</c:v>
                </c:pt>
                <c:pt idx="90">
                  <c:v>226.98</c:v>
                </c:pt>
                <c:pt idx="91">
                  <c:v>72.81</c:v>
                </c:pt>
                <c:pt idx="92">
                  <c:v>68.02</c:v>
                </c:pt>
                <c:pt idx="93">
                  <c:v>68.56</c:v>
                </c:pt>
                <c:pt idx="94">
                  <c:v>64.14</c:v>
                </c:pt>
                <c:pt idx="95">
                  <c:v>235.63</c:v>
                </c:pt>
                <c:pt idx="96">
                  <c:v>76.34</c:v>
                </c:pt>
                <c:pt idx="97">
                  <c:v>240.59</c:v>
                </c:pt>
                <c:pt idx="98">
                  <c:v>78.92</c:v>
                </c:pt>
                <c:pt idx="99">
                  <c:v>82.81</c:v>
                </c:pt>
                <c:pt idx="100">
                  <c:v>74.099999999999994</c:v>
                </c:pt>
                <c:pt idx="101">
                  <c:v>190.32</c:v>
                </c:pt>
                <c:pt idx="102">
                  <c:v>231.61</c:v>
                </c:pt>
                <c:pt idx="103">
                  <c:v>78.7</c:v>
                </c:pt>
                <c:pt idx="104">
                  <c:v>110.52</c:v>
                </c:pt>
                <c:pt idx="105">
                  <c:v>82.3</c:v>
                </c:pt>
                <c:pt idx="106">
                  <c:v>73.180000000000007</c:v>
                </c:pt>
                <c:pt idx="107">
                  <c:v>191.82</c:v>
                </c:pt>
                <c:pt idx="108">
                  <c:v>93.05</c:v>
                </c:pt>
                <c:pt idx="109">
                  <c:v>64.17</c:v>
                </c:pt>
                <c:pt idx="110">
                  <c:v>129.97999999999999</c:v>
                </c:pt>
                <c:pt idx="111">
                  <c:v>68.53</c:v>
                </c:pt>
                <c:pt idx="112">
                  <c:v>106.41</c:v>
                </c:pt>
                <c:pt idx="113">
                  <c:v>224.1</c:v>
                </c:pt>
                <c:pt idx="114">
                  <c:v>82.1</c:v>
                </c:pt>
                <c:pt idx="115">
                  <c:v>216.94</c:v>
                </c:pt>
                <c:pt idx="116">
                  <c:v>76.11</c:v>
                </c:pt>
                <c:pt idx="117">
                  <c:v>72.959999999999994</c:v>
                </c:pt>
                <c:pt idx="118">
                  <c:v>82.28</c:v>
                </c:pt>
                <c:pt idx="119">
                  <c:v>105.22</c:v>
                </c:pt>
                <c:pt idx="120">
                  <c:v>59.86</c:v>
                </c:pt>
                <c:pt idx="121">
                  <c:v>62.55</c:v>
                </c:pt>
                <c:pt idx="122">
                  <c:v>259.63</c:v>
                </c:pt>
                <c:pt idx="123">
                  <c:v>249.31</c:v>
                </c:pt>
                <c:pt idx="124">
                  <c:v>219.91</c:v>
                </c:pt>
                <c:pt idx="125">
                  <c:v>131.41</c:v>
                </c:pt>
                <c:pt idx="126">
                  <c:v>93.13</c:v>
                </c:pt>
                <c:pt idx="127">
                  <c:v>73.540000000000006</c:v>
                </c:pt>
                <c:pt idx="128">
                  <c:v>200.59</c:v>
                </c:pt>
                <c:pt idx="129">
                  <c:v>62.48</c:v>
                </c:pt>
                <c:pt idx="130">
                  <c:v>190.14</c:v>
                </c:pt>
                <c:pt idx="131">
                  <c:v>130.54</c:v>
                </c:pt>
                <c:pt idx="132">
                  <c:v>182.99</c:v>
                </c:pt>
                <c:pt idx="133">
                  <c:v>101.45</c:v>
                </c:pt>
                <c:pt idx="134">
                  <c:v>206.09</c:v>
                </c:pt>
                <c:pt idx="135">
                  <c:v>263.32</c:v>
                </c:pt>
                <c:pt idx="136">
                  <c:v>140.1</c:v>
                </c:pt>
                <c:pt idx="137">
                  <c:v>207.28</c:v>
                </c:pt>
                <c:pt idx="138">
                  <c:v>194.37</c:v>
                </c:pt>
                <c:pt idx="139">
                  <c:v>199.2</c:v>
                </c:pt>
                <c:pt idx="140">
                  <c:v>103.68</c:v>
                </c:pt>
                <c:pt idx="141">
                  <c:v>116.44</c:v>
                </c:pt>
                <c:pt idx="142">
                  <c:v>70.28</c:v>
                </c:pt>
                <c:pt idx="143">
                  <c:v>72.17</c:v>
                </c:pt>
                <c:pt idx="144">
                  <c:v>221.79</c:v>
                </c:pt>
                <c:pt idx="145">
                  <c:v>151.16</c:v>
                </c:pt>
                <c:pt idx="146">
                  <c:v>68.430000000000007</c:v>
                </c:pt>
                <c:pt idx="147">
                  <c:v>67.290000000000006</c:v>
                </c:pt>
                <c:pt idx="148">
                  <c:v>67.41</c:v>
                </c:pt>
                <c:pt idx="149">
                  <c:v>239.07</c:v>
                </c:pt>
                <c:pt idx="150">
                  <c:v>169.67</c:v>
                </c:pt>
                <c:pt idx="151">
                  <c:v>223.83</c:v>
                </c:pt>
                <c:pt idx="152">
                  <c:v>76.569999999999993</c:v>
                </c:pt>
                <c:pt idx="153">
                  <c:v>77.819999999999993</c:v>
                </c:pt>
                <c:pt idx="154">
                  <c:v>92.98</c:v>
                </c:pt>
                <c:pt idx="155">
                  <c:v>231.56</c:v>
                </c:pt>
                <c:pt idx="156">
                  <c:v>102.16</c:v>
                </c:pt>
                <c:pt idx="157">
                  <c:v>221.89</c:v>
                </c:pt>
                <c:pt idx="158">
                  <c:v>195.71</c:v>
                </c:pt>
                <c:pt idx="159">
                  <c:v>74.02</c:v>
                </c:pt>
                <c:pt idx="160">
                  <c:v>57.92</c:v>
                </c:pt>
                <c:pt idx="161">
                  <c:v>81.760000000000005</c:v>
                </c:pt>
                <c:pt idx="162">
                  <c:v>70.37</c:v>
                </c:pt>
                <c:pt idx="163">
                  <c:v>203.87</c:v>
                </c:pt>
                <c:pt idx="164">
                  <c:v>89.13</c:v>
                </c:pt>
                <c:pt idx="165">
                  <c:v>133.19</c:v>
                </c:pt>
                <c:pt idx="166">
                  <c:v>162.22999999999999</c:v>
                </c:pt>
                <c:pt idx="167">
                  <c:v>75.02</c:v>
                </c:pt>
                <c:pt idx="168">
                  <c:v>98.02</c:v>
                </c:pt>
                <c:pt idx="169">
                  <c:v>91.54</c:v>
                </c:pt>
                <c:pt idx="170">
                  <c:v>111.98</c:v>
                </c:pt>
                <c:pt idx="171">
                  <c:v>60.94</c:v>
                </c:pt>
                <c:pt idx="172">
                  <c:v>97.43</c:v>
                </c:pt>
                <c:pt idx="173">
                  <c:v>91.02</c:v>
                </c:pt>
                <c:pt idx="174">
                  <c:v>60.67</c:v>
                </c:pt>
                <c:pt idx="175">
                  <c:v>185.49</c:v>
                </c:pt>
                <c:pt idx="176">
                  <c:v>64.44</c:v>
                </c:pt>
                <c:pt idx="177">
                  <c:v>56.11</c:v>
                </c:pt>
                <c:pt idx="178">
                  <c:v>110.66</c:v>
                </c:pt>
                <c:pt idx="179">
                  <c:v>213.22</c:v>
                </c:pt>
                <c:pt idx="180">
                  <c:v>78.180000000000007</c:v>
                </c:pt>
                <c:pt idx="181">
                  <c:v>111.04</c:v>
                </c:pt>
                <c:pt idx="182">
                  <c:v>76.13</c:v>
                </c:pt>
                <c:pt idx="183">
                  <c:v>81.319999999999993</c:v>
                </c:pt>
                <c:pt idx="184">
                  <c:v>112.24</c:v>
                </c:pt>
                <c:pt idx="185">
                  <c:v>137.30000000000001</c:v>
                </c:pt>
                <c:pt idx="186">
                  <c:v>116.69</c:v>
                </c:pt>
                <c:pt idx="187">
                  <c:v>215.94</c:v>
                </c:pt>
                <c:pt idx="188">
                  <c:v>86.62</c:v>
                </c:pt>
                <c:pt idx="189">
                  <c:v>209.86</c:v>
                </c:pt>
                <c:pt idx="190">
                  <c:v>205.77</c:v>
                </c:pt>
                <c:pt idx="191">
                  <c:v>112.16</c:v>
                </c:pt>
                <c:pt idx="192">
                  <c:v>118.03</c:v>
                </c:pt>
                <c:pt idx="193">
                  <c:v>271.74</c:v>
                </c:pt>
                <c:pt idx="194">
                  <c:v>97.92</c:v>
                </c:pt>
                <c:pt idx="195">
                  <c:v>200.62</c:v>
                </c:pt>
                <c:pt idx="196">
                  <c:v>242.52</c:v>
                </c:pt>
                <c:pt idx="197">
                  <c:v>93.81</c:v>
                </c:pt>
                <c:pt idx="198">
                  <c:v>114.77</c:v>
                </c:pt>
                <c:pt idx="199">
                  <c:v>74.959999999999994</c:v>
                </c:pt>
                <c:pt idx="200">
                  <c:v>167.13</c:v>
                </c:pt>
                <c:pt idx="201">
                  <c:v>175.29</c:v>
                </c:pt>
                <c:pt idx="202">
                  <c:v>90</c:v>
                </c:pt>
                <c:pt idx="203">
                  <c:v>109.47</c:v>
                </c:pt>
                <c:pt idx="204">
                  <c:v>87.85</c:v>
                </c:pt>
                <c:pt idx="205">
                  <c:v>106.74</c:v>
                </c:pt>
                <c:pt idx="206">
                  <c:v>80.13</c:v>
                </c:pt>
                <c:pt idx="207">
                  <c:v>90.19</c:v>
                </c:pt>
                <c:pt idx="208">
                  <c:v>134.80000000000001</c:v>
                </c:pt>
                <c:pt idx="209">
                  <c:v>106.58</c:v>
                </c:pt>
                <c:pt idx="210">
                  <c:v>83.24</c:v>
                </c:pt>
                <c:pt idx="211">
                  <c:v>103.43</c:v>
                </c:pt>
                <c:pt idx="212">
                  <c:v>208.65</c:v>
                </c:pt>
                <c:pt idx="213">
                  <c:v>74.11</c:v>
                </c:pt>
                <c:pt idx="214">
                  <c:v>95.84</c:v>
                </c:pt>
                <c:pt idx="215">
                  <c:v>205.33</c:v>
                </c:pt>
                <c:pt idx="216">
                  <c:v>116.1</c:v>
                </c:pt>
                <c:pt idx="217">
                  <c:v>210.4</c:v>
                </c:pt>
                <c:pt idx="218">
                  <c:v>199.86</c:v>
                </c:pt>
                <c:pt idx="219">
                  <c:v>219.73</c:v>
                </c:pt>
                <c:pt idx="220">
                  <c:v>250.89</c:v>
                </c:pt>
                <c:pt idx="221">
                  <c:v>72.73</c:v>
                </c:pt>
                <c:pt idx="222">
                  <c:v>205.35</c:v>
                </c:pt>
                <c:pt idx="223">
                  <c:v>70.3</c:v>
                </c:pt>
                <c:pt idx="224">
                  <c:v>104.86</c:v>
                </c:pt>
                <c:pt idx="225">
                  <c:v>216.58</c:v>
                </c:pt>
                <c:pt idx="226">
                  <c:v>184.4</c:v>
                </c:pt>
                <c:pt idx="227">
                  <c:v>60.98</c:v>
                </c:pt>
                <c:pt idx="228">
                  <c:v>97.76</c:v>
                </c:pt>
                <c:pt idx="229">
                  <c:v>66.03</c:v>
                </c:pt>
                <c:pt idx="230">
                  <c:v>81.95</c:v>
                </c:pt>
                <c:pt idx="231">
                  <c:v>97.73</c:v>
                </c:pt>
                <c:pt idx="232">
                  <c:v>70.94</c:v>
                </c:pt>
                <c:pt idx="233">
                  <c:v>199.84</c:v>
                </c:pt>
                <c:pt idx="234">
                  <c:v>218.46</c:v>
                </c:pt>
                <c:pt idx="235">
                  <c:v>211.06</c:v>
                </c:pt>
                <c:pt idx="236">
                  <c:v>86.3</c:v>
                </c:pt>
                <c:pt idx="237">
                  <c:v>162.13999999999999</c:v>
                </c:pt>
                <c:pt idx="238">
                  <c:v>88.2</c:v>
                </c:pt>
                <c:pt idx="239">
                  <c:v>91.92</c:v>
                </c:pt>
                <c:pt idx="240">
                  <c:v>76.459999999999994</c:v>
                </c:pt>
                <c:pt idx="241">
                  <c:v>197.28</c:v>
                </c:pt>
                <c:pt idx="242">
                  <c:v>233.94</c:v>
                </c:pt>
                <c:pt idx="243">
                  <c:v>247.51</c:v>
                </c:pt>
                <c:pt idx="244">
                  <c:v>84.96</c:v>
                </c:pt>
                <c:pt idx="245">
                  <c:v>57.93</c:v>
                </c:pt>
                <c:pt idx="246">
                  <c:v>78.8</c:v>
                </c:pt>
                <c:pt idx="247">
                  <c:v>87.8</c:v>
                </c:pt>
                <c:pt idx="248">
                  <c:v>78.81</c:v>
                </c:pt>
                <c:pt idx="249">
                  <c:v>95.12</c:v>
                </c:pt>
                <c:pt idx="250">
                  <c:v>87.96</c:v>
                </c:pt>
                <c:pt idx="251">
                  <c:v>110.89</c:v>
                </c:pt>
                <c:pt idx="252">
                  <c:v>69.040000000000006</c:v>
                </c:pt>
                <c:pt idx="253">
                  <c:v>161.28</c:v>
                </c:pt>
                <c:pt idx="254">
                  <c:v>210.95</c:v>
                </c:pt>
                <c:pt idx="255">
                  <c:v>77.59</c:v>
                </c:pt>
                <c:pt idx="256">
                  <c:v>243.53</c:v>
                </c:pt>
                <c:pt idx="257">
                  <c:v>77.67</c:v>
                </c:pt>
                <c:pt idx="258">
                  <c:v>205.84</c:v>
                </c:pt>
                <c:pt idx="259">
                  <c:v>77.08</c:v>
                </c:pt>
                <c:pt idx="260">
                  <c:v>57.08</c:v>
                </c:pt>
                <c:pt idx="261">
                  <c:v>162.96</c:v>
                </c:pt>
                <c:pt idx="262">
                  <c:v>73.5</c:v>
                </c:pt>
                <c:pt idx="263">
                  <c:v>95.04</c:v>
                </c:pt>
                <c:pt idx="264">
                  <c:v>85.37</c:v>
                </c:pt>
                <c:pt idx="265">
                  <c:v>84.62</c:v>
                </c:pt>
                <c:pt idx="266">
                  <c:v>82.67</c:v>
                </c:pt>
                <c:pt idx="267">
                  <c:v>57.33</c:v>
                </c:pt>
                <c:pt idx="268">
                  <c:v>67.84</c:v>
                </c:pt>
                <c:pt idx="269">
                  <c:v>75.7</c:v>
                </c:pt>
                <c:pt idx="270">
                  <c:v>129.54</c:v>
                </c:pt>
                <c:pt idx="271">
                  <c:v>60.22</c:v>
                </c:pt>
                <c:pt idx="272">
                  <c:v>198.21</c:v>
                </c:pt>
                <c:pt idx="273">
                  <c:v>109.82</c:v>
                </c:pt>
                <c:pt idx="274">
                  <c:v>60.84</c:v>
                </c:pt>
                <c:pt idx="275">
                  <c:v>94.61</c:v>
                </c:pt>
                <c:pt idx="276">
                  <c:v>97.49</c:v>
                </c:pt>
                <c:pt idx="277">
                  <c:v>206.72</c:v>
                </c:pt>
                <c:pt idx="278">
                  <c:v>214.45</c:v>
                </c:pt>
                <c:pt idx="279">
                  <c:v>82.9</c:v>
                </c:pt>
                <c:pt idx="280">
                  <c:v>103.26</c:v>
                </c:pt>
                <c:pt idx="281">
                  <c:v>55.78</c:v>
                </c:pt>
                <c:pt idx="282">
                  <c:v>73.739999999999995</c:v>
                </c:pt>
                <c:pt idx="283">
                  <c:v>149.75</c:v>
                </c:pt>
                <c:pt idx="284">
                  <c:v>82.34</c:v>
                </c:pt>
                <c:pt idx="285">
                  <c:v>62.6</c:v>
                </c:pt>
                <c:pt idx="286">
                  <c:v>94.09</c:v>
                </c:pt>
                <c:pt idx="287">
                  <c:v>55.42</c:v>
                </c:pt>
                <c:pt idx="288">
                  <c:v>82.18</c:v>
                </c:pt>
                <c:pt idx="289">
                  <c:v>117.92</c:v>
                </c:pt>
                <c:pt idx="290">
                  <c:v>114.84</c:v>
                </c:pt>
                <c:pt idx="291">
                  <c:v>79.17</c:v>
                </c:pt>
                <c:pt idx="292">
                  <c:v>110.63</c:v>
                </c:pt>
                <c:pt idx="293">
                  <c:v>190.7</c:v>
                </c:pt>
                <c:pt idx="294">
                  <c:v>79.81</c:v>
                </c:pt>
                <c:pt idx="295">
                  <c:v>113.63</c:v>
                </c:pt>
                <c:pt idx="296">
                  <c:v>141.24</c:v>
                </c:pt>
                <c:pt idx="297">
                  <c:v>56.96</c:v>
                </c:pt>
                <c:pt idx="298">
                  <c:v>203.04</c:v>
                </c:pt>
                <c:pt idx="299">
                  <c:v>94.3</c:v>
                </c:pt>
                <c:pt idx="300">
                  <c:v>81.510000000000005</c:v>
                </c:pt>
                <c:pt idx="301">
                  <c:v>137.74</c:v>
                </c:pt>
                <c:pt idx="302">
                  <c:v>81.84</c:v>
                </c:pt>
                <c:pt idx="303">
                  <c:v>242.3</c:v>
                </c:pt>
                <c:pt idx="304">
                  <c:v>102.64</c:v>
                </c:pt>
                <c:pt idx="305">
                  <c:v>146.01</c:v>
                </c:pt>
                <c:pt idx="306">
                  <c:v>75.42</c:v>
                </c:pt>
                <c:pt idx="307">
                  <c:v>220.49</c:v>
                </c:pt>
                <c:pt idx="308">
                  <c:v>61.45</c:v>
                </c:pt>
                <c:pt idx="309">
                  <c:v>88.19</c:v>
                </c:pt>
                <c:pt idx="310">
                  <c:v>115.22</c:v>
                </c:pt>
                <c:pt idx="311">
                  <c:v>97.93</c:v>
                </c:pt>
                <c:pt idx="312">
                  <c:v>85.6</c:v>
                </c:pt>
                <c:pt idx="313">
                  <c:v>79.83</c:v>
                </c:pt>
                <c:pt idx="314">
                  <c:v>218.46</c:v>
                </c:pt>
                <c:pt idx="315">
                  <c:v>62.2</c:v>
                </c:pt>
                <c:pt idx="316">
                  <c:v>69.150000000000006</c:v>
                </c:pt>
                <c:pt idx="317">
                  <c:v>127.71</c:v>
                </c:pt>
                <c:pt idx="318">
                  <c:v>216.7</c:v>
                </c:pt>
                <c:pt idx="319">
                  <c:v>71.89</c:v>
                </c:pt>
                <c:pt idx="320">
                  <c:v>103.56</c:v>
                </c:pt>
                <c:pt idx="321">
                  <c:v>79.03</c:v>
                </c:pt>
                <c:pt idx="322">
                  <c:v>69.94</c:v>
                </c:pt>
                <c:pt idx="323">
                  <c:v>90.12</c:v>
                </c:pt>
                <c:pt idx="324">
                  <c:v>95.1</c:v>
                </c:pt>
                <c:pt idx="325">
                  <c:v>234.58</c:v>
                </c:pt>
                <c:pt idx="326">
                  <c:v>235.85</c:v>
                </c:pt>
                <c:pt idx="327">
                  <c:v>78.05</c:v>
                </c:pt>
                <c:pt idx="328">
                  <c:v>89.44</c:v>
                </c:pt>
                <c:pt idx="329">
                  <c:v>111.38</c:v>
                </c:pt>
                <c:pt idx="330">
                  <c:v>243.5</c:v>
                </c:pt>
                <c:pt idx="331">
                  <c:v>182.2</c:v>
                </c:pt>
                <c:pt idx="332">
                  <c:v>229.92</c:v>
                </c:pt>
                <c:pt idx="333">
                  <c:v>82.24</c:v>
                </c:pt>
                <c:pt idx="334">
                  <c:v>89.84</c:v>
                </c:pt>
                <c:pt idx="335">
                  <c:v>90.69</c:v>
                </c:pt>
                <c:pt idx="336">
                  <c:v>84.38</c:v>
                </c:pt>
                <c:pt idx="337">
                  <c:v>215.6</c:v>
                </c:pt>
                <c:pt idx="338">
                  <c:v>91.61</c:v>
                </c:pt>
                <c:pt idx="339">
                  <c:v>138.16</c:v>
                </c:pt>
                <c:pt idx="340">
                  <c:v>75.23</c:v>
                </c:pt>
                <c:pt idx="341">
                  <c:v>75.180000000000007</c:v>
                </c:pt>
                <c:pt idx="342">
                  <c:v>106.23</c:v>
                </c:pt>
                <c:pt idx="343">
                  <c:v>239.64</c:v>
                </c:pt>
                <c:pt idx="344">
                  <c:v>58.95</c:v>
                </c:pt>
                <c:pt idx="345">
                  <c:v>99.92</c:v>
                </c:pt>
                <c:pt idx="346">
                  <c:v>116.23</c:v>
                </c:pt>
                <c:pt idx="347">
                  <c:v>118.82</c:v>
                </c:pt>
                <c:pt idx="348">
                  <c:v>66.3</c:v>
                </c:pt>
                <c:pt idx="349">
                  <c:v>101.41</c:v>
                </c:pt>
                <c:pt idx="350">
                  <c:v>200.28</c:v>
                </c:pt>
                <c:pt idx="351">
                  <c:v>136.80000000000001</c:v>
                </c:pt>
                <c:pt idx="352">
                  <c:v>96.57</c:v>
                </c:pt>
                <c:pt idx="353">
                  <c:v>66.42</c:v>
                </c:pt>
                <c:pt idx="354">
                  <c:v>98.09</c:v>
                </c:pt>
                <c:pt idx="355">
                  <c:v>205.23</c:v>
                </c:pt>
                <c:pt idx="356">
                  <c:v>86.78</c:v>
                </c:pt>
                <c:pt idx="357">
                  <c:v>126.82</c:v>
                </c:pt>
                <c:pt idx="358">
                  <c:v>78.400000000000006</c:v>
                </c:pt>
                <c:pt idx="359">
                  <c:v>63.69</c:v>
                </c:pt>
                <c:pt idx="360">
                  <c:v>209.58</c:v>
                </c:pt>
                <c:pt idx="361">
                  <c:v>89.86</c:v>
                </c:pt>
                <c:pt idx="362">
                  <c:v>110.99</c:v>
                </c:pt>
                <c:pt idx="363">
                  <c:v>83.82</c:v>
                </c:pt>
                <c:pt idx="364">
                  <c:v>137.96</c:v>
                </c:pt>
                <c:pt idx="365">
                  <c:v>210.78</c:v>
                </c:pt>
                <c:pt idx="366">
                  <c:v>118.89</c:v>
                </c:pt>
                <c:pt idx="367">
                  <c:v>72.55</c:v>
                </c:pt>
                <c:pt idx="368">
                  <c:v>107.41</c:v>
                </c:pt>
                <c:pt idx="369">
                  <c:v>93.25</c:v>
                </c:pt>
                <c:pt idx="370">
                  <c:v>74.91</c:v>
                </c:pt>
                <c:pt idx="371">
                  <c:v>80.05</c:v>
                </c:pt>
                <c:pt idx="372">
                  <c:v>99.8</c:v>
                </c:pt>
                <c:pt idx="373">
                  <c:v>91.97</c:v>
                </c:pt>
                <c:pt idx="374">
                  <c:v>64.400000000000006</c:v>
                </c:pt>
                <c:pt idx="375">
                  <c:v>73.02</c:v>
                </c:pt>
                <c:pt idx="376">
                  <c:v>88.11</c:v>
                </c:pt>
                <c:pt idx="377">
                  <c:v>138.29</c:v>
                </c:pt>
                <c:pt idx="378">
                  <c:v>72.36</c:v>
                </c:pt>
                <c:pt idx="379">
                  <c:v>68.760000000000005</c:v>
                </c:pt>
                <c:pt idx="380">
                  <c:v>106.22</c:v>
                </c:pt>
                <c:pt idx="381">
                  <c:v>101.52</c:v>
                </c:pt>
                <c:pt idx="382">
                  <c:v>109.51</c:v>
                </c:pt>
                <c:pt idx="383">
                  <c:v>85.84</c:v>
                </c:pt>
                <c:pt idx="384">
                  <c:v>110.15</c:v>
                </c:pt>
                <c:pt idx="385">
                  <c:v>91.72</c:v>
                </c:pt>
                <c:pt idx="386">
                  <c:v>251.6</c:v>
                </c:pt>
                <c:pt idx="387">
                  <c:v>123.1</c:v>
                </c:pt>
                <c:pt idx="388">
                  <c:v>97.4</c:v>
                </c:pt>
                <c:pt idx="389">
                  <c:v>68.34</c:v>
                </c:pt>
                <c:pt idx="390">
                  <c:v>80.81</c:v>
                </c:pt>
                <c:pt idx="391">
                  <c:v>120.31</c:v>
                </c:pt>
                <c:pt idx="392">
                  <c:v>83.51</c:v>
                </c:pt>
                <c:pt idx="393">
                  <c:v>74.09</c:v>
                </c:pt>
                <c:pt idx="394">
                  <c:v>91.6</c:v>
                </c:pt>
                <c:pt idx="395">
                  <c:v>87.52</c:v>
                </c:pt>
                <c:pt idx="396">
                  <c:v>213.37</c:v>
                </c:pt>
                <c:pt idx="397">
                  <c:v>75.39</c:v>
                </c:pt>
                <c:pt idx="398">
                  <c:v>122.41</c:v>
                </c:pt>
                <c:pt idx="399">
                  <c:v>223.36</c:v>
                </c:pt>
                <c:pt idx="400">
                  <c:v>84.59</c:v>
                </c:pt>
                <c:pt idx="401">
                  <c:v>70.16</c:v>
                </c:pt>
                <c:pt idx="402">
                  <c:v>107.52</c:v>
                </c:pt>
                <c:pt idx="403">
                  <c:v>80.88</c:v>
                </c:pt>
                <c:pt idx="404">
                  <c:v>93.48</c:v>
                </c:pt>
                <c:pt idx="405">
                  <c:v>70.209999999999994</c:v>
                </c:pt>
                <c:pt idx="406">
                  <c:v>86.67</c:v>
                </c:pt>
                <c:pt idx="407">
                  <c:v>101.37</c:v>
                </c:pt>
                <c:pt idx="408">
                  <c:v>105.22</c:v>
                </c:pt>
                <c:pt idx="409">
                  <c:v>70.31</c:v>
                </c:pt>
                <c:pt idx="410">
                  <c:v>64.06</c:v>
                </c:pt>
                <c:pt idx="411">
                  <c:v>178.29</c:v>
                </c:pt>
                <c:pt idx="412">
                  <c:v>81.599999999999994</c:v>
                </c:pt>
                <c:pt idx="413">
                  <c:v>147.47999999999999</c:v>
                </c:pt>
                <c:pt idx="414">
                  <c:v>86.86</c:v>
                </c:pt>
                <c:pt idx="415">
                  <c:v>71.16</c:v>
                </c:pt>
                <c:pt idx="416">
                  <c:v>73.2</c:v>
                </c:pt>
                <c:pt idx="417">
                  <c:v>203.81</c:v>
                </c:pt>
                <c:pt idx="418">
                  <c:v>82</c:v>
                </c:pt>
                <c:pt idx="419">
                  <c:v>97.55</c:v>
                </c:pt>
                <c:pt idx="420">
                  <c:v>94.29</c:v>
                </c:pt>
                <c:pt idx="421">
                  <c:v>75.22</c:v>
                </c:pt>
                <c:pt idx="422">
                  <c:v>90.07</c:v>
                </c:pt>
                <c:pt idx="423">
                  <c:v>73.73</c:v>
                </c:pt>
                <c:pt idx="424">
                  <c:v>79.58</c:v>
                </c:pt>
                <c:pt idx="425">
                  <c:v>77.88</c:v>
                </c:pt>
                <c:pt idx="426">
                  <c:v>205.26</c:v>
                </c:pt>
                <c:pt idx="427">
                  <c:v>58.63</c:v>
                </c:pt>
                <c:pt idx="428">
                  <c:v>139.9</c:v>
                </c:pt>
                <c:pt idx="429">
                  <c:v>211.03</c:v>
                </c:pt>
                <c:pt idx="430">
                  <c:v>72.790000000000006</c:v>
                </c:pt>
                <c:pt idx="431">
                  <c:v>91.65</c:v>
                </c:pt>
                <c:pt idx="432">
                  <c:v>79.92</c:v>
                </c:pt>
                <c:pt idx="433">
                  <c:v>225.47</c:v>
                </c:pt>
                <c:pt idx="434">
                  <c:v>94.48</c:v>
                </c:pt>
                <c:pt idx="435">
                  <c:v>82.34</c:v>
                </c:pt>
                <c:pt idx="436">
                  <c:v>180.63</c:v>
                </c:pt>
                <c:pt idx="437">
                  <c:v>92.48</c:v>
                </c:pt>
                <c:pt idx="438">
                  <c:v>116.66</c:v>
                </c:pt>
                <c:pt idx="439">
                  <c:v>112.09</c:v>
                </c:pt>
                <c:pt idx="440">
                  <c:v>130.34</c:v>
                </c:pt>
                <c:pt idx="441">
                  <c:v>82.59</c:v>
                </c:pt>
                <c:pt idx="442">
                  <c:v>123.87</c:v>
                </c:pt>
                <c:pt idx="443">
                  <c:v>98.7</c:v>
                </c:pt>
                <c:pt idx="444">
                  <c:v>227.1</c:v>
                </c:pt>
                <c:pt idx="445">
                  <c:v>55.39</c:v>
                </c:pt>
                <c:pt idx="446">
                  <c:v>66.069999999999993</c:v>
                </c:pt>
                <c:pt idx="447">
                  <c:v>104.21</c:v>
                </c:pt>
                <c:pt idx="448">
                  <c:v>145.15</c:v>
                </c:pt>
                <c:pt idx="449">
                  <c:v>68.19</c:v>
                </c:pt>
                <c:pt idx="450">
                  <c:v>97.53</c:v>
                </c:pt>
                <c:pt idx="451">
                  <c:v>122.31</c:v>
                </c:pt>
                <c:pt idx="452">
                  <c:v>83.51</c:v>
                </c:pt>
                <c:pt idx="453">
                  <c:v>86.46</c:v>
                </c:pt>
                <c:pt idx="454">
                  <c:v>112.06</c:v>
                </c:pt>
                <c:pt idx="455">
                  <c:v>92.14</c:v>
                </c:pt>
                <c:pt idx="456">
                  <c:v>201.76</c:v>
                </c:pt>
                <c:pt idx="457">
                  <c:v>74.44</c:v>
                </c:pt>
                <c:pt idx="458">
                  <c:v>95.93</c:v>
                </c:pt>
                <c:pt idx="459">
                  <c:v>87.51</c:v>
                </c:pt>
                <c:pt idx="460">
                  <c:v>72.349999999999994</c:v>
                </c:pt>
                <c:pt idx="461">
                  <c:v>113.47</c:v>
                </c:pt>
                <c:pt idx="462">
                  <c:v>103.78</c:v>
                </c:pt>
                <c:pt idx="463">
                  <c:v>115.43</c:v>
                </c:pt>
                <c:pt idx="464">
                  <c:v>95.59</c:v>
                </c:pt>
                <c:pt idx="465">
                  <c:v>101.52</c:v>
                </c:pt>
                <c:pt idx="466">
                  <c:v>170.05</c:v>
                </c:pt>
                <c:pt idx="467">
                  <c:v>217.3</c:v>
                </c:pt>
                <c:pt idx="468">
                  <c:v>196.01</c:v>
                </c:pt>
                <c:pt idx="469">
                  <c:v>92.21</c:v>
                </c:pt>
                <c:pt idx="470">
                  <c:v>100.09</c:v>
                </c:pt>
                <c:pt idx="471">
                  <c:v>93.88</c:v>
                </c:pt>
                <c:pt idx="472">
                  <c:v>75.05</c:v>
                </c:pt>
                <c:pt idx="473">
                  <c:v>70.08</c:v>
                </c:pt>
                <c:pt idx="474">
                  <c:v>74.2</c:v>
                </c:pt>
                <c:pt idx="475">
                  <c:v>69.010000000000005</c:v>
                </c:pt>
                <c:pt idx="476">
                  <c:v>96.17</c:v>
                </c:pt>
                <c:pt idx="477">
                  <c:v>184.15</c:v>
                </c:pt>
                <c:pt idx="478">
                  <c:v>87.24</c:v>
                </c:pt>
                <c:pt idx="479">
                  <c:v>198.69</c:v>
                </c:pt>
                <c:pt idx="480">
                  <c:v>82.58</c:v>
                </c:pt>
                <c:pt idx="481">
                  <c:v>96.88</c:v>
                </c:pt>
                <c:pt idx="482">
                  <c:v>73.319999999999993</c:v>
                </c:pt>
                <c:pt idx="483">
                  <c:v>94.59</c:v>
                </c:pt>
                <c:pt idx="484">
                  <c:v>132.08000000000001</c:v>
                </c:pt>
                <c:pt idx="485">
                  <c:v>98.99</c:v>
                </c:pt>
                <c:pt idx="486">
                  <c:v>104.48</c:v>
                </c:pt>
                <c:pt idx="487">
                  <c:v>98.01</c:v>
                </c:pt>
                <c:pt idx="488">
                  <c:v>79.14</c:v>
                </c:pt>
                <c:pt idx="489">
                  <c:v>89.32</c:v>
                </c:pt>
                <c:pt idx="490">
                  <c:v>65.239999999999995</c:v>
                </c:pt>
                <c:pt idx="491">
                  <c:v>80.98</c:v>
                </c:pt>
                <c:pt idx="492">
                  <c:v>186.17</c:v>
                </c:pt>
                <c:pt idx="493">
                  <c:v>69.239999999999995</c:v>
                </c:pt>
                <c:pt idx="494">
                  <c:v>111.19</c:v>
                </c:pt>
                <c:pt idx="495">
                  <c:v>93.28</c:v>
                </c:pt>
                <c:pt idx="496">
                  <c:v>122.19</c:v>
                </c:pt>
                <c:pt idx="497">
                  <c:v>129.53</c:v>
                </c:pt>
                <c:pt idx="498">
                  <c:v>114.53</c:v>
                </c:pt>
                <c:pt idx="499">
                  <c:v>93.73</c:v>
                </c:pt>
                <c:pt idx="500">
                  <c:v>77.489999999999995</c:v>
                </c:pt>
                <c:pt idx="501">
                  <c:v>65.38</c:v>
                </c:pt>
                <c:pt idx="502">
                  <c:v>94.18</c:v>
                </c:pt>
                <c:pt idx="503">
                  <c:v>118.7</c:v>
                </c:pt>
                <c:pt idx="504">
                  <c:v>96.29</c:v>
                </c:pt>
                <c:pt idx="505">
                  <c:v>74.64</c:v>
                </c:pt>
                <c:pt idx="506">
                  <c:v>96.99</c:v>
                </c:pt>
                <c:pt idx="507">
                  <c:v>100.61</c:v>
                </c:pt>
                <c:pt idx="508">
                  <c:v>97.08</c:v>
                </c:pt>
                <c:pt idx="509">
                  <c:v>84.79</c:v>
                </c:pt>
                <c:pt idx="510">
                  <c:v>78.75</c:v>
                </c:pt>
                <c:pt idx="511">
                  <c:v>82.93</c:v>
                </c:pt>
                <c:pt idx="512">
                  <c:v>88.78</c:v>
                </c:pt>
                <c:pt idx="513">
                  <c:v>122.1</c:v>
                </c:pt>
                <c:pt idx="514">
                  <c:v>74.81</c:v>
                </c:pt>
                <c:pt idx="515">
                  <c:v>183.45</c:v>
                </c:pt>
                <c:pt idx="516">
                  <c:v>114.94</c:v>
                </c:pt>
                <c:pt idx="517">
                  <c:v>104.38</c:v>
                </c:pt>
                <c:pt idx="518">
                  <c:v>102.91</c:v>
                </c:pt>
                <c:pt idx="519">
                  <c:v>108.79</c:v>
                </c:pt>
                <c:pt idx="520">
                  <c:v>73.31</c:v>
                </c:pt>
                <c:pt idx="521">
                  <c:v>68.52</c:v>
                </c:pt>
                <c:pt idx="522">
                  <c:v>89.77</c:v>
                </c:pt>
                <c:pt idx="523">
                  <c:v>102.64</c:v>
                </c:pt>
                <c:pt idx="524">
                  <c:v>70.92</c:v>
                </c:pt>
                <c:pt idx="525">
                  <c:v>86.11</c:v>
                </c:pt>
                <c:pt idx="526">
                  <c:v>129.16</c:v>
                </c:pt>
                <c:pt idx="527">
                  <c:v>113.85</c:v>
                </c:pt>
                <c:pt idx="528">
                  <c:v>79.349999999999994</c:v>
                </c:pt>
                <c:pt idx="529">
                  <c:v>80.790000000000006</c:v>
                </c:pt>
                <c:pt idx="530">
                  <c:v>114.01</c:v>
                </c:pt>
                <c:pt idx="531">
                  <c:v>93.74</c:v>
                </c:pt>
                <c:pt idx="532">
                  <c:v>90.65</c:v>
                </c:pt>
                <c:pt idx="533">
                  <c:v>98.41</c:v>
                </c:pt>
                <c:pt idx="534">
                  <c:v>127.18</c:v>
                </c:pt>
                <c:pt idx="535">
                  <c:v>138.06</c:v>
                </c:pt>
                <c:pt idx="536">
                  <c:v>89.44</c:v>
                </c:pt>
                <c:pt idx="537">
                  <c:v>105.61</c:v>
                </c:pt>
                <c:pt idx="538">
                  <c:v>155.43</c:v>
                </c:pt>
                <c:pt idx="539">
                  <c:v>80.83</c:v>
                </c:pt>
                <c:pt idx="540">
                  <c:v>80.19</c:v>
                </c:pt>
                <c:pt idx="541">
                  <c:v>60.34</c:v>
                </c:pt>
                <c:pt idx="542">
                  <c:v>79.3</c:v>
                </c:pt>
                <c:pt idx="543">
                  <c:v>98.44</c:v>
                </c:pt>
                <c:pt idx="544">
                  <c:v>210.48</c:v>
                </c:pt>
                <c:pt idx="545">
                  <c:v>70.34</c:v>
                </c:pt>
                <c:pt idx="546">
                  <c:v>122.22</c:v>
                </c:pt>
                <c:pt idx="547">
                  <c:v>75.290000000000006</c:v>
                </c:pt>
                <c:pt idx="548">
                  <c:v>100.35</c:v>
                </c:pt>
                <c:pt idx="549">
                  <c:v>193.83</c:v>
                </c:pt>
                <c:pt idx="550">
                  <c:v>126.96</c:v>
                </c:pt>
                <c:pt idx="551">
                  <c:v>183.34</c:v>
                </c:pt>
                <c:pt idx="552">
                  <c:v>247.69</c:v>
                </c:pt>
                <c:pt idx="553">
                  <c:v>76.2</c:v>
                </c:pt>
                <c:pt idx="554">
                  <c:v>71.430000000000007</c:v>
                </c:pt>
                <c:pt idx="555">
                  <c:v>93.36</c:v>
                </c:pt>
                <c:pt idx="556">
                  <c:v>61.29</c:v>
                </c:pt>
                <c:pt idx="557">
                  <c:v>103.62</c:v>
                </c:pt>
                <c:pt idx="558">
                  <c:v>100.52</c:v>
                </c:pt>
                <c:pt idx="559">
                  <c:v>191.47</c:v>
                </c:pt>
                <c:pt idx="560">
                  <c:v>67.06</c:v>
                </c:pt>
                <c:pt idx="561">
                  <c:v>144.1</c:v>
                </c:pt>
                <c:pt idx="562">
                  <c:v>58.26</c:v>
                </c:pt>
                <c:pt idx="563">
                  <c:v>239.82</c:v>
                </c:pt>
                <c:pt idx="564">
                  <c:v>73.709999999999994</c:v>
                </c:pt>
                <c:pt idx="565">
                  <c:v>88.53</c:v>
                </c:pt>
                <c:pt idx="566">
                  <c:v>114.79</c:v>
                </c:pt>
                <c:pt idx="567">
                  <c:v>113.8</c:v>
                </c:pt>
                <c:pt idx="568">
                  <c:v>71.91</c:v>
                </c:pt>
                <c:pt idx="569">
                  <c:v>65.3</c:v>
                </c:pt>
                <c:pt idx="570">
                  <c:v>189.57</c:v>
                </c:pt>
                <c:pt idx="571">
                  <c:v>114.25</c:v>
                </c:pt>
                <c:pt idx="572">
                  <c:v>81.260000000000005</c:v>
                </c:pt>
                <c:pt idx="573">
                  <c:v>87.88</c:v>
                </c:pt>
                <c:pt idx="574">
                  <c:v>112.17</c:v>
                </c:pt>
                <c:pt idx="575">
                  <c:v>99.97</c:v>
                </c:pt>
                <c:pt idx="576">
                  <c:v>207.58</c:v>
                </c:pt>
                <c:pt idx="577">
                  <c:v>109.16</c:v>
                </c:pt>
                <c:pt idx="578">
                  <c:v>74.459999999999994</c:v>
                </c:pt>
                <c:pt idx="579">
                  <c:v>118.51</c:v>
                </c:pt>
                <c:pt idx="580">
                  <c:v>107.47</c:v>
                </c:pt>
                <c:pt idx="581">
                  <c:v>182.86</c:v>
                </c:pt>
                <c:pt idx="582">
                  <c:v>59.17</c:v>
                </c:pt>
                <c:pt idx="583">
                  <c:v>215.64</c:v>
                </c:pt>
                <c:pt idx="584">
                  <c:v>163.69999999999999</c:v>
                </c:pt>
                <c:pt idx="585">
                  <c:v>196.36</c:v>
                </c:pt>
                <c:pt idx="586">
                  <c:v>139.77000000000001</c:v>
                </c:pt>
                <c:pt idx="587">
                  <c:v>141.22999999999999</c:v>
                </c:pt>
                <c:pt idx="588">
                  <c:v>89.99</c:v>
                </c:pt>
                <c:pt idx="589">
                  <c:v>108.53</c:v>
                </c:pt>
                <c:pt idx="590">
                  <c:v>63.61</c:v>
                </c:pt>
                <c:pt idx="591">
                  <c:v>85.54</c:v>
                </c:pt>
                <c:pt idx="592">
                  <c:v>100.83</c:v>
                </c:pt>
                <c:pt idx="593">
                  <c:v>59.82</c:v>
                </c:pt>
                <c:pt idx="594">
                  <c:v>105.95</c:v>
                </c:pt>
                <c:pt idx="595">
                  <c:v>188.11</c:v>
                </c:pt>
                <c:pt idx="596">
                  <c:v>71.150000000000006</c:v>
                </c:pt>
                <c:pt idx="597">
                  <c:v>60.53</c:v>
                </c:pt>
                <c:pt idx="598">
                  <c:v>205.5</c:v>
                </c:pt>
                <c:pt idx="599">
                  <c:v>204.86</c:v>
                </c:pt>
                <c:pt idx="600">
                  <c:v>115.03</c:v>
                </c:pt>
                <c:pt idx="601">
                  <c:v>79.87</c:v>
                </c:pt>
                <c:pt idx="602">
                  <c:v>97.89</c:v>
                </c:pt>
                <c:pt idx="603">
                  <c:v>125.26</c:v>
                </c:pt>
                <c:pt idx="604">
                  <c:v>114.32</c:v>
                </c:pt>
                <c:pt idx="605">
                  <c:v>92.23</c:v>
                </c:pt>
                <c:pt idx="606">
                  <c:v>83.51</c:v>
                </c:pt>
                <c:pt idx="607">
                  <c:v>102.34</c:v>
                </c:pt>
                <c:pt idx="608">
                  <c:v>144.47999999999999</c:v>
                </c:pt>
                <c:pt idx="609">
                  <c:v>88.39</c:v>
                </c:pt>
                <c:pt idx="610">
                  <c:v>228.08</c:v>
                </c:pt>
                <c:pt idx="611">
                  <c:v>93.79</c:v>
                </c:pt>
                <c:pt idx="612">
                  <c:v>147.13999999999999</c:v>
                </c:pt>
                <c:pt idx="613">
                  <c:v>106.43</c:v>
                </c:pt>
                <c:pt idx="614">
                  <c:v>88.04</c:v>
                </c:pt>
                <c:pt idx="615">
                  <c:v>92.2</c:v>
                </c:pt>
                <c:pt idx="616">
                  <c:v>219.53</c:v>
                </c:pt>
                <c:pt idx="617">
                  <c:v>75.56</c:v>
                </c:pt>
                <c:pt idx="618">
                  <c:v>158.31</c:v>
                </c:pt>
                <c:pt idx="619">
                  <c:v>111.43</c:v>
                </c:pt>
                <c:pt idx="620">
                  <c:v>219.97</c:v>
                </c:pt>
                <c:pt idx="621">
                  <c:v>148.91</c:v>
                </c:pt>
                <c:pt idx="622">
                  <c:v>69.400000000000006</c:v>
                </c:pt>
                <c:pt idx="623">
                  <c:v>68.34</c:v>
                </c:pt>
                <c:pt idx="624">
                  <c:v>58.37</c:v>
                </c:pt>
                <c:pt idx="625">
                  <c:v>71.2</c:v>
                </c:pt>
                <c:pt idx="626">
                  <c:v>101.5</c:v>
                </c:pt>
                <c:pt idx="627">
                  <c:v>92.04</c:v>
                </c:pt>
                <c:pt idx="628">
                  <c:v>73</c:v>
                </c:pt>
                <c:pt idx="629">
                  <c:v>111.15</c:v>
                </c:pt>
                <c:pt idx="630">
                  <c:v>58.65</c:v>
                </c:pt>
                <c:pt idx="631">
                  <c:v>100.54</c:v>
                </c:pt>
                <c:pt idx="632">
                  <c:v>111.73</c:v>
                </c:pt>
                <c:pt idx="633">
                  <c:v>97.78</c:v>
                </c:pt>
                <c:pt idx="634">
                  <c:v>85.79</c:v>
                </c:pt>
                <c:pt idx="635">
                  <c:v>98.54</c:v>
                </c:pt>
                <c:pt idx="636">
                  <c:v>94.62</c:v>
                </c:pt>
                <c:pt idx="637">
                  <c:v>112.43</c:v>
                </c:pt>
                <c:pt idx="638">
                  <c:v>99.67</c:v>
                </c:pt>
                <c:pt idx="639">
                  <c:v>67.39</c:v>
                </c:pt>
                <c:pt idx="640">
                  <c:v>95.12</c:v>
                </c:pt>
                <c:pt idx="641">
                  <c:v>85.06</c:v>
                </c:pt>
                <c:pt idx="642">
                  <c:v>214.05</c:v>
                </c:pt>
                <c:pt idx="643">
                  <c:v>79.09</c:v>
                </c:pt>
                <c:pt idx="644">
                  <c:v>98.09</c:v>
                </c:pt>
                <c:pt idx="645">
                  <c:v>76.36</c:v>
                </c:pt>
                <c:pt idx="646">
                  <c:v>98.42</c:v>
                </c:pt>
                <c:pt idx="647">
                  <c:v>82.01</c:v>
                </c:pt>
                <c:pt idx="648">
                  <c:v>56.11</c:v>
                </c:pt>
                <c:pt idx="649">
                  <c:v>111.85</c:v>
                </c:pt>
                <c:pt idx="650">
                  <c:v>92.39</c:v>
                </c:pt>
                <c:pt idx="651">
                  <c:v>112.54</c:v>
                </c:pt>
                <c:pt idx="652">
                  <c:v>63.71</c:v>
                </c:pt>
                <c:pt idx="653">
                  <c:v>70.349999999999994</c:v>
                </c:pt>
                <c:pt idx="654">
                  <c:v>94.65</c:v>
                </c:pt>
                <c:pt idx="655">
                  <c:v>64.64</c:v>
                </c:pt>
                <c:pt idx="656">
                  <c:v>57.27</c:v>
                </c:pt>
                <c:pt idx="657">
                  <c:v>107.25</c:v>
                </c:pt>
                <c:pt idx="658">
                  <c:v>77.12</c:v>
                </c:pt>
                <c:pt idx="659">
                  <c:v>55.32</c:v>
                </c:pt>
                <c:pt idx="660">
                  <c:v>69.37</c:v>
                </c:pt>
                <c:pt idx="661">
                  <c:v>57.57</c:v>
                </c:pt>
                <c:pt idx="662">
                  <c:v>87.43</c:v>
                </c:pt>
                <c:pt idx="663">
                  <c:v>98.73</c:v>
                </c:pt>
                <c:pt idx="664">
                  <c:v>81.180000000000007</c:v>
                </c:pt>
                <c:pt idx="665">
                  <c:v>56.23</c:v>
                </c:pt>
                <c:pt idx="666">
                  <c:v>69.61</c:v>
                </c:pt>
                <c:pt idx="667">
                  <c:v>59.49</c:v>
                </c:pt>
                <c:pt idx="668">
                  <c:v>118.14</c:v>
                </c:pt>
                <c:pt idx="669">
                  <c:v>100.26</c:v>
                </c:pt>
                <c:pt idx="670">
                  <c:v>56.75</c:v>
                </c:pt>
                <c:pt idx="671">
                  <c:v>88.27</c:v>
                </c:pt>
                <c:pt idx="672">
                  <c:v>67.81</c:v>
                </c:pt>
                <c:pt idx="673">
                  <c:v>77.459999999999994</c:v>
                </c:pt>
                <c:pt idx="674">
                  <c:v>76.260000000000005</c:v>
                </c:pt>
                <c:pt idx="675">
                  <c:v>86.39</c:v>
                </c:pt>
                <c:pt idx="676">
                  <c:v>116.38</c:v>
                </c:pt>
                <c:pt idx="677">
                  <c:v>75.739999999999995</c:v>
                </c:pt>
                <c:pt idx="678">
                  <c:v>92.14</c:v>
                </c:pt>
                <c:pt idx="679">
                  <c:v>149.94999999999999</c:v>
                </c:pt>
                <c:pt idx="680">
                  <c:v>92.11</c:v>
                </c:pt>
                <c:pt idx="681">
                  <c:v>74.98</c:v>
                </c:pt>
                <c:pt idx="682">
                  <c:v>55.25</c:v>
                </c:pt>
                <c:pt idx="683">
                  <c:v>79.89</c:v>
                </c:pt>
                <c:pt idx="684">
                  <c:v>130.61000000000001</c:v>
                </c:pt>
                <c:pt idx="685">
                  <c:v>94.26</c:v>
                </c:pt>
                <c:pt idx="686">
                  <c:v>94.34</c:v>
                </c:pt>
                <c:pt idx="687">
                  <c:v>109.03</c:v>
                </c:pt>
                <c:pt idx="688">
                  <c:v>81.03</c:v>
                </c:pt>
                <c:pt idx="689">
                  <c:v>99.82</c:v>
                </c:pt>
                <c:pt idx="690">
                  <c:v>140.08000000000001</c:v>
                </c:pt>
                <c:pt idx="691">
                  <c:v>59.54</c:v>
                </c:pt>
                <c:pt idx="692">
                  <c:v>80.33</c:v>
                </c:pt>
                <c:pt idx="693">
                  <c:v>131.51</c:v>
                </c:pt>
                <c:pt idx="694">
                  <c:v>89.21</c:v>
                </c:pt>
                <c:pt idx="695">
                  <c:v>91.45</c:v>
                </c:pt>
                <c:pt idx="696">
                  <c:v>90.58</c:v>
                </c:pt>
                <c:pt idx="697">
                  <c:v>91.45</c:v>
                </c:pt>
                <c:pt idx="698">
                  <c:v>89.63</c:v>
                </c:pt>
                <c:pt idx="699">
                  <c:v>124.06</c:v>
                </c:pt>
                <c:pt idx="700">
                  <c:v>99.47</c:v>
                </c:pt>
                <c:pt idx="701">
                  <c:v>88.97</c:v>
                </c:pt>
                <c:pt idx="702">
                  <c:v>80.930000000000007</c:v>
                </c:pt>
                <c:pt idx="703">
                  <c:v>102.07</c:v>
                </c:pt>
                <c:pt idx="704">
                  <c:v>91.69</c:v>
                </c:pt>
                <c:pt idx="705">
                  <c:v>63.71</c:v>
                </c:pt>
                <c:pt idx="706">
                  <c:v>200.49</c:v>
                </c:pt>
                <c:pt idx="707">
                  <c:v>75.3</c:v>
                </c:pt>
                <c:pt idx="708">
                  <c:v>240.71</c:v>
                </c:pt>
                <c:pt idx="709">
                  <c:v>60.5</c:v>
                </c:pt>
                <c:pt idx="710">
                  <c:v>131.85</c:v>
                </c:pt>
                <c:pt idx="711">
                  <c:v>134.38999999999999</c:v>
                </c:pt>
                <c:pt idx="712">
                  <c:v>56.18</c:v>
                </c:pt>
                <c:pt idx="713">
                  <c:v>113.64</c:v>
                </c:pt>
                <c:pt idx="714">
                  <c:v>156.57</c:v>
                </c:pt>
                <c:pt idx="715">
                  <c:v>80.400000000000006</c:v>
                </c:pt>
                <c:pt idx="716">
                  <c:v>59.26</c:v>
                </c:pt>
                <c:pt idx="717">
                  <c:v>63.26</c:v>
                </c:pt>
                <c:pt idx="718">
                  <c:v>86.24</c:v>
                </c:pt>
                <c:pt idx="719">
                  <c:v>197.1</c:v>
                </c:pt>
                <c:pt idx="720">
                  <c:v>90.9</c:v>
                </c:pt>
                <c:pt idx="721">
                  <c:v>84.59</c:v>
                </c:pt>
                <c:pt idx="722">
                  <c:v>121.8</c:v>
                </c:pt>
                <c:pt idx="723">
                  <c:v>77.650000000000006</c:v>
                </c:pt>
                <c:pt idx="724">
                  <c:v>64.41</c:v>
                </c:pt>
                <c:pt idx="725">
                  <c:v>75.19</c:v>
                </c:pt>
                <c:pt idx="726">
                  <c:v>67.97</c:v>
                </c:pt>
                <c:pt idx="727">
                  <c:v>119.34</c:v>
                </c:pt>
                <c:pt idx="728">
                  <c:v>94.92</c:v>
                </c:pt>
                <c:pt idx="729">
                  <c:v>107.42</c:v>
                </c:pt>
                <c:pt idx="730">
                  <c:v>85.02</c:v>
                </c:pt>
                <c:pt idx="731">
                  <c:v>103.51</c:v>
                </c:pt>
                <c:pt idx="732">
                  <c:v>114.5</c:v>
                </c:pt>
                <c:pt idx="733">
                  <c:v>70.78</c:v>
                </c:pt>
                <c:pt idx="734">
                  <c:v>95.01</c:v>
                </c:pt>
                <c:pt idx="735">
                  <c:v>84.11</c:v>
                </c:pt>
                <c:pt idx="736">
                  <c:v>74.02</c:v>
                </c:pt>
                <c:pt idx="737">
                  <c:v>78.489999999999995</c:v>
                </c:pt>
                <c:pt idx="738">
                  <c:v>74.22</c:v>
                </c:pt>
                <c:pt idx="739">
                  <c:v>55.34</c:v>
                </c:pt>
                <c:pt idx="740">
                  <c:v>75.040000000000006</c:v>
                </c:pt>
                <c:pt idx="741">
                  <c:v>109.73</c:v>
                </c:pt>
                <c:pt idx="742">
                  <c:v>95.81</c:v>
                </c:pt>
                <c:pt idx="743">
                  <c:v>96.78</c:v>
                </c:pt>
                <c:pt idx="744">
                  <c:v>194.62</c:v>
                </c:pt>
                <c:pt idx="745">
                  <c:v>70.02</c:v>
                </c:pt>
                <c:pt idx="746">
                  <c:v>222.21</c:v>
                </c:pt>
                <c:pt idx="747">
                  <c:v>62.41</c:v>
                </c:pt>
                <c:pt idx="748">
                  <c:v>55.83</c:v>
                </c:pt>
                <c:pt idx="749">
                  <c:v>65.12</c:v>
                </c:pt>
                <c:pt idx="750">
                  <c:v>73.62</c:v>
                </c:pt>
                <c:pt idx="751">
                  <c:v>85.83</c:v>
                </c:pt>
                <c:pt idx="752">
                  <c:v>103.86</c:v>
                </c:pt>
                <c:pt idx="753">
                  <c:v>60.98</c:v>
                </c:pt>
                <c:pt idx="754">
                  <c:v>82.69</c:v>
                </c:pt>
                <c:pt idx="755">
                  <c:v>250.2</c:v>
                </c:pt>
                <c:pt idx="756">
                  <c:v>128.97</c:v>
                </c:pt>
                <c:pt idx="757">
                  <c:v>84.31</c:v>
                </c:pt>
                <c:pt idx="758">
                  <c:v>74.8</c:v>
                </c:pt>
                <c:pt idx="759">
                  <c:v>97.06</c:v>
                </c:pt>
                <c:pt idx="760">
                  <c:v>77.540000000000006</c:v>
                </c:pt>
                <c:pt idx="761">
                  <c:v>92.78</c:v>
                </c:pt>
                <c:pt idx="762">
                  <c:v>173.43</c:v>
                </c:pt>
                <c:pt idx="763">
                  <c:v>79.08</c:v>
                </c:pt>
                <c:pt idx="764">
                  <c:v>106.18</c:v>
                </c:pt>
                <c:pt idx="765">
                  <c:v>114.21</c:v>
                </c:pt>
                <c:pt idx="766">
                  <c:v>91.08</c:v>
                </c:pt>
                <c:pt idx="767">
                  <c:v>105.77</c:v>
                </c:pt>
                <c:pt idx="768">
                  <c:v>74.88</c:v>
                </c:pt>
                <c:pt idx="769">
                  <c:v>123.15</c:v>
                </c:pt>
                <c:pt idx="770">
                  <c:v>184.25</c:v>
                </c:pt>
                <c:pt idx="771">
                  <c:v>117.69</c:v>
                </c:pt>
                <c:pt idx="772">
                  <c:v>55.26</c:v>
                </c:pt>
                <c:pt idx="773">
                  <c:v>106.51</c:v>
                </c:pt>
                <c:pt idx="774">
                  <c:v>55.27</c:v>
                </c:pt>
                <c:pt idx="775">
                  <c:v>98.42</c:v>
                </c:pt>
                <c:pt idx="776">
                  <c:v>99.2</c:v>
                </c:pt>
                <c:pt idx="777">
                  <c:v>98.92</c:v>
                </c:pt>
                <c:pt idx="778">
                  <c:v>92.7</c:v>
                </c:pt>
                <c:pt idx="779">
                  <c:v>106.7</c:v>
                </c:pt>
                <c:pt idx="780">
                  <c:v>152.81</c:v>
                </c:pt>
                <c:pt idx="781">
                  <c:v>82.59</c:v>
                </c:pt>
                <c:pt idx="782">
                  <c:v>91</c:v>
                </c:pt>
                <c:pt idx="783">
                  <c:v>93.88</c:v>
                </c:pt>
                <c:pt idx="784">
                  <c:v>76.989999999999995</c:v>
                </c:pt>
                <c:pt idx="785">
                  <c:v>254.6</c:v>
                </c:pt>
                <c:pt idx="786">
                  <c:v>93.99</c:v>
                </c:pt>
                <c:pt idx="787">
                  <c:v>109.68</c:v>
                </c:pt>
                <c:pt idx="788">
                  <c:v>92.04</c:v>
                </c:pt>
                <c:pt idx="789">
                  <c:v>111.41</c:v>
                </c:pt>
                <c:pt idx="790">
                  <c:v>97.92</c:v>
                </c:pt>
                <c:pt idx="791">
                  <c:v>65.61</c:v>
                </c:pt>
                <c:pt idx="792">
                  <c:v>62.37</c:v>
                </c:pt>
                <c:pt idx="793">
                  <c:v>101.28</c:v>
                </c:pt>
                <c:pt idx="794">
                  <c:v>88.31</c:v>
                </c:pt>
                <c:pt idx="795">
                  <c:v>103.55</c:v>
                </c:pt>
                <c:pt idx="796">
                  <c:v>60.26</c:v>
                </c:pt>
                <c:pt idx="797">
                  <c:v>79.39</c:v>
                </c:pt>
                <c:pt idx="798">
                  <c:v>122.01</c:v>
                </c:pt>
                <c:pt idx="799">
                  <c:v>78.09</c:v>
                </c:pt>
                <c:pt idx="800">
                  <c:v>89.7</c:v>
                </c:pt>
                <c:pt idx="801">
                  <c:v>95.1</c:v>
                </c:pt>
                <c:pt idx="802">
                  <c:v>112.64</c:v>
                </c:pt>
                <c:pt idx="803">
                  <c:v>79.8</c:v>
                </c:pt>
                <c:pt idx="804">
                  <c:v>82.2</c:v>
                </c:pt>
                <c:pt idx="805">
                  <c:v>108.89</c:v>
                </c:pt>
                <c:pt idx="806">
                  <c:v>114.32</c:v>
                </c:pt>
                <c:pt idx="807">
                  <c:v>116.14</c:v>
                </c:pt>
                <c:pt idx="808">
                  <c:v>122.74</c:v>
                </c:pt>
                <c:pt idx="809">
                  <c:v>94.04</c:v>
                </c:pt>
                <c:pt idx="810">
                  <c:v>86.6</c:v>
                </c:pt>
                <c:pt idx="811">
                  <c:v>82.32</c:v>
                </c:pt>
                <c:pt idx="812">
                  <c:v>83.83</c:v>
                </c:pt>
                <c:pt idx="813">
                  <c:v>106.98</c:v>
                </c:pt>
                <c:pt idx="814">
                  <c:v>93.88</c:v>
                </c:pt>
                <c:pt idx="815">
                  <c:v>70.53</c:v>
                </c:pt>
                <c:pt idx="816">
                  <c:v>212.01</c:v>
                </c:pt>
                <c:pt idx="817">
                  <c:v>65.88</c:v>
                </c:pt>
                <c:pt idx="818">
                  <c:v>106.97</c:v>
                </c:pt>
                <c:pt idx="819">
                  <c:v>126.35</c:v>
                </c:pt>
                <c:pt idx="820">
                  <c:v>129.16</c:v>
                </c:pt>
                <c:pt idx="821">
                  <c:v>88.66</c:v>
                </c:pt>
                <c:pt idx="822">
                  <c:v>112.95</c:v>
                </c:pt>
                <c:pt idx="823">
                  <c:v>81.59</c:v>
                </c:pt>
                <c:pt idx="824">
                  <c:v>76.819999999999993</c:v>
                </c:pt>
                <c:pt idx="825">
                  <c:v>73.75</c:v>
                </c:pt>
                <c:pt idx="826">
                  <c:v>91.56</c:v>
                </c:pt>
                <c:pt idx="827">
                  <c:v>104.55</c:v>
                </c:pt>
                <c:pt idx="828">
                  <c:v>84.84</c:v>
                </c:pt>
                <c:pt idx="829">
                  <c:v>86.06</c:v>
                </c:pt>
                <c:pt idx="830">
                  <c:v>109.1</c:v>
                </c:pt>
                <c:pt idx="831">
                  <c:v>68.349999999999994</c:v>
                </c:pt>
                <c:pt idx="832">
                  <c:v>121.04</c:v>
                </c:pt>
                <c:pt idx="833">
                  <c:v>160.83000000000001</c:v>
                </c:pt>
                <c:pt idx="834">
                  <c:v>85.62</c:v>
                </c:pt>
                <c:pt idx="835">
                  <c:v>74.23</c:v>
                </c:pt>
                <c:pt idx="836">
                  <c:v>110.76</c:v>
                </c:pt>
                <c:pt idx="837">
                  <c:v>79.44</c:v>
                </c:pt>
                <c:pt idx="838">
                  <c:v>119.52</c:v>
                </c:pt>
                <c:pt idx="839">
                  <c:v>90.42</c:v>
                </c:pt>
                <c:pt idx="840">
                  <c:v>109.32</c:v>
                </c:pt>
                <c:pt idx="841">
                  <c:v>78.16</c:v>
                </c:pt>
                <c:pt idx="842">
                  <c:v>79.13</c:v>
                </c:pt>
                <c:pt idx="843">
                  <c:v>84.06</c:v>
                </c:pt>
                <c:pt idx="844">
                  <c:v>89.3</c:v>
                </c:pt>
                <c:pt idx="845">
                  <c:v>69.209999999999994</c:v>
                </c:pt>
                <c:pt idx="846">
                  <c:v>186.45</c:v>
                </c:pt>
                <c:pt idx="847">
                  <c:v>58.47</c:v>
                </c:pt>
                <c:pt idx="848">
                  <c:v>189.49</c:v>
                </c:pt>
                <c:pt idx="849">
                  <c:v>99.6</c:v>
                </c:pt>
                <c:pt idx="850">
                  <c:v>126.18</c:v>
                </c:pt>
                <c:pt idx="851">
                  <c:v>186.32</c:v>
                </c:pt>
                <c:pt idx="852">
                  <c:v>62.49</c:v>
                </c:pt>
                <c:pt idx="853">
                  <c:v>74.510000000000005</c:v>
                </c:pt>
                <c:pt idx="854">
                  <c:v>94.63</c:v>
                </c:pt>
                <c:pt idx="855">
                  <c:v>91.98</c:v>
                </c:pt>
                <c:pt idx="856">
                  <c:v>56.77</c:v>
                </c:pt>
                <c:pt idx="857">
                  <c:v>75.87</c:v>
                </c:pt>
                <c:pt idx="858">
                  <c:v>77.19</c:v>
                </c:pt>
                <c:pt idx="859">
                  <c:v>135.75</c:v>
                </c:pt>
                <c:pt idx="860">
                  <c:v>100.15</c:v>
                </c:pt>
                <c:pt idx="861">
                  <c:v>95.08</c:v>
                </c:pt>
                <c:pt idx="862">
                  <c:v>125.38</c:v>
                </c:pt>
                <c:pt idx="863">
                  <c:v>111.71</c:v>
                </c:pt>
                <c:pt idx="864">
                  <c:v>94.64</c:v>
                </c:pt>
                <c:pt idx="865">
                  <c:v>226.7</c:v>
                </c:pt>
                <c:pt idx="866">
                  <c:v>112.96</c:v>
                </c:pt>
                <c:pt idx="867">
                  <c:v>183.1</c:v>
                </c:pt>
                <c:pt idx="868">
                  <c:v>105.36</c:v>
                </c:pt>
                <c:pt idx="869">
                  <c:v>84.13</c:v>
                </c:pt>
                <c:pt idx="870">
                  <c:v>102.47</c:v>
                </c:pt>
                <c:pt idx="871">
                  <c:v>77.040000000000006</c:v>
                </c:pt>
                <c:pt idx="872">
                  <c:v>83.23</c:v>
                </c:pt>
                <c:pt idx="873">
                  <c:v>87.01</c:v>
                </c:pt>
                <c:pt idx="874">
                  <c:v>56.99</c:v>
                </c:pt>
                <c:pt idx="875">
                  <c:v>73.010000000000005</c:v>
                </c:pt>
                <c:pt idx="876">
                  <c:v>106.35</c:v>
                </c:pt>
                <c:pt idx="877">
                  <c:v>80.63</c:v>
                </c:pt>
                <c:pt idx="878">
                  <c:v>103.61</c:v>
                </c:pt>
                <c:pt idx="879">
                  <c:v>91.35</c:v>
                </c:pt>
                <c:pt idx="880">
                  <c:v>194.04</c:v>
                </c:pt>
                <c:pt idx="881">
                  <c:v>111.99</c:v>
                </c:pt>
                <c:pt idx="882">
                  <c:v>57.51</c:v>
                </c:pt>
                <c:pt idx="883">
                  <c:v>68.489999999999995</c:v>
                </c:pt>
                <c:pt idx="884">
                  <c:v>60.2</c:v>
                </c:pt>
                <c:pt idx="885">
                  <c:v>160</c:v>
                </c:pt>
                <c:pt idx="886">
                  <c:v>86.96</c:v>
                </c:pt>
                <c:pt idx="887">
                  <c:v>237.15</c:v>
                </c:pt>
                <c:pt idx="888">
                  <c:v>99.06</c:v>
                </c:pt>
                <c:pt idx="889">
                  <c:v>56.31</c:v>
                </c:pt>
                <c:pt idx="890">
                  <c:v>84.31</c:v>
                </c:pt>
                <c:pt idx="891">
                  <c:v>90.92</c:v>
                </c:pt>
                <c:pt idx="892">
                  <c:v>104.33</c:v>
                </c:pt>
                <c:pt idx="893">
                  <c:v>62.61</c:v>
                </c:pt>
                <c:pt idx="894">
                  <c:v>231.19</c:v>
                </c:pt>
                <c:pt idx="895">
                  <c:v>94.3</c:v>
                </c:pt>
                <c:pt idx="896">
                  <c:v>104.48</c:v>
                </c:pt>
                <c:pt idx="897">
                  <c:v>72.62</c:v>
                </c:pt>
                <c:pt idx="898">
                  <c:v>81.64</c:v>
                </c:pt>
                <c:pt idx="899">
                  <c:v>90.78</c:v>
                </c:pt>
                <c:pt idx="900">
                  <c:v>70.709999999999994</c:v>
                </c:pt>
                <c:pt idx="901">
                  <c:v>72.36</c:v>
                </c:pt>
                <c:pt idx="902">
                  <c:v>59.76</c:v>
                </c:pt>
                <c:pt idx="903">
                  <c:v>83.76</c:v>
                </c:pt>
                <c:pt idx="904">
                  <c:v>63.64</c:v>
                </c:pt>
                <c:pt idx="905">
                  <c:v>76.260000000000005</c:v>
                </c:pt>
                <c:pt idx="906">
                  <c:v>82.06</c:v>
                </c:pt>
                <c:pt idx="907">
                  <c:v>110.91</c:v>
                </c:pt>
                <c:pt idx="908">
                  <c:v>77.16</c:v>
                </c:pt>
                <c:pt idx="909">
                  <c:v>69.58</c:v>
                </c:pt>
                <c:pt idx="910">
                  <c:v>96.26</c:v>
                </c:pt>
                <c:pt idx="911">
                  <c:v>87.27</c:v>
                </c:pt>
                <c:pt idx="912">
                  <c:v>65.36</c:v>
                </c:pt>
                <c:pt idx="913">
                  <c:v>109.51</c:v>
                </c:pt>
                <c:pt idx="914">
                  <c:v>89.03</c:v>
                </c:pt>
                <c:pt idx="915">
                  <c:v>91.34</c:v>
                </c:pt>
                <c:pt idx="916">
                  <c:v>57.82</c:v>
                </c:pt>
                <c:pt idx="917">
                  <c:v>81.150000000000006</c:v>
                </c:pt>
                <c:pt idx="918">
                  <c:v>115.29</c:v>
                </c:pt>
                <c:pt idx="919">
                  <c:v>111.02</c:v>
                </c:pt>
                <c:pt idx="920">
                  <c:v>111.61</c:v>
                </c:pt>
                <c:pt idx="921">
                  <c:v>109.02</c:v>
                </c:pt>
                <c:pt idx="922">
                  <c:v>106.51</c:v>
                </c:pt>
                <c:pt idx="923">
                  <c:v>207.32</c:v>
                </c:pt>
                <c:pt idx="924">
                  <c:v>87.11</c:v>
                </c:pt>
                <c:pt idx="925">
                  <c:v>61.68</c:v>
                </c:pt>
                <c:pt idx="926">
                  <c:v>119.04</c:v>
                </c:pt>
                <c:pt idx="927">
                  <c:v>86.05</c:v>
                </c:pt>
                <c:pt idx="928">
                  <c:v>70.03</c:v>
                </c:pt>
                <c:pt idx="929">
                  <c:v>207.64</c:v>
                </c:pt>
                <c:pt idx="930">
                  <c:v>236.84</c:v>
                </c:pt>
                <c:pt idx="931">
                  <c:v>78.11</c:v>
                </c:pt>
                <c:pt idx="932">
                  <c:v>100.97</c:v>
                </c:pt>
                <c:pt idx="933">
                  <c:v>99.21</c:v>
                </c:pt>
                <c:pt idx="934">
                  <c:v>113.21</c:v>
                </c:pt>
                <c:pt idx="935">
                  <c:v>92.95</c:v>
                </c:pt>
                <c:pt idx="936">
                  <c:v>110.16</c:v>
                </c:pt>
                <c:pt idx="937">
                  <c:v>142.57</c:v>
                </c:pt>
                <c:pt idx="938">
                  <c:v>92.87</c:v>
                </c:pt>
                <c:pt idx="939">
                  <c:v>111.48</c:v>
                </c:pt>
                <c:pt idx="940">
                  <c:v>123</c:v>
                </c:pt>
                <c:pt idx="941">
                  <c:v>100.54</c:v>
                </c:pt>
                <c:pt idx="942">
                  <c:v>106.68</c:v>
                </c:pt>
                <c:pt idx="943">
                  <c:v>86.4</c:v>
                </c:pt>
                <c:pt idx="944">
                  <c:v>61.81</c:v>
                </c:pt>
                <c:pt idx="945">
                  <c:v>128.28</c:v>
                </c:pt>
                <c:pt idx="946">
                  <c:v>204.63</c:v>
                </c:pt>
                <c:pt idx="947">
                  <c:v>89.98</c:v>
                </c:pt>
                <c:pt idx="948">
                  <c:v>232.89</c:v>
                </c:pt>
                <c:pt idx="949">
                  <c:v>98.58</c:v>
                </c:pt>
                <c:pt idx="950">
                  <c:v>57.94</c:v>
                </c:pt>
                <c:pt idx="951">
                  <c:v>123.21</c:v>
                </c:pt>
                <c:pt idx="952">
                  <c:v>76.34</c:v>
                </c:pt>
                <c:pt idx="953">
                  <c:v>92.98</c:v>
                </c:pt>
                <c:pt idx="954">
                  <c:v>92.81</c:v>
                </c:pt>
                <c:pt idx="955">
                  <c:v>85.16</c:v>
                </c:pt>
                <c:pt idx="956">
                  <c:v>90.1</c:v>
                </c:pt>
                <c:pt idx="957">
                  <c:v>65.150000000000006</c:v>
                </c:pt>
                <c:pt idx="958">
                  <c:v>104.62</c:v>
                </c:pt>
                <c:pt idx="959">
                  <c:v>113.25</c:v>
                </c:pt>
                <c:pt idx="960">
                  <c:v>59.28</c:v>
                </c:pt>
                <c:pt idx="961">
                  <c:v>93.07</c:v>
                </c:pt>
                <c:pt idx="962">
                  <c:v>77.42</c:v>
                </c:pt>
                <c:pt idx="963">
                  <c:v>73.69</c:v>
                </c:pt>
                <c:pt idx="964">
                  <c:v>74.900000000000006</c:v>
                </c:pt>
                <c:pt idx="965">
                  <c:v>88.27</c:v>
                </c:pt>
                <c:pt idx="966">
                  <c:v>58.39</c:v>
                </c:pt>
                <c:pt idx="967">
                  <c:v>102.05</c:v>
                </c:pt>
                <c:pt idx="968">
                  <c:v>112.47</c:v>
                </c:pt>
                <c:pt idx="969">
                  <c:v>72.84</c:v>
                </c:pt>
                <c:pt idx="970">
                  <c:v>195.03</c:v>
                </c:pt>
                <c:pt idx="971">
                  <c:v>170.95</c:v>
                </c:pt>
                <c:pt idx="972">
                  <c:v>87.98</c:v>
                </c:pt>
                <c:pt idx="973">
                  <c:v>65.81</c:v>
                </c:pt>
                <c:pt idx="974">
                  <c:v>124.6</c:v>
                </c:pt>
                <c:pt idx="975">
                  <c:v>83.65</c:v>
                </c:pt>
                <c:pt idx="976">
                  <c:v>88.81</c:v>
                </c:pt>
                <c:pt idx="977">
                  <c:v>86.75</c:v>
                </c:pt>
                <c:pt idx="978">
                  <c:v>123.36</c:v>
                </c:pt>
                <c:pt idx="979">
                  <c:v>89.68</c:v>
                </c:pt>
                <c:pt idx="980">
                  <c:v>69.87</c:v>
                </c:pt>
                <c:pt idx="981">
                  <c:v>109.22</c:v>
                </c:pt>
                <c:pt idx="982">
                  <c:v>157.57</c:v>
                </c:pt>
                <c:pt idx="983">
                  <c:v>110.73</c:v>
                </c:pt>
                <c:pt idx="984">
                  <c:v>99.14</c:v>
                </c:pt>
                <c:pt idx="985">
                  <c:v>59.15</c:v>
                </c:pt>
                <c:pt idx="986">
                  <c:v>165.11</c:v>
                </c:pt>
                <c:pt idx="987">
                  <c:v>77.44</c:v>
                </c:pt>
                <c:pt idx="988">
                  <c:v>100.33</c:v>
                </c:pt>
                <c:pt idx="989">
                  <c:v>57.93</c:v>
                </c:pt>
                <c:pt idx="990">
                  <c:v>148.24</c:v>
                </c:pt>
                <c:pt idx="991">
                  <c:v>91.96</c:v>
                </c:pt>
                <c:pt idx="992">
                  <c:v>72.930000000000007</c:v>
                </c:pt>
                <c:pt idx="993">
                  <c:v>84.27</c:v>
                </c:pt>
                <c:pt idx="994">
                  <c:v>124.45</c:v>
                </c:pt>
                <c:pt idx="995">
                  <c:v>90.51</c:v>
                </c:pt>
                <c:pt idx="996">
                  <c:v>118.87</c:v>
                </c:pt>
                <c:pt idx="997">
                  <c:v>56.42</c:v>
                </c:pt>
                <c:pt idx="998">
                  <c:v>73.67</c:v>
                </c:pt>
                <c:pt idx="999">
                  <c:v>89.11</c:v>
                </c:pt>
                <c:pt idx="1000">
                  <c:v>74.040000000000006</c:v>
                </c:pt>
                <c:pt idx="1001">
                  <c:v>145.22999999999999</c:v>
                </c:pt>
                <c:pt idx="1002">
                  <c:v>100.8</c:v>
                </c:pt>
                <c:pt idx="1003">
                  <c:v>85.22</c:v>
                </c:pt>
                <c:pt idx="1004">
                  <c:v>72.489999999999995</c:v>
                </c:pt>
                <c:pt idx="1005">
                  <c:v>82.61</c:v>
                </c:pt>
                <c:pt idx="1006">
                  <c:v>72.069999999999993</c:v>
                </c:pt>
                <c:pt idx="1007">
                  <c:v>79.849999999999994</c:v>
                </c:pt>
                <c:pt idx="1008">
                  <c:v>84.86</c:v>
                </c:pt>
                <c:pt idx="1009">
                  <c:v>131.88999999999999</c:v>
                </c:pt>
                <c:pt idx="1010">
                  <c:v>89.17</c:v>
                </c:pt>
                <c:pt idx="1011">
                  <c:v>227.91</c:v>
                </c:pt>
                <c:pt idx="1012">
                  <c:v>131.77000000000001</c:v>
                </c:pt>
                <c:pt idx="1013">
                  <c:v>102.01</c:v>
                </c:pt>
                <c:pt idx="1014">
                  <c:v>128.63</c:v>
                </c:pt>
                <c:pt idx="1015">
                  <c:v>144.1</c:v>
                </c:pt>
                <c:pt idx="1016">
                  <c:v>143.15</c:v>
                </c:pt>
                <c:pt idx="1017">
                  <c:v>116.67</c:v>
                </c:pt>
                <c:pt idx="1018">
                  <c:v>85.6</c:v>
                </c:pt>
                <c:pt idx="1019">
                  <c:v>142.12</c:v>
                </c:pt>
                <c:pt idx="1020">
                  <c:v>100.81</c:v>
                </c:pt>
                <c:pt idx="1021">
                  <c:v>69.17</c:v>
                </c:pt>
                <c:pt idx="1022">
                  <c:v>58.38</c:v>
                </c:pt>
                <c:pt idx="1023">
                  <c:v>86.34</c:v>
                </c:pt>
                <c:pt idx="1024">
                  <c:v>95.44</c:v>
                </c:pt>
                <c:pt idx="1025">
                  <c:v>94.78</c:v>
                </c:pt>
                <c:pt idx="1026">
                  <c:v>109.59</c:v>
                </c:pt>
                <c:pt idx="1027">
                  <c:v>79.260000000000005</c:v>
                </c:pt>
                <c:pt idx="1028">
                  <c:v>78.459999999999994</c:v>
                </c:pt>
                <c:pt idx="1029">
                  <c:v>85.29</c:v>
                </c:pt>
                <c:pt idx="1030">
                  <c:v>156.18</c:v>
                </c:pt>
                <c:pt idx="1031">
                  <c:v>69.52</c:v>
                </c:pt>
                <c:pt idx="1032">
                  <c:v>65.319999999999993</c:v>
                </c:pt>
                <c:pt idx="1033">
                  <c:v>108.47</c:v>
                </c:pt>
                <c:pt idx="1034">
                  <c:v>105.63</c:v>
                </c:pt>
                <c:pt idx="1035">
                  <c:v>77.930000000000007</c:v>
                </c:pt>
                <c:pt idx="1036">
                  <c:v>95.2</c:v>
                </c:pt>
                <c:pt idx="1037">
                  <c:v>78.52</c:v>
                </c:pt>
                <c:pt idx="1038">
                  <c:v>114.89</c:v>
                </c:pt>
                <c:pt idx="1039">
                  <c:v>95.43</c:v>
                </c:pt>
                <c:pt idx="1040">
                  <c:v>84.08</c:v>
                </c:pt>
                <c:pt idx="1041">
                  <c:v>110.55</c:v>
                </c:pt>
                <c:pt idx="1042">
                  <c:v>82.21</c:v>
                </c:pt>
                <c:pt idx="1043">
                  <c:v>82.38</c:v>
                </c:pt>
                <c:pt idx="1044">
                  <c:v>93.89</c:v>
                </c:pt>
                <c:pt idx="1045">
                  <c:v>75.08</c:v>
                </c:pt>
                <c:pt idx="1046">
                  <c:v>76.72</c:v>
                </c:pt>
                <c:pt idx="1047">
                  <c:v>84.93</c:v>
                </c:pt>
                <c:pt idx="1048">
                  <c:v>76.5</c:v>
                </c:pt>
                <c:pt idx="1049">
                  <c:v>65.47</c:v>
                </c:pt>
                <c:pt idx="1050">
                  <c:v>99.16</c:v>
                </c:pt>
                <c:pt idx="1051">
                  <c:v>63.53</c:v>
                </c:pt>
                <c:pt idx="1052">
                  <c:v>78.650000000000006</c:v>
                </c:pt>
                <c:pt idx="1053">
                  <c:v>63.78</c:v>
                </c:pt>
                <c:pt idx="1054">
                  <c:v>77.52</c:v>
                </c:pt>
                <c:pt idx="1055">
                  <c:v>111.64</c:v>
                </c:pt>
                <c:pt idx="1056">
                  <c:v>97.84</c:v>
                </c:pt>
                <c:pt idx="1057">
                  <c:v>113.01</c:v>
                </c:pt>
                <c:pt idx="1058">
                  <c:v>56.48</c:v>
                </c:pt>
                <c:pt idx="1059">
                  <c:v>204.5</c:v>
                </c:pt>
                <c:pt idx="1060">
                  <c:v>96.02</c:v>
                </c:pt>
                <c:pt idx="1061">
                  <c:v>206.25</c:v>
                </c:pt>
                <c:pt idx="1062">
                  <c:v>115.52</c:v>
                </c:pt>
                <c:pt idx="1063">
                  <c:v>60.69</c:v>
                </c:pt>
                <c:pt idx="1064">
                  <c:v>93.67</c:v>
                </c:pt>
                <c:pt idx="1065">
                  <c:v>67.790000000000006</c:v>
                </c:pt>
                <c:pt idx="1066">
                  <c:v>56.07</c:v>
                </c:pt>
                <c:pt idx="1067">
                  <c:v>254.63</c:v>
                </c:pt>
                <c:pt idx="1068">
                  <c:v>96.63</c:v>
                </c:pt>
                <c:pt idx="1069">
                  <c:v>84.3</c:v>
                </c:pt>
                <c:pt idx="1070">
                  <c:v>246.34</c:v>
                </c:pt>
                <c:pt idx="1071">
                  <c:v>195.16</c:v>
                </c:pt>
                <c:pt idx="1072">
                  <c:v>93.34</c:v>
                </c:pt>
                <c:pt idx="1073">
                  <c:v>162.30000000000001</c:v>
                </c:pt>
                <c:pt idx="1074">
                  <c:v>106.4</c:v>
                </c:pt>
                <c:pt idx="1075">
                  <c:v>110.25</c:v>
                </c:pt>
                <c:pt idx="1076">
                  <c:v>69.7</c:v>
                </c:pt>
                <c:pt idx="1077">
                  <c:v>87.03</c:v>
                </c:pt>
                <c:pt idx="1078">
                  <c:v>112.98</c:v>
                </c:pt>
                <c:pt idx="1079">
                  <c:v>82.47</c:v>
                </c:pt>
                <c:pt idx="1080">
                  <c:v>75.88</c:v>
                </c:pt>
                <c:pt idx="1081">
                  <c:v>84.63</c:v>
                </c:pt>
                <c:pt idx="1082">
                  <c:v>109.56</c:v>
                </c:pt>
                <c:pt idx="1083">
                  <c:v>89.45</c:v>
                </c:pt>
                <c:pt idx="1084">
                  <c:v>91.65</c:v>
                </c:pt>
                <c:pt idx="1085">
                  <c:v>121.14</c:v>
                </c:pt>
                <c:pt idx="1086">
                  <c:v>87.77</c:v>
                </c:pt>
                <c:pt idx="1087">
                  <c:v>106.56</c:v>
                </c:pt>
                <c:pt idx="1088">
                  <c:v>93.88</c:v>
                </c:pt>
                <c:pt idx="1089">
                  <c:v>153.76</c:v>
                </c:pt>
                <c:pt idx="1090">
                  <c:v>88.65</c:v>
                </c:pt>
                <c:pt idx="1091">
                  <c:v>111.22</c:v>
                </c:pt>
                <c:pt idx="1092">
                  <c:v>223.68</c:v>
                </c:pt>
                <c:pt idx="1093">
                  <c:v>55.86</c:v>
                </c:pt>
                <c:pt idx="1094">
                  <c:v>63.73</c:v>
                </c:pt>
                <c:pt idx="1095">
                  <c:v>103.94</c:v>
                </c:pt>
                <c:pt idx="1096">
                  <c:v>92.49</c:v>
                </c:pt>
                <c:pt idx="1097">
                  <c:v>229.2</c:v>
                </c:pt>
                <c:pt idx="1098">
                  <c:v>75.06</c:v>
                </c:pt>
                <c:pt idx="1099">
                  <c:v>85.57</c:v>
                </c:pt>
                <c:pt idx="1100">
                  <c:v>68.61</c:v>
                </c:pt>
                <c:pt idx="1101">
                  <c:v>56.3</c:v>
                </c:pt>
                <c:pt idx="1102">
                  <c:v>193.22</c:v>
                </c:pt>
                <c:pt idx="1103">
                  <c:v>65.98</c:v>
                </c:pt>
                <c:pt idx="1104">
                  <c:v>204.57</c:v>
                </c:pt>
                <c:pt idx="1105">
                  <c:v>64.989999999999995</c:v>
                </c:pt>
                <c:pt idx="1106">
                  <c:v>66.12</c:v>
                </c:pt>
                <c:pt idx="1107">
                  <c:v>73.400000000000006</c:v>
                </c:pt>
                <c:pt idx="1108">
                  <c:v>82.83</c:v>
                </c:pt>
                <c:pt idx="1109">
                  <c:v>93.55</c:v>
                </c:pt>
                <c:pt idx="1110">
                  <c:v>90.4</c:v>
                </c:pt>
                <c:pt idx="1111">
                  <c:v>98.1</c:v>
                </c:pt>
                <c:pt idx="1112">
                  <c:v>142.02000000000001</c:v>
                </c:pt>
                <c:pt idx="1113">
                  <c:v>251.46</c:v>
                </c:pt>
                <c:pt idx="1114">
                  <c:v>89.96</c:v>
                </c:pt>
                <c:pt idx="1115">
                  <c:v>71.73</c:v>
                </c:pt>
                <c:pt idx="1116">
                  <c:v>82.44</c:v>
                </c:pt>
                <c:pt idx="1117">
                  <c:v>80.849999999999994</c:v>
                </c:pt>
                <c:pt idx="1118">
                  <c:v>220.52</c:v>
                </c:pt>
                <c:pt idx="1119">
                  <c:v>86.73</c:v>
                </c:pt>
                <c:pt idx="1120">
                  <c:v>76.930000000000007</c:v>
                </c:pt>
                <c:pt idx="1121">
                  <c:v>113.1</c:v>
                </c:pt>
                <c:pt idx="1122">
                  <c:v>96.84</c:v>
                </c:pt>
                <c:pt idx="1123">
                  <c:v>100.91</c:v>
                </c:pt>
                <c:pt idx="1124">
                  <c:v>116.5</c:v>
                </c:pt>
                <c:pt idx="1125">
                  <c:v>57.26</c:v>
                </c:pt>
                <c:pt idx="1126">
                  <c:v>129.31</c:v>
                </c:pt>
                <c:pt idx="1127">
                  <c:v>56.47</c:v>
                </c:pt>
                <c:pt idx="1128">
                  <c:v>86.06</c:v>
                </c:pt>
                <c:pt idx="1129">
                  <c:v>86.97</c:v>
                </c:pt>
                <c:pt idx="1130">
                  <c:v>78.78</c:v>
                </c:pt>
                <c:pt idx="1131">
                  <c:v>195.04</c:v>
                </c:pt>
                <c:pt idx="1132">
                  <c:v>103.25</c:v>
                </c:pt>
                <c:pt idx="1133">
                  <c:v>134.59</c:v>
                </c:pt>
                <c:pt idx="1134">
                  <c:v>93.74</c:v>
                </c:pt>
                <c:pt idx="1135">
                  <c:v>90.66</c:v>
                </c:pt>
                <c:pt idx="1136">
                  <c:v>91.68</c:v>
                </c:pt>
                <c:pt idx="1137">
                  <c:v>75.790000000000006</c:v>
                </c:pt>
                <c:pt idx="1138">
                  <c:v>91.68</c:v>
                </c:pt>
                <c:pt idx="1139">
                  <c:v>106.68</c:v>
                </c:pt>
                <c:pt idx="1140">
                  <c:v>82.31</c:v>
                </c:pt>
                <c:pt idx="1141">
                  <c:v>90.06</c:v>
                </c:pt>
                <c:pt idx="1142">
                  <c:v>65.47</c:v>
                </c:pt>
                <c:pt idx="1143">
                  <c:v>58.03</c:v>
                </c:pt>
                <c:pt idx="1144">
                  <c:v>83.09</c:v>
                </c:pt>
                <c:pt idx="1145">
                  <c:v>88.6</c:v>
                </c:pt>
                <c:pt idx="1146">
                  <c:v>63.18</c:v>
                </c:pt>
                <c:pt idx="1147">
                  <c:v>78.42</c:v>
                </c:pt>
                <c:pt idx="1148">
                  <c:v>65.08</c:v>
                </c:pt>
                <c:pt idx="1149">
                  <c:v>79.47</c:v>
                </c:pt>
                <c:pt idx="1150">
                  <c:v>95.52</c:v>
                </c:pt>
                <c:pt idx="1151">
                  <c:v>73</c:v>
                </c:pt>
                <c:pt idx="1152">
                  <c:v>138.07</c:v>
                </c:pt>
                <c:pt idx="1153">
                  <c:v>86.99</c:v>
                </c:pt>
                <c:pt idx="1154">
                  <c:v>112.07</c:v>
                </c:pt>
                <c:pt idx="1155">
                  <c:v>105.76</c:v>
                </c:pt>
                <c:pt idx="1156">
                  <c:v>55.67</c:v>
                </c:pt>
                <c:pt idx="1157">
                  <c:v>90.55</c:v>
                </c:pt>
                <c:pt idx="1158">
                  <c:v>218.65</c:v>
                </c:pt>
                <c:pt idx="1159">
                  <c:v>111.21</c:v>
                </c:pt>
                <c:pt idx="1160">
                  <c:v>83.56</c:v>
                </c:pt>
                <c:pt idx="1161">
                  <c:v>116.76</c:v>
                </c:pt>
                <c:pt idx="1162">
                  <c:v>83.5</c:v>
                </c:pt>
                <c:pt idx="1163">
                  <c:v>69.3</c:v>
                </c:pt>
                <c:pt idx="1164">
                  <c:v>67.55</c:v>
                </c:pt>
                <c:pt idx="1165">
                  <c:v>80.28</c:v>
                </c:pt>
                <c:pt idx="1166">
                  <c:v>211.49</c:v>
                </c:pt>
                <c:pt idx="1167">
                  <c:v>67.959999999999994</c:v>
                </c:pt>
                <c:pt idx="1168">
                  <c:v>99.29</c:v>
                </c:pt>
                <c:pt idx="1169">
                  <c:v>140.52000000000001</c:v>
                </c:pt>
                <c:pt idx="1170">
                  <c:v>75.62</c:v>
                </c:pt>
                <c:pt idx="1171">
                  <c:v>120.06</c:v>
                </c:pt>
                <c:pt idx="1172">
                  <c:v>117.45</c:v>
                </c:pt>
                <c:pt idx="1173">
                  <c:v>224.71</c:v>
                </c:pt>
                <c:pt idx="1174">
                  <c:v>122.75</c:v>
                </c:pt>
                <c:pt idx="1175">
                  <c:v>82.39</c:v>
                </c:pt>
                <c:pt idx="1176">
                  <c:v>57.02</c:v>
                </c:pt>
                <c:pt idx="1177">
                  <c:v>115.98</c:v>
                </c:pt>
                <c:pt idx="1178">
                  <c:v>226.11</c:v>
                </c:pt>
                <c:pt idx="1179">
                  <c:v>97.59</c:v>
                </c:pt>
                <c:pt idx="1180">
                  <c:v>82.57</c:v>
                </c:pt>
                <c:pt idx="1181">
                  <c:v>79.34</c:v>
                </c:pt>
                <c:pt idx="1182">
                  <c:v>125.68</c:v>
                </c:pt>
                <c:pt idx="1183">
                  <c:v>102.06</c:v>
                </c:pt>
                <c:pt idx="1184">
                  <c:v>65.59</c:v>
                </c:pt>
                <c:pt idx="1185">
                  <c:v>120.85</c:v>
                </c:pt>
                <c:pt idx="1186">
                  <c:v>101.65</c:v>
                </c:pt>
                <c:pt idx="1187">
                  <c:v>210.94</c:v>
                </c:pt>
                <c:pt idx="1188">
                  <c:v>77.92</c:v>
                </c:pt>
                <c:pt idx="1189">
                  <c:v>230.68</c:v>
                </c:pt>
                <c:pt idx="1190">
                  <c:v>62.68</c:v>
                </c:pt>
                <c:pt idx="1191">
                  <c:v>55.22</c:v>
                </c:pt>
                <c:pt idx="1192">
                  <c:v>78.94</c:v>
                </c:pt>
                <c:pt idx="1193">
                  <c:v>109.69</c:v>
                </c:pt>
                <c:pt idx="1194">
                  <c:v>79.63</c:v>
                </c:pt>
                <c:pt idx="1195">
                  <c:v>79.33</c:v>
                </c:pt>
                <c:pt idx="1196">
                  <c:v>79.91</c:v>
                </c:pt>
                <c:pt idx="1197">
                  <c:v>84.46</c:v>
                </c:pt>
                <c:pt idx="1198">
                  <c:v>68.400000000000006</c:v>
                </c:pt>
                <c:pt idx="1199">
                  <c:v>78.430000000000007</c:v>
                </c:pt>
                <c:pt idx="1200">
                  <c:v>198.02</c:v>
                </c:pt>
                <c:pt idx="1201">
                  <c:v>85.35</c:v>
                </c:pt>
                <c:pt idx="1202">
                  <c:v>204.17</c:v>
                </c:pt>
                <c:pt idx="1203">
                  <c:v>82.71</c:v>
                </c:pt>
                <c:pt idx="1204">
                  <c:v>121.19</c:v>
                </c:pt>
                <c:pt idx="1205">
                  <c:v>106.02</c:v>
                </c:pt>
                <c:pt idx="1206">
                  <c:v>66.36</c:v>
                </c:pt>
                <c:pt idx="1207">
                  <c:v>267.76</c:v>
                </c:pt>
                <c:pt idx="1208">
                  <c:v>107.18</c:v>
                </c:pt>
                <c:pt idx="1209">
                  <c:v>74.58</c:v>
                </c:pt>
                <c:pt idx="1210">
                  <c:v>80.92</c:v>
                </c:pt>
                <c:pt idx="1211">
                  <c:v>90.77</c:v>
                </c:pt>
                <c:pt idx="1212">
                  <c:v>90.84</c:v>
                </c:pt>
                <c:pt idx="1213">
                  <c:v>59.2</c:v>
                </c:pt>
                <c:pt idx="1214">
                  <c:v>217.71</c:v>
                </c:pt>
                <c:pt idx="1215">
                  <c:v>133.76</c:v>
                </c:pt>
                <c:pt idx="1216">
                  <c:v>61.36</c:v>
                </c:pt>
                <c:pt idx="1217">
                  <c:v>118.62</c:v>
                </c:pt>
                <c:pt idx="1218">
                  <c:v>77.91</c:v>
                </c:pt>
                <c:pt idx="1219">
                  <c:v>68.98</c:v>
                </c:pt>
                <c:pt idx="1220">
                  <c:v>112.08</c:v>
                </c:pt>
                <c:pt idx="1221">
                  <c:v>96.2</c:v>
                </c:pt>
                <c:pt idx="1222">
                  <c:v>93.11</c:v>
                </c:pt>
                <c:pt idx="1223">
                  <c:v>115.54</c:v>
                </c:pt>
                <c:pt idx="1224">
                  <c:v>88.57</c:v>
                </c:pt>
                <c:pt idx="1225">
                  <c:v>180.76</c:v>
                </c:pt>
                <c:pt idx="1226">
                  <c:v>83.12</c:v>
                </c:pt>
                <c:pt idx="1227">
                  <c:v>94.89</c:v>
                </c:pt>
                <c:pt idx="1228">
                  <c:v>239.52</c:v>
                </c:pt>
                <c:pt idx="1229">
                  <c:v>99.15</c:v>
                </c:pt>
                <c:pt idx="1230">
                  <c:v>124.16</c:v>
                </c:pt>
                <c:pt idx="1231">
                  <c:v>86.38</c:v>
                </c:pt>
                <c:pt idx="1232">
                  <c:v>93.68</c:v>
                </c:pt>
                <c:pt idx="1233">
                  <c:v>229.86</c:v>
                </c:pt>
                <c:pt idx="1234">
                  <c:v>78.73</c:v>
                </c:pt>
                <c:pt idx="1235">
                  <c:v>115.92</c:v>
                </c:pt>
                <c:pt idx="1236">
                  <c:v>93.71</c:v>
                </c:pt>
                <c:pt idx="1237">
                  <c:v>76.66</c:v>
                </c:pt>
                <c:pt idx="1238">
                  <c:v>112.38</c:v>
                </c:pt>
                <c:pt idx="1239">
                  <c:v>89.3</c:v>
                </c:pt>
                <c:pt idx="1240">
                  <c:v>103.44</c:v>
                </c:pt>
                <c:pt idx="1241">
                  <c:v>79.69</c:v>
                </c:pt>
                <c:pt idx="1242">
                  <c:v>61.61</c:v>
                </c:pt>
                <c:pt idx="1243">
                  <c:v>94.12</c:v>
                </c:pt>
                <c:pt idx="1244">
                  <c:v>62.4</c:v>
                </c:pt>
                <c:pt idx="1245">
                  <c:v>210.96</c:v>
                </c:pt>
                <c:pt idx="1246">
                  <c:v>76.25</c:v>
                </c:pt>
                <c:pt idx="1247">
                  <c:v>103.48</c:v>
                </c:pt>
                <c:pt idx="1248">
                  <c:v>96.42</c:v>
                </c:pt>
                <c:pt idx="1249">
                  <c:v>78.59</c:v>
                </c:pt>
                <c:pt idx="1250">
                  <c:v>195.25</c:v>
                </c:pt>
                <c:pt idx="1251">
                  <c:v>103.76</c:v>
                </c:pt>
                <c:pt idx="1252">
                  <c:v>68.52</c:v>
                </c:pt>
                <c:pt idx="1253">
                  <c:v>92.17</c:v>
                </c:pt>
                <c:pt idx="1254">
                  <c:v>81.02</c:v>
                </c:pt>
                <c:pt idx="1255">
                  <c:v>94.33</c:v>
                </c:pt>
                <c:pt idx="1256">
                  <c:v>78.430000000000007</c:v>
                </c:pt>
                <c:pt idx="1257">
                  <c:v>217.39</c:v>
                </c:pt>
                <c:pt idx="1258">
                  <c:v>82.77</c:v>
                </c:pt>
                <c:pt idx="1259">
                  <c:v>88.13</c:v>
                </c:pt>
                <c:pt idx="1260">
                  <c:v>102.77</c:v>
                </c:pt>
                <c:pt idx="1261">
                  <c:v>101.75</c:v>
                </c:pt>
                <c:pt idx="1262">
                  <c:v>113.34</c:v>
                </c:pt>
                <c:pt idx="1263">
                  <c:v>63.33</c:v>
                </c:pt>
                <c:pt idx="1264">
                  <c:v>69.34</c:v>
                </c:pt>
                <c:pt idx="1265">
                  <c:v>118.81</c:v>
                </c:pt>
                <c:pt idx="1266">
                  <c:v>66.13</c:v>
                </c:pt>
                <c:pt idx="1267">
                  <c:v>67.53</c:v>
                </c:pt>
                <c:pt idx="1268">
                  <c:v>96.58</c:v>
                </c:pt>
                <c:pt idx="1269">
                  <c:v>57.89</c:v>
                </c:pt>
                <c:pt idx="1270">
                  <c:v>78.38</c:v>
                </c:pt>
                <c:pt idx="1271">
                  <c:v>94.15</c:v>
                </c:pt>
                <c:pt idx="1272">
                  <c:v>89.53</c:v>
                </c:pt>
                <c:pt idx="1273">
                  <c:v>127.75</c:v>
                </c:pt>
                <c:pt idx="1274">
                  <c:v>76.790000000000006</c:v>
                </c:pt>
                <c:pt idx="1275">
                  <c:v>141.15</c:v>
                </c:pt>
                <c:pt idx="1276">
                  <c:v>88.63</c:v>
                </c:pt>
                <c:pt idx="1277">
                  <c:v>201.25</c:v>
                </c:pt>
                <c:pt idx="1278">
                  <c:v>130.15</c:v>
                </c:pt>
                <c:pt idx="1279">
                  <c:v>108.03</c:v>
                </c:pt>
                <c:pt idx="1280">
                  <c:v>104.07</c:v>
                </c:pt>
                <c:pt idx="1281">
                  <c:v>88.83</c:v>
                </c:pt>
                <c:pt idx="1282">
                  <c:v>197.79</c:v>
                </c:pt>
                <c:pt idx="1283">
                  <c:v>150.44999999999999</c:v>
                </c:pt>
                <c:pt idx="1284">
                  <c:v>100.39</c:v>
                </c:pt>
                <c:pt idx="1285">
                  <c:v>79.92</c:v>
                </c:pt>
                <c:pt idx="1286">
                  <c:v>96.79</c:v>
                </c:pt>
                <c:pt idx="1287">
                  <c:v>86.84</c:v>
                </c:pt>
                <c:pt idx="1288">
                  <c:v>61.27</c:v>
                </c:pt>
                <c:pt idx="1289">
                  <c:v>72.61</c:v>
                </c:pt>
                <c:pt idx="1290">
                  <c:v>82.41</c:v>
                </c:pt>
                <c:pt idx="1291">
                  <c:v>74.72</c:v>
                </c:pt>
                <c:pt idx="1292">
                  <c:v>57.37</c:v>
                </c:pt>
                <c:pt idx="1293">
                  <c:v>73.72</c:v>
                </c:pt>
                <c:pt idx="1294">
                  <c:v>88.34</c:v>
                </c:pt>
                <c:pt idx="1295">
                  <c:v>101.34</c:v>
                </c:pt>
                <c:pt idx="1296">
                  <c:v>119.01</c:v>
                </c:pt>
                <c:pt idx="1297">
                  <c:v>71.98</c:v>
                </c:pt>
                <c:pt idx="1298">
                  <c:v>84.91</c:v>
                </c:pt>
                <c:pt idx="1299">
                  <c:v>91.63</c:v>
                </c:pt>
                <c:pt idx="1300">
                  <c:v>214.77</c:v>
                </c:pt>
                <c:pt idx="1301">
                  <c:v>145.71</c:v>
                </c:pt>
                <c:pt idx="1302">
                  <c:v>167.31</c:v>
                </c:pt>
                <c:pt idx="1303">
                  <c:v>63.65</c:v>
                </c:pt>
                <c:pt idx="1304">
                  <c:v>79.63</c:v>
                </c:pt>
                <c:pt idx="1305">
                  <c:v>87.49</c:v>
                </c:pt>
                <c:pt idx="1306">
                  <c:v>98.74</c:v>
                </c:pt>
                <c:pt idx="1307">
                  <c:v>92.82</c:v>
                </c:pt>
                <c:pt idx="1308">
                  <c:v>72.2</c:v>
                </c:pt>
                <c:pt idx="1309">
                  <c:v>181.23</c:v>
                </c:pt>
                <c:pt idx="1310">
                  <c:v>63.37</c:v>
                </c:pt>
                <c:pt idx="1311">
                  <c:v>74.819999999999993</c:v>
                </c:pt>
                <c:pt idx="1312">
                  <c:v>97.6</c:v>
                </c:pt>
                <c:pt idx="1313">
                  <c:v>93.04</c:v>
                </c:pt>
                <c:pt idx="1314">
                  <c:v>97.12</c:v>
                </c:pt>
                <c:pt idx="1315">
                  <c:v>82.81</c:v>
                </c:pt>
                <c:pt idx="1316">
                  <c:v>134.44999999999999</c:v>
                </c:pt>
                <c:pt idx="1317">
                  <c:v>98.67</c:v>
                </c:pt>
                <c:pt idx="1318">
                  <c:v>85.82</c:v>
                </c:pt>
                <c:pt idx="1319">
                  <c:v>189.45</c:v>
                </c:pt>
                <c:pt idx="1320">
                  <c:v>144.16</c:v>
                </c:pt>
                <c:pt idx="1321">
                  <c:v>82.56</c:v>
                </c:pt>
                <c:pt idx="1322">
                  <c:v>206.4</c:v>
                </c:pt>
                <c:pt idx="1323">
                  <c:v>67.97</c:v>
                </c:pt>
                <c:pt idx="1324">
                  <c:v>84.86</c:v>
                </c:pt>
                <c:pt idx="1325">
                  <c:v>71.7</c:v>
                </c:pt>
                <c:pt idx="1326">
                  <c:v>72.02</c:v>
                </c:pt>
                <c:pt idx="1327">
                  <c:v>61.81</c:v>
                </c:pt>
                <c:pt idx="1328">
                  <c:v>103.09</c:v>
                </c:pt>
                <c:pt idx="1329">
                  <c:v>73.75</c:v>
                </c:pt>
                <c:pt idx="1330">
                  <c:v>156.69999999999999</c:v>
                </c:pt>
                <c:pt idx="1331">
                  <c:v>70.87</c:v>
                </c:pt>
                <c:pt idx="1332">
                  <c:v>138.47</c:v>
                </c:pt>
                <c:pt idx="1333">
                  <c:v>64.66</c:v>
                </c:pt>
                <c:pt idx="1334">
                  <c:v>91.88</c:v>
                </c:pt>
                <c:pt idx="1335">
                  <c:v>74.790000000000006</c:v>
                </c:pt>
                <c:pt idx="1336">
                  <c:v>78.180000000000007</c:v>
                </c:pt>
                <c:pt idx="1337">
                  <c:v>77.819999999999993</c:v>
                </c:pt>
                <c:pt idx="1338">
                  <c:v>112.23</c:v>
                </c:pt>
                <c:pt idx="1339">
                  <c:v>178.76</c:v>
                </c:pt>
                <c:pt idx="1340">
                  <c:v>121.43</c:v>
                </c:pt>
                <c:pt idx="1341">
                  <c:v>94.22</c:v>
                </c:pt>
                <c:pt idx="1342">
                  <c:v>67.27</c:v>
                </c:pt>
                <c:pt idx="1343">
                  <c:v>197.58</c:v>
                </c:pt>
                <c:pt idx="1344">
                  <c:v>86.37</c:v>
                </c:pt>
                <c:pt idx="1345">
                  <c:v>112.09</c:v>
                </c:pt>
                <c:pt idx="1346">
                  <c:v>199.96</c:v>
                </c:pt>
                <c:pt idx="1347">
                  <c:v>85.33</c:v>
                </c:pt>
                <c:pt idx="1348">
                  <c:v>86.33</c:v>
                </c:pt>
                <c:pt idx="1349">
                  <c:v>80.47</c:v>
                </c:pt>
                <c:pt idx="1350">
                  <c:v>62.46</c:v>
                </c:pt>
                <c:pt idx="1351">
                  <c:v>78.849999999999994</c:v>
                </c:pt>
                <c:pt idx="1352">
                  <c:v>72.09</c:v>
                </c:pt>
                <c:pt idx="1353">
                  <c:v>103.81</c:v>
                </c:pt>
                <c:pt idx="1354">
                  <c:v>78.040000000000006</c:v>
                </c:pt>
                <c:pt idx="1355">
                  <c:v>94.67</c:v>
                </c:pt>
                <c:pt idx="1356">
                  <c:v>62.25</c:v>
                </c:pt>
                <c:pt idx="1357">
                  <c:v>155.16999999999999</c:v>
                </c:pt>
                <c:pt idx="1358">
                  <c:v>83.28</c:v>
                </c:pt>
                <c:pt idx="1359">
                  <c:v>132.41</c:v>
                </c:pt>
                <c:pt idx="1360">
                  <c:v>62.78</c:v>
                </c:pt>
                <c:pt idx="1361">
                  <c:v>89.96</c:v>
                </c:pt>
                <c:pt idx="1362">
                  <c:v>103.25</c:v>
                </c:pt>
                <c:pt idx="1363">
                  <c:v>126.99</c:v>
                </c:pt>
                <c:pt idx="1364">
                  <c:v>102.27</c:v>
                </c:pt>
                <c:pt idx="1365">
                  <c:v>113.63</c:v>
                </c:pt>
                <c:pt idx="1366">
                  <c:v>86.09</c:v>
                </c:pt>
                <c:pt idx="1367">
                  <c:v>108.08</c:v>
                </c:pt>
                <c:pt idx="1368">
                  <c:v>108.34</c:v>
                </c:pt>
                <c:pt idx="1369">
                  <c:v>56.07</c:v>
                </c:pt>
                <c:pt idx="1370">
                  <c:v>82.91</c:v>
                </c:pt>
                <c:pt idx="1371">
                  <c:v>94.75</c:v>
                </c:pt>
                <c:pt idx="1372">
                  <c:v>101.79</c:v>
                </c:pt>
                <c:pt idx="1373">
                  <c:v>88.41</c:v>
                </c:pt>
                <c:pt idx="1374">
                  <c:v>101.05</c:v>
                </c:pt>
                <c:pt idx="1375">
                  <c:v>85.07</c:v>
                </c:pt>
                <c:pt idx="1376">
                  <c:v>108.1</c:v>
                </c:pt>
                <c:pt idx="1377">
                  <c:v>93.17</c:v>
                </c:pt>
                <c:pt idx="1378">
                  <c:v>158.88999999999999</c:v>
                </c:pt>
                <c:pt idx="1379">
                  <c:v>205.77</c:v>
                </c:pt>
                <c:pt idx="1380">
                  <c:v>112.34</c:v>
                </c:pt>
                <c:pt idx="1381">
                  <c:v>119.03</c:v>
                </c:pt>
                <c:pt idx="1382">
                  <c:v>237.21</c:v>
                </c:pt>
                <c:pt idx="1383">
                  <c:v>89.68</c:v>
                </c:pt>
                <c:pt idx="1384">
                  <c:v>246.53</c:v>
                </c:pt>
                <c:pt idx="1385">
                  <c:v>89.05</c:v>
                </c:pt>
                <c:pt idx="1386">
                  <c:v>81.739999999999995</c:v>
                </c:pt>
                <c:pt idx="1387">
                  <c:v>98.12</c:v>
                </c:pt>
                <c:pt idx="1388">
                  <c:v>105.59</c:v>
                </c:pt>
                <c:pt idx="1389">
                  <c:v>86</c:v>
                </c:pt>
                <c:pt idx="1390">
                  <c:v>65.510000000000005</c:v>
                </c:pt>
                <c:pt idx="1391">
                  <c:v>61.78</c:v>
                </c:pt>
                <c:pt idx="1392">
                  <c:v>109.56</c:v>
                </c:pt>
                <c:pt idx="1393">
                  <c:v>65.819999999999993</c:v>
                </c:pt>
                <c:pt idx="1394">
                  <c:v>90.16</c:v>
                </c:pt>
                <c:pt idx="1395">
                  <c:v>64.45</c:v>
                </c:pt>
                <c:pt idx="1396">
                  <c:v>91.85</c:v>
                </c:pt>
                <c:pt idx="1397">
                  <c:v>97.89</c:v>
                </c:pt>
                <c:pt idx="1398">
                  <c:v>206.33</c:v>
                </c:pt>
                <c:pt idx="1399">
                  <c:v>74.290000000000006</c:v>
                </c:pt>
                <c:pt idx="1400">
                  <c:v>107.4</c:v>
                </c:pt>
                <c:pt idx="1401">
                  <c:v>87.72</c:v>
                </c:pt>
                <c:pt idx="1402">
                  <c:v>85.99</c:v>
                </c:pt>
                <c:pt idx="1403">
                  <c:v>100.84</c:v>
                </c:pt>
                <c:pt idx="1404">
                  <c:v>124.61</c:v>
                </c:pt>
                <c:pt idx="1405">
                  <c:v>86.55</c:v>
                </c:pt>
                <c:pt idx="1406">
                  <c:v>90.42</c:v>
                </c:pt>
                <c:pt idx="1407">
                  <c:v>100.85</c:v>
                </c:pt>
                <c:pt idx="1408">
                  <c:v>87.74</c:v>
                </c:pt>
                <c:pt idx="1409">
                  <c:v>80.150000000000006</c:v>
                </c:pt>
                <c:pt idx="1410">
                  <c:v>107.29</c:v>
                </c:pt>
                <c:pt idx="1411">
                  <c:v>206.98</c:v>
                </c:pt>
                <c:pt idx="1412">
                  <c:v>227.28</c:v>
                </c:pt>
                <c:pt idx="1413">
                  <c:v>80.430000000000007</c:v>
                </c:pt>
                <c:pt idx="1414">
                  <c:v>228.7</c:v>
                </c:pt>
                <c:pt idx="1415">
                  <c:v>120.07</c:v>
                </c:pt>
                <c:pt idx="1416">
                  <c:v>93.47</c:v>
                </c:pt>
                <c:pt idx="1417">
                  <c:v>80.77</c:v>
                </c:pt>
                <c:pt idx="1418">
                  <c:v>150.27000000000001</c:v>
                </c:pt>
                <c:pt idx="1419">
                  <c:v>81.94</c:v>
                </c:pt>
                <c:pt idx="1420">
                  <c:v>70.75</c:v>
                </c:pt>
                <c:pt idx="1421">
                  <c:v>83.83</c:v>
                </c:pt>
                <c:pt idx="1422">
                  <c:v>73.66</c:v>
                </c:pt>
                <c:pt idx="1423">
                  <c:v>102.37</c:v>
                </c:pt>
                <c:pt idx="1424">
                  <c:v>77.83</c:v>
                </c:pt>
                <c:pt idx="1425">
                  <c:v>70.010000000000005</c:v>
                </c:pt>
                <c:pt idx="1426">
                  <c:v>119.88</c:v>
                </c:pt>
                <c:pt idx="1427">
                  <c:v>78.290000000000006</c:v>
                </c:pt>
                <c:pt idx="1428">
                  <c:v>169.97</c:v>
                </c:pt>
                <c:pt idx="1429">
                  <c:v>123.79</c:v>
                </c:pt>
                <c:pt idx="1430">
                  <c:v>80.98</c:v>
                </c:pt>
                <c:pt idx="1431">
                  <c:v>84.21</c:v>
                </c:pt>
                <c:pt idx="1432">
                  <c:v>101.31</c:v>
                </c:pt>
                <c:pt idx="1433">
                  <c:v>86.26</c:v>
                </c:pt>
                <c:pt idx="1434">
                  <c:v>92.86</c:v>
                </c:pt>
                <c:pt idx="1435">
                  <c:v>140.28</c:v>
                </c:pt>
                <c:pt idx="1436">
                  <c:v>244.28</c:v>
                </c:pt>
                <c:pt idx="1437">
                  <c:v>124.16</c:v>
                </c:pt>
                <c:pt idx="1438">
                  <c:v>93.55</c:v>
                </c:pt>
                <c:pt idx="1439">
                  <c:v>99.34</c:v>
                </c:pt>
                <c:pt idx="1440">
                  <c:v>59.87</c:v>
                </c:pt>
                <c:pt idx="1441">
                  <c:v>72.760000000000005</c:v>
                </c:pt>
                <c:pt idx="1442">
                  <c:v>68.34</c:v>
                </c:pt>
                <c:pt idx="1443">
                  <c:v>61.1</c:v>
                </c:pt>
                <c:pt idx="1444">
                  <c:v>120.77</c:v>
                </c:pt>
                <c:pt idx="1445">
                  <c:v>60.39</c:v>
                </c:pt>
                <c:pt idx="1446">
                  <c:v>126.34</c:v>
                </c:pt>
                <c:pt idx="1447">
                  <c:v>93.24</c:v>
                </c:pt>
                <c:pt idx="1448">
                  <c:v>154.75</c:v>
                </c:pt>
                <c:pt idx="1449">
                  <c:v>62.81</c:v>
                </c:pt>
                <c:pt idx="1450">
                  <c:v>65.959999999999994</c:v>
                </c:pt>
                <c:pt idx="1451">
                  <c:v>79.53</c:v>
                </c:pt>
                <c:pt idx="1452">
                  <c:v>96.85</c:v>
                </c:pt>
                <c:pt idx="1453">
                  <c:v>251.99</c:v>
                </c:pt>
                <c:pt idx="1454">
                  <c:v>115.13</c:v>
                </c:pt>
                <c:pt idx="1455">
                  <c:v>102.3</c:v>
                </c:pt>
                <c:pt idx="1456">
                  <c:v>78.989999999999995</c:v>
                </c:pt>
                <c:pt idx="1457">
                  <c:v>191.79</c:v>
                </c:pt>
                <c:pt idx="1458">
                  <c:v>68.8</c:v>
                </c:pt>
                <c:pt idx="1459">
                  <c:v>83.84</c:v>
                </c:pt>
                <c:pt idx="1460">
                  <c:v>94.66</c:v>
                </c:pt>
                <c:pt idx="1461">
                  <c:v>107.98</c:v>
                </c:pt>
                <c:pt idx="1462">
                  <c:v>61.01</c:v>
                </c:pt>
                <c:pt idx="1463">
                  <c:v>135.63999999999999</c:v>
                </c:pt>
                <c:pt idx="1464">
                  <c:v>92.65</c:v>
                </c:pt>
                <c:pt idx="1465">
                  <c:v>121.11</c:v>
                </c:pt>
                <c:pt idx="1466">
                  <c:v>163.56</c:v>
                </c:pt>
                <c:pt idx="1467">
                  <c:v>107.69</c:v>
                </c:pt>
                <c:pt idx="1468">
                  <c:v>216.88</c:v>
                </c:pt>
                <c:pt idx="1469">
                  <c:v>70.150000000000006</c:v>
                </c:pt>
                <c:pt idx="1470">
                  <c:v>83.02</c:v>
                </c:pt>
                <c:pt idx="1471">
                  <c:v>87.94</c:v>
                </c:pt>
                <c:pt idx="1472">
                  <c:v>222.29</c:v>
                </c:pt>
                <c:pt idx="1473">
                  <c:v>139.43</c:v>
                </c:pt>
                <c:pt idx="1474">
                  <c:v>213.11</c:v>
                </c:pt>
                <c:pt idx="1475">
                  <c:v>77.23</c:v>
                </c:pt>
                <c:pt idx="1476">
                  <c:v>58.48</c:v>
                </c:pt>
                <c:pt idx="1477">
                  <c:v>87.33</c:v>
                </c:pt>
                <c:pt idx="1478">
                  <c:v>102.34</c:v>
                </c:pt>
                <c:pt idx="1479">
                  <c:v>151.30000000000001</c:v>
                </c:pt>
                <c:pt idx="1480">
                  <c:v>144.22999999999999</c:v>
                </c:pt>
                <c:pt idx="1481">
                  <c:v>110.6</c:v>
                </c:pt>
                <c:pt idx="1482">
                  <c:v>80.28</c:v>
                </c:pt>
                <c:pt idx="1483">
                  <c:v>111.02</c:v>
                </c:pt>
                <c:pt idx="1484">
                  <c:v>114.88</c:v>
                </c:pt>
                <c:pt idx="1485">
                  <c:v>227.51</c:v>
                </c:pt>
                <c:pt idx="1486">
                  <c:v>111.65</c:v>
                </c:pt>
                <c:pt idx="1487">
                  <c:v>201.01</c:v>
                </c:pt>
                <c:pt idx="1488">
                  <c:v>129.01</c:v>
                </c:pt>
                <c:pt idx="1489">
                  <c:v>124.08</c:v>
                </c:pt>
                <c:pt idx="1490">
                  <c:v>107.91</c:v>
                </c:pt>
                <c:pt idx="1491">
                  <c:v>95.4</c:v>
                </c:pt>
                <c:pt idx="1492">
                  <c:v>65.900000000000006</c:v>
                </c:pt>
                <c:pt idx="1493">
                  <c:v>78.98</c:v>
                </c:pt>
                <c:pt idx="1494">
                  <c:v>111.33</c:v>
                </c:pt>
                <c:pt idx="1495">
                  <c:v>104.36</c:v>
                </c:pt>
                <c:pt idx="1496">
                  <c:v>123.87</c:v>
                </c:pt>
                <c:pt idx="1497">
                  <c:v>210</c:v>
                </c:pt>
                <c:pt idx="1498">
                  <c:v>86.86</c:v>
                </c:pt>
                <c:pt idx="1499">
                  <c:v>113.96</c:v>
                </c:pt>
                <c:pt idx="1500">
                  <c:v>81.28</c:v>
                </c:pt>
                <c:pt idx="1501">
                  <c:v>102.5</c:v>
                </c:pt>
                <c:pt idx="1502">
                  <c:v>78.05</c:v>
                </c:pt>
                <c:pt idx="1503">
                  <c:v>237.58</c:v>
                </c:pt>
                <c:pt idx="1504">
                  <c:v>86.07</c:v>
                </c:pt>
                <c:pt idx="1505">
                  <c:v>59.05</c:v>
                </c:pt>
                <c:pt idx="1506">
                  <c:v>95.88</c:v>
                </c:pt>
                <c:pt idx="1507">
                  <c:v>70.180000000000007</c:v>
                </c:pt>
                <c:pt idx="1508">
                  <c:v>111.13</c:v>
                </c:pt>
                <c:pt idx="1509">
                  <c:v>79.3</c:v>
                </c:pt>
                <c:pt idx="1510">
                  <c:v>65.84</c:v>
                </c:pt>
                <c:pt idx="1511">
                  <c:v>123.49</c:v>
                </c:pt>
                <c:pt idx="1512">
                  <c:v>207.45</c:v>
                </c:pt>
                <c:pt idx="1513">
                  <c:v>143.44999999999999</c:v>
                </c:pt>
                <c:pt idx="1514">
                  <c:v>89.11</c:v>
                </c:pt>
                <c:pt idx="1515">
                  <c:v>58.3</c:v>
                </c:pt>
                <c:pt idx="1516">
                  <c:v>78.680000000000007</c:v>
                </c:pt>
                <c:pt idx="1517">
                  <c:v>98.91</c:v>
                </c:pt>
                <c:pt idx="1518">
                  <c:v>67.92</c:v>
                </c:pt>
                <c:pt idx="1519">
                  <c:v>73</c:v>
                </c:pt>
                <c:pt idx="1520">
                  <c:v>97.5</c:v>
                </c:pt>
                <c:pt idx="1521">
                  <c:v>108.43</c:v>
                </c:pt>
                <c:pt idx="1522">
                  <c:v>90.43</c:v>
                </c:pt>
                <c:pt idx="1523">
                  <c:v>76.3</c:v>
                </c:pt>
                <c:pt idx="1524">
                  <c:v>121.27</c:v>
                </c:pt>
                <c:pt idx="1525">
                  <c:v>119.67</c:v>
                </c:pt>
                <c:pt idx="1526">
                  <c:v>226.93</c:v>
                </c:pt>
                <c:pt idx="1527">
                  <c:v>76.11</c:v>
                </c:pt>
                <c:pt idx="1528">
                  <c:v>93.23</c:v>
                </c:pt>
                <c:pt idx="1529">
                  <c:v>253.16</c:v>
                </c:pt>
                <c:pt idx="1530">
                  <c:v>101.02</c:v>
                </c:pt>
                <c:pt idx="1531">
                  <c:v>238.53</c:v>
                </c:pt>
                <c:pt idx="1532">
                  <c:v>79.180000000000007</c:v>
                </c:pt>
                <c:pt idx="1533">
                  <c:v>207.79</c:v>
                </c:pt>
                <c:pt idx="1534">
                  <c:v>196.2</c:v>
                </c:pt>
                <c:pt idx="1535">
                  <c:v>231.76</c:v>
                </c:pt>
                <c:pt idx="1536">
                  <c:v>93.3</c:v>
                </c:pt>
                <c:pt idx="1537">
                  <c:v>110.47</c:v>
                </c:pt>
                <c:pt idx="1538">
                  <c:v>77.52</c:v>
                </c:pt>
                <c:pt idx="1539">
                  <c:v>91.23</c:v>
                </c:pt>
                <c:pt idx="1540">
                  <c:v>216.92</c:v>
                </c:pt>
                <c:pt idx="1541">
                  <c:v>157.01</c:v>
                </c:pt>
                <c:pt idx="1542">
                  <c:v>93.51</c:v>
                </c:pt>
                <c:pt idx="1543">
                  <c:v>102.54</c:v>
                </c:pt>
                <c:pt idx="1544">
                  <c:v>87.78</c:v>
                </c:pt>
                <c:pt idx="1545">
                  <c:v>126.67</c:v>
                </c:pt>
                <c:pt idx="1546">
                  <c:v>93.6</c:v>
                </c:pt>
                <c:pt idx="1547">
                  <c:v>194.98</c:v>
                </c:pt>
                <c:pt idx="1548">
                  <c:v>99.96</c:v>
                </c:pt>
                <c:pt idx="1549">
                  <c:v>58.87</c:v>
                </c:pt>
                <c:pt idx="1550">
                  <c:v>77.67</c:v>
                </c:pt>
                <c:pt idx="1551">
                  <c:v>83.14</c:v>
                </c:pt>
                <c:pt idx="1552">
                  <c:v>69.180000000000007</c:v>
                </c:pt>
                <c:pt idx="1553">
                  <c:v>218.54</c:v>
                </c:pt>
                <c:pt idx="1554">
                  <c:v>71.22</c:v>
                </c:pt>
                <c:pt idx="1555">
                  <c:v>82.41</c:v>
                </c:pt>
                <c:pt idx="1556">
                  <c:v>82.07</c:v>
                </c:pt>
                <c:pt idx="1557">
                  <c:v>73</c:v>
                </c:pt>
                <c:pt idx="1558">
                  <c:v>127.25</c:v>
                </c:pt>
                <c:pt idx="1559">
                  <c:v>72.63</c:v>
                </c:pt>
                <c:pt idx="1560">
                  <c:v>108.2</c:v>
                </c:pt>
                <c:pt idx="1561">
                  <c:v>123.95</c:v>
                </c:pt>
                <c:pt idx="1562">
                  <c:v>58.71</c:v>
                </c:pt>
                <c:pt idx="1563">
                  <c:v>98.46</c:v>
                </c:pt>
                <c:pt idx="1564">
                  <c:v>68.78</c:v>
                </c:pt>
                <c:pt idx="1565">
                  <c:v>133.63</c:v>
                </c:pt>
                <c:pt idx="1566">
                  <c:v>101.43</c:v>
                </c:pt>
                <c:pt idx="1567">
                  <c:v>65.3</c:v>
                </c:pt>
                <c:pt idx="1568">
                  <c:v>72.489999999999995</c:v>
                </c:pt>
                <c:pt idx="1569">
                  <c:v>65.489999999999995</c:v>
                </c:pt>
                <c:pt idx="1570">
                  <c:v>63.4</c:v>
                </c:pt>
                <c:pt idx="1571">
                  <c:v>105.29</c:v>
                </c:pt>
                <c:pt idx="1572">
                  <c:v>64.08</c:v>
                </c:pt>
                <c:pt idx="1573">
                  <c:v>78.34</c:v>
                </c:pt>
                <c:pt idx="1574">
                  <c:v>66.319999999999993</c:v>
                </c:pt>
                <c:pt idx="1575">
                  <c:v>168.15</c:v>
                </c:pt>
                <c:pt idx="1576">
                  <c:v>93.48</c:v>
                </c:pt>
                <c:pt idx="1577">
                  <c:v>79.2</c:v>
                </c:pt>
                <c:pt idx="1578">
                  <c:v>107.45</c:v>
                </c:pt>
                <c:pt idx="1579">
                  <c:v>83.86</c:v>
                </c:pt>
                <c:pt idx="1580">
                  <c:v>119.96</c:v>
                </c:pt>
                <c:pt idx="1581">
                  <c:v>70.58</c:v>
                </c:pt>
                <c:pt idx="1582">
                  <c:v>87.7</c:v>
                </c:pt>
                <c:pt idx="1583">
                  <c:v>65.290000000000006</c:v>
                </c:pt>
                <c:pt idx="1584">
                  <c:v>97.14</c:v>
                </c:pt>
                <c:pt idx="1585">
                  <c:v>110.68</c:v>
                </c:pt>
                <c:pt idx="1586">
                  <c:v>91.93</c:v>
                </c:pt>
                <c:pt idx="1587">
                  <c:v>88.54</c:v>
                </c:pt>
                <c:pt idx="1588">
                  <c:v>183</c:v>
                </c:pt>
                <c:pt idx="1589">
                  <c:v>115.93</c:v>
                </c:pt>
                <c:pt idx="1590">
                  <c:v>99.13</c:v>
                </c:pt>
                <c:pt idx="1591">
                  <c:v>69.239999999999995</c:v>
                </c:pt>
                <c:pt idx="1592">
                  <c:v>102.28</c:v>
                </c:pt>
                <c:pt idx="1593">
                  <c:v>71.31</c:v>
                </c:pt>
                <c:pt idx="1594">
                  <c:v>89.75</c:v>
                </c:pt>
                <c:pt idx="1595">
                  <c:v>87.66</c:v>
                </c:pt>
                <c:pt idx="1596">
                  <c:v>237.17</c:v>
                </c:pt>
                <c:pt idx="1597">
                  <c:v>81.11</c:v>
                </c:pt>
                <c:pt idx="1598">
                  <c:v>178.33</c:v>
                </c:pt>
                <c:pt idx="1599">
                  <c:v>81.38</c:v>
                </c:pt>
                <c:pt idx="1600">
                  <c:v>109.56</c:v>
                </c:pt>
                <c:pt idx="1601">
                  <c:v>70.45</c:v>
                </c:pt>
                <c:pt idx="1602">
                  <c:v>73.44</c:v>
                </c:pt>
                <c:pt idx="1603">
                  <c:v>146.44</c:v>
                </c:pt>
                <c:pt idx="1604">
                  <c:v>65.040000000000006</c:v>
                </c:pt>
                <c:pt idx="1605">
                  <c:v>151.25</c:v>
                </c:pt>
                <c:pt idx="1606">
                  <c:v>106.41</c:v>
                </c:pt>
                <c:pt idx="1607">
                  <c:v>197.09</c:v>
                </c:pt>
                <c:pt idx="1608">
                  <c:v>93.58</c:v>
                </c:pt>
                <c:pt idx="1609">
                  <c:v>122.04</c:v>
                </c:pt>
                <c:pt idx="1610">
                  <c:v>80.06</c:v>
                </c:pt>
                <c:pt idx="1611">
                  <c:v>84.93</c:v>
                </c:pt>
                <c:pt idx="1612">
                  <c:v>68.400000000000006</c:v>
                </c:pt>
                <c:pt idx="1613">
                  <c:v>62.99</c:v>
                </c:pt>
                <c:pt idx="1614">
                  <c:v>139.66999999999999</c:v>
                </c:pt>
                <c:pt idx="1615">
                  <c:v>113.4</c:v>
                </c:pt>
                <c:pt idx="1616">
                  <c:v>101.92</c:v>
                </c:pt>
                <c:pt idx="1617">
                  <c:v>65.98</c:v>
                </c:pt>
                <c:pt idx="1618">
                  <c:v>84.3</c:v>
                </c:pt>
                <c:pt idx="1619">
                  <c:v>61.42</c:v>
                </c:pt>
                <c:pt idx="1620">
                  <c:v>85.52</c:v>
                </c:pt>
                <c:pt idx="1621">
                  <c:v>83.79</c:v>
                </c:pt>
                <c:pt idx="1622">
                  <c:v>73.83</c:v>
                </c:pt>
                <c:pt idx="1623">
                  <c:v>69.38</c:v>
                </c:pt>
                <c:pt idx="1624">
                  <c:v>66.11</c:v>
                </c:pt>
                <c:pt idx="1625">
                  <c:v>149.62</c:v>
                </c:pt>
                <c:pt idx="1626">
                  <c:v>242.84</c:v>
                </c:pt>
                <c:pt idx="1627">
                  <c:v>202.66</c:v>
                </c:pt>
                <c:pt idx="1628">
                  <c:v>216.9</c:v>
                </c:pt>
                <c:pt idx="1629">
                  <c:v>103.78</c:v>
                </c:pt>
                <c:pt idx="1630">
                  <c:v>114.88</c:v>
                </c:pt>
                <c:pt idx="1631">
                  <c:v>75.94</c:v>
                </c:pt>
                <c:pt idx="1632">
                  <c:v>55.51</c:v>
                </c:pt>
                <c:pt idx="1633">
                  <c:v>93.74</c:v>
                </c:pt>
                <c:pt idx="1634">
                  <c:v>71.44</c:v>
                </c:pt>
                <c:pt idx="1635">
                  <c:v>58.29</c:v>
                </c:pt>
                <c:pt idx="1636">
                  <c:v>115.83</c:v>
                </c:pt>
                <c:pt idx="1637">
                  <c:v>102.71</c:v>
                </c:pt>
                <c:pt idx="1638">
                  <c:v>99.69</c:v>
                </c:pt>
                <c:pt idx="1639">
                  <c:v>102.89</c:v>
                </c:pt>
                <c:pt idx="1640">
                  <c:v>79.05</c:v>
                </c:pt>
                <c:pt idx="1641">
                  <c:v>56.63</c:v>
                </c:pt>
                <c:pt idx="1642">
                  <c:v>87.34</c:v>
                </c:pt>
                <c:pt idx="1643">
                  <c:v>109.51</c:v>
                </c:pt>
                <c:pt idx="1644">
                  <c:v>81.430000000000007</c:v>
                </c:pt>
                <c:pt idx="1645">
                  <c:v>78.59</c:v>
                </c:pt>
                <c:pt idx="1646">
                  <c:v>101.22</c:v>
                </c:pt>
                <c:pt idx="1647">
                  <c:v>78.260000000000005</c:v>
                </c:pt>
                <c:pt idx="1648">
                  <c:v>105.47</c:v>
                </c:pt>
                <c:pt idx="1649">
                  <c:v>68.19</c:v>
                </c:pt>
                <c:pt idx="1650">
                  <c:v>210</c:v>
                </c:pt>
                <c:pt idx="1651">
                  <c:v>114.47</c:v>
                </c:pt>
                <c:pt idx="1652">
                  <c:v>66.849999999999994</c:v>
                </c:pt>
                <c:pt idx="1653">
                  <c:v>94.71</c:v>
                </c:pt>
                <c:pt idx="1654">
                  <c:v>208.05</c:v>
                </c:pt>
                <c:pt idx="1655">
                  <c:v>222.6</c:v>
                </c:pt>
                <c:pt idx="1656">
                  <c:v>80.81</c:v>
                </c:pt>
                <c:pt idx="1657">
                  <c:v>64.510000000000005</c:v>
                </c:pt>
                <c:pt idx="1658">
                  <c:v>151.56</c:v>
                </c:pt>
                <c:pt idx="1659">
                  <c:v>199.14</c:v>
                </c:pt>
                <c:pt idx="1660">
                  <c:v>73.41</c:v>
                </c:pt>
                <c:pt idx="1661">
                  <c:v>109.65</c:v>
                </c:pt>
                <c:pt idx="1662">
                  <c:v>69.11</c:v>
                </c:pt>
                <c:pt idx="1663">
                  <c:v>114.41</c:v>
                </c:pt>
                <c:pt idx="1664">
                  <c:v>103.46</c:v>
                </c:pt>
                <c:pt idx="1665">
                  <c:v>95.36</c:v>
                </c:pt>
                <c:pt idx="1666">
                  <c:v>57.33</c:v>
                </c:pt>
                <c:pt idx="1667">
                  <c:v>191.48</c:v>
                </c:pt>
                <c:pt idx="1668">
                  <c:v>71.63</c:v>
                </c:pt>
                <c:pt idx="1669">
                  <c:v>94</c:v>
                </c:pt>
                <c:pt idx="1670">
                  <c:v>93.77</c:v>
                </c:pt>
                <c:pt idx="1671">
                  <c:v>84.75</c:v>
                </c:pt>
                <c:pt idx="1672">
                  <c:v>89.24</c:v>
                </c:pt>
                <c:pt idx="1673">
                  <c:v>70.13</c:v>
                </c:pt>
                <c:pt idx="1674">
                  <c:v>82.26</c:v>
                </c:pt>
                <c:pt idx="1675">
                  <c:v>200.16</c:v>
                </c:pt>
                <c:pt idx="1676">
                  <c:v>80.73</c:v>
                </c:pt>
                <c:pt idx="1677">
                  <c:v>75.09</c:v>
                </c:pt>
                <c:pt idx="1678">
                  <c:v>80.569999999999993</c:v>
                </c:pt>
                <c:pt idx="1679">
                  <c:v>77.040000000000006</c:v>
                </c:pt>
                <c:pt idx="1680">
                  <c:v>145.26</c:v>
                </c:pt>
                <c:pt idx="1681">
                  <c:v>190.4</c:v>
                </c:pt>
                <c:pt idx="1682">
                  <c:v>82.08</c:v>
                </c:pt>
                <c:pt idx="1683">
                  <c:v>103.35</c:v>
                </c:pt>
                <c:pt idx="1684">
                  <c:v>97.46</c:v>
                </c:pt>
                <c:pt idx="1685">
                  <c:v>123.65</c:v>
                </c:pt>
                <c:pt idx="1686">
                  <c:v>87.96</c:v>
                </c:pt>
                <c:pt idx="1687">
                  <c:v>85.92</c:v>
                </c:pt>
                <c:pt idx="1688">
                  <c:v>80.8</c:v>
                </c:pt>
                <c:pt idx="1689">
                  <c:v>99.3</c:v>
                </c:pt>
                <c:pt idx="1690">
                  <c:v>62.56</c:v>
                </c:pt>
                <c:pt idx="1691">
                  <c:v>144.19999999999999</c:v>
                </c:pt>
                <c:pt idx="1692">
                  <c:v>71.38</c:v>
                </c:pt>
                <c:pt idx="1693">
                  <c:v>95.5</c:v>
                </c:pt>
                <c:pt idx="1694">
                  <c:v>67.06</c:v>
                </c:pt>
                <c:pt idx="1695">
                  <c:v>70.16</c:v>
                </c:pt>
                <c:pt idx="1696">
                  <c:v>104.24</c:v>
                </c:pt>
                <c:pt idx="1697">
                  <c:v>122.48</c:v>
                </c:pt>
                <c:pt idx="1698">
                  <c:v>215.9</c:v>
                </c:pt>
                <c:pt idx="1699">
                  <c:v>108.56</c:v>
                </c:pt>
                <c:pt idx="1700">
                  <c:v>69.88</c:v>
                </c:pt>
                <c:pt idx="1701">
                  <c:v>91.54</c:v>
                </c:pt>
                <c:pt idx="1702">
                  <c:v>65.849999999999994</c:v>
                </c:pt>
                <c:pt idx="1703">
                  <c:v>60.74</c:v>
                </c:pt>
                <c:pt idx="1704">
                  <c:v>233.52</c:v>
                </c:pt>
                <c:pt idx="1705">
                  <c:v>110.7</c:v>
                </c:pt>
                <c:pt idx="1706">
                  <c:v>78.930000000000007</c:v>
                </c:pt>
                <c:pt idx="1707">
                  <c:v>124.5</c:v>
                </c:pt>
                <c:pt idx="1708">
                  <c:v>57.95</c:v>
                </c:pt>
                <c:pt idx="1709">
                  <c:v>92.82</c:v>
                </c:pt>
                <c:pt idx="1710">
                  <c:v>58.25</c:v>
                </c:pt>
                <c:pt idx="1711">
                  <c:v>213.54</c:v>
                </c:pt>
                <c:pt idx="1712">
                  <c:v>74.86</c:v>
                </c:pt>
                <c:pt idx="1713">
                  <c:v>78.349999999999994</c:v>
                </c:pt>
                <c:pt idx="1714">
                  <c:v>101.26</c:v>
                </c:pt>
                <c:pt idx="1715">
                  <c:v>86.87</c:v>
                </c:pt>
                <c:pt idx="1716">
                  <c:v>124.01</c:v>
                </c:pt>
                <c:pt idx="1717">
                  <c:v>83.41</c:v>
                </c:pt>
                <c:pt idx="1718">
                  <c:v>188.69</c:v>
                </c:pt>
                <c:pt idx="1719">
                  <c:v>86.51</c:v>
                </c:pt>
                <c:pt idx="1720">
                  <c:v>70.650000000000006</c:v>
                </c:pt>
                <c:pt idx="1721">
                  <c:v>92.4</c:v>
                </c:pt>
                <c:pt idx="1722">
                  <c:v>73.36</c:v>
                </c:pt>
                <c:pt idx="1723">
                  <c:v>219.5</c:v>
                </c:pt>
                <c:pt idx="1724">
                  <c:v>105.73</c:v>
                </c:pt>
                <c:pt idx="1725">
                  <c:v>83.79</c:v>
                </c:pt>
                <c:pt idx="1726">
                  <c:v>58.02</c:v>
                </c:pt>
                <c:pt idx="1727">
                  <c:v>61.94</c:v>
                </c:pt>
                <c:pt idx="1728">
                  <c:v>99.71</c:v>
                </c:pt>
                <c:pt idx="1729">
                  <c:v>63.19</c:v>
                </c:pt>
                <c:pt idx="1730">
                  <c:v>107.11</c:v>
                </c:pt>
                <c:pt idx="1731">
                  <c:v>56.84</c:v>
                </c:pt>
                <c:pt idx="1732">
                  <c:v>217.66</c:v>
                </c:pt>
                <c:pt idx="1733">
                  <c:v>77.19</c:v>
                </c:pt>
                <c:pt idx="1734">
                  <c:v>76.22</c:v>
                </c:pt>
                <c:pt idx="1735">
                  <c:v>155.32</c:v>
                </c:pt>
                <c:pt idx="1736">
                  <c:v>70.67</c:v>
                </c:pt>
                <c:pt idx="1737">
                  <c:v>227.16</c:v>
                </c:pt>
                <c:pt idx="1738">
                  <c:v>58.69</c:v>
                </c:pt>
                <c:pt idx="1739">
                  <c:v>88.85</c:v>
                </c:pt>
                <c:pt idx="1740">
                  <c:v>137.94</c:v>
                </c:pt>
                <c:pt idx="1741">
                  <c:v>60.6</c:v>
                </c:pt>
                <c:pt idx="1742">
                  <c:v>93.67</c:v>
                </c:pt>
                <c:pt idx="1743">
                  <c:v>79.56</c:v>
                </c:pt>
                <c:pt idx="1744">
                  <c:v>122.46</c:v>
                </c:pt>
                <c:pt idx="1745">
                  <c:v>92.32</c:v>
                </c:pt>
                <c:pt idx="1746">
                  <c:v>80.63</c:v>
                </c:pt>
                <c:pt idx="1747">
                  <c:v>92.32</c:v>
                </c:pt>
                <c:pt idx="1748">
                  <c:v>59.89</c:v>
                </c:pt>
                <c:pt idx="1749">
                  <c:v>80.569999999999993</c:v>
                </c:pt>
                <c:pt idx="1750">
                  <c:v>88.52</c:v>
                </c:pt>
                <c:pt idx="1751">
                  <c:v>88.82</c:v>
                </c:pt>
                <c:pt idx="1752">
                  <c:v>102.08</c:v>
                </c:pt>
                <c:pt idx="1753">
                  <c:v>71.38</c:v>
                </c:pt>
                <c:pt idx="1754">
                  <c:v>84.9</c:v>
                </c:pt>
                <c:pt idx="1755">
                  <c:v>82.21</c:v>
                </c:pt>
                <c:pt idx="1756">
                  <c:v>209.9</c:v>
                </c:pt>
                <c:pt idx="1757">
                  <c:v>74.05</c:v>
                </c:pt>
                <c:pt idx="1758">
                  <c:v>90.46</c:v>
                </c:pt>
                <c:pt idx="1759">
                  <c:v>176.48</c:v>
                </c:pt>
                <c:pt idx="1760">
                  <c:v>94.07</c:v>
                </c:pt>
                <c:pt idx="1761">
                  <c:v>85.12</c:v>
                </c:pt>
                <c:pt idx="1762">
                  <c:v>71.81</c:v>
                </c:pt>
                <c:pt idx="1763">
                  <c:v>111.93</c:v>
                </c:pt>
                <c:pt idx="1764">
                  <c:v>94.4</c:v>
                </c:pt>
                <c:pt idx="1765">
                  <c:v>70</c:v>
                </c:pt>
                <c:pt idx="1766">
                  <c:v>95.57</c:v>
                </c:pt>
                <c:pt idx="1767">
                  <c:v>91.98</c:v>
                </c:pt>
                <c:pt idx="1768">
                  <c:v>66.290000000000006</c:v>
                </c:pt>
                <c:pt idx="1769">
                  <c:v>211.88</c:v>
                </c:pt>
                <c:pt idx="1770">
                  <c:v>76.55</c:v>
                </c:pt>
                <c:pt idx="1771">
                  <c:v>56.67</c:v>
                </c:pt>
                <c:pt idx="1772">
                  <c:v>100.52</c:v>
                </c:pt>
                <c:pt idx="1773">
                  <c:v>58.96</c:v>
                </c:pt>
                <c:pt idx="1774">
                  <c:v>81.66</c:v>
                </c:pt>
                <c:pt idx="1775">
                  <c:v>96.77</c:v>
                </c:pt>
                <c:pt idx="1776">
                  <c:v>91.63</c:v>
                </c:pt>
                <c:pt idx="1777">
                  <c:v>97.51</c:v>
                </c:pt>
                <c:pt idx="1778">
                  <c:v>225.6</c:v>
                </c:pt>
                <c:pt idx="1779">
                  <c:v>95.58</c:v>
                </c:pt>
                <c:pt idx="1780">
                  <c:v>210.23</c:v>
                </c:pt>
                <c:pt idx="1781">
                  <c:v>92.82</c:v>
                </c:pt>
                <c:pt idx="1782">
                  <c:v>234.82</c:v>
                </c:pt>
                <c:pt idx="1783">
                  <c:v>65.67</c:v>
                </c:pt>
                <c:pt idx="1784">
                  <c:v>74.510000000000005</c:v>
                </c:pt>
                <c:pt idx="1785">
                  <c:v>81.99</c:v>
                </c:pt>
                <c:pt idx="1786">
                  <c:v>87.69</c:v>
                </c:pt>
                <c:pt idx="1787">
                  <c:v>125.29</c:v>
                </c:pt>
                <c:pt idx="1788">
                  <c:v>111.64</c:v>
                </c:pt>
                <c:pt idx="1789">
                  <c:v>70.930000000000007</c:v>
                </c:pt>
                <c:pt idx="1790">
                  <c:v>89.93</c:v>
                </c:pt>
                <c:pt idx="1791">
                  <c:v>137.44999999999999</c:v>
                </c:pt>
                <c:pt idx="1792">
                  <c:v>72.06</c:v>
                </c:pt>
                <c:pt idx="1793">
                  <c:v>97.9</c:v>
                </c:pt>
                <c:pt idx="1794">
                  <c:v>84.85</c:v>
                </c:pt>
                <c:pt idx="1795">
                  <c:v>230.59</c:v>
                </c:pt>
                <c:pt idx="1796">
                  <c:v>92.81</c:v>
                </c:pt>
                <c:pt idx="1797">
                  <c:v>168.15</c:v>
                </c:pt>
                <c:pt idx="1798">
                  <c:v>224.63</c:v>
                </c:pt>
                <c:pt idx="1799">
                  <c:v>108.12</c:v>
                </c:pt>
                <c:pt idx="1800">
                  <c:v>85.17</c:v>
                </c:pt>
                <c:pt idx="1801">
                  <c:v>84.14</c:v>
                </c:pt>
                <c:pt idx="1802">
                  <c:v>85.57</c:v>
                </c:pt>
                <c:pt idx="1803">
                  <c:v>82.81</c:v>
                </c:pt>
                <c:pt idx="1804">
                  <c:v>110.53</c:v>
                </c:pt>
                <c:pt idx="1805">
                  <c:v>61.88</c:v>
                </c:pt>
                <c:pt idx="1806">
                  <c:v>85.04</c:v>
                </c:pt>
                <c:pt idx="1807">
                  <c:v>140.4</c:v>
                </c:pt>
                <c:pt idx="1808">
                  <c:v>62.27</c:v>
                </c:pt>
                <c:pt idx="1809">
                  <c:v>99.44</c:v>
                </c:pt>
                <c:pt idx="1810">
                  <c:v>88.9</c:v>
                </c:pt>
                <c:pt idx="1811">
                  <c:v>64.099999999999994</c:v>
                </c:pt>
                <c:pt idx="1812">
                  <c:v>97.58</c:v>
                </c:pt>
                <c:pt idx="1813">
                  <c:v>58.66</c:v>
                </c:pt>
                <c:pt idx="1814">
                  <c:v>88.24</c:v>
                </c:pt>
                <c:pt idx="1815">
                  <c:v>61.32</c:v>
                </c:pt>
                <c:pt idx="1816">
                  <c:v>185.71</c:v>
                </c:pt>
                <c:pt idx="1817">
                  <c:v>62.99</c:v>
                </c:pt>
                <c:pt idx="1818">
                  <c:v>86.04</c:v>
                </c:pt>
                <c:pt idx="1819">
                  <c:v>83.3</c:v>
                </c:pt>
                <c:pt idx="1820">
                  <c:v>208.17</c:v>
                </c:pt>
                <c:pt idx="1821">
                  <c:v>133.19999999999999</c:v>
                </c:pt>
                <c:pt idx="1822">
                  <c:v>81.540000000000006</c:v>
                </c:pt>
                <c:pt idx="1823">
                  <c:v>146.61000000000001</c:v>
                </c:pt>
                <c:pt idx="1824">
                  <c:v>79.33</c:v>
                </c:pt>
                <c:pt idx="1825">
                  <c:v>84.56</c:v>
                </c:pt>
                <c:pt idx="1826">
                  <c:v>103.44</c:v>
                </c:pt>
                <c:pt idx="1827">
                  <c:v>185.31</c:v>
                </c:pt>
                <c:pt idx="1828">
                  <c:v>102.53</c:v>
                </c:pt>
                <c:pt idx="1829">
                  <c:v>65.78</c:v>
                </c:pt>
                <c:pt idx="1830">
                  <c:v>62.6</c:v>
                </c:pt>
                <c:pt idx="1831">
                  <c:v>81.180000000000007</c:v>
                </c:pt>
                <c:pt idx="1832">
                  <c:v>76.680000000000007</c:v>
                </c:pt>
                <c:pt idx="1833">
                  <c:v>92.86</c:v>
                </c:pt>
                <c:pt idx="1834">
                  <c:v>90.95</c:v>
                </c:pt>
                <c:pt idx="1835">
                  <c:v>85.66</c:v>
                </c:pt>
                <c:pt idx="1836">
                  <c:v>88.2</c:v>
                </c:pt>
                <c:pt idx="1837">
                  <c:v>203.04</c:v>
                </c:pt>
                <c:pt idx="1838">
                  <c:v>68.37</c:v>
                </c:pt>
                <c:pt idx="1839">
                  <c:v>77.319999999999993</c:v>
                </c:pt>
                <c:pt idx="1840">
                  <c:v>187.87</c:v>
                </c:pt>
                <c:pt idx="1841">
                  <c:v>213.87</c:v>
                </c:pt>
                <c:pt idx="1842">
                  <c:v>119.62</c:v>
                </c:pt>
                <c:pt idx="1843">
                  <c:v>222.85</c:v>
                </c:pt>
                <c:pt idx="1844">
                  <c:v>100.82</c:v>
                </c:pt>
                <c:pt idx="1845">
                  <c:v>136.1</c:v>
                </c:pt>
                <c:pt idx="1846">
                  <c:v>149.41999999999999</c:v>
                </c:pt>
                <c:pt idx="1847">
                  <c:v>79.989999999999995</c:v>
                </c:pt>
                <c:pt idx="1848">
                  <c:v>118.21</c:v>
                </c:pt>
                <c:pt idx="1849">
                  <c:v>56.3</c:v>
                </c:pt>
                <c:pt idx="1850">
                  <c:v>84.49</c:v>
                </c:pt>
                <c:pt idx="1851">
                  <c:v>89.61</c:v>
                </c:pt>
                <c:pt idx="1852">
                  <c:v>100.09</c:v>
                </c:pt>
                <c:pt idx="1853">
                  <c:v>198.36</c:v>
                </c:pt>
                <c:pt idx="1854">
                  <c:v>93.61</c:v>
                </c:pt>
                <c:pt idx="1855">
                  <c:v>75.430000000000007</c:v>
                </c:pt>
                <c:pt idx="1856">
                  <c:v>100.31</c:v>
                </c:pt>
                <c:pt idx="1857">
                  <c:v>105.63</c:v>
                </c:pt>
                <c:pt idx="1858">
                  <c:v>82.84</c:v>
                </c:pt>
                <c:pt idx="1859">
                  <c:v>58.88</c:v>
                </c:pt>
                <c:pt idx="1860">
                  <c:v>92.27</c:v>
                </c:pt>
                <c:pt idx="1861">
                  <c:v>115.23</c:v>
                </c:pt>
                <c:pt idx="1862">
                  <c:v>196.25</c:v>
                </c:pt>
                <c:pt idx="1863">
                  <c:v>85.97</c:v>
                </c:pt>
                <c:pt idx="1864">
                  <c:v>114.33</c:v>
                </c:pt>
                <c:pt idx="1865">
                  <c:v>72.52</c:v>
                </c:pt>
                <c:pt idx="1866">
                  <c:v>99.87</c:v>
                </c:pt>
                <c:pt idx="1867">
                  <c:v>63.47</c:v>
                </c:pt>
                <c:pt idx="1868">
                  <c:v>90.58</c:v>
                </c:pt>
                <c:pt idx="1869">
                  <c:v>92.26</c:v>
                </c:pt>
                <c:pt idx="1870">
                  <c:v>113.74</c:v>
                </c:pt>
                <c:pt idx="1871">
                  <c:v>72.790000000000006</c:v>
                </c:pt>
                <c:pt idx="1872">
                  <c:v>94.71</c:v>
                </c:pt>
                <c:pt idx="1873">
                  <c:v>194.53</c:v>
                </c:pt>
                <c:pt idx="1874">
                  <c:v>72.650000000000006</c:v>
                </c:pt>
                <c:pt idx="1875">
                  <c:v>86.68</c:v>
                </c:pt>
                <c:pt idx="1876">
                  <c:v>140.38999999999999</c:v>
                </c:pt>
                <c:pt idx="1877">
                  <c:v>77.87</c:v>
                </c:pt>
                <c:pt idx="1878">
                  <c:v>104.7</c:v>
                </c:pt>
                <c:pt idx="1879">
                  <c:v>95.82</c:v>
                </c:pt>
                <c:pt idx="1880">
                  <c:v>204.05</c:v>
                </c:pt>
                <c:pt idx="1881">
                  <c:v>130.56</c:v>
                </c:pt>
                <c:pt idx="1882">
                  <c:v>67.78</c:v>
                </c:pt>
                <c:pt idx="1883">
                  <c:v>105.29</c:v>
                </c:pt>
                <c:pt idx="1884">
                  <c:v>135.19</c:v>
                </c:pt>
                <c:pt idx="1885">
                  <c:v>116.12</c:v>
                </c:pt>
                <c:pt idx="1886">
                  <c:v>59.63</c:v>
                </c:pt>
                <c:pt idx="1887">
                  <c:v>56.43</c:v>
                </c:pt>
                <c:pt idx="1888">
                  <c:v>199.18</c:v>
                </c:pt>
                <c:pt idx="1889">
                  <c:v>209.26</c:v>
                </c:pt>
                <c:pt idx="1890">
                  <c:v>91.21</c:v>
                </c:pt>
                <c:pt idx="1891">
                  <c:v>95.16</c:v>
                </c:pt>
                <c:pt idx="1892">
                  <c:v>217.11</c:v>
                </c:pt>
                <c:pt idx="1893">
                  <c:v>222.46</c:v>
                </c:pt>
                <c:pt idx="1894">
                  <c:v>70.959999999999994</c:v>
                </c:pt>
                <c:pt idx="1895">
                  <c:v>82.44</c:v>
                </c:pt>
                <c:pt idx="1896">
                  <c:v>74.11</c:v>
                </c:pt>
                <c:pt idx="1897">
                  <c:v>131.22999999999999</c:v>
                </c:pt>
                <c:pt idx="1898">
                  <c:v>187.52</c:v>
                </c:pt>
                <c:pt idx="1899">
                  <c:v>83.26</c:v>
                </c:pt>
                <c:pt idx="1900">
                  <c:v>99.07</c:v>
                </c:pt>
                <c:pt idx="1901">
                  <c:v>76.63</c:v>
                </c:pt>
                <c:pt idx="1902">
                  <c:v>65.09</c:v>
                </c:pt>
                <c:pt idx="1903">
                  <c:v>142.31</c:v>
                </c:pt>
                <c:pt idx="1904">
                  <c:v>80.989999999999995</c:v>
                </c:pt>
                <c:pt idx="1905">
                  <c:v>237.74</c:v>
                </c:pt>
                <c:pt idx="1906">
                  <c:v>74.260000000000005</c:v>
                </c:pt>
                <c:pt idx="1907">
                  <c:v>154.08000000000001</c:v>
                </c:pt>
                <c:pt idx="1908">
                  <c:v>78.290000000000006</c:v>
                </c:pt>
                <c:pt idx="1909">
                  <c:v>164.67</c:v>
                </c:pt>
                <c:pt idx="1910">
                  <c:v>59.61</c:v>
                </c:pt>
                <c:pt idx="1911">
                  <c:v>67.75</c:v>
                </c:pt>
                <c:pt idx="1912">
                  <c:v>92.73</c:v>
                </c:pt>
                <c:pt idx="1913">
                  <c:v>90.35</c:v>
                </c:pt>
                <c:pt idx="1914">
                  <c:v>77.86</c:v>
                </c:pt>
                <c:pt idx="1915">
                  <c:v>71.88</c:v>
                </c:pt>
                <c:pt idx="1916">
                  <c:v>118.82</c:v>
                </c:pt>
                <c:pt idx="1917">
                  <c:v>67.33</c:v>
                </c:pt>
                <c:pt idx="1918">
                  <c:v>121.66</c:v>
                </c:pt>
                <c:pt idx="1919">
                  <c:v>111.92</c:v>
                </c:pt>
                <c:pt idx="1920">
                  <c:v>92.82</c:v>
                </c:pt>
                <c:pt idx="1921">
                  <c:v>95.46</c:v>
                </c:pt>
                <c:pt idx="1922">
                  <c:v>59.99</c:v>
                </c:pt>
                <c:pt idx="1923">
                  <c:v>68.959999999999994</c:v>
                </c:pt>
                <c:pt idx="1924">
                  <c:v>90.26</c:v>
                </c:pt>
                <c:pt idx="1925">
                  <c:v>91.9</c:v>
                </c:pt>
                <c:pt idx="1926">
                  <c:v>91.08</c:v>
                </c:pt>
                <c:pt idx="1927">
                  <c:v>118.55</c:v>
                </c:pt>
                <c:pt idx="1928">
                  <c:v>102.04</c:v>
                </c:pt>
                <c:pt idx="1929">
                  <c:v>65.52</c:v>
                </c:pt>
                <c:pt idx="1930">
                  <c:v>82.09</c:v>
                </c:pt>
                <c:pt idx="1931">
                  <c:v>149.9</c:v>
                </c:pt>
                <c:pt idx="1932">
                  <c:v>100.33</c:v>
                </c:pt>
                <c:pt idx="1933">
                  <c:v>91.25</c:v>
                </c:pt>
                <c:pt idx="1934">
                  <c:v>89.81</c:v>
                </c:pt>
                <c:pt idx="1935">
                  <c:v>97.32</c:v>
                </c:pt>
                <c:pt idx="1936">
                  <c:v>75.53</c:v>
                </c:pt>
                <c:pt idx="1937">
                  <c:v>121.44</c:v>
                </c:pt>
                <c:pt idx="1938">
                  <c:v>83.52</c:v>
                </c:pt>
                <c:pt idx="1939">
                  <c:v>57.92</c:v>
                </c:pt>
                <c:pt idx="1940">
                  <c:v>75.27</c:v>
                </c:pt>
                <c:pt idx="1941">
                  <c:v>80.239999999999995</c:v>
                </c:pt>
                <c:pt idx="1942">
                  <c:v>88.69</c:v>
                </c:pt>
                <c:pt idx="1943">
                  <c:v>69.09</c:v>
                </c:pt>
                <c:pt idx="1944">
                  <c:v>62.67</c:v>
                </c:pt>
                <c:pt idx="1945">
                  <c:v>98.74</c:v>
                </c:pt>
                <c:pt idx="1946">
                  <c:v>56.51</c:v>
                </c:pt>
                <c:pt idx="1947">
                  <c:v>65.95</c:v>
                </c:pt>
                <c:pt idx="1948">
                  <c:v>129.07</c:v>
                </c:pt>
                <c:pt idx="1949">
                  <c:v>62.47</c:v>
                </c:pt>
                <c:pt idx="1950">
                  <c:v>69.819999999999993</c:v>
                </c:pt>
                <c:pt idx="1951">
                  <c:v>99.68</c:v>
                </c:pt>
                <c:pt idx="1952">
                  <c:v>223.35</c:v>
                </c:pt>
                <c:pt idx="1953">
                  <c:v>74.36</c:v>
                </c:pt>
                <c:pt idx="1954">
                  <c:v>102.97</c:v>
                </c:pt>
                <c:pt idx="1955">
                  <c:v>153.38</c:v>
                </c:pt>
                <c:pt idx="1956">
                  <c:v>87.1</c:v>
                </c:pt>
                <c:pt idx="1957">
                  <c:v>113.4</c:v>
                </c:pt>
                <c:pt idx="1958">
                  <c:v>94.88</c:v>
                </c:pt>
                <c:pt idx="1959">
                  <c:v>82.73</c:v>
                </c:pt>
                <c:pt idx="1960">
                  <c:v>67.8</c:v>
                </c:pt>
                <c:pt idx="1961">
                  <c:v>84.85</c:v>
                </c:pt>
                <c:pt idx="1962">
                  <c:v>135.88999999999999</c:v>
                </c:pt>
                <c:pt idx="1963">
                  <c:v>106.13</c:v>
                </c:pt>
                <c:pt idx="1964">
                  <c:v>74.33</c:v>
                </c:pt>
                <c:pt idx="1965">
                  <c:v>109.4</c:v>
                </c:pt>
                <c:pt idx="1966">
                  <c:v>75.400000000000006</c:v>
                </c:pt>
                <c:pt idx="1967">
                  <c:v>87.69</c:v>
                </c:pt>
                <c:pt idx="1968">
                  <c:v>95.85</c:v>
                </c:pt>
                <c:pt idx="1969">
                  <c:v>90.36</c:v>
                </c:pt>
                <c:pt idx="1970">
                  <c:v>63.45</c:v>
                </c:pt>
                <c:pt idx="1971">
                  <c:v>201.07</c:v>
                </c:pt>
                <c:pt idx="1972">
                  <c:v>122.91</c:v>
                </c:pt>
                <c:pt idx="1973">
                  <c:v>55.41</c:v>
                </c:pt>
                <c:pt idx="1974">
                  <c:v>60.99</c:v>
                </c:pt>
                <c:pt idx="1975">
                  <c:v>111.77</c:v>
                </c:pt>
                <c:pt idx="1976">
                  <c:v>77.63</c:v>
                </c:pt>
                <c:pt idx="1977">
                  <c:v>70.61</c:v>
                </c:pt>
                <c:pt idx="1978">
                  <c:v>124.34</c:v>
                </c:pt>
                <c:pt idx="1979">
                  <c:v>103.44</c:v>
                </c:pt>
                <c:pt idx="1980">
                  <c:v>124.5</c:v>
                </c:pt>
                <c:pt idx="1981">
                  <c:v>208.06</c:v>
                </c:pt>
                <c:pt idx="1982">
                  <c:v>75.5</c:v>
                </c:pt>
                <c:pt idx="1983">
                  <c:v>98.85</c:v>
                </c:pt>
                <c:pt idx="1984">
                  <c:v>96.06</c:v>
                </c:pt>
                <c:pt idx="1985">
                  <c:v>93.74</c:v>
                </c:pt>
                <c:pt idx="1986">
                  <c:v>65.599999999999994</c:v>
                </c:pt>
                <c:pt idx="1987">
                  <c:v>113.24</c:v>
                </c:pt>
                <c:pt idx="1988">
                  <c:v>94.77</c:v>
                </c:pt>
                <c:pt idx="1989">
                  <c:v>145.22</c:v>
                </c:pt>
                <c:pt idx="1990">
                  <c:v>112.92</c:v>
                </c:pt>
                <c:pt idx="1991">
                  <c:v>84.79</c:v>
                </c:pt>
                <c:pt idx="1992">
                  <c:v>103.28</c:v>
                </c:pt>
                <c:pt idx="1993">
                  <c:v>109</c:v>
                </c:pt>
                <c:pt idx="1994">
                  <c:v>96.18</c:v>
                </c:pt>
                <c:pt idx="1995">
                  <c:v>186.95</c:v>
                </c:pt>
                <c:pt idx="1996">
                  <c:v>68.66</c:v>
                </c:pt>
                <c:pt idx="1997">
                  <c:v>128.72</c:v>
                </c:pt>
                <c:pt idx="1998">
                  <c:v>85.04</c:v>
                </c:pt>
                <c:pt idx="1999">
                  <c:v>146.97</c:v>
                </c:pt>
                <c:pt idx="2000">
                  <c:v>65.69</c:v>
                </c:pt>
                <c:pt idx="2001">
                  <c:v>97.52</c:v>
                </c:pt>
                <c:pt idx="2002">
                  <c:v>90.43</c:v>
                </c:pt>
                <c:pt idx="2003">
                  <c:v>81.709999999999994</c:v>
                </c:pt>
                <c:pt idx="2004">
                  <c:v>198.24</c:v>
                </c:pt>
                <c:pt idx="2005">
                  <c:v>90.51</c:v>
                </c:pt>
                <c:pt idx="2006">
                  <c:v>97.78</c:v>
                </c:pt>
                <c:pt idx="2007">
                  <c:v>80.739999999999995</c:v>
                </c:pt>
                <c:pt idx="2008">
                  <c:v>57.02</c:v>
                </c:pt>
                <c:pt idx="2009">
                  <c:v>93</c:v>
                </c:pt>
                <c:pt idx="2010">
                  <c:v>95.37</c:v>
                </c:pt>
                <c:pt idx="2011">
                  <c:v>96.25</c:v>
                </c:pt>
                <c:pt idx="2012">
                  <c:v>86.74</c:v>
                </c:pt>
                <c:pt idx="2013">
                  <c:v>63.08</c:v>
                </c:pt>
                <c:pt idx="2014">
                  <c:v>129.16</c:v>
                </c:pt>
                <c:pt idx="2015">
                  <c:v>99.79</c:v>
                </c:pt>
                <c:pt idx="2016">
                  <c:v>83.34</c:v>
                </c:pt>
                <c:pt idx="2017">
                  <c:v>95.01</c:v>
                </c:pt>
                <c:pt idx="2018">
                  <c:v>229.21</c:v>
                </c:pt>
                <c:pt idx="2019">
                  <c:v>80.08</c:v>
                </c:pt>
                <c:pt idx="2020">
                  <c:v>62</c:v>
                </c:pt>
                <c:pt idx="2021">
                  <c:v>118.69</c:v>
                </c:pt>
                <c:pt idx="2022">
                  <c:v>77.569999999999993</c:v>
                </c:pt>
                <c:pt idx="2023">
                  <c:v>108.75</c:v>
                </c:pt>
                <c:pt idx="2024">
                  <c:v>108.23</c:v>
                </c:pt>
                <c:pt idx="2025">
                  <c:v>151.33000000000001</c:v>
                </c:pt>
                <c:pt idx="2026">
                  <c:v>82.43</c:v>
                </c:pt>
                <c:pt idx="2027">
                  <c:v>107.17</c:v>
                </c:pt>
                <c:pt idx="2028">
                  <c:v>91.46</c:v>
                </c:pt>
                <c:pt idx="2029">
                  <c:v>81.05</c:v>
                </c:pt>
                <c:pt idx="2030">
                  <c:v>73.02</c:v>
                </c:pt>
                <c:pt idx="2031">
                  <c:v>114.37</c:v>
                </c:pt>
                <c:pt idx="2032">
                  <c:v>100.29</c:v>
                </c:pt>
                <c:pt idx="2033">
                  <c:v>68.37</c:v>
                </c:pt>
                <c:pt idx="2034">
                  <c:v>87.95</c:v>
                </c:pt>
                <c:pt idx="2035">
                  <c:v>73.27</c:v>
                </c:pt>
                <c:pt idx="2036">
                  <c:v>131.43</c:v>
                </c:pt>
                <c:pt idx="2037">
                  <c:v>107.29</c:v>
                </c:pt>
                <c:pt idx="2038">
                  <c:v>68.239999999999995</c:v>
                </c:pt>
                <c:pt idx="2039">
                  <c:v>74.010000000000005</c:v>
                </c:pt>
                <c:pt idx="2040">
                  <c:v>95.4</c:v>
                </c:pt>
                <c:pt idx="2041">
                  <c:v>95.75</c:v>
                </c:pt>
                <c:pt idx="2042">
                  <c:v>104.51</c:v>
                </c:pt>
                <c:pt idx="2043">
                  <c:v>108.87</c:v>
                </c:pt>
                <c:pt idx="2044">
                  <c:v>209.06</c:v>
                </c:pt>
                <c:pt idx="2045">
                  <c:v>86.57</c:v>
                </c:pt>
                <c:pt idx="2046">
                  <c:v>120.25</c:v>
                </c:pt>
                <c:pt idx="2047">
                  <c:v>85.51</c:v>
                </c:pt>
                <c:pt idx="2048">
                  <c:v>84.18</c:v>
                </c:pt>
                <c:pt idx="2049">
                  <c:v>82.37</c:v>
                </c:pt>
                <c:pt idx="2050">
                  <c:v>96.15</c:v>
                </c:pt>
                <c:pt idx="2051">
                  <c:v>74.55</c:v>
                </c:pt>
                <c:pt idx="2052">
                  <c:v>114.45</c:v>
                </c:pt>
                <c:pt idx="2053">
                  <c:v>113.68</c:v>
                </c:pt>
                <c:pt idx="2054">
                  <c:v>107.91</c:v>
                </c:pt>
                <c:pt idx="2055">
                  <c:v>83.85</c:v>
                </c:pt>
                <c:pt idx="2056">
                  <c:v>101.3</c:v>
                </c:pt>
                <c:pt idx="2057">
                  <c:v>72.13</c:v>
                </c:pt>
                <c:pt idx="2058">
                  <c:v>94.98</c:v>
                </c:pt>
                <c:pt idx="2059">
                  <c:v>228.42</c:v>
                </c:pt>
                <c:pt idx="2060">
                  <c:v>93.9</c:v>
                </c:pt>
                <c:pt idx="2061">
                  <c:v>93.13</c:v>
                </c:pt>
                <c:pt idx="2062">
                  <c:v>121.6</c:v>
                </c:pt>
                <c:pt idx="2063">
                  <c:v>84.4</c:v>
                </c:pt>
                <c:pt idx="2064">
                  <c:v>82.13</c:v>
                </c:pt>
                <c:pt idx="2065">
                  <c:v>73.33</c:v>
                </c:pt>
                <c:pt idx="2066">
                  <c:v>75.88</c:v>
                </c:pt>
                <c:pt idx="2067">
                  <c:v>212.97</c:v>
                </c:pt>
                <c:pt idx="2068">
                  <c:v>100.41</c:v>
                </c:pt>
                <c:pt idx="2069">
                  <c:v>202.05</c:v>
                </c:pt>
                <c:pt idx="2070">
                  <c:v>71.42</c:v>
                </c:pt>
                <c:pt idx="2071">
                  <c:v>107.5</c:v>
                </c:pt>
                <c:pt idx="2072">
                  <c:v>55.57</c:v>
                </c:pt>
                <c:pt idx="2073">
                  <c:v>58.14</c:v>
                </c:pt>
                <c:pt idx="2074">
                  <c:v>78.53</c:v>
                </c:pt>
                <c:pt idx="2075">
                  <c:v>78.790000000000006</c:v>
                </c:pt>
                <c:pt idx="2076">
                  <c:v>96.62</c:v>
                </c:pt>
                <c:pt idx="2077">
                  <c:v>65.28</c:v>
                </c:pt>
                <c:pt idx="2078">
                  <c:v>92.67</c:v>
                </c:pt>
                <c:pt idx="2079">
                  <c:v>206.25</c:v>
                </c:pt>
                <c:pt idx="2080">
                  <c:v>114.18</c:v>
                </c:pt>
                <c:pt idx="2081">
                  <c:v>231.69</c:v>
                </c:pt>
                <c:pt idx="2082">
                  <c:v>101.89</c:v>
                </c:pt>
                <c:pt idx="2083">
                  <c:v>107.22</c:v>
                </c:pt>
                <c:pt idx="2084">
                  <c:v>101.99</c:v>
                </c:pt>
                <c:pt idx="2085">
                  <c:v>72.56</c:v>
                </c:pt>
                <c:pt idx="2086">
                  <c:v>94.47</c:v>
                </c:pt>
                <c:pt idx="2087">
                  <c:v>98.76</c:v>
                </c:pt>
                <c:pt idx="2088">
                  <c:v>116.93</c:v>
                </c:pt>
                <c:pt idx="2089">
                  <c:v>219.96</c:v>
                </c:pt>
                <c:pt idx="2090">
                  <c:v>75.77</c:v>
                </c:pt>
                <c:pt idx="2091">
                  <c:v>124.35</c:v>
                </c:pt>
                <c:pt idx="2092">
                  <c:v>88.97</c:v>
                </c:pt>
                <c:pt idx="2093">
                  <c:v>72.489999999999995</c:v>
                </c:pt>
                <c:pt idx="2094">
                  <c:v>107.27</c:v>
                </c:pt>
                <c:pt idx="2095">
                  <c:v>97.96</c:v>
                </c:pt>
                <c:pt idx="2096">
                  <c:v>197.69</c:v>
                </c:pt>
                <c:pt idx="2097">
                  <c:v>112.3</c:v>
                </c:pt>
                <c:pt idx="2098">
                  <c:v>75.77</c:v>
                </c:pt>
                <c:pt idx="2099">
                  <c:v>76.510000000000005</c:v>
                </c:pt>
                <c:pt idx="2100">
                  <c:v>93.14</c:v>
                </c:pt>
                <c:pt idx="2101">
                  <c:v>80.84</c:v>
                </c:pt>
                <c:pt idx="2102">
                  <c:v>199.88</c:v>
                </c:pt>
                <c:pt idx="2103">
                  <c:v>77.48</c:v>
                </c:pt>
                <c:pt idx="2104">
                  <c:v>65.34</c:v>
                </c:pt>
                <c:pt idx="2105">
                  <c:v>81.96</c:v>
                </c:pt>
                <c:pt idx="2106">
                  <c:v>98.71</c:v>
                </c:pt>
                <c:pt idx="2107">
                  <c:v>170.22</c:v>
                </c:pt>
                <c:pt idx="2108">
                  <c:v>73.5</c:v>
                </c:pt>
                <c:pt idx="2109">
                  <c:v>72.39</c:v>
                </c:pt>
                <c:pt idx="2110">
                  <c:v>102.96</c:v>
                </c:pt>
                <c:pt idx="2111">
                  <c:v>80.72</c:v>
                </c:pt>
                <c:pt idx="2112">
                  <c:v>74.19</c:v>
                </c:pt>
                <c:pt idx="2113">
                  <c:v>77.12</c:v>
                </c:pt>
                <c:pt idx="2114">
                  <c:v>81.2</c:v>
                </c:pt>
                <c:pt idx="2115">
                  <c:v>114.76</c:v>
                </c:pt>
                <c:pt idx="2116">
                  <c:v>109.97</c:v>
                </c:pt>
                <c:pt idx="2117">
                  <c:v>92.87</c:v>
                </c:pt>
                <c:pt idx="2118">
                  <c:v>113.05</c:v>
                </c:pt>
                <c:pt idx="2119">
                  <c:v>68.239999999999995</c:v>
                </c:pt>
                <c:pt idx="2120">
                  <c:v>74.349999999999994</c:v>
                </c:pt>
                <c:pt idx="2121">
                  <c:v>91.08</c:v>
                </c:pt>
                <c:pt idx="2122">
                  <c:v>88.83</c:v>
                </c:pt>
                <c:pt idx="2123">
                  <c:v>134.33000000000001</c:v>
                </c:pt>
                <c:pt idx="2124">
                  <c:v>208.78</c:v>
                </c:pt>
                <c:pt idx="2125">
                  <c:v>66.17</c:v>
                </c:pt>
                <c:pt idx="2126">
                  <c:v>222.29</c:v>
                </c:pt>
                <c:pt idx="2127">
                  <c:v>114.16</c:v>
                </c:pt>
                <c:pt idx="2128">
                  <c:v>61.67</c:v>
                </c:pt>
                <c:pt idx="2129">
                  <c:v>220.36</c:v>
                </c:pt>
                <c:pt idx="2130">
                  <c:v>76.03</c:v>
                </c:pt>
                <c:pt idx="2131">
                  <c:v>73.06</c:v>
                </c:pt>
                <c:pt idx="2132">
                  <c:v>187.88</c:v>
                </c:pt>
                <c:pt idx="2133">
                  <c:v>79.89</c:v>
                </c:pt>
                <c:pt idx="2134">
                  <c:v>79.02</c:v>
                </c:pt>
                <c:pt idx="2135">
                  <c:v>191.66</c:v>
                </c:pt>
                <c:pt idx="2136">
                  <c:v>76.739999999999995</c:v>
                </c:pt>
                <c:pt idx="2137">
                  <c:v>72.290000000000006</c:v>
                </c:pt>
                <c:pt idx="2138">
                  <c:v>92.59</c:v>
                </c:pt>
                <c:pt idx="2139">
                  <c:v>80.42</c:v>
                </c:pt>
                <c:pt idx="2140">
                  <c:v>62.47</c:v>
                </c:pt>
                <c:pt idx="2141">
                  <c:v>63.94</c:v>
                </c:pt>
                <c:pt idx="2142">
                  <c:v>77.73</c:v>
                </c:pt>
                <c:pt idx="2143">
                  <c:v>115.79</c:v>
                </c:pt>
                <c:pt idx="2144">
                  <c:v>96.3</c:v>
                </c:pt>
                <c:pt idx="2145">
                  <c:v>107.46</c:v>
                </c:pt>
                <c:pt idx="2146">
                  <c:v>108.33</c:v>
                </c:pt>
                <c:pt idx="2147">
                  <c:v>89.37</c:v>
                </c:pt>
                <c:pt idx="2148">
                  <c:v>93.64</c:v>
                </c:pt>
                <c:pt idx="2149">
                  <c:v>217.75</c:v>
                </c:pt>
                <c:pt idx="2150">
                  <c:v>83.44</c:v>
                </c:pt>
                <c:pt idx="2151">
                  <c:v>93.88</c:v>
                </c:pt>
                <c:pt idx="2152">
                  <c:v>55.34</c:v>
                </c:pt>
                <c:pt idx="2153">
                  <c:v>102.61</c:v>
                </c:pt>
                <c:pt idx="2154">
                  <c:v>62.08</c:v>
                </c:pt>
                <c:pt idx="2155">
                  <c:v>81.760000000000005</c:v>
                </c:pt>
                <c:pt idx="2156">
                  <c:v>59.2</c:v>
                </c:pt>
                <c:pt idx="2157">
                  <c:v>55.61</c:v>
                </c:pt>
                <c:pt idx="2158">
                  <c:v>226.88</c:v>
                </c:pt>
                <c:pt idx="2159">
                  <c:v>65.66</c:v>
                </c:pt>
                <c:pt idx="2160">
                  <c:v>58.7</c:v>
                </c:pt>
                <c:pt idx="2161">
                  <c:v>186.4</c:v>
                </c:pt>
                <c:pt idx="2162">
                  <c:v>122.32</c:v>
                </c:pt>
                <c:pt idx="2163">
                  <c:v>59.05</c:v>
                </c:pt>
                <c:pt idx="2164">
                  <c:v>149.13</c:v>
                </c:pt>
                <c:pt idx="2165">
                  <c:v>82.39</c:v>
                </c:pt>
                <c:pt idx="2166">
                  <c:v>169.49</c:v>
                </c:pt>
                <c:pt idx="2167">
                  <c:v>80.25</c:v>
                </c:pt>
                <c:pt idx="2168">
                  <c:v>203.81</c:v>
                </c:pt>
                <c:pt idx="2169">
                  <c:v>170.76</c:v>
                </c:pt>
                <c:pt idx="2170">
                  <c:v>80.849999999999994</c:v>
                </c:pt>
                <c:pt idx="2171">
                  <c:v>120.58</c:v>
                </c:pt>
                <c:pt idx="2172">
                  <c:v>86.57</c:v>
                </c:pt>
                <c:pt idx="2173">
                  <c:v>90.01</c:v>
                </c:pt>
                <c:pt idx="2174">
                  <c:v>68.84</c:v>
                </c:pt>
                <c:pt idx="2175">
                  <c:v>155.13999999999999</c:v>
                </c:pt>
                <c:pt idx="2176">
                  <c:v>158.47999999999999</c:v>
                </c:pt>
                <c:pt idx="2177">
                  <c:v>92.56</c:v>
                </c:pt>
                <c:pt idx="2178">
                  <c:v>90.15</c:v>
                </c:pt>
                <c:pt idx="2179">
                  <c:v>80.09</c:v>
                </c:pt>
                <c:pt idx="2180">
                  <c:v>189.44</c:v>
                </c:pt>
                <c:pt idx="2181">
                  <c:v>70.03</c:v>
                </c:pt>
                <c:pt idx="2182">
                  <c:v>249.29</c:v>
                </c:pt>
                <c:pt idx="2183">
                  <c:v>72.52</c:v>
                </c:pt>
                <c:pt idx="2184">
                  <c:v>96.93</c:v>
                </c:pt>
                <c:pt idx="2185">
                  <c:v>211.35</c:v>
                </c:pt>
                <c:pt idx="2186">
                  <c:v>85.87</c:v>
                </c:pt>
                <c:pt idx="2187">
                  <c:v>60.96</c:v>
                </c:pt>
                <c:pt idx="2188">
                  <c:v>120.09</c:v>
                </c:pt>
                <c:pt idx="2189">
                  <c:v>92.13</c:v>
                </c:pt>
                <c:pt idx="2190">
                  <c:v>83.07</c:v>
                </c:pt>
                <c:pt idx="2191">
                  <c:v>77.67</c:v>
                </c:pt>
                <c:pt idx="2192">
                  <c:v>109.51</c:v>
                </c:pt>
                <c:pt idx="2193">
                  <c:v>97.24</c:v>
                </c:pt>
                <c:pt idx="2194">
                  <c:v>127.29</c:v>
                </c:pt>
                <c:pt idx="2195">
                  <c:v>134.80000000000001</c:v>
                </c:pt>
                <c:pt idx="2196">
                  <c:v>74.650000000000006</c:v>
                </c:pt>
                <c:pt idx="2197">
                  <c:v>85.84</c:v>
                </c:pt>
                <c:pt idx="2198">
                  <c:v>90.43</c:v>
                </c:pt>
                <c:pt idx="2199">
                  <c:v>74.349999999999994</c:v>
                </c:pt>
                <c:pt idx="2200">
                  <c:v>206.59</c:v>
                </c:pt>
                <c:pt idx="2201">
                  <c:v>196.33</c:v>
                </c:pt>
                <c:pt idx="2202">
                  <c:v>70.23</c:v>
                </c:pt>
                <c:pt idx="2203">
                  <c:v>242.94</c:v>
                </c:pt>
                <c:pt idx="2204">
                  <c:v>103.06</c:v>
                </c:pt>
                <c:pt idx="2205">
                  <c:v>80.86</c:v>
                </c:pt>
                <c:pt idx="2206">
                  <c:v>114.32</c:v>
                </c:pt>
                <c:pt idx="2207">
                  <c:v>83.91</c:v>
                </c:pt>
                <c:pt idx="2208">
                  <c:v>152.02000000000001</c:v>
                </c:pt>
                <c:pt idx="2209">
                  <c:v>75.19</c:v>
                </c:pt>
                <c:pt idx="2210">
                  <c:v>60.61</c:v>
                </c:pt>
                <c:pt idx="2211">
                  <c:v>89.14</c:v>
                </c:pt>
                <c:pt idx="2212">
                  <c:v>97.23</c:v>
                </c:pt>
                <c:pt idx="2213">
                  <c:v>135.19</c:v>
                </c:pt>
                <c:pt idx="2214">
                  <c:v>78.48</c:v>
                </c:pt>
                <c:pt idx="2215">
                  <c:v>97.24</c:v>
                </c:pt>
                <c:pt idx="2216">
                  <c:v>75.92</c:v>
                </c:pt>
                <c:pt idx="2217">
                  <c:v>93.3</c:v>
                </c:pt>
                <c:pt idx="2218">
                  <c:v>97.39</c:v>
                </c:pt>
                <c:pt idx="2219">
                  <c:v>134.61000000000001</c:v>
                </c:pt>
                <c:pt idx="2220">
                  <c:v>104.02</c:v>
                </c:pt>
                <c:pt idx="2221">
                  <c:v>56.9</c:v>
                </c:pt>
                <c:pt idx="2222">
                  <c:v>112.66</c:v>
                </c:pt>
                <c:pt idx="2223">
                  <c:v>226.75</c:v>
                </c:pt>
                <c:pt idx="2224">
                  <c:v>76.28</c:v>
                </c:pt>
                <c:pt idx="2225">
                  <c:v>90.01</c:v>
                </c:pt>
                <c:pt idx="2226">
                  <c:v>107.84</c:v>
                </c:pt>
                <c:pt idx="2227">
                  <c:v>71.06</c:v>
                </c:pt>
                <c:pt idx="2228">
                  <c:v>185</c:v>
                </c:pt>
                <c:pt idx="2229">
                  <c:v>104.42</c:v>
                </c:pt>
                <c:pt idx="2230">
                  <c:v>89.57</c:v>
                </c:pt>
                <c:pt idx="2231">
                  <c:v>136.19999999999999</c:v>
                </c:pt>
                <c:pt idx="2232">
                  <c:v>128.22999999999999</c:v>
                </c:pt>
                <c:pt idx="2233">
                  <c:v>104.23</c:v>
                </c:pt>
                <c:pt idx="2234">
                  <c:v>133.82</c:v>
                </c:pt>
                <c:pt idx="2235">
                  <c:v>80.819999999999993</c:v>
                </c:pt>
                <c:pt idx="2236">
                  <c:v>102.35</c:v>
                </c:pt>
                <c:pt idx="2237">
                  <c:v>88.48</c:v>
                </c:pt>
                <c:pt idx="2238">
                  <c:v>88.81</c:v>
                </c:pt>
                <c:pt idx="2239">
                  <c:v>75.09</c:v>
                </c:pt>
                <c:pt idx="2240">
                  <c:v>199.83</c:v>
                </c:pt>
                <c:pt idx="2241">
                  <c:v>73.69</c:v>
                </c:pt>
                <c:pt idx="2242">
                  <c:v>111.27</c:v>
                </c:pt>
                <c:pt idx="2243">
                  <c:v>68.44</c:v>
                </c:pt>
                <c:pt idx="2244">
                  <c:v>65.36</c:v>
                </c:pt>
                <c:pt idx="2245">
                  <c:v>94.12</c:v>
                </c:pt>
                <c:pt idx="2246">
                  <c:v>96.24</c:v>
                </c:pt>
                <c:pt idx="2247">
                  <c:v>91.25</c:v>
                </c:pt>
                <c:pt idx="2248">
                  <c:v>77.290000000000006</c:v>
                </c:pt>
                <c:pt idx="2249">
                  <c:v>125.09</c:v>
                </c:pt>
                <c:pt idx="2250">
                  <c:v>107.18</c:v>
                </c:pt>
                <c:pt idx="2251">
                  <c:v>130.07</c:v>
                </c:pt>
                <c:pt idx="2252">
                  <c:v>57.3</c:v>
                </c:pt>
                <c:pt idx="2253">
                  <c:v>101.35</c:v>
                </c:pt>
                <c:pt idx="2254">
                  <c:v>94.03</c:v>
                </c:pt>
                <c:pt idx="2255">
                  <c:v>227.81</c:v>
                </c:pt>
                <c:pt idx="2256">
                  <c:v>66.67</c:v>
                </c:pt>
                <c:pt idx="2257">
                  <c:v>240.81</c:v>
                </c:pt>
                <c:pt idx="2258">
                  <c:v>88.02</c:v>
                </c:pt>
                <c:pt idx="2259">
                  <c:v>152.87</c:v>
                </c:pt>
                <c:pt idx="2260">
                  <c:v>96.04</c:v>
                </c:pt>
                <c:pt idx="2261">
                  <c:v>60.35</c:v>
                </c:pt>
                <c:pt idx="2262">
                  <c:v>118.66</c:v>
                </c:pt>
                <c:pt idx="2263">
                  <c:v>89.03</c:v>
                </c:pt>
                <c:pt idx="2264">
                  <c:v>58.51</c:v>
                </c:pt>
                <c:pt idx="2265">
                  <c:v>96.04</c:v>
                </c:pt>
                <c:pt idx="2266">
                  <c:v>110.92</c:v>
                </c:pt>
                <c:pt idx="2267">
                  <c:v>92.72</c:v>
                </c:pt>
                <c:pt idx="2268">
                  <c:v>108.23</c:v>
                </c:pt>
                <c:pt idx="2269">
                  <c:v>56.34</c:v>
                </c:pt>
                <c:pt idx="2270">
                  <c:v>61.83</c:v>
                </c:pt>
                <c:pt idx="2271">
                  <c:v>131.99</c:v>
                </c:pt>
                <c:pt idx="2272">
                  <c:v>136.81</c:v>
                </c:pt>
                <c:pt idx="2273">
                  <c:v>239.28</c:v>
                </c:pt>
                <c:pt idx="2274">
                  <c:v>131.30000000000001</c:v>
                </c:pt>
                <c:pt idx="2275">
                  <c:v>117.75</c:v>
                </c:pt>
                <c:pt idx="2276">
                  <c:v>78.459999999999994</c:v>
                </c:pt>
                <c:pt idx="2277">
                  <c:v>83.53</c:v>
                </c:pt>
                <c:pt idx="2278">
                  <c:v>145.5</c:v>
                </c:pt>
                <c:pt idx="2279">
                  <c:v>88.33</c:v>
                </c:pt>
                <c:pt idx="2280">
                  <c:v>101.25</c:v>
                </c:pt>
                <c:pt idx="2281">
                  <c:v>131.43</c:v>
                </c:pt>
                <c:pt idx="2282">
                  <c:v>231.5</c:v>
                </c:pt>
                <c:pt idx="2283">
                  <c:v>82.89</c:v>
                </c:pt>
                <c:pt idx="2284">
                  <c:v>192.37</c:v>
                </c:pt>
                <c:pt idx="2285">
                  <c:v>79.64</c:v>
                </c:pt>
                <c:pt idx="2286">
                  <c:v>82.88</c:v>
                </c:pt>
                <c:pt idx="2287">
                  <c:v>99.4</c:v>
                </c:pt>
                <c:pt idx="2288">
                  <c:v>77.75</c:v>
                </c:pt>
                <c:pt idx="2289">
                  <c:v>75.03</c:v>
                </c:pt>
                <c:pt idx="2290">
                  <c:v>220.47</c:v>
                </c:pt>
                <c:pt idx="2291">
                  <c:v>196.91</c:v>
                </c:pt>
                <c:pt idx="2292">
                  <c:v>180.8</c:v>
                </c:pt>
                <c:pt idx="2293">
                  <c:v>247.48</c:v>
                </c:pt>
                <c:pt idx="2294">
                  <c:v>216</c:v>
                </c:pt>
                <c:pt idx="2295">
                  <c:v>75.64</c:v>
                </c:pt>
                <c:pt idx="2296">
                  <c:v>95.07</c:v>
                </c:pt>
                <c:pt idx="2297">
                  <c:v>129.97</c:v>
                </c:pt>
                <c:pt idx="2298">
                  <c:v>124.26</c:v>
                </c:pt>
                <c:pt idx="2299">
                  <c:v>87.92</c:v>
                </c:pt>
                <c:pt idx="2300">
                  <c:v>85.15</c:v>
                </c:pt>
                <c:pt idx="2301">
                  <c:v>95.36</c:v>
                </c:pt>
                <c:pt idx="2302">
                  <c:v>87.16</c:v>
                </c:pt>
                <c:pt idx="2303">
                  <c:v>219.39</c:v>
                </c:pt>
                <c:pt idx="2304">
                  <c:v>71.92</c:v>
                </c:pt>
                <c:pt idx="2305">
                  <c:v>167.66</c:v>
                </c:pt>
                <c:pt idx="2306">
                  <c:v>87.21</c:v>
                </c:pt>
                <c:pt idx="2307">
                  <c:v>220.47</c:v>
                </c:pt>
                <c:pt idx="2308">
                  <c:v>80.47</c:v>
                </c:pt>
                <c:pt idx="2309">
                  <c:v>89.95</c:v>
                </c:pt>
                <c:pt idx="2310">
                  <c:v>111.32</c:v>
                </c:pt>
                <c:pt idx="2311">
                  <c:v>65.010000000000005</c:v>
                </c:pt>
                <c:pt idx="2312">
                  <c:v>110.07</c:v>
                </c:pt>
                <c:pt idx="2313">
                  <c:v>60.56</c:v>
                </c:pt>
                <c:pt idx="2314">
                  <c:v>89.83</c:v>
                </c:pt>
                <c:pt idx="2315">
                  <c:v>90.35</c:v>
                </c:pt>
                <c:pt idx="2316">
                  <c:v>71.5</c:v>
                </c:pt>
                <c:pt idx="2317">
                  <c:v>71.709999999999994</c:v>
                </c:pt>
                <c:pt idx="2318">
                  <c:v>173.96</c:v>
                </c:pt>
                <c:pt idx="2319">
                  <c:v>96.06</c:v>
                </c:pt>
                <c:pt idx="2320">
                  <c:v>113.2</c:v>
                </c:pt>
                <c:pt idx="2321">
                  <c:v>106.03</c:v>
                </c:pt>
                <c:pt idx="2322">
                  <c:v>111.38</c:v>
                </c:pt>
                <c:pt idx="2323">
                  <c:v>73.290000000000006</c:v>
                </c:pt>
                <c:pt idx="2324">
                  <c:v>65.709999999999994</c:v>
                </c:pt>
                <c:pt idx="2325">
                  <c:v>60.41</c:v>
                </c:pt>
                <c:pt idx="2326">
                  <c:v>89.11</c:v>
                </c:pt>
                <c:pt idx="2327">
                  <c:v>63.32</c:v>
                </c:pt>
                <c:pt idx="2328">
                  <c:v>85.68</c:v>
                </c:pt>
                <c:pt idx="2329">
                  <c:v>162.93</c:v>
                </c:pt>
                <c:pt idx="2330">
                  <c:v>89.22</c:v>
                </c:pt>
                <c:pt idx="2331">
                  <c:v>91.68</c:v>
                </c:pt>
                <c:pt idx="2332">
                  <c:v>198.33</c:v>
                </c:pt>
                <c:pt idx="2333">
                  <c:v>85.81</c:v>
                </c:pt>
                <c:pt idx="2334">
                  <c:v>79.59</c:v>
                </c:pt>
                <c:pt idx="2335">
                  <c:v>106.74</c:v>
                </c:pt>
                <c:pt idx="2336">
                  <c:v>191.33</c:v>
                </c:pt>
                <c:pt idx="2337">
                  <c:v>59.52</c:v>
                </c:pt>
                <c:pt idx="2338">
                  <c:v>206.52</c:v>
                </c:pt>
                <c:pt idx="2339">
                  <c:v>80.069999999999993</c:v>
                </c:pt>
                <c:pt idx="2340">
                  <c:v>64.92</c:v>
                </c:pt>
                <c:pt idx="2341">
                  <c:v>80</c:v>
                </c:pt>
                <c:pt idx="2342">
                  <c:v>75.06</c:v>
                </c:pt>
                <c:pt idx="2343">
                  <c:v>112.2</c:v>
                </c:pt>
                <c:pt idx="2344">
                  <c:v>91.18</c:v>
                </c:pt>
                <c:pt idx="2345">
                  <c:v>85.81</c:v>
                </c:pt>
                <c:pt idx="2346">
                  <c:v>148.37</c:v>
                </c:pt>
                <c:pt idx="2347">
                  <c:v>64.55</c:v>
                </c:pt>
                <c:pt idx="2348">
                  <c:v>97.31</c:v>
                </c:pt>
                <c:pt idx="2349">
                  <c:v>111.15</c:v>
                </c:pt>
                <c:pt idx="2350">
                  <c:v>80.97</c:v>
                </c:pt>
                <c:pt idx="2351">
                  <c:v>89.88</c:v>
                </c:pt>
                <c:pt idx="2352">
                  <c:v>62.66</c:v>
                </c:pt>
                <c:pt idx="2353">
                  <c:v>122.25</c:v>
                </c:pt>
                <c:pt idx="2354">
                  <c:v>87.08</c:v>
                </c:pt>
                <c:pt idx="2355">
                  <c:v>85</c:v>
                </c:pt>
                <c:pt idx="2356">
                  <c:v>100.49</c:v>
                </c:pt>
                <c:pt idx="2357">
                  <c:v>145.37</c:v>
                </c:pt>
                <c:pt idx="2358">
                  <c:v>112.19</c:v>
                </c:pt>
                <c:pt idx="2359">
                  <c:v>79.73</c:v>
                </c:pt>
                <c:pt idx="2360">
                  <c:v>101.13</c:v>
                </c:pt>
                <c:pt idx="2361">
                  <c:v>101.98</c:v>
                </c:pt>
                <c:pt idx="2362">
                  <c:v>98.39</c:v>
                </c:pt>
                <c:pt idx="2363">
                  <c:v>128.04</c:v>
                </c:pt>
                <c:pt idx="2364">
                  <c:v>98.12</c:v>
                </c:pt>
                <c:pt idx="2365">
                  <c:v>216.96</c:v>
                </c:pt>
                <c:pt idx="2366">
                  <c:v>94.92</c:v>
                </c:pt>
                <c:pt idx="2367">
                  <c:v>83.27</c:v>
                </c:pt>
                <c:pt idx="2368">
                  <c:v>96.86</c:v>
                </c:pt>
                <c:pt idx="2369">
                  <c:v>99.73</c:v>
                </c:pt>
                <c:pt idx="2370">
                  <c:v>91.71</c:v>
                </c:pt>
                <c:pt idx="2371">
                  <c:v>65.77</c:v>
                </c:pt>
                <c:pt idx="2372">
                  <c:v>161.57</c:v>
                </c:pt>
                <c:pt idx="2373">
                  <c:v>74.319999999999993</c:v>
                </c:pt>
                <c:pt idx="2374">
                  <c:v>170.93</c:v>
                </c:pt>
                <c:pt idx="2375">
                  <c:v>74.430000000000007</c:v>
                </c:pt>
                <c:pt idx="2376">
                  <c:v>86.36</c:v>
                </c:pt>
                <c:pt idx="2377">
                  <c:v>97.06</c:v>
                </c:pt>
                <c:pt idx="2378">
                  <c:v>110.38</c:v>
                </c:pt>
                <c:pt idx="2379">
                  <c:v>79.03</c:v>
                </c:pt>
                <c:pt idx="2380">
                  <c:v>62.48</c:v>
                </c:pt>
                <c:pt idx="2381">
                  <c:v>55.62</c:v>
                </c:pt>
                <c:pt idx="2382">
                  <c:v>84.9</c:v>
                </c:pt>
                <c:pt idx="2383">
                  <c:v>232.81</c:v>
                </c:pt>
                <c:pt idx="2384">
                  <c:v>86.55</c:v>
                </c:pt>
                <c:pt idx="2385">
                  <c:v>118.61</c:v>
                </c:pt>
                <c:pt idx="2386">
                  <c:v>80.209999999999994</c:v>
                </c:pt>
                <c:pt idx="2387">
                  <c:v>65.959999999999994</c:v>
                </c:pt>
                <c:pt idx="2388">
                  <c:v>61.34</c:v>
                </c:pt>
                <c:pt idx="2389">
                  <c:v>116.6</c:v>
                </c:pt>
                <c:pt idx="2390">
                  <c:v>85.13</c:v>
                </c:pt>
                <c:pt idx="2391">
                  <c:v>86.32</c:v>
                </c:pt>
                <c:pt idx="2392">
                  <c:v>69.22</c:v>
                </c:pt>
                <c:pt idx="2393">
                  <c:v>140.93</c:v>
                </c:pt>
                <c:pt idx="2394">
                  <c:v>83.43</c:v>
                </c:pt>
                <c:pt idx="2395">
                  <c:v>207.95</c:v>
                </c:pt>
                <c:pt idx="2396">
                  <c:v>134.29</c:v>
                </c:pt>
                <c:pt idx="2397">
                  <c:v>115.12</c:v>
                </c:pt>
                <c:pt idx="2398">
                  <c:v>86.25</c:v>
                </c:pt>
                <c:pt idx="2399">
                  <c:v>112.94</c:v>
                </c:pt>
                <c:pt idx="2400">
                  <c:v>73.540000000000006</c:v>
                </c:pt>
                <c:pt idx="2401">
                  <c:v>80.86</c:v>
                </c:pt>
                <c:pt idx="2402">
                  <c:v>83.91</c:v>
                </c:pt>
                <c:pt idx="2403">
                  <c:v>69.91</c:v>
                </c:pt>
                <c:pt idx="2404">
                  <c:v>95.62</c:v>
                </c:pt>
                <c:pt idx="2405">
                  <c:v>63.95</c:v>
                </c:pt>
                <c:pt idx="2406">
                  <c:v>122.5</c:v>
                </c:pt>
                <c:pt idx="2407">
                  <c:v>86</c:v>
                </c:pt>
                <c:pt idx="2408">
                  <c:v>120.27</c:v>
                </c:pt>
                <c:pt idx="2409">
                  <c:v>56.71</c:v>
                </c:pt>
                <c:pt idx="2410">
                  <c:v>131.63</c:v>
                </c:pt>
                <c:pt idx="2411">
                  <c:v>79.36</c:v>
                </c:pt>
                <c:pt idx="2412">
                  <c:v>120.77</c:v>
                </c:pt>
                <c:pt idx="2413">
                  <c:v>100.42</c:v>
                </c:pt>
                <c:pt idx="2414">
                  <c:v>155.86000000000001</c:v>
                </c:pt>
                <c:pt idx="2415">
                  <c:v>66.010000000000005</c:v>
                </c:pt>
                <c:pt idx="2416">
                  <c:v>86.99</c:v>
                </c:pt>
                <c:pt idx="2417">
                  <c:v>90.55</c:v>
                </c:pt>
                <c:pt idx="2418">
                  <c:v>229.58</c:v>
                </c:pt>
                <c:pt idx="2419">
                  <c:v>60.06</c:v>
                </c:pt>
                <c:pt idx="2420">
                  <c:v>65.66</c:v>
                </c:pt>
                <c:pt idx="2421">
                  <c:v>104.7</c:v>
                </c:pt>
                <c:pt idx="2422">
                  <c:v>113.86</c:v>
                </c:pt>
                <c:pt idx="2423">
                  <c:v>99.49</c:v>
                </c:pt>
                <c:pt idx="2424">
                  <c:v>165.99</c:v>
                </c:pt>
                <c:pt idx="2425">
                  <c:v>114.99</c:v>
                </c:pt>
                <c:pt idx="2426">
                  <c:v>79.58</c:v>
                </c:pt>
                <c:pt idx="2427">
                  <c:v>77.37</c:v>
                </c:pt>
                <c:pt idx="2428">
                  <c:v>93.55</c:v>
                </c:pt>
                <c:pt idx="2429">
                  <c:v>187.22</c:v>
                </c:pt>
                <c:pt idx="2430">
                  <c:v>167.59</c:v>
                </c:pt>
                <c:pt idx="2431">
                  <c:v>98.03</c:v>
                </c:pt>
                <c:pt idx="2432">
                  <c:v>88.79</c:v>
                </c:pt>
                <c:pt idx="2433">
                  <c:v>92.9</c:v>
                </c:pt>
                <c:pt idx="2434">
                  <c:v>117.34</c:v>
                </c:pt>
                <c:pt idx="2435">
                  <c:v>80.75</c:v>
                </c:pt>
                <c:pt idx="2436">
                  <c:v>77.510000000000005</c:v>
                </c:pt>
                <c:pt idx="2437">
                  <c:v>105.63</c:v>
                </c:pt>
                <c:pt idx="2438">
                  <c:v>114.34</c:v>
                </c:pt>
                <c:pt idx="2439">
                  <c:v>227.04</c:v>
                </c:pt>
                <c:pt idx="2440">
                  <c:v>87.56</c:v>
                </c:pt>
                <c:pt idx="2441">
                  <c:v>84.47</c:v>
                </c:pt>
                <c:pt idx="2442">
                  <c:v>96.26</c:v>
                </c:pt>
                <c:pt idx="2443">
                  <c:v>116.64</c:v>
                </c:pt>
                <c:pt idx="2444">
                  <c:v>79.569999999999993</c:v>
                </c:pt>
                <c:pt idx="2445">
                  <c:v>78.44</c:v>
                </c:pt>
                <c:pt idx="2446">
                  <c:v>64.150000000000006</c:v>
                </c:pt>
                <c:pt idx="2447">
                  <c:v>74.5</c:v>
                </c:pt>
                <c:pt idx="2448">
                  <c:v>70.319999999999993</c:v>
                </c:pt>
                <c:pt idx="2449">
                  <c:v>84.48</c:v>
                </c:pt>
                <c:pt idx="2450">
                  <c:v>144.08000000000001</c:v>
                </c:pt>
                <c:pt idx="2451">
                  <c:v>78.14</c:v>
                </c:pt>
                <c:pt idx="2452">
                  <c:v>133.58000000000001</c:v>
                </c:pt>
                <c:pt idx="2453">
                  <c:v>214.42</c:v>
                </c:pt>
                <c:pt idx="2454">
                  <c:v>80.63</c:v>
                </c:pt>
                <c:pt idx="2455">
                  <c:v>233.71</c:v>
                </c:pt>
                <c:pt idx="2456">
                  <c:v>96</c:v>
                </c:pt>
                <c:pt idx="2457">
                  <c:v>74.52</c:v>
                </c:pt>
                <c:pt idx="2458">
                  <c:v>131.4</c:v>
                </c:pt>
                <c:pt idx="2459">
                  <c:v>216.4</c:v>
                </c:pt>
                <c:pt idx="2460">
                  <c:v>108.8</c:v>
                </c:pt>
                <c:pt idx="2461">
                  <c:v>97.06</c:v>
                </c:pt>
                <c:pt idx="2462">
                  <c:v>266.58999999999997</c:v>
                </c:pt>
                <c:pt idx="2463">
                  <c:v>55.58</c:v>
                </c:pt>
                <c:pt idx="2464">
                  <c:v>65.87</c:v>
                </c:pt>
                <c:pt idx="2465">
                  <c:v>89.28</c:v>
                </c:pt>
                <c:pt idx="2466">
                  <c:v>56.12</c:v>
                </c:pt>
                <c:pt idx="2467">
                  <c:v>74.7</c:v>
                </c:pt>
                <c:pt idx="2468">
                  <c:v>83.06</c:v>
                </c:pt>
                <c:pt idx="2469">
                  <c:v>227.94</c:v>
                </c:pt>
                <c:pt idx="2470">
                  <c:v>84.88</c:v>
                </c:pt>
                <c:pt idx="2471">
                  <c:v>64.2</c:v>
                </c:pt>
                <c:pt idx="2472">
                  <c:v>137.22</c:v>
                </c:pt>
                <c:pt idx="2473">
                  <c:v>81.44</c:v>
                </c:pt>
                <c:pt idx="2474">
                  <c:v>90.26</c:v>
                </c:pt>
                <c:pt idx="2475">
                  <c:v>68.48</c:v>
                </c:pt>
                <c:pt idx="2476">
                  <c:v>100.02</c:v>
                </c:pt>
                <c:pt idx="2477">
                  <c:v>100.61</c:v>
                </c:pt>
                <c:pt idx="2478">
                  <c:v>156.82</c:v>
                </c:pt>
                <c:pt idx="2479">
                  <c:v>81.66</c:v>
                </c:pt>
                <c:pt idx="2480">
                  <c:v>112.22</c:v>
                </c:pt>
                <c:pt idx="2481">
                  <c:v>90.62</c:v>
                </c:pt>
                <c:pt idx="2482">
                  <c:v>72.489999999999995</c:v>
                </c:pt>
                <c:pt idx="2483">
                  <c:v>107.47</c:v>
                </c:pt>
                <c:pt idx="2484">
                  <c:v>92.11</c:v>
                </c:pt>
                <c:pt idx="2485">
                  <c:v>70.540000000000006</c:v>
                </c:pt>
                <c:pt idx="2486">
                  <c:v>205</c:v>
                </c:pt>
                <c:pt idx="2487">
                  <c:v>126.39</c:v>
                </c:pt>
                <c:pt idx="2488">
                  <c:v>89.72</c:v>
                </c:pt>
                <c:pt idx="2489">
                  <c:v>92.08</c:v>
                </c:pt>
                <c:pt idx="2490">
                  <c:v>85.38</c:v>
                </c:pt>
                <c:pt idx="2491">
                  <c:v>95.25</c:v>
                </c:pt>
                <c:pt idx="2492">
                  <c:v>75.91</c:v>
                </c:pt>
                <c:pt idx="2493">
                  <c:v>203.44</c:v>
                </c:pt>
                <c:pt idx="2494">
                  <c:v>243.73</c:v>
                </c:pt>
                <c:pt idx="2495">
                  <c:v>88.23</c:v>
                </c:pt>
                <c:pt idx="2496">
                  <c:v>97.47</c:v>
                </c:pt>
                <c:pt idx="2497">
                  <c:v>59.28</c:v>
                </c:pt>
                <c:pt idx="2498">
                  <c:v>101.15</c:v>
                </c:pt>
                <c:pt idx="2499">
                  <c:v>68.38</c:v>
                </c:pt>
                <c:pt idx="2500">
                  <c:v>55.46</c:v>
                </c:pt>
                <c:pt idx="2501">
                  <c:v>113.87</c:v>
                </c:pt>
                <c:pt idx="2502">
                  <c:v>67.03</c:v>
                </c:pt>
                <c:pt idx="2503">
                  <c:v>96.35</c:v>
                </c:pt>
                <c:pt idx="2504">
                  <c:v>127.21</c:v>
                </c:pt>
                <c:pt idx="2505">
                  <c:v>78.900000000000006</c:v>
                </c:pt>
                <c:pt idx="2506">
                  <c:v>59.91</c:v>
                </c:pt>
                <c:pt idx="2507">
                  <c:v>160.94</c:v>
                </c:pt>
                <c:pt idx="2508">
                  <c:v>59.61</c:v>
                </c:pt>
                <c:pt idx="2509">
                  <c:v>87.94</c:v>
                </c:pt>
                <c:pt idx="2510">
                  <c:v>97.55</c:v>
                </c:pt>
                <c:pt idx="2511">
                  <c:v>116.02</c:v>
                </c:pt>
                <c:pt idx="2512">
                  <c:v>127.32</c:v>
                </c:pt>
                <c:pt idx="2513">
                  <c:v>75.5</c:v>
                </c:pt>
                <c:pt idx="2514">
                  <c:v>79.349999999999994</c:v>
                </c:pt>
                <c:pt idx="2515">
                  <c:v>176.25</c:v>
                </c:pt>
                <c:pt idx="2516">
                  <c:v>108.56</c:v>
                </c:pt>
                <c:pt idx="2517">
                  <c:v>168.06</c:v>
                </c:pt>
                <c:pt idx="2518">
                  <c:v>75.52</c:v>
                </c:pt>
                <c:pt idx="2519">
                  <c:v>82.15</c:v>
                </c:pt>
                <c:pt idx="2520">
                  <c:v>200.28</c:v>
                </c:pt>
                <c:pt idx="2521">
                  <c:v>62.44</c:v>
                </c:pt>
                <c:pt idx="2522">
                  <c:v>84.31</c:v>
                </c:pt>
                <c:pt idx="2523">
                  <c:v>221.43</c:v>
                </c:pt>
                <c:pt idx="2524">
                  <c:v>165.47</c:v>
                </c:pt>
                <c:pt idx="2525">
                  <c:v>96.69</c:v>
                </c:pt>
                <c:pt idx="2526">
                  <c:v>63.98</c:v>
                </c:pt>
                <c:pt idx="2527">
                  <c:v>145.03</c:v>
                </c:pt>
                <c:pt idx="2528">
                  <c:v>98.53</c:v>
                </c:pt>
                <c:pt idx="2529">
                  <c:v>105.55</c:v>
                </c:pt>
                <c:pt idx="2530">
                  <c:v>134.22999999999999</c:v>
                </c:pt>
                <c:pt idx="2531">
                  <c:v>62.48</c:v>
                </c:pt>
                <c:pt idx="2532">
                  <c:v>213.38</c:v>
                </c:pt>
                <c:pt idx="2533">
                  <c:v>70.52</c:v>
                </c:pt>
                <c:pt idx="2534">
                  <c:v>93.21</c:v>
                </c:pt>
                <c:pt idx="2535">
                  <c:v>82.39</c:v>
                </c:pt>
                <c:pt idx="2536">
                  <c:v>88.29</c:v>
                </c:pt>
                <c:pt idx="2537">
                  <c:v>80.180000000000007</c:v>
                </c:pt>
                <c:pt idx="2538">
                  <c:v>84.02</c:v>
                </c:pt>
                <c:pt idx="2539">
                  <c:v>69.72</c:v>
                </c:pt>
                <c:pt idx="2540">
                  <c:v>192.16</c:v>
                </c:pt>
                <c:pt idx="2541">
                  <c:v>82.27</c:v>
                </c:pt>
                <c:pt idx="2542">
                  <c:v>101.87</c:v>
                </c:pt>
                <c:pt idx="2543">
                  <c:v>77.55</c:v>
                </c:pt>
                <c:pt idx="2544">
                  <c:v>215.72</c:v>
                </c:pt>
                <c:pt idx="2545">
                  <c:v>87.84</c:v>
                </c:pt>
                <c:pt idx="2546">
                  <c:v>91.93</c:v>
                </c:pt>
                <c:pt idx="2547">
                  <c:v>58.63</c:v>
                </c:pt>
                <c:pt idx="2548">
                  <c:v>173.14</c:v>
                </c:pt>
                <c:pt idx="2549">
                  <c:v>106.83</c:v>
                </c:pt>
                <c:pt idx="2550">
                  <c:v>84.44</c:v>
                </c:pt>
                <c:pt idx="2551">
                  <c:v>92.16</c:v>
                </c:pt>
                <c:pt idx="2552">
                  <c:v>85.96</c:v>
                </c:pt>
                <c:pt idx="2553">
                  <c:v>202.57</c:v>
                </c:pt>
                <c:pt idx="2554">
                  <c:v>65.41</c:v>
                </c:pt>
                <c:pt idx="2555">
                  <c:v>102.51</c:v>
                </c:pt>
                <c:pt idx="2556">
                  <c:v>62.6</c:v>
                </c:pt>
                <c:pt idx="2557">
                  <c:v>150.1</c:v>
                </c:pt>
                <c:pt idx="2558">
                  <c:v>94.15</c:v>
                </c:pt>
                <c:pt idx="2559">
                  <c:v>65.5</c:v>
                </c:pt>
                <c:pt idx="2560">
                  <c:v>81.31</c:v>
                </c:pt>
                <c:pt idx="2561">
                  <c:v>78.959999999999994</c:v>
                </c:pt>
                <c:pt idx="2562">
                  <c:v>123.47</c:v>
                </c:pt>
                <c:pt idx="2563">
                  <c:v>90.4</c:v>
                </c:pt>
                <c:pt idx="2564">
                  <c:v>71.59</c:v>
                </c:pt>
                <c:pt idx="2565">
                  <c:v>209.5</c:v>
                </c:pt>
                <c:pt idx="2566">
                  <c:v>86.6</c:v>
                </c:pt>
                <c:pt idx="2567">
                  <c:v>57.43</c:v>
                </c:pt>
                <c:pt idx="2568">
                  <c:v>87.93</c:v>
                </c:pt>
                <c:pt idx="2569">
                  <c:v>203.16</c:v>
                </c:pt>
                <c:pt idx="2570">
                  <c:v>112.12</c:v>
                </c:pt>
                <c:pt idx="2571">
                  <c:v>92.02</c:v>
                </c:pt>
                <c:pt idx="2572">
                  <c:v>60.98</c:v>
                </c:pt>
                <c:pt idx="2573">
                  <c:v>86.35</c:v>
                </c:pt>
                <c:pt idx="2574">
                  <c:v>71.260000000000005</c:v>
                </c:pt>
                <c:pt idx="2575">
                  <c:v>72.61</c:v>
                </c:pt>
                <c:pt idx="2576">
                  <c:v>110.78</c:v>
                </c:pt>
                <c:pt idx="2577">
                  <c:v>99.78</c:v>
                </c:pt>
                <c:pt idx="2578">
                  <c:v>201.45</c:v>
                </c:pt>
                <c:pt idx="2579">
                  <c:v>127.78</c:v>
                </c:pt>
                <c:pt idx="2580">
                  <c:v>121.32</c:v>
                </c:pt>
                <c:pt idx="2581">
                  <c:v>83.89</c:v>
                </c:pt>
                <c:pt idx="2582">
                  <c:v>74.06</c:v>
                </c:pt>
                <c:pt idx="2583">
                  <c:v>206.15</c:v>
                </c:pt>
                <c:pt idx="2584">
                  <c:v>102.9</c:v>
                </c:pt>
                <c:pt idx="2585">
                  <c:v>65.48</c:v>
                </c:pt>
                <c:pt idx="2586">
                  <c:v>123.23</c:v>
                </c:pt>
                <c:pt idx="2587">
                  <c:v>71.3</c:v>
                </c:pt>
                <c:pt idx="2588">
                  <c:v>79.05</c:v>
                </c:pt>
                <c:pt idx="2589">
                  <c:v>102.21</c:v>
                </c:pt>
                <c:pt idx="2590">
                  <c:v>105.22</c:v>
                </c:pt>
                <c:pt idx="2591">
                  <c:v>84.58</c:v>
                </c:pt>
                <c:pt idx="2592">
                  <c:v>77.3</c:v>
                </c:pt>
                <c:pt idx="2593">
                  <c:v>74.790000000000006</c:v>
                </c:pt>
                <c:pt idx="2594">
                  <c:v>88.75</c:v>
                </c:pt>
                <c:pt idx="2595">
                  <c:v>97.97</c:v>
                </c:pt>
                <c:pt idx="2596">
                  <c:v>79.180000000000007</c:v>
                </c:pt>
                <c:pt idx="2597">
                  <c:v>81.33</c:v>
                </c:pt>
                <c:pt idx="2598">
                  <c:v>126.68</c:v>
                </c:pt>
                <c:pt idx="2599">
                  <c:v>196.61</c:v>
                </c:pt>
                <c:pt idx="2600">
                  <c:v>219.92</c:v>
                </c:pt>
                <c:pt idx="2601">
                  <c:v>79.16</c:v>
                </c:pt>
                <c:pt idx="2602">
                  <c:v>99.68</c:v>
                </c:pt>
                <c:pt idx="2603">
                  <c:v>79.55</c:v>
                </c:pt>
                <c:pt idx="2604">
                  <c:v>87.86</c:v>
                </c:pt>
                <c:pt idx="2605">
                  <c:v>76.92</c:v>
                </c:pt>
                <c:pt idx="2606">
                  <c:v>77.239999999999995</c:v>
                </c:pt>
                <c:pt idx="2607">
                  <c:v>120.94</c:v>
                </c:pt>
                <c:pt idx="2608">
                  <c:v>77.66</c:v>
                </c:pt>
                <c:pt idx="2609">
                  <c:v>231.95</c:v>
                </c:pt>
                <c:pt idx="2610">
                  <c:v>111.48</c:v>
                </c:pt>
                <c:pt idx="2611">
                  <c:v>84.25</c:v>
                </c:pt>
                <c:pt idx="2612">
                  <c:v>216.38</c:v>
                </c:pt>
                <c:pt idx="2613">
                  <c:v>95.01</c:v>
                </c:pt>
                <c:pt idx="2614">
                  <c:v>105.74</c:v>
                </c:pt>
                <c:pt idx="2615">
                  <c:v>58.41</c:v>
                </c:pt>
                <c:pt idx="2616">
                  <c:v>56.89</c:v>
                </c:pt>
                <c:pt idx="2617">
                  <c:v>86.25</c:v>
                </c:pt>
                <c:pt idx="2618">
                  <c:v>86.49</c:v>
                </c:pt>
                <c:pt idx="2619">
                  <c:v>115.47</c:v>
                </c:pt>
                <c:pt idx="2620">
                  <c:v>92.22</c:v>
                </c:pt>
                <c:pt idx="2621">
                  <c:v>83.16</c:v>
                </c:pt>
                <c:pt idx="2622">
                  <c:v>110.68</c:v>
                </c:pt>
                <c:pt idx="2623">
                  <c:v>70.06</c:v>
                </c:pt>
                <c:pt idx="2624">
                  <c:v>213.33</c:v>
                </c:pt>
                <c:pt idx="2625">
                  <c:v>93.52</c:v>
                </c:pt>
                <c:pt idx="2626">
                  <c:v>87.62</c:v>
                </c:pt>
                <c:pt idx="2627">
                  <c:v>77.67</c:v>
                </c:pt>
                <c:pt idx="2628">
                  <c:v>95.66</c:v>
                </c:pt>
                <c:pt idx="2629">
                  <c:v>172.33</c:v>
                </c:pt>
                <c:pt idx="2630">
                  <c:v>106.59</c:v>
                </c:pt>
                <c:pt idx="2631">
                  <c:v>87.06</c:v>
                </c:pt>
                <c:pt idx="2632">
                  <c:v>93.02</c:v>
                </c:pt>
                <c:pt idx="2633">
                  <c:v>243.59</c:v>
                </c:pt>
                <c:pt idx="2634">
                  <c:v>86.7</c:v>
                </c:pt>
                <c:pt idx="2635">
                  <c:v>97.81</c:v>
                </c:pt>
                <c:pt idx="2636">
                  <c:v>116.04</c:v>
                </c:pt>
                <c:pt idx="2637">
                  <c:v>169.43</c:v>
                </c:pt>
                <c:pt idx="2638">
                  <c:v>68.41</c:v>
                </c:pt>
                <c:pt idx="2639">
                  <c:v>94.44</c:v>
                </c:pt>
                <c:pt idx="2640">
                  <c:v>73.48</c:v>
                </c:pt>
                <c:pt idx="2641">
                  <c:v>183.87</c:v>
                </c:pt>
                <c:pt idx="2642">
                  <c:v>66.08</c:v>
                </c:pt>
                <c:pt idx="2643">
                  <c:v>72.19</c:v>
                </c:pt>
                <c:pt idx="2644">
                  <c:v>101.09</c:v>
                </c:pt>
                <c:pt idx="2645">
                  <c:v>88.83</c:v>
                </c:pt>
                <c:pt idx="2646">
                  <c:v>69.989999999999995</c:v>
                </c:pt>
                <c:pt idx="2647">
                  <c:v>102.4</c:v>
                </c:pt>
                <c:pt idx="2648">
                  <c:v>87.26</c:v>
                </c:pt>
                <c:pt idx="2649">
                  <c:v>146.59</c:v>
                </c:pt>
                <c:pt idx="2650">
                  <c:v>59</c:v>
                </c:pt>
                <c:pt idx="2651">
                  <c:v>76.83</c:v>
                </c:pt>
                <c:pt idx="2652">
                  <c:v>101.83</c:v>
                </c:pt>
                <c:pt idx="2653">
                  <c:v>90.92</c:v>
                </c:pt>
                <c:pt idx="2654">
                  <c:v>67.5</c:v>
                </c:pt>
                <c:pt idx="2655">
                  <c:v>97.16</c:v>
                </c:pt>
                <c:pt idx="2656">
                  <c:v>85.62</c:v>
                </c:pt>
                <c:pt idx="2657">
                  <c:v>129.43</c:v>
                </c:pt>
                <c:pt idx="2658">
                  <c:v>106.01</c:v>
                </c:pt>
                <c:pt idx="2659">
                  <c:v>114.82</c:v>
                </c:pt>
                <c:pt idx="2660">
                  <c:v>121.39</c:v>
                </c:pt>
                <c:pt idx="2661">
                  <c:v>227.98</c:v>
                </c:pt>
                <c:pt idx="2662">
                  <c:v>78.97</c:v>
                </c:pt>
                <c:pt idx="2663">
                  <c:v>84.12</c:v>
                </c:pt>
                <c:pt idx="2664">
                  <c:v>95.04</c:v>
                </c:pt>
                <c:pt idx="2665">
                  <c:v>103.15</c:v>
                </c:pt>
                <c:pt idx="2666">
                  <c:v>82.91</c:v>
                </c:pt>
                <c:pt idx="2667">
                  <c:v>70.930000000000007</c:v>
                </c:pt>
                <c:pt idx="2668">
                  <c:v>153.6</c:v>
                </c:pt>
                <c:pt idx="2669">
                  <c:v>129.43</c:v>
                </c:pt>
                <c:pt idx="2670">
                  <c:v>81</c:v>
                </c:pt>
                <c:pt idx="2671">
                  <c:v>71.81</c:v>
                </c:pt>
                <c:pt idx="2672">
                  <c:v>84.46</c:v>
                </c:pt>
                <c:pt idx="2673">
                  <c:v>101.32</c:v>
                </c:pt>
                <c:pt idx="2674">
                  <c:v>62.56</c:v>
                </c:pt>
                <c:pt idx="2675">
                  <c:v>208.2</c:v>
                </c:pt>
                <c:pt idx="2676">
                  <c:v>199.42</c:v>
                </c:pt>
                <c:pt idx="2677">
                  <c:v>91.28</c:v>
                </c:pt>
                <c:pt idx="2678">
                  <c:v>77.989999999999995</c:v>
                </c:pt>
                <c:pt idx="2679">
                  <c:v>190.13</c:v>
                </c:pt>
                <c:pt idx="2680">
                  <c:v>149.68</c:v>
                </c:pt>
                <c:pt idx="2681">
                  <c:v>92.3</c:v>
                </c:pt>
                <c:pt idx="2682">
                  <c:v>235.54</c:v>
                </c:pt>
                <c:pt idx="2683">
                  <c:v>84.46</c:v>
                </c:pt>
                <c:pt idx="2684">
                  <c:v>68.7</c:v>
                </c:pt>
                <c:pt idx="2685">
                  <c:v>178.89</c:v>
                </c:pt>
                <c:pt idx="2686">
                  <c:v>227.74</c:v>
                </c:pt>
                <c:pt idx="2687">
                  <c:v>100.66</c:v>
                </c:pt>
                <c:pt idx="2688">
                  <c:v>73.62</c:v>
                </c:pt>
                <c:pt idx="2689">
                  <c:v>100.05</c:v>
                </c:pt>
                <c:pt idx="2690">
                  <c:v>213.8</c:v>
                </c:pt>
                <c:pt idx="2691">
                  <c:v>103.94</c:v>
                </c:pt>
                <c:pt idx="2692">
                  <c:v>84.2</c:v>
                </c:pt>
                <c:pt idx="2693">
                  <c:v>250.8</c:v>
                </c:pt>
                <c:pt idx="2694">
                  <c:v>112.29</c:v>
                </c:pt>
                <c:pt idx="2695">
                  <c:v>65.98</c:v>
                </c:pt>
                <c:pt idx="2696">
                  <c:v>99.1</c:v>
                </c:pt>
                <c:pt idx="2697">
                  <c:v>217.84</c:v>
                </c:pt>
                <c:pt idx="2698">
                  <c:v>104.34</c:v>
                </c:pt>
                <c:pt idx="2699">
                  <c:v>217</c:v>
                </c:pt>
                <c:pt idx="2700">
                  <c:v>57.47</c:v>
                </c:pt>
                <c:pt idx="2701">
                  <c:v>78.239999999999995</c:v>
                </c:pt>
                <c:pt idx="2702">
                  <c:v>94.38</c:v>
                </c:pt>
                <c:pt idx="2703">
                  <c:v>100.31</c:v>
                </c:pt>
                <c:pt idx="2704">
                  <c:v>74.290000000000006</c:v>
                </c:pt>
                <c:pt idx="2705">
                  <c:v>103.43</c:v>
                </c:pt>
                <c:pt idx="2706">
                  <c:v>99.83</c:v>
                </c:pt>
                <c:pt idx="2707">
                  <c:v>217.4</c:v>
                </c:pt>
                <c:pt idx="2708">
                  <c:v>71.81</c:v>
                </c:pt>
                <c:pt idx="2709">
                  <c:v>79.790000000000006</c:v>
                </c:pt>
                <c:pt idx="2710">
                  <c:v>190.92</c:v>
                </c:pt>
                <c:pt idx="2711">
                  <c:v>94.76</c:v>
                </c:pt>
                <c:pt idx="2712">
                  <c:v>101.43</c:v>
                </c:pt>
                <c:pt idx="2713">
                  <c:v>115.86</c:v>
                </c:pt>
                <c:pt idx="2714">
                  <c:v>95.27</c:v>
                </c:pt>
                <c:pt idx="2715">
                  <c:v>89.02</c:v>
                </c:pt>
                <c:pt idx="2716">
                  <c:v>77.55</c:v>
                </c:pt>
                <c:pt idx="2717">
                  <c:v>75.86</c:v>
                </c:pt>
                <c:pt idx="2718">
                  <c:v>93.62</c:v>
                </c:pt>
                <c:pt idx="2719">
                  <c:v>72.709999999999994</c:v>
                </c:pt>
                <c:pt idx="2720">
                  <c:v>94.45</c:v>
                </c:pt>
                <c:pt idx="2721">
                  <c:v>88.57</c:v>
                </c:pt>
                <c:pt idx="2722">
                  <c:v>84.12</c:v>
                </c:pt>
                <c:pt idx="2723">
                  <c:v>89.11</c:v>
                </c:pt>
                <c:pt idx="2724">
                  <c:v>99.83</c:v>
                </c:pt>
                <c:pt idx="2725">
                  <c:v>150.03</c:v>
                </c:pt>
                <c:pt idx="2726">
                  <c:v>69.67</c:v>
                </c:pt>
                <c:pt idx="2727">
                  <c:v>77.459999999999994</c:v>
                </c:pt>
                <c:pt idx="2728">
                  <c:v>100.54</c:v>
                </c:pt>
                <c:pt idx="2729">
                  <c:v>142.38</c:v>
                </c:pt>
                <c:pt idx="2730">
                  <c:v>110.87</c:v>
                </c:pt>
                <c:pt idx="2731">
                  <c:v>73.599999999999994</c:v>
                </c:pt>
                <c:pt idx="2732">
                  <c:v>59.52</c:v>
                </c:pt>
                <c:pt idx="2733">
                  <c:v>142.68</c:v>
                </c:pt>
                <c:pt idx="2734">
                  <c:v>182.9</c:v>
                </c:pt>
                <c:pt idx="2735">
                  <c:v>75.28</c:v>
                </c:pt>
                <c:pt idx="2736">
                  <c:v>100.75</c:v>
                </c:pt>
                <c:pt idx="2737">
                  <c:v>163.82</c:v>
                </c:pt>
                <c:pt idx="2738">
                  <c:v>110.42</c:v>
                </c:pt>
                <c:pt idx="2739">
                  <c:v>105.18</c:v>
                </c:pt>
                <c:pt idx="2740">
                  <c:v>79.59</c:v>
                </c:pt>
                <c:pt idx="2741">
                  <c:v>107.99</c:v>
                </c:pt>
                <c:pt idx="2742">
                  <c:v>90.22</c:v>
                </c:pt>
                <c:pt idx="2743">
                  <c:v>143.44999999999999</c:v>
                </c:pt>
                <c:pt idx="2744">
                  <c:v>78.569999999999993</c:v>
                </c:pt>
                <c:pt idx="2745">
                  <c:v>79.819999999999993</c:v>
                </c:pt>
                <c:pt idx="2746">
                  <c:v>95.88</c:v>
                </c:pt>
                <c:pt idx="2747">
                  <c:v>123.04</c:v>
                </c:pt>
                <c:pt idx="2748">
                  <c:v>92.34</c:v>
                </c:pt>
                <c:pt idx="2749">
                  <c:v>116.84</c:v>
                </c:pt>
                <c:pt idx="2750">
                  <c:v>90.04</c:v>
                </c:pt>
                <c:pt idx="2751">
                  <c:v>255.17</c:v>
                </c:pt>
                <c:pt idx="2752">
                  <c:v>217.55</c:v>
                </c:pt>
                <c:pt idx="2753">
                  <c:v>123.66</c:v>
                </c:pt>
                <c:pt idx="2754">
                  <c:v>112.16</c:v>
                </c:pt>
                <c:pt idx="2755">
                  <c:v>88.43</c:v>
                </c:pt>
                <c:pt idx="2756">
                  <c:v>86.03</c:v>
                </c:pt>
                <c:pt idx="2757">
                  <c:v>227.96</c:v>
                </c:pt>
                <c:pt idx="2758">
                  <c:v>85.6</c:v>
                </c:pt>
                <c:pt idx="2759">
                  <c:v>111.68</c:v>
                </c:pt>
                <c:pt idx="2760">
                  <c:v>73.489999999999995</c:v>
                </c:pt>
                <c:pt idx="2761">
                  <c:v>87.82</c:v>
                </c:pt>
                <c:pt idx="2762">
                  <c:v>99.29</c:v>
                </c:pt>
                <c:pt idx="2763">
                  <c:v>63.73</c:v>
                </c:pt>
                <c:pt idx="2764">
                  <c:v>85.55</c:v>
                </c:pt>
                <c:pt idx="2765">
                  <c:v>79.2</c:v>
                </c:pt>
                <c:pt idx="2766">
                  <c:v>105.93</c:v>
                </c:pt>
                <c:pt idx="2767">
                  <c:v>94.19</c:v>
                </c:pt>
                <c:pt idx="2768">
                  <c:v>231.71</c:v>
                </c:pt>
                <c:pt idx="2769">
                  <c:v>69.28</c:v>
                </c:pt>
                <c:pt idx="2770">
                  <c:v>71.37</c:v>
                </c:pt>
                <c:pt idx="2771">
                  <c:v>110.18</c:v>
                </c:pt>
                <c:pt idx="2772">
                  <c:v>59.68</c:v>
                </c:pt>
                <c:pt idx="2773">
                  <c:v>94.24</c:v>
                </c:pt>
                <c:pt idx="2774">
                  <c:v>82.1</c:v>
                </c:pt>
                <c:pt idx="2775">
                  <c:v>62.62</c:v>
                </c:pt>
                <c:pt idx="2776">
                  <c:v>107.83</c:v>
                </c:pt>
                <c:pt idx="2777">
                  <c:v>107.59</c:v>
                </c:pt>
                <c:pt idx="2778">
                  <c:v>116.98</c:v>
                </c:pt>
                <c:pt idx="2779">
                  <c:v>84.1</c:v>
                </c:pt>
                <c:pt idx="2780">
                  <c:v>160.63999999999999</c:v>
                </c:pt>
                <c:pt idx="2781">
                  <c:v>84.4</c:v>
                </c:pt>
                <c:pt idx="2782">
                  <c:v>81.13</c:v>
                </c:pt>
                <c:pt idx="2783">
                  <c:v>88.19</c:v>
                </c:pt>
                <c:pt idx="2784">
                  <c:v>127.13</c:v>
                </c:pt>
                <c:pt idx="2785">
                  <c:v>119.61</c:v>
                </c:pt>
                <c:pt idx="2786">
                  <c:v>143.47</c:v>
                </c:pt>
                <c:pt idx="2787">
                  <c:v>84.6</c:v>
                </c:pt>
                <c:pt idx="2788">
                  <c:v>110.72</c:v>
                </c:pt>
                <c:pt idx="2789">
                  <c:v>158.93</c:v>
                </c:pt>
                <c:pt idx="2790">
                  <c:v>68.94</c:v>
                </c:pt>
                <c:pt idx="2791">
                  <c:v>69.38</c:v>
                </c:pt>
                <c:pt idx="2792">
                  <c:v>72</c:v>
                </c:pt>
                <c:pt idx="2793">
                  <c:v>57.76</c:v>
                </c:pt>
                <c:pt idx="2794">
                  <c:v>108.65</c:v>
                </c:pt>
                <c:pt idx="2795">
                  <c:v>65.42</c:v>
                </c:pt>
                <c:pt idx="2796">
                  <c:v>78.930000000000007</c:v>
                </c:pt>
                <c:pt idx="2797">
                  <c:v>98.34</c:v>
                </c:pt>
                <c:pt idx="2798">
                  <c:v>82.57</c:v>
                </c:pt>
                <c:pt idx="2799">
                  <c:v>124.37</c:v>
                </c:pt>
                <c:pt idx="2800">
                  <c:v>100.96</c:v>
                </c:pt>
                <c:pt idx="2801">
                  <c:v>75.22</c:v>
                </c:pt>
                <c:pt idx="2802">
                  <c:v>59.85</c:v>
                </c:pt>
                <c:pt idx="2803">
                  <c:v>104.75</c:v>
                </c:pt>
                <c:pt idx="2804">
                  <c:v>70.98</c:v>
                </c:pt>
                <c:pt idx="2805">
                  <c:v>92.77</c:v>
                </c:pt>
                <c:pt idx="2806">
                  <c:v>82.12</c:v>
                </c:pt>
                <c:pt idx="2807">
                  <c:v>106.35</c:v>
                </c:pt>
                <c:pt idx="2808">
                  <c:v>77.33</c:v>
                </c:pt>
                <c:pt idx="2809">
                  <c:v>96.01</c:v>
                </c:pt>
                <c:pt idx="2810">
                  <c:v>107.49</c:v>
                </c:pt>
                <c:pt idx="2811">
                  <c:v>88.47</c:v>
                </c:pt>
                <c:pt idx="2812">
                  <c:v>87.92</c:v>
                </c:pt>
                <c:pt idx="2813">
                  <c:v>91.13</c:v>
                </c:pt>
                <c:pt idx="2814">
                  <c:v>80.72</c:v>
                </c:pt>
                <c:pt idx="2815">
                  <c:v>59.83</c:v>
                </c:pt>
                <c:pt idx="2816">
                  <c:v>67.02</c:v>
                </c:pt>
                <c:pt idx="2817">
                  <c:v>60.22</c:v>
                </c:pt>
                <c:pt idx="2818">
                  <c:v>82.41</c:v>
                </c:pt>
                <c:pt idx="2819">
                  <c:v>75.78</c:v>
                </c:pt>
                <c:pt idx="2820">
                  <c:v>102.42</c:v>
                </c:pt>
                <c:pt idx="2821">
                  <c:v>98.45</c:v>
                </c:pt>
                <c:pt idx="2822">
                  <c:v>93.51</c:v>
                </c:pt>
                <c:pt idx="2823">
                  <c:v>113.68</c:v>
                </c:pt>
                <c:pt idx="2824">
                  <c:v>97.41</c:v>
                </c:pt>
                <c:pt idx="2825">
                  <c:v>58.65</c:v>
                </c:pt>
                <c:pt idx="2826">
                  <c:v>81.680000000000007</c:v>
                </c:pt>
                <c:pt idx="2827">
                  <c:v>148.52000000000001</c:v>
                </c:pt>
                <c:pt idx="2828">
                  <c:v>77.55</c:v>
                </c:pt>
                <c:pt idx="2829">
                  <c:v>142.12</c:v>
                </c:pt>
                <c:pt idx="2830">
                  <c:v>125.3</c:v>
                </c:pt>
                <c:pt idx="2831">
                  <c:v>118.81</c:v>
                </c:pt>
                <c:pt idx="2832">
                  <c:v>84.16</c:v>
                </c:pt>
                <c:pt idx="2833">
                  <c:v>78.739999999999995</c:v>
                </c:pt>
                <c:pt idx="2834">
                  <c:v>57.51</c:v>
                </c:pt>
                <c:pt idx="2835">
                  <c:v>61.11</c:v>
                </c:pt>
                <c:pt idx="2836">
                  <c:v>78.3</c:v>
                </c:pt>
                <c:pt idx="2837">
                  <c:v>76.19</c:v>
                </c:pt>
                <c:pt idx="2838">
                  <c:v>115.99</c:v>
                </c:pt>
                <c:pt idx="2839">
                  <c:v>100.8</c:v>
                </c:pt>
                <c:pt idx="2840">
                  <c:v>98.27</c:v>
                </c:pt>
                <c:pt idx="2841">
                  <c:v>93.85</c:v>
                </c:pt>
                <c:pt idx="2842">
                  <c:v>94.69</c:v>
                </c:pt>
                <c:pt idx="2843">
                  <c:v>136.22999999999999</c:v>
                </c:pt>
                <c:pt idx="2844">
                  <c:v>56.12</c:v>
                </c:pt>
                <c:pt idx="2845">
                  <c:v>93.03</c:v>
                </c:pt>
                <c:pt idx="2846">
                  <c:v>196.81</c:v>
                </c:pt>
                <c:pt idx="2847">
                  <c:v>87.81</c:v>
                </c:pt>
                <c:pt idx="2848">
                  <c:v>222.66</c:v>
                </c:pt>
                <c:pt idx="2849">
                  <c:v>223.58</c:v>
                </c:pt>
                <c:pt idx="2850">
                  <c:v>85.77</c:v>
                </c:pt>
                <c:pt idx="2851">
                  <c:v>88.23</c:v>
                </c:pt>
                <c:pt idx="2852">
                  <c:v>73.650000000000006</c:v>
                </c:pt>
                <c:pt idx="2853">
                  <c:v>141.80000000000001</c:v>
                </c:pt>
                <c:pt idx="2854">
                  <c:v>92.65</c:v>
                </c:pt>
                <c:pt idx="2855">
                  <c:v>198.79</c:v>
                </c:pt>
                <c:pt idx="2856">
                  <c:v>61.04</c:v>
                </c:pt>
                <c:pt idx="2857">
                  <c:v>102.88</c:v>
                </c:pt>
                <c:pt idx="2858">
                  <c:v>123.39</c:v>
                </c:pt>
                <c:pt idx="2859">
                  <c:v>67.069999999999993</c:v>
                </c:pt>
                <c:pt idx="2860">
                  <c:v>69.88</c:v>
                </c:pt>
                <c:pt idx="2861">
                  <c:v>57.02</c:v>
                </c:pt>
                <c:pt idx="2862">
                  <c:v>123.81</c:v>
                </c:pt>
                <c:pt idx="2863">
                  <c:v>73.36</c:v>
                </c:pt>
                <c:pt idx="2864">
                  <c:v>90.54</c:v>
                </c:pt>
                <c:pt idx="2865">
                  <c:v>69.239999999999995</c:v>
                </c:pt>
                <c:pt idx="2866">
                  <c:v>192.39</c:v>
                </c:pt>
                <c:pt idx="2867">
                  <c:v>233.3</c:v>
                </c:pt>
                <c:pt idx="2868">
                  <c:v>74.349999999999994</c:v>
                </c:pt>
                <c:pt idx="2869">
                  <c:v>71.94</c:v>
                </c:pt>
                <c:pt idx="2870">
                  <c:v>82.35</c:v>
                </c:pt>
                <c:pt idx="2871">
                  <c:v>73.28</c:v>
                </c:pt>
                <c:pt idx="2872">
                  <c:v>97.57</c:v>
                </c:pt>
                <c:pt idx="2873">
                  <c:v>83.3</c:v>
                </c:pt>
                <c:pt idx="2874">
                  <c:v>85.07</c:v>
                </c:pt>
                <c:pt idx="2875">
                  <c:v>60.4</c:v>
                </c:pt>
                <c:pt idx="2876">
                  <c:v>79.959999999999994</c:v>
                </c:pt>
                <c:pt idx="2877">
                  <c:v>70.959999999999994</c:v>
                </c:pt>
                <c:pt idx="2878">
                  <c:v>82.86</c:v>
                </c:pt>
                <c:pt idx="2879">
                  <c:v>97.87</c:v>
                </c:pt>
                <c:pt idx="2880">
                  <c:v>201.38</c:v>
                </c:pt>
                <c:pt idx="2881">
                  <c:v>91.82</c:v>
                </c:pt>
                <c:pt idx="2882">
                  <c:v>91.85</c:v>
                </c:pt>
                <c:pt idx="2883">
                  <c:v>99.23</c:v>
                </c:pt>
                <c:pt idx="2884">
                  <c:v>68.13</c:v>
                </c:pt>
                <c:pt idx="2885">
                  <c:v>93.76</c:v>
                </c:pt>
                <c:pt idx="2886">
                  <c:v>103.89</c:v>
                </c:pt>
                <c:pt idx="2887">
                  <c:v>87.39</c:v>
                </c:pt>
                <c:pt idx="2888">
                  <c:v>89.53</c:v>
                </c:pt>
                <c:pt idx="2889">
                  <c:v>66.61</c:v>
                </c:pt>
                <c:pt idx="2890">
                  <c:v>236.14</c:v>
                </c:pt>
                <c:pt idx="2891">
                  <c:v>99.76</c:v>
                </c:pt>
                <c:pt idx="2892">
                  <c:v>87.09</c:v>
                </c:pt>
                <c:pt idx="2893">
                  <c:v>193.81</c:v>
                </c:pt>
                <c:pt idx="2894">
                  <c:v>97.27</c:v>
                </c:pt>
                <c:pt idx="2895">
                  <c:v>137.77000000000001</c:v>
                </c:pt>
                <c:pt idx="2896">
                  <c:v>105.19</c:v>
                </c:pt>
                <c:pt idx="2897">
                  <c:v>82.72</c:v>
                </c:pt>
                <c:pt idx="2898">
                  <c:v>58.35</c:v>
                </c:pt>
                <c:pt idx="2899">
                  <c:v>68.790000000000006</c:v>
                </c:pt>
                <c:pt idx="2900">
                  <c:v>94.19</c:v>
                </c:pt>
                <c:pt idx="2901">
                  <c:v>121.17</c:v>
                </c:pt>
                <c:pt idx="2902">
                  <c:v>106.41</c:v>
                </c:pt>
                <c:pt idx="2903">
                  <c:v>104.79</c:v>
                </c:pt>
                <c:pt idx="2904">
                  <c:v>82.18</c:v>
                </c:pt>
                <c:pt idx="2905">
                  <c:v>96.81</c:v>
                </c:pt>
                <c:pt idx="2906">
                  <c:v>107.42</c:v>
                </c:pt>
                <c:pt idx="2907">
                  <c:v>69.2</c:v>
                </c:pt>
                <c:pt idx="2908">
                  <c:v>92.73</c:v>
                </c:pt>
                <c:pt idx="2909">
                  <c:v>86.11</c:v>
                </c:pt>
                <c:pt idx="2910">
                  <c:v>111.78</c:v>
                </c:pt>
                <c:pt idx="2911">
                  <c:v>122.26</c:v>
                </c:pt>
                <c:pt idx="2912">
                  <c:v>78.16</c:v>
                </c:pt>
                <c:pt idx="2913">
                  <c:v>105.77</c:v>
                </c:pt>
                <c:pt idx="2914">
                  <c:v>102.97</c:v>
                </c:pt>
                <c:pt idx="2915">
                  <c:v>77.53</c:v>
                </c:pt>
                <c:pt idx="2916">
                  <c:v>77.349999999999994</c:v>
                </c:pt>
                <c:pt idx="2917">
                  <c:v>82.36</c:v>
                </c:pt>
                <c:pt idx="2918">
                  <c:v>239.95</c:v>
                </c:pt>
                <c:pt idx="2919">
                  <c:v>61.96</c:v>
                </c:pt>
                <c:pt idx="2920">
                  <c:v>72.099999999999994</c:v>
                </c:pt>
                <c:pt idx="2921">
                  <c:v>107.97</c:v>
                </c:pt>
                <c:pt idx="2922">
                  <c:v>60.77</c:v>
                </c:pt>
                <c:pt idx="2923">
                  <c:v>71.06</c:v>
                </c:pt>
                <c:pt idx="2924">
                  <c:v>60.36</c:v>
                </c:pt>
                <c:pt idx="2925">
                  <c:v>83.33</c:v>
                </c:pt>
                <c:pt idx="2926">
                  <c:v>65.33</c:v>
                </c:pt>
                <c:pt idx="2927">
                  <c:v>113.28</c:v>
                </c:pt>
                <c:pt idx="2928">
                  <c:v>170.88</c:v>
                </c:pt>
                <c:pt idx="2929">
                  <c:v>103.34</c:v>
                </c:pt>
                <c:pt idx="2930">
                  <c:v>106.08</c:v>
                </c:pt>
                <c:pt idx="2931">
                  <c:v>156.44999999999999</c:v>
                </c:pt>
                <c:pt idx="2932">
                  <c:v>60.05</c:v>
                </c:pt>
                <c:pt idx="2933">
                  <c:v>114.05</c:v>
                </c:pt>
                <c:pt idx="2934">
                  <c:v>202.21</c:v>
                </c:pt>
                <c:pt idx="2935">
                  <c:v>57.28</c:v>
                </c:pt>
                <c:pt idx="2936">
                  <c:v>99.49</c:v>
                </c:pt>
                <c:pt idx="2937">
                  <c:v>63.6</c:v>
                </c:pt>
                <c:pt idx="2938">
                  <c:v>80.010000000000005</c:v>
                </c:pt>
                <c:pt idx="2939">
                  <c:v>58.42</c:v>
                </c:pt>
                <c:pt idx="2940">
                  <c:v>67.38</c:v>
                </c:pt>
                <c:pt idx="2941">
                  <c:v>73.58</c:v>
                </c:pt>
                <c:pt idx="2942">
                  <c:v>103.92</c:v>
                </c:pt>
                <c:pt idx="2943">
                  <c:v>80.22</c:v>
                </c:pt>
                <c:pt idx="2944">
                  <c:v>103.76</c:v>
                </c:pt>
                <c:pt idx="2945">
                  <c:v>77.06</c:v>
                </c:pt>
                <c:pt idx="2946">
                  <c:v>90.22</c:v>
                </c:pt>
                <c:pt idx="2947">
                  <c:v>181.3</c:v>
                </c:pt>
                <c:pt idx="2948">
                  <c:v>85.29</c:v>
                </c:pt>
                <c:pt idx="2949">
                  <c:v>107.59</c:v>
                </c:pt>
                <c:pt idx="2950">
                  <c:v>87.72</c:v>
                </c:pt>
                <c:pt idx="2951">
                  <c:v>70.73</c:v>
                </c:pt>
                <c:pt idx="2952">
                  <c:v>72.75</c:v>
                </c:pt>
                <c:pt idx="2953">
                  <c:v>95.47</c:v>
                </c:pt>
                <c:pt idx="2954">
                  <c:v>70.540000000000006</c:v>
                </c:pt>
                <c:pt idx="2955">
                  <c:v>100.03</c:v>
                </c:pt>
                <c:pt idx="2956">
                  <c:v>59.78</c:v>
                </c:pt>
                <c:pt idx="2957">
                  <c:v>198.79</c:v>
                </c:pt>
                <c:pt idx="2958">
                  <c:v>90.39</c:v>
                </c:pt>
                <c:pt idx="2959">
                  <c:v>147.04</c:v>
                </c:pt>
                <c:pt idx="2960">
                  <c:v>202.55</c:v>
                </c:pt>
                <c:pt idx="2961">
                  <c:v>64.92</c:v>
                </c:pt>
                <c:pt idx="2962">
                  <c:v>154.6</c:v>
                </c:pt>
                <c:pt idx="2963">
                  <c:v>95.98</c:v>
                </c:pt>
                <c:pt idx="2964">
                  <c:v>102.51</c:v>
                </c:pt>
                <c:pt idx="2965">
                  <c:v>96.52</c:v>
                </c:pt>
                <c:pt idx="2966">
                  <c:v>232.12</c:v>
                </c:pt>
                <c:pt idx="2967">
                  <c:v>78.12</c:v>
                </c:pt>
                <c:pt idx="2968">
                  <c:v>70.040000000000006</c:v>
                </c:pt>
                <c:pt idx="2969">
                  <c:v>97.61</c:v>
                </c:pt>
                <c:pt idx="2970">
                  <c:v>113.11</c:v>
                </c:pt>
                <c:pt idx="2971">
                  <c:v>71.06</c:v>
                </c:pt>
                <c:pt idx="2972">
                  <c:v>104.95</c:v>
                </c:pt>
                <c:pt idx="2973">
                  <c:v>81.94</c:v>
                </c:pt>
                <c:pt idx="2974">
                  <c:v>96.37</c:v>
                </c:pt>
                <c:pt idx="2975">
                  <c:v>114.16</c:v>
                </c:pt>
                <c:pt idx="2976">
                  <c:v>93.58</c:v>
                </c:pt>
                <c:pt idx="2977">
                  <c:v>73.89</c:v>
                </c:pt>
                <c:pt idx="2978">
                  <c:v>107.83</c:v>
                </c:pt>
                <c:pt idx="2979">
                  <c:v>107.21</c:v>
                </c:pt>
                <c:pt idx="2980">
                  <c:v>99.35</c:v>
                </c:pt>
                <c:pt idx="2981">
                  <c:v>203.57</c:v>
                </c:pt>
                <c:pt idx="2982">
                  <c:v>81.510000000000005</c:v>
                </c:pt>
                <c:pt idx="2983">
                  <c:v>69.260000000000005</c:v>
                </c:pt>
                <c:pt idx="2984">
                  <c:v>111.47</c:v>
                </c:pt>
                <c:pt idx="2985">
                  <c:v>86.09</c:v>
                </c:pt>
                <c:pt idx="2986">
                  <c:v>72.94</c:v>
                </c:pt>
                <c:pt idx="2987">
                  <c:v>76.77</c:v>
                </c:pt>
                <c:pt idx="2988">
                  <c:v>60.32</c:v>
                </c:pt>
                <c:pt idx="2989">
                  <c:v>133.24</c:v>
                </c:pt>
                <c:pt idx="2990">
                  <c:v>65.010000000000005</c:v>
                </c:pt>
                <c:pt idx="2991">
                  <c:v>74.63</c:v>
                </c:pt>
                <c:pt idx="2992">
                  <c:v>230.78</c:v>
                </c:pt>
                <c:pt idx="2993">
                  <c:v>72.5</c:v>
                </c:pt>
                <c:pt idx="2994">
                  <c:v>68.48</c:v>
                </c:pt>
                <c:pt idx="2995">
                  <c:v>85.03</c:v>
                </c:pt>
                <c:pt idx="2996">
                  <c:v>80.760000000000005</c:v>
                </c:pt>
                <c:pt idx="2997">
                  <c:v>204.98</c:v>
                </c:pt>
                <c:pt idx="2998">
                  <c:v>95.36</c:v>
                </c:pt>
                <c:pt idx="2999">
                  <c:v>110.33</c:v>
                </c:pt>
                <c:pt idx="3000">
                  <c:v>89.18</c:v>
                </c:pt>
                <c:pt idx="3001">
                  <c:v>91.53</c:v>
                </c:pt>
                <c:pt idx="3002">
                  <c:v>65.16</c:v>
                </c:pt>
                <c:pt idx="3003">
                  <c:v>74.53</c:v>
                </c:pt>
                <c:pt idx="3004">
                  <c:v>93.29</c:v>
                </c:pt>
                <c:pt idx="3005">
                  <c:v>227.89</c:v>
                </c:pt>
                <c:pt idx="3006">
                  <c:v>121.46</c:v>
                </c:pt>
                <c:pt idx="3007">
                  <c:v>69.349999999999994</c:v>
                </c:pt>
                <c:pt idx="3008">
                  <c:v>216.71</c:v>
                </c:pt>
                <c:pt idx="3009">
                  <c:v>74.959999999999994</c:v>
                </c:pt>
                <c:pt idx="3010">
                  <c:v>75.25</c:v>
                </c:pt>
                <c:pt idx="3011">
                  <c:v>91.82</c:v>
                </c:pt>
                <c:pt idx="3012">
                  <c:v>56.37</c:v>
                </c:pt>
                <c:pt idx="3013">
                  <c:v>149.15</c:v>
                </c:pt>
                <c:pt idx="3014">
                  <c:v>202.67</c:v>
                </c:pt>
                <c:pt idx="3015">
                  <c:v>65.38</c:v>
                </c:pt>
                <c:pt idx="3016">
                  <c:v>90.31</c:v>
                </c:pt>
                <c:pt idx="3017">
                  <c:v>221.8</c:v>
                </c:pt>
                <c:pt idx="3018">
                  <c:v>73.39</c:v>
                </c:pt>
                <c:pt idx="3019">
                  <c:v>147.12</c:v>
                </c:pt>
                <c:pt idx="3020">
                  <c:v>109.85</c:v>
                </c:pt>
                <c:pt idx="3021">
                  <c:v>103.21</c:v>
                </c:pt>
                <c:pt idx="3022">
                  <c:v>81.25</c:v>
                </c:pt>
                <c:pt idx="3023">
                  <c:v>84.69</c:v>
                </c:pt>
                <c:pt idx="3024">
                  <c:v>87.1</c:v>
                </c:pt>
                <c:pt idx="3025">
                  <c:v>81.92</c:v>
                </c:pt>
                <c:pt idx="3026">
                  <c:v>90.91</c:v>
                </c:pt>
                <c:pt idx="3027">
                  <c:v>64.400000000000006</c:v>
                </c:pt>
                <c:pt idx="3028">
                  <c:v>85.48</c:v>
                </c:pt>
                <c:pt idx="3029">
                  <c:v>67.290000000000006</c:v>
                </c:pt>
                <c:pt idx="3030">
                  <c:v>124.48</c:v>
                </c:pt>
                <c:pt idx="3031">
                  <c:v>62.89</c:v>
                </c:pt>
                <c:pt idx="3032">
                  <c:v>87.51</c:v>
                </c:pt>
                <c:pt idx="3033">
                  <c:v>93.15</c:v>
                </c:pt>
                <c:pt idx="3034">
                  <c:v>64.87</c:v>
                </c:pt>
                <c:pt idx="3035">
                  <c:v>90.68</c:v>
                </c:pt>
                <c:pt idx="3036">
                  <c:v>104.64</c:v>
                </c:pt>
                <c:pt idx="3037">
                  <c:v>92.44</c:v>
                </c:pt>
                <c:pt idx="3038">
                  <c:v>120.46</c:v>
                </c:pt>
                <c:pt idx="3039">
                  <c:v>89.87</c:v>
                </c:pt>
                <c:pt idx="3040">
                  <c:v>105.28</c:v>
                </c:pt>
                <c:pt idx="3041">
                  <c:v>131.80000000000001</c:v>
                </c:pt>
                <c:pt idx="3042">
                  <c:v>66.33</c:v>
                </c:pt>
                <c:pt idx="3043">
                  <c:v>101.07</c:v>
                </c:pt>
                <c:pt idx="3044">
                  <c:v>83.37</c:v>
                </c:pt>
                <c:pt idx="3045">
                  <c:v>79.8</c:v>
                </c:pt>
                <c:pt idx="3046">
                  <c:v>103.17</c:v>
                </c:pt>
                <c:pt idx="3047">
                  <c:v>62.52</c:v>
                </c:pt>
                <c:pt idx="3048">
                  <c:v>75.78</c:v>
                </c:pt>
                <c:pt idx="3049">
                  <c:v>110.36</c:v>
                </c:pt>
                <c:pt idx="3050">
                  <c:v>140.07</c:v>
                </c:pt>
                <c:pt idx="3051">
                  <c:v>84.86</c:v>
                </c:pt>
                <c:pt idx="3052">
                  <c:v>106.85</c:v>
                </c:pt>
                <c:pt idx="3053">
                  <c:v>102.07</c:v>
                </c:pt>
                <c:pt idx="3054">
                  <c:v>202.38</c:v>
                </c:pt>
                <c:pt idx="3055">
                  <c:v>67.069999999999993</c:v>
                </c:pt>
                <c:pt idx="3056">
                  <c:v>73.7</c:v>
                </c:pt>
                <c:pt idx="3057">
                  <c:v>77.59</c:v>
                </c:pt>
                <c:pt idx="3058">
                  <c:v>69.16</c:v>
                </c:pt>
                <c:pt idx="3059">
                  <c:v>91.44</c:v>
                </c:pt>
                <c:pt idx="3060">
                  <c:v>215.81</c:v>
                </c:pt>
                <c:pt idx="3061">
                  <c:v>65.400000000000006</c:v>
                </c:pt>
                <c:pt idx="3062">
                  <c:v>139.72</c:v>
                </c:pt>
                <c:pt idx="3063">
                  <c:v>72.81</c:v>
                </c:pt>
                <c:pt idx="3064">
                  <c:v>149.16999999999999</c:v>
                </c:pt>
                <c:pt idx="3065">
                  <c:v>125.74</c:v>
                </c:pt>
                <c:pt idx="3066">
                  <c:v>90.21</c:v>
                </c:pt>
                <c:pt idx="3067">
                  <c:v>139.47999999999999</c:v>
                </c:pt>
                <c:pt idx="3068">
                  <c:v>90.77</c:v>
                </c:pt>
                <c:pt idx="3069">
                  <c:v>220.24</c:v>
                </c:pt>
                <c:pt idx="3070">
                  <c:v>81.42</c:v>
                </c:pt>
                <c:pt idx="3071">
                  <c:v>102.36</c:v>
                </c:pt>
                <c:pt idx="3072">
                  <c:v>82.85</c:v>
                </c:pt>
                <c:pt idx="3073">
                  <c:v>102.11</c:v>
                </c:pt>
                <c:pt idx="3074">
                  <c:v>195.61</c:v>
                </c:pt>
                <c:pt idx="3075">
                  <c:v>80.92</c:v>
                </c:pt>
                <c:pt idx="3076">
                  <c:v>71.8</c:v>
                </c:pt>
                <c:pt idx="3077">
                  <c:v>88.47</c:v>
                </c:pt>
                <c:pt idx="3078">
                  <c:v>67.680000000000007</c:v>
                </c:pt>
                <c:pt idx="3079">
                  <c:v>98.65</c:v>
                </c:pt>
                <c:pt idx="3080">
                  <c:v>83.58</c:v>
                </c:pt>
                <c:pt idx="3081">
                  <c:v>104.04</c:v>
                </c:pt>
                <c:pt idx="3082">
                  <c:v>69.400000000000006</c:v>
                </c:pt>
                <c:pt idx="3083">
                  <c:v>106.22</c:v>
                </c:pt>
                <c:pt idx="3084">
                  <c:v>112.46</c:v>
                </c:pt>
                <c:pt idx="3085">
                  <c:v>72.42</c:v>
                </c:pt>
                <c:pt idx="3086">
                  <c:v>96.73</c:v>
                </c:pt>
                <c:pt idx="3087">
                  <c:v>107.4</c:v>
                </c:pt>
                <c:pt idx="3088">
                  <c:v>267.61</c:v>
                </c:pt>
                <c:pt idx="3089">
                  <c:v>109.46</c:v>
                </c:pt>
                <c:pt idx="3090">
                  <c:v>120.05</c:v>
                </c:pt>
                <c:pt idx="3091">
                  <c:v>106.33</c:v>
                </c:pt>
                <c:pt idx="3092">
                  <c:v>97.28</c:v>
                </c:pt>
                <c:pt idx="3093">
                  <c:v>83.13</c:v>
                </c:pt>
                <c:pt idx="3094">
                  <c:v>97.35</c:v>
                </c:pt>
                <c:pt idx="3095">
                  <c:v>79.540000000000006</c:v>
                </c:pt>
                <c:pt idx="3096">
                  <c:v>76.55</c:v>
                </c:pt>
                <c:pt idx="3097">
                  <c:v>56.11</c:v>
                </c:pt>
                <c:pt idx="3098">
                  <c:v>91.36</c:v>
                </c:pt>
                <c:pt idx="3099">
                  <c:v>79.27</c:v>
                </c:pt>
                <c:pt idx="3100">
                  <c:v>113.21</c:v>
                </c:pt>
                <c:pt idx="3101">
                  <c:v>105.99</c:v>
                </c:pt>
                <c:pt idx="3102">
                  <c:v>59.93</c:v>
                </c:pt>
                <c:pt idx="3103">
                  <c:v>88.83</c:v>
                </c:pt>
                <c:pt idx="3104">
                  <c:v>73.37</c:v>
                </c:pt>
                <c:pt idx="3105">
                  <c:v>115.42</c:v>
                </c:pt>
                <c:pt idx="3106">
                  <c:v>71.930000000000007</c:v>
                </c:pt>
                <c:pt idx="3107">
                  <c:v>96.43</c:v>
                </c:pt>
                <c:pt idx="3108">
                  <c:v>161.94999999999999</c:v>
                </c:pt>
                <c:pt idx="3109">
                  <c:v>104.55</c:v>
                </c:pt>
                <c:pt idx="3110">
                  <c:v>71.25</c:v>
                </c:pt>
                <c:pt idx="3111">
                  <c:v>160.87</c:v>
                </c:pt>
                <c:pt idx="3112">
                  <c:v>82.02</c:v>
                </c:pt>
                <c:pt idx="3113">
                  <c:v>78.02</c:v>
                </c:pt>
                <c:pt idx="3114">
                  <c:v>115.21</c:v>
                </c:pt>
                <c:pt idx="3115">
                  <c:v>65.12</c:v>
                </c:pt>
                <c:pt idx="3116">
                  <c:v>143.33000000000001</c:v>
                </c:pt>
                <c:pt idx="3117">
                  <c:v>80.55</c:v>
                </c:pt>
                <c:pt idx="3118">
                  <c:v>88.2</c:v>
                </c:pt>
                <c:pt idx="3119">
                  <c:v>147.41999999999999</c:v>
                </c:pt>
                <c:pt idx="3120">
                  <c:v>86.53</c:v>
                </c:pt>
                <c:pt idx="3121">
                  <c:v>91.95</c:v>
                </c:pt>
                <c:pt idx="3122">
                  <c:v>63.72</c:v>
                </c:pt>
                <c:pt idx="3123">
                  <c:v>63.78</c:v>
                </c:pt>
                <c:pt idx="3124">
                  <c:v>55.64</c:v>
                </c:pt>
                <c:pt idx="3125">
                  <c:v>88.88</c:v>
                </c:pt>
                <c:pt idx="3126">
                  <c:v>114.61</c:v>
                </c:pt>
                <c:pt idx="3127">
                  <c:v>56.08</c:v>
                </c:pt>
                <c:pt idx="3128">
                  <c:v>59.62</c:v>
                </c:pt>
                <c:pt idx="3129">
                  <c:v>75.849999999999994</c:v>
                </c:pt>
                <c:pt idx="3130">
                  <c:v>176.71</c:v>
                </c:pt>
                <c:pt idx="3131">
                  <c:v>80.069999999999993</c:v>
                </c:pt>
                <c:pt idx="3132">
                  <c:v>56.33</c:v>
                </c:pt>
                <c:pt idx="3133">
                  <c:v>87.16</c:v>
                </c:pt>
                <c:pt idx="3134">
                  <c:v>102.46</c:v>
                </c:pt>
                <c:pt idx="3135">
                  <c:v>84.1</c:v>
                </c:pt>
                <c:pt idx="3136">
                  <c:v>161</c:v>
                </c:pt>
                <c:pt idx="3137">
                  <c:v>70.7</c:v>
                </c:pt>
                <c:pt idx="3138">
                  <c:v>81.260000000000005</c:v>
                </c:pt>
                <c:pt idx="3139">
                  <c:v>157.66999999999999</c:v>
                </c:pt>
                <c:pt idx="3140">
                  <c:v>89.59</c:v>
                </c:pt>
                <c:pt idx="3141">
                  <c:v>64.02</c:v>
                </c:pt>
                <c:pt idx="3142">
                  <c:v>110.69</c:v>
                </c:pt>
                <c:pt idx="3143">
                  <c:v>71.97</c:v>
                </c:pt>
                <c:pt idx="3144">
                  <c:v>82.07</c:v>
                </c:pt>
                <c:pt idx="3145">
                  <c:v>65.069999999999993</c:v>
                </c:pt>
                <c:pt idx="3146">
                  <c:v>207.62</c:v>
                </c:pt>
                <c:pt idx="3147">
                  <c:v>108.64</c:v>
                </c:pt>
                <c:pt idx="3148">
                  <c:v>201.58</c:v>
                </c:pt>
                <c:pt idx="3149">
                  <c:v>116.2</c:v>
                </c:pt>
                <c:pt idx="3150">
                  <c:v>231.43</c:v>
                </c:pt>
                <c:pt idx="3151">
                  <c:v>112.62</c:v>
                </c:pt>
                <c:pt idx="3152">
                  <c:v>220.26</c:v>
                </c:pt>
                <c:pt idx="3153">
                  <c:v>84.37</c:v>
                </c:pt>
                <c:pt idx="3154">
                  <c:v>82.83</c:v>
                </c:pt>
                <c:pt idx="3155">
                  <c:v>102.48</c:v>
                </c:pt>
                <c:pt idx="3156">
                  <c:v>69.12</c:v>
                </c:pt>
                <c:pt idx="3157">
                  <c:v>211.12</c:v>
                </c:pt>
                <c:pt idx="3158">
                  <c:v>95.38</c:v>
                </c:pt>
                <c:pt idx="3159">
                  <c:v>108.72</c:v>
                </c:pt>
                <c:pt idx="3160">
                  <c:v>88.65</c:v>
                </c:pt>
                <c:pt idx="3161">
                  <c:v>177.91</c:v>
                </c:pt>
                <c:pt idx="3162">
                  <c:v>90.19</c:v>
                </c:pt>
                <c:pt idx="3163">
                  <c:v>73.78</c:v>
                </c:pt>
                <c:pt idx="3164">
                  <c:v>82.85</c:v>
                </c:pt>
                <c:pt idx="3165">
                  <c:v>59.48</c:v>
                </c:pt>
                <c:pt idx="3166">
                  <c:v>75.77</c:v>
                </c:pt>
                <c:pt idx="3167">
                  <c:v>80.959999999999994</c:v>
                </c:pt>
                <c:pt idx="3168">
                  <c:v>82.4</c:v>
                </c:pt>
                <c:pt idx="3169">
                  <c:v>78.930000000000007</c:v>
                </c:pt>
                <c:pt idx="3170">
                  <c:v>80.59</c:v>
                </c:pt>
                <c:pt idx="3171">
                  <c:v>70.59</c:v>
                </c:pt>
                <c:pt idx="3172">
                  <c:v>98.57</c:v>
                </c:pt>
                <c:pt idx="3173">
                  <c:v>61.87</c:v>
                </c:pt>
                <c:pt idx="3174">
                  <c:v>68.88</c:v>
                </c:pt>
                <c:pt idx="3175">
                  <c:v>66.25</c:v>
                </c:pt>
                <c:pt idx="3176">
                  <c:v>84.18</c:v>
                </c:pt>
                <c:pt idx="3177">
                  <c:v>69.23</c:v>
                </c:pt>
                <c:pt idx="3178">
                  <c:v>73.2</c:v>
                </c:pt>
                <c:pt idx="3179">
                  <c:v>103.45</c:v>
                </c:pt>
                <c:pt idx="3180">
                  <c:v>104.86</c:v>
                </c:pt>
                <c:pt idx="3181">
                  <c:v>90.3</c:v>
                </c:pt>
                <c:pt idx="3182">
                  <c:v>90.87</c:v>
                </c:pt>
                <c:pt idx="3183">
                  <c:v>76.209999999999994</c:v>
                </c:pt>
                <c:pt idx="3184">
                  <c:v>74.14</c:v>
                </c:pt>
                <c:pt idx="3185">
                  <c:v>87.25</c:v>
                </c:pt>
                <c:pt idx="3186">
                  <c:v>215.33</c:v>
                </c:pt>
                <c:pt idx="3187">
                  <c:v>88.38</c:v>
                </c:pt>
                <c:pt idx="3188">
                  <c:v>104.4</c:v>
                </c:pt>
                <c:pt idx="3189">
                  <c:v>104.92</c:v>
                </c:pt>
                <c:pt idx="3190">
                  <c:v>106.54</c:v>
                </c:pt>
                <c:pt idx="3191">
                  <c:v>62.91</c:v>
                </c:pt>
                <c:pt idx="3192">
                  <c:v>61.47</c:v>
                </c:pt>
                <c:pt idx="3193">
                  <c:v>88.5</c:v>
                </c:pt>
                <c:pt idx="3194">
                  <c:v>107.61</c:v>
                </c:pt>
                <c:pt idx="3195">
                  <c:v>90.77</c:v>
                </c:pt>
                <c:pt idx="3196">
                  <c:v>137.91</c:v>
                </c:pt>
                <c:pt idx="3197">
                  <c:v>212.02</c:v>
                </c:pt>
                <c:pt idx="3198">
                  <c:v>228.2</c:v>
                </c:pt>
                <c:pt idx="3199">
                  <c:v>92.15</c:v>
                </c:pt>
                <c:pt idx="3200">
                  <c:v>126.32</c:v>
                </c:pt>
                <c:pt idx="3201">
                  <c:v>94.96</c:v>
                </c:pt>
                <c:pt idx="3202">
                  <c:v>89.52</c:v>
                </c:pt>
                <c:pt idx="3203">
                  <c:v>66.59</c:v>
                </c:pt>
                <c:pt idx="3204">
                  <c:v>80.099999999999994</c:v>
                </c:pt>
                <c:pt idx="3205">
                  <c:v>73.72</c:v>
                </c:pt>
                <c:pt idx="3206">
                  <c:v>90.49</c:v>
                </c:pt>
                <c:pt idx="3207">
                  <c:v>92.99</c:v>
                </c:pt>
                <c:pt idx="3208">
                  <c:v>62.57</c:v>
                </c:pt>
                <c:pt idx="3209">
                  <c:v>65.510000000000005</c:v>
                </c:pt>
                <c:pt idx="3210">
                  <c:v>95.29</c:v>
                </c:pt>
                <c:pt idx="3211">
                  <c:v>83.7</c:v>
                </c:pt>
                <c:pt idx="3212">
                  <c:v>63.16</c:v>
                </c:pt>
                <c:pt idx="3213">
                  <c:v>87.77</c:v>
                </c:pt>
                <c:pt idx="3214">
                  <c:v>87.23</c:v>
                </c:pt>
                <c:pt idx="3215">
                  <c:v>260.85000000000002</c:v>
                </c:pt>
                <c:pt idx="3216">
                  <c:v>104.45</c:v>
                </c:pt>
                <c:pt idx="3217">
                  <c:v>87.52</c:v>
                </c:pt>
                <c:pt idx="3218">
                  <c:v>113.65</c:v>
                </c:pt>
                <c:pt idx="3219">
                  <c:v>65.930000000000007</c:v>
                </c:pt>
                <c:pt idx="3220">
                  <c:v>93.78</c:v>
                </c:pt>
                <c:pt idx="3221">
                  <c:v>223.9</c:v>
                </c:pt>
                <c:pt idx="3222">
                  <c:v>77.540000000000006</c:v>
                </c:pt>
                <c:pt idx="3223">
                  <c:v>93.18</c:v>
                </c:pt>
                <c:pt idx="3224">
                  <c:v>169.74</c:v>
                </c:pt>
                <c:pt idx="3225">
                  <c:v>101.93</c:v>
                </c:pt>
                <c:pt idx="3226">
                  <c:v>125.03</c:v>
                </c:pt>
                <c:pt idx="3227">
                  <c:v>82.25</c:v>
                </c:pt>
                <c:pt idx="3228">
                  <c:v>85.81</c:v>
                </c:pt>
                <c:pt idx="3229">
                  <c:v>85.27</c:v>
                </c:pt>
                <c:pt idx="3230">
                  <c:v>86.06</c:v>
                </c:pt>
                <c:pt idx="3231">
                  <c:v>104.36</c:v>
                </c:pt>
                <c:pt idx="3232">
                  <c:v>78.290000000000006</c:v>
                </c:pt>
                <c:pt idx="3233">
                  <c:v>93.55</c:v>
                </c:pt>
                <c:pt idx="3234">
                  <c:v>207.96</c:v>
                </c:pt>
                <c:pt idx="3235">
                  <c:v>105.52</c:v>
                </c:pt>
                <c:pt idx="3236">
                  <c:v>109.27</c:v>
                </c:pt>
                <c:pt idx="3237">
                  <c:v>91.34</c:v>
                </c:pt>
                <c:pt idx="3238">
                  <c:v>176.78</c:v>
                </c:pt>
                <c:pt idx="3239">
                  <c:v>67.73</c:v>
                </c:pt>
                <c:pt idx="3240">
                  <c:v>73.27</c:v>
                </c:pt>
                <c:pt idx="3241">
                  <c:v>70.290000000000006</c:v>
                </c:pt>
                <c:pt idx="3242">
                  <c:v>91.47</c:v>
                </c:pt>
                <c:pt idx="3243">
                  <c:v>205.01</c:v>
                </c:pt>
                <c:pt idx="3244">
                  <c:v>73.87</c:v>
                </c:pt>
                <c:pt idx="3245">
                  <c:v>64.44</c:v>
                </c:pt>
                <c:pt idx="3246">
                  <c:v>111.65</c:v>
                </c:pt>
                <c:pt idx="3247">
                  <c:v>90.65</c:v>
                </c:pt>
                <c:pt idx="3248">
                  <c:v>94.2</c:v>
                </c:pt>
                <c:pt idx="3249">
                  <c:v>56.95</c:v>
                </c:pt>
                <c:pt idx="3250">
                  <c:v>92.37</c:v>
                </c:pt>
                <c:pt idx="3251">
                  <c:v>127.23</c:v>
                </c:pt>
                <c:pt idx="3252">
                  <c:v>191.78</c:v>
                </c:pt>
                <c:pt idx="3253">
                  <c:v>86.36</c:v>
                </c:pt>
                <c:pt idx="3254">
                  <c:v>82.72</c:v>
                </c:pt>
                <c:pt idx="3255">
                  <c:v>113.57</c:v>
                </c:pt>
                <c:pt idx="3256">
                  <c:v>89.58</c:v>
                </c:pt>
                <c:pt idx="3257">
                  <c:v>91.85</c:v>
                </c:pt>
                <c:pt idx="3258">
                  <c:v>88.89</c:v>
                </c:pt>
                <c:pt idx="3259">
                  <c:v>79.55</c:v>
                </c:pt>
                <c:pt idx="3260">
                  <c:v>108.62</c:v>
                </c:pt>
                <c:pt idx="3261">
                  <c:v>78.239999999999995</c:v>
                </c:pt>
                <c:pt idx="3262">
                  <c:v>88.49</c:v>
                </c:pt>
                <c:pt idx="3263">
                  <c:v>91.85</c:v>
                </c:pt>
                <c:pt idx="3264">
                  <c:v>72.010000000000005</c:v>
                </c:pt>
                <c:pt idx="3265">
                  <c:v>81.96</c:v>
                </c:pt>
                <c:pt idx="3266">
                  <c:v>70.56</c:v>
                </c:pt>
                <c:pt idx="3267">
                  <c:v>71.02</c:v>
                </c:pt>
                <c:pt idx="3268">
                  <c:v>99.75</c:v>
                </c:pt>
                <c:pt idx="3269">
                  <c:v>127.2</c:v>
                </c:pt>
                <c:pt idx="3270">
                  <c:v>69.760000000000005</c:v>
                </c:pt>
                <c:pt idx="3271">
                  <c:v>74.63</c:v>
                </c:pt>
                <c:pt idx="3272">
                  <c:v>102.27</c:v>
                </c:pt>
                <c:pt idx="3273">
                  <c:v>73.56</c:v>
                </c:pt>
                <c:pt idx="3274">
                  <c:v>57.77</c:v>
                </c:pt>
                <c:pt idx="3275">
                  <c:v>151.25</c:v>
                </c:pt>
                <c:pt idx="3276">
                  <c:v>78.319999999999993</c:v>
                </c:pt>
                <c:pt idx="3277">
                  <c:v>71.5</c:v>
                </c:pt>
                <c:pt idx="3278">
                  <c:v>84.7</c:v>
                </c:pt>
                <c:pt idx="3279">
                  <c:v>127.28</c:v>
                </c:pt>
                <c:pt idx="3280">
                  <c:v>80.72</c:v>
                </c:pt>
                <c:pt idx="3281">
                  <c:v>73.92</c:v>
                </c:pt>
                <c:pt idx="3282">
                  <c:v>93.24</c:v>
                </c:pt>
                <c:pt idx="3283">
                  <c:v>72.599999999999994</c:v>
                </c:pt>
                <c:pt idx="3284">
                  <c:v>69.77</c:v>
                </c:pt>
                <c:pt idx="3285">
                  <c:v>84.43</c:v>
                </c:pt>
                <c:pt idx="3286">
                  <c:v>84.13</c:v>
                </c:pt>
                <c:pt idx="3287">
                  <c:v>81.540000000000006</c:v>
                </c:pt>
                <c:pt idx="3288">
                  <c:v>57.17</c:v>
                </c:pt>
                <c:pt idx="3289">
                  <c:v>86.15</c:v>
                </c:pt>
                <c:pt idx="3290">
                  <c:v>163.02000000000001</c:v>
                </c:pt>
                <c:pt idx="3291">
                  <c:v>110.41</c:v>
                </c:pt>
                <c:pt idx="3292">
                  <c:v>102.58</c:v>
                </c:pt>
                <c:pt idx="3293">
                  <c:v>90.97</c:v>
                </c:pt>
                <c:pt idx="3294">
                  <c:v>140.96</c:v>
                </c:pt>
                <c:pt idx="3295">
                  <c:v>70.33</c:v>
                </c:pt>
                <c:pt idx="3296">
                  <c:v>64.180000000000007</c:v>
                </c:pt>
                <c:pt idx="3297">
                  <c:v>127.57</c:v>
                </c:pt>
                <c:pt idx="3298">
                  <c:v>109.23</c:v>
                </c:pt>
                <c:pt idx="3299">
                  <c:v>124.49</c:v>
                </c:pt>
                <c:pt idx="3300">
                  <c:v>142.82</c:v>
                </c:pt>
                <c:pt idx="3301">
                  <c:v>75.69</c:v>
                </c:pt>
                <c:pt idx="3302">
                  <c:v>74.08</c:v>
                </c:pt>
                <c:pt idx="3303">
                  <c:v>75.98</c:v>
                </c:pt>
                <c:pt idx="3304">
                  <c:v>57.8</c:v>
                </c:pt>
                <c:pt idx="3305">
                  <c:v>76.44</c:v>
                </c:pt>
                <c:pt idx="3306">
                  <c:v>214.43</c:v>
                </c:pt>
                <c:pt idx="3307">
                  <c:v>79.03</c:v>
                </c:pt>
                <c:pt idx="3308">
                  <c:v>66.459999999999994</c:v>
                </c:pt>
                <c:pt idx="3309">
                  <c:v>56.42</c:v>
                </c:pt>
                <c:pt idx="3310">
                  <c:v>112.72</c:v>
                </c:pt>
                <c:pt idx="3311">
                  <c:v>114.02</c:v>
                </c:pt>
                <c:pt idx="3312">
                  <c:v>72.33</c:v>
                </c:pt>
                <c:pt idx="3313">
                  <c:v>55.59</c:v>
                </c:pt>
                <c:pt idx="3314">
                  <c:v>73.48</c:v>
                </c:pt>
                <c:pt idx="3315">
                  <c:v>105.05</c:v>
                </c:pt>
                <c:pt idx="3316">
                  <c:v>84.78</c:v>
                </c:pt>
                <c:pt idx="3317">
                  <c:v>164.77</c:v>
                </c:pt>
                <c:pt idx="3318">
                  <c:v>220.64</c:v>
                </c:pt>
                <c:pt idx="3319">
                  <c:v>159.38999999999999</c:v>
                </c:pt>
                <c:pt idx="3320">
                  <c:v>69.53</c:v>
                </c:pt>
                <c:pt idx="3321">
                  <c:v>81.42</c:v>
                </c:pt>
                <c:pt idx="3322">
                  <c:v>83.93</c:v>
                </c:pt>
                <c:pt idx="3323">
                  <c:v>98.9</c:v>
                </c:pt>
                <c:pt idx="3324">
                  <c:v>82.64</c:v>
                </c:pt>
                <c:pt idx="3325">
                  <c:v>112.54</c:v>
                </c:pt>
                <c:pt idx="3326">
                  <c:v>75.25</c:v>
                </c:pt>
                <c:pt idx="3327">
                  <c:v>204.77</c:v>
                </c:pt>
                <c:pt idx="3328">
                  <c:v>63.86</c:v>
                </c:pt>
                <c:pt idx="3329">
                  <c:v>72.2</c:v>
                </c:pt>
                <c:pt idx="3330">
                  <c:v>80.08</c:v>
                </c:pt>
                <c:pt idx="3331">
                  <c:v>101.61</c:v>
                </c:pt>
                <c:pt idx="3332">
                  <c:v>114.32</c:v>
                </c:pt>
                <c:pt idx="3333">
                  <c:v>80.819999999999993</c:v>
                </c:pt>
                <c:pt idx="3334">
                  <c:v>90.6</c:v>
                </c:pt>
                <c:pt idx="3335">
                  <c:v>93.67</c:v>
                </c:pt>
                <c:pt idx="3336">
                  <c:v>87.15</c:v>
                </c:pt>
                <c:pt idx="3337">
                  <c:v>80.72</c:v>
                </c:pt>
                <c:pt idx="3338">
                  <c:v>83.16</c:v>
                </c:pt>
                <c:pt idx="3339">
                  <c:v>98.14</c:v>
                </c:pt>
                <c:pt idx="3340">
                  <c:v>83.13</c:v>
                </c:pt>
                <c:pt idx="3341">
                  <c:v>134.24</c:v>
                </c:pt>
                <c:pt idx="3342">
                  <c:v>248.37</c:v>
                </c:pt>
                <c:pt idx="3343">
                  <c:v>61.75</c:v>
                </c:pt>
                <c:pt idx="3344">
                  <c:v>70.55</c:v>
                </c:pt>
                <c:pt idx="3345">
                  <c:v>124.38</c:v>
                </c:pt>
                <c:pt idx="3346">
                  <c:v>92.21</c:v>
                </c:pt>
                <c:pt idx="3347">
                  <c:v>148.72</c:v>
                </c:pt>
                <c:pt idx="3348">
                  <c:v>79.25</c:v>
                </c:pt>
                <c:pt idx="3349">
                  <c:v>82.09</c:v>
                </c:pt>
                <c:pt idx="3350">
                  <c:v>194.53</c:v>
                </c:pt>
                <c:pt idx="3351">
                  <c:v>98.84</c:v>
                </c:pt>
                <c:pt idx="3352">
                  <c:v>135.74</c:v>
                </c:pt>
                <c:pt idx="3353">
                  <c:v>66.55</c:v>
                </c:pt>
                <c:pt idx="3354">
                  <c:v>115.69</c:v>
                </c:pt>
                <c:pt idx="3355">
                  <c:v>67.760000000000005</c:v>
                </c:pt>
                <c:pt idx="3356">
                  <c:v>88.65</c:v>
                </c:pt>
                <c:pt idx="3357">
                  <c:v>106.11</c:v>
                </c:pt>
                <c:pt idx="3358">
                  <c:v>95.49</c:v>
                </c:pt>
                <c:pt idx="3359">
                  <c:v>59.07</c:v>
                </c:pt>
                <c:pt idx="3360">
                  <c:v>228.92</c:v>
                </c:pt>
                <c:pt idx="3361">
                  <c:v>62.89</c:v>
                </c:pt>
                <c:pt idx="3362">
                  <c:v>96.84</c:v>
                </c:pt>
                <c:pt idx="3363">
                  <c:v>81.25</c:v>
                </c:pt>
                <c:pt idx="3364">
                  <c:v>92.71</c:v>
                </c:pt>
                <c:pt idx="3365">
                  <c:v>85.59</c:v>
                </c:pt>
                <c:pt idx="3366">
                  <c:v>89.06</c:v>
                </c:pt>
                <c:pt idx="3367">
                  <c:v>87.44</c:v>
                </c:pt>
                <c:pt idx="3368">
                  <c:v>64.069999999999993</c:v>
                </c:pt>
                <c:pt idx="3369">
                  <c:v>79.39</c:v>
                </c:pt>
                <c:pt idx="3370">
                  <c:v>67.84</c:v>
                </c:pt>
                <c:pt idx="3371">
                  <c:v>81.73</c:v>
                </c:pt>
                <c:pt idx="3372">
                  <c:v>105.52</c:v>
                </c:pt>
                <c:pt idx="3373">
                  <c:v>77.55</c:v>
                </c:pt>
                <c:pt idx="3374">
                  <c:v>127.42</c:v>
                </c:pt>
                <c:pt idx="3375">
                  <c:v>227.68</c:v>
                </c:pt>
                <c:pt idx="3376">
                  <c:v>226.73</c:v>
                </c:pt>
                <c:pt idx="3377">
                  <c:v>89.74</c:v>
                </c:pt>
                <c:pt idx="3378">
                  <c:v>219.17</c:v>
                </c:pt>
                <c:pt idx="3379">
                  <c:v>74.849999999999994</c:v>
                </c:pt>
                <c:pt idx="3380">
                  <c:v>55.96</c:v>
                </c:pt>
                <c:pt idx="3381">
                  <c:v>215.92</c:v>
                </c:pt>
                <c:pt idx="3382">
                  <c:v>84.4</c:v>
                </c:pt>
                <c:pt idx="3383">
                  <c:v>104.05</c:v>
                </c:pt>
                <c:pt idx="3384">
                  <c:v>62.54</c:v>
                </c:pt>
                <c:pt idx="3385">
                  <c:v>87.54</c:v>
                </c:pt>
                <c:pt idx="3386">
                  <c:v>76.81</c:v>
                </c:pt>
                <c:pt idx="3387">
                  <c:v>198.12</c:v>
                </c:pt>
                <c:pt idx="3388">
                  <c:v>78</c:v>
                </c:pt>
                <c:pt idx="3389">
                  <c:v>79.44</c:v>
                </c:pt>
                <c:pt idx="3390">
                  <c:v>75.819999999999993</c:v>
                </c:pt>
                <c:pt idx="3391">
                  <c:v>240.86</c:v>
                </c:pt>
                <c:pt idx="3392">
                  <c:v>89.28</c:v>
                </c:pt>
                <c:pt idx="3393">
                  <c:v>263.56</c:v>
                </c:pt>
                <c:pt idx="3394">
                  <c:v>81.13</c:v>
                </c:pt>
                <c:pt idx="3395">
                  <c:v>118.44</c:v>
                </c:pt>
                <c:pt idx="3396">
                  <c:v>97.37</c:v>
                </c:pt>
                <c:pt idx="3397">
                  <c:v>80.510000000000005</c:v>
                </c:pt>
                <c:pt idx="3398">
                  <c:v>78.88</c:v>
                </c:pt>
                <c:pt idx="3399">
                  <c:v>83.61</c:v>
                </c:pt>
                <c:pt idx="3400">
                  <c:v>73.19</c:v>
                </c:pt>
                <c:pt idx="3401">
                  <c:v>68.91</c:v>
                </c:pt>
                <c:pt idx="3402">
                  <c:v>104.3</c:v>
                </c:pt>
                <c:pt idx="3403">
                  <c:v>87.87</c:v>
                </c:pt>
                <c:pt idx="3404">
                  <c:v>96.7</c:v>
                </c:pt>
                <c:pt idx="3405">
                  <c:v>91.05</c:v>
                </c:pt>
                <c:pt idx="3406">
                  <c:v>200.14</c:v>
                </c:pt>
                <c:pt idx="3407">
                  <c:v>73.040000000000006</c:v>
                </c:pt>
                <c:pt idx="3408">
                  <c:v>85.81</c:v>
                </c:pt>
                <c:pt idx="3409">
                  <c:v>65.41</c:v>
                </c:pt>
                <c:pt idx="3410">
                  <c:v>108.68</c:v>
                </c:pt>
                <c:pt idx="3411">
                  <c:v>88.79</c:v>
                </c:pt>
                <c:pt idx="3412">
                  <c:v>107.82</c:v>
                </c:pt>
                <c:pt idx="3413">
                  <c:v>97.39</c:v>
                </c:pt>
                <c:pt idx="3414">
                  <c:v>141.09</c:v>
                </c:pt>
                <c:pt idx="3415">
                  <c:v>122.38</c:v>
                </c:pt>
                <c:pt idx="3416">
                  <c:v>77.91</c:v>
                </c:pt>
                <c:pt idx="3417">
                  <c:v>103.6</c:v>
                </c:pt>
                <c:pt idx="3418">
                  <c:v>159.69999999999999</c:v>
                </c:pt>
                <c:pt idx="3419">
                  <c:v>118.22</c:v>
                </c:pt>
                <c:pt idx="3420">
                  <c:v>84.5</c:v>
                </c:pt>
                <c:pt idx="3421">
                  <c:v>85.59</c:v>
                </c:pt>
                <c:pt idx="3422">
                  <c:v>84.42</c:v>
                </c:pt>
                <c:pt idx="3423">
                  <c:v>100.98</c:v>
                </c:pt>
                <c:pt idx="3424">
                  <c:v>81.11</c:v>
                </c:pt>
                <c:pt idx="3425">
                  <c:v>235.45</c:v>
                </c:pt>
                <c:pt idx="3426">
                  <c:v>79.2</c:v>
                </c:pt>
                <c:pt idx="3427">
                  <c:v>207.71</c:v>
                </c:pt>
                <c:pt idx="3428">
                  <c:v>99.84</c:v>
                </c:pt>
                <c:pt idx="3429">
                  <c:v>98.05</c:v>
                </c:pt>
                <c:pt idx="3430">
                  <c:v>105.9</c:v>
                </c:pt>
                <c:pt idx="3431">
                  <c:v>107.55</c:v>
                </c:pt>
                <c:pt idx="3432">
                  <c:v>146.21</c:v>
                </c:pt>
                <c:pt idx="3433">
                  <c:v>79.94</c:v>
                </c:pt>
                <c:pt idx="3434">
                  <c:v>72.28</c:v>
                </c:pt>
                <c:pt idx="3435">
                  <c:v>123.1</c:v>
                </c:pt>
                <c:pt idx="3436">
                  <c:v>67.06</c:v>
                </c:pt>
                <c:pt idx="3437">
                  <c:v>82.68</c:v>
                </c:pt>
                <c:pt idx="3438">
                  <c:v>125.89</c:v>
                </c:pt>
                <c:pt idx="3439">
                  <c:v>228.05</c:v>
                </c:pt>
                <c:pt idx="3440">
                  <c:v>98.23</c:v>
                </c:pt>
                <c:pt idx="3441">
                  <c:v>90.06</c:v>
                </c:pt>
                <c:pt idx="3442">
                  <c:v>119.9</c:v>
                </c:pt>
                <c:pt idx="3443">
                  <c:v>94.53</c:v>
                </c:pt>
                <c:pt idx="3444">
                  <c:v>64.66</c:v>
                </c:pt>
                <c:pt idx="3445">
                  <c:v>103.79</c:v>
                </c:pt>
                <c:pt idx="3446">
                  <c:v>88.51</c:v>
                </c:pt>
                <c:pt idx="3447">
                  <c:v>97.26</c:v>
                </c:pt>
                <c:pt idx="3448">
                  <c:v>92.59</c:v>
                </c:pt>
                <c:pt idx="3449">
                  <c:v>102.89</c:v>
                </c:pt>
                <c:pt idx="3450">
                  <c:v>92.26</c:v>
                </c:pt>
                <c:pt idx="3451">
                  <c:v>80</c:v>
                </c:pt>
                <c:pt idx="3452">
                  <c:v>56.75</c:v>
                </c:pt>
                <c:pt idx="3453">
                  <c:v>104.66</c:v>
                </c:pt>
                <c:pt idx="3454">
                  <c:v>60.39</c:v>
                </c:pt>
                <c:pt idx="3455">
                  <c:v>223.14</c:v>
                </c:pt>
                <c:pt idx="3456">
                  <c:v>105.51</c:v>
                </c:pt>
                <c:pt idx="3457">
                  <c:v>83.42</c:v>
                </c:pt>
                <c:pt idx="3458">
                  <c:v>71.06</c:v>
                </c:pt>
                <c:pt idx="3459">
                  <c:v>101.24</c:v>
                </c:pt>
                <c:pt idx="3460">
                  <c:v>91.19</c:v>
                </c:pt>
                <c:pt idx="3461">
                  <c:v>174.43</c:v>
                </c:pt>
                <c:pt idx="3462">
                  <c:v>214.51</c:v>
                </c:pt>
                <c:pt idx="3463">
                  <c:v>72.64</c:v>
                </c:pt>
                <c:pt idx="3464">
                  <c:v>62.69</c:v>
                </c:pt>
                <c:pt idx="3465">
                  <c:v>141.16</c:v>
                </c:pt>
                <c:pt idx="3466">
                  <c:v>89.61</c:v>
                </c:pt>
                <c:pt idx="3467">
                  <c:v>76.42</c:v>
                </c:pt>
                <c:pt idx="3468">
                  <c:v>124.38</c:v>
                </c:pt>
                <c:pt idx="3469">
                  <c:v>111.81</c:v>
                </c:pt>
                <c:pt idx="3470">
                  <c:v>57.57</c:v>
                </c:pt>
                <c:pt idx="3471">
                  <c:v>77.819999999999993</c:v>
                </c:pt>
                <c:pt idx="3472">
                  <c:v>60.09</c:v>
                </c:pt>
                <c:pt idx="3473">
                  <c:v>91.02</c:v>
                </c:pt>
                <c:pt idx="3474">
                  <c:v>65.459999999999994</c:v>
                </c:pt>
                <c:pt idx="3475">
                  <c:v>131.19</c:v>
                </c:pt>
                <c:pt idx="3476">
                  <c:v>79.89</c:v>
                </c:pt>
                <c:pt idx="3477">
                  <c:v>74.540000000000006</c:v>
                </c:pt>
                <c:pt idx="3478">
                  <c:v>231.31</c:v>
                </c:pt>
                <c:pt idx="3479">
                  <c:v>91.57</c:v>
                </c:pt>
                <c:pt idx="3480">
                  <c:v>238.78</c:v>
                </c:pt>
                <c:pt idx="3481">
                  <c:v>87.18</c:v>
                </c:pt>
                <c:pt idx="3482">
                  <c:v>78.94</c:v>
                </c:pt>
                <c:pt idx="3483">
                  <c:v>69.010000000000005</c:v>
                </c:pt>
                <c:pt idx="3484">
                  <c:v>110.28</c:v>
                </c:pt>
                <c:pt idx="3485">
                  <c:v>71.66</c:v>
                </c:pt>
                <c:pt idx="3486">
                  <c:v>62.57</c:v>
                </c:pt>
                <c:pt idx="3487">
                  <c:v>83.64</c:v>
                </c:pt>
                <c:pt idx="3488">
                  <c:v>107.18</c:v>
                </c:pt>
                <c:pt idx="3489">
                  <c:v>233.59</c:v>
                </c:pt>
                <c:pt idx="3490">
                  <c:v>84.88</c:v>
                </c:pt>
                <c:pt idx="3491">
                  <c:v>97.95</c:v>
                </c:pt>
                <c:pt idx="3492">
                  <c:v>58.19</c:v>
                </c:pt>
                <c:pt idx="3493">
                  <c:v>70.11</c:v>
                </c:pt>
                <c:pt idx="3494">
                  <c:v>112.77</c:v>
                </c:pt>
                <c:pt idx="3495">
                  <c:v>75.459999999999994</c:v>
                </c:pt>
                <c:pt idx="3496">
                  <c:v>63.63</c:v>
                </c:pt>
                <c:pt idx="3497">
                  <c:v>100.22</c:v>
                </c:pt>
                <c:pt idx="3498">
                  <c:v>81.77</c:v>
                </c:pt>
                <c:pt idx="3499">
                  <c:v>94.25</c:v>
                </c:pt>
                <c:pt idx="3500">
                  <c:v>188.13</c:v>
                </c:pt>
                <c:pt idx="3501">
                  <c:v>164.7</c:v>
                </c:pt>
                <c:pt idx="3502">
                  <c:v>68.27</c:v>
                </c:pt>
                <c:pt idx="3503">
                  <c:v>79.81</c:v>
                </c:pt>
                <c:pt idx="3504">
                  <c:v>100.12</c:v>
                </c:pt>
                <c:pt idx="3505">
                  <c:v>151.22999999999999</c:v>
                </c:pt>
                <c:pt idx="3506">
                  <c:v>112.41</c:v>
                </c:pt>
                <c:pt idx="3507">
                  <c:v>205.97</c:v>
                </c:pt>
                <c:pt idx="3508">
                  <c:v>112.19</c:v>
                </c:pt>
                <c:pt idx="3509">
                  <c:v>71.930000000000007</c:v>
                </c:pt>
                <c:pt idx="3510">
                  <c:v>190.89</c:v>
                </c:pt>
                <c:pt idx="3511">
                  <c:v>138.02000000000001</c:v>
                </c:pt>
                <c:pt idx="3512">
                  <c:v>66.16</c:v>
                </c:pt>
                <c:pt idx="3513">
                  <c:v>105.73</c:v>
                </c:pt>
                <c:pt idx="3514">
                  <c:v>78.34</c:v>
                </c:pt>
                <c:pt idx="3515">
                  <c:v>102.1</c:v>
                </c:pt>
                <c:pt idx="3516">
                  <c:v>97.37</c:v>
                </c:pt>
                <c:pt idx="3517">
                  <c:v>193.87</c:v>
                </c:pt>
                <c:pt idx="3518">
                  <c:v>78.319999999999993</c:v>
                </c:pt>
                <c:pt idx="3519">
                  <c:v>130</c:v>
                </c:pt>
                <c:pt idx="3520">
                  <c:v>74</c:v>
                </c:pt>
                <c:pt idx="3521">
                  <c:v>111.04</c:v>
                </c:pt>
                <c:pt idx="3522">
                  <c:v>214.77</c:v>
                </c:pt>
                <c:pt idx="3523">
                  <c:v>97.25</c:v>
                </c:pt>
                <c:pt idx="3524">
                  <c:v>79.95</c:v>
                </c:pt>
                <c:pt idx="3525">
                  <c:v>162.24</c:v>
                </c:pt>
                <c:pt idx="3526">
                  <c:v>74.36</c:v>
                </c:pt>
                <c:pt idx="3527">
                  <c:v>69.680000000000007</c:v>
                </c:pt>
                <c:pt idx="3528">
                  <c:v>98.35</c:v>
                </c:pt>
                <c:pt idx="3529">
                  <c:v>75.73</c:v>
                </c:pt>
                <c:pt idx="3530">
                  <c:v>85.86</c:v>
                </c:pt>
                <c:pt idx="3531">
                  <c:v>80.34</c:v>
                </c:pt>
                <c:pt idx="3532">
                  <c:v>73.760000000000005</c:v>
                </c:pt>
                <c:pt idx="3533">
                  <c:v>94.96</c:v>
                </c:pt>
                <c:pt idx="3534">
                  <c:v>108.18</c:v>
                </c:pt>
                <c:pt idx="3535">
                  <c:v>85.23</c:v>
                </c:pt>
                <c:pt idx="3536">
                  <c:v>189.88</c:v>
                </c:pt>
                <c:pt idx="3537">
                  <c:v>197.11</c:v>
                </c:pt>
                <c:pt idx="3538">
                  <c:v>100.08</c:v>
                </c:pt>
                <c:pt idx="3539">
                  <c:v>68.62</c:v>
                </c:pt>
                <c:pt idx="3540">
                  <c:v>84.07</c:v>
                </c:pt>
                <c:pt idx="3541">
                  <c:v>99.65</c:v>
                </c:pt>
                <c:pt idx="3542">
                  <c:v>82.33</c:v>
                </c:pt>
                <c:pt idx="3543">
                  <c:v>94.49</c:v>
                </c:pt>
                <c:pt idx="3544">
                  <c:v>108.71</c:v>
                </c:pt>
                <c:pt idx="3545">
                  <c:v>64.94</c:v>
                </c:pt>
                <c:pt idx="3546">
                  <c:v>98.22</c:v>
                </c:pt>
                <c:pt idx="3547">
                  <c:v>83.5</c:v>
                </c:pt>
                <c:pt idx="3548">
                  <c:v>192.47</c:v>
                </c:pt>
                <c:pt idx="3549">
                  <c:v>125.89</c:v>
                </c:pt>
                <c:pt idx="3550">
                  <c:v>87.72</c:v>
                </c:pt>
                <c:pt idx="3551">
                  <c:v>68.94</c:v>
                </c:pt>
                <c:pt idx="3552">
                  <c:v>66.510000000000005</c:v>
                </c:pt>
                <c:pt idx="3553">
                  <c:v>85.82</c:v>
                </c:pt>
                <c:pt idx="3554">
                  <c:v>87.47</c:v>
                </c:pt>
                <c:pt idx="3555">
                  <c:v>87.74</c:v>
                </c:pt>
                <c:pt idx="3556">
                  <c:v>85.12</c:v>
                </c:pt>
                <c:pt idx="3557">
                  <c:v>103.37</c:v>
                </c:pt>
                <c:pt idx="3558">
                  <c:v>81.680000000000007</c:v>
                </c:pt>
                <c:pt idx="3559">
                  <c:v>76.510000000000005</c:v>
                </c:pt>
                <c:pt idx="3560">
                  <c:v>110.17</c:v>
                </c:pt>
                <c:pt idx="3561">
                  <c:v>65.12</c:v>
                </c:pt>
                <c:pt idx="3562">
                  <c:v>76.66</c:v>
                </c:pt>
                <c:pt idx="3563">
                  <c:v>109.88</c:v>
                </c:pt>
                <c:pt idx="3564">
                  <c:v>199.38</c:v>
                </c:pt>
                <c:pt idx="3565">
                  <c:v>65.77</c:v>
                </c:pt>
                <c:pt idx="3566">
                  <c:v>55.72</c:v>
                </c:pt>
                <c:pt idx="3567">
                  <c:v>75.67</c:v>
                </c:pt>
                <c:pt idx="3568">
                  <c:v>88.18</c:v>
                </c:pt>
                <c:pt idx="3569">
                  <c:v>95.94</c:v>
                </c:pt>
                <c:pt idx="3570">
                  <c:v>86.93</c:v>
                </c:pt>
                <c:pt idx="3571">
                  <c:v>85.17</c:v>
                </c:pt>
                <c:pt idx="3572">
                  <c:v>111.1</c:v>
                </c:pt>
                <c:pt idx="3573">
                  <c:v>92</c:v>
                </c:pt>
                <c:pt idx="3574">
                  <c:v>97.47</c:v>
                </c:pt>
                <c:pt idx="3575">
                  <c:v>79.209999999999994</c:v>
                </c:pt>
                <c:pt idx="3576">
                  <c:v>83.97</c:v>
                </c:pt>
                <c:pt idx="3577">
                  <c:v>98.55</c:v>
                </c:pt>
                <c:pt idx="3578">
                  <c:v>202.98</c:v>
                </c:pt>
                <c:pt idx="3579">
                  <c:v>60.7</c:v>
                </c:pt>
                <c:pt idx="3580">
                  <c:v>92.22</c:v>
                </c:pt>
                <c:pt idx="3581">
                  <c:v>79.94</c:v>
                </c:pt>
                <c:pt idx="3582">
                  <c:v>83.68</c:v>
                </c:pt>
                <c:pt idx="3583">
                  <c:v>69.92</c:v>
                </c:pt>
                <c:pt idx="3584">
                  <c:v>136.96</c:v>
                </c:pt>
                <c:pt idx="3585">
                  <c:v>95.32</c:v>
                </c:pt>
                <c:pt idx="3586">
                  <c:v>107.78</c:v>
                </c:pt>
                <c:pt idx="3587">
                  <c:v>198.32</c:v>
                </c:pt>
                <c:pt idx="3588">
                  <c:v>100.16</c:v>
                </c:pt>
                <c:pt idx="3589">
                  <c:v>96.02</c:v>
                </c:pt>
                <c:pt idx="3590">
                  <c:v>112.69</c:v>
                </c:pt>
                <c:pt idx="3591">
                  <c:v>60.61</c:v>
                </c:pt>
                <c:pt idx="3592">
                  <c:v>79.77</c:v>
                </c:pt>
                <c:pt idx="3593">
                  <c:v>87.41</c:v>
                </c:pt>
                <c:pt idx="3594">
                  <c:v>226.38</c:v>
                </c:pt>
                <c:pt idx="3595">
                  <c:v>124.64</c:v>
                </c:pt>
                <c:pt idx="3596">
                  <c:v>69.42</c:v>
                </c:pt>
                <c:pt idx="3597">
                  <c:v>77.680000000000007</c:v>
                </c:pt>
                <c:pt idx="3598">
                  <c:v>112.79</c:v>
                </c:pt>
                <c:pt idx="3599">
                  <c:v>236.79</c:v>
                </c:pt>
                <c:pt idx="3600">
                  <c:v>219.82</c:v>
                </c:pt>
                <c:pt idx="3601">
                  <c:v>82.05</c:v>
                </c:pt>
                <c:pt idx="3602">
                  <c:v>104.08</c:v>
                </c:pt>
                <c:pt idx="3603">
                  <c:v>101.57</c:v>
                </c:pt>
                <c:pt idx="3604">
                  <c:v>71.319999999999993</c:v>
                </c:pt>
                <c:pt idx="3605">
                  <c:v>143.97</c:v>
                </c:pt>
                <c:pt idx="3606">
                  <c:v>239.19</c:v>
                </c:pt>
                <c:pt idx="3607">
                  <c:v>78.45</c:v>
                </c:pt>
                <c:pt idx="3608">
                  <c:v>61.11</c:v>
                </c:pt>
                <c:pt idx="3609">
                  <c:v>87.29</c:v>
                </c:pt>
                <c:pt idx="3610">
                  <c:v>82.49</c:v>
                </c:pt>
                <c:pt idx="3611">
                  <c:v>83.15</c:v>
                </c:pt>
                <c:pt idx="3612">
                  <c:v>83.26</c:v>
                </c:pt>
                <c:pt idx="3613">
                  <c:v>78.7</c:v>
                </c:pt>
                <c:pt idx="3614">
                  <c:v>111.94</c:v>
                </c:pt>
                <c:pt idx="3615">
                  <c:v>104.77</c:v>
                </c:pt>
                <c:pt idx="3616">
                  <c:v>104.26</c:v>
                </c:pt>
                <c:pt idx="3617">
                  <c:v>113.84</c:v>
                </c:pt>
                <c:pt idx="3618">
                  <c:v>114.71</c:v>
                </c:pt>
                <c:pt idx="3619">
                  <c:v>61.54</c:v>
                </c:pt>
                <c:pt idx="3620">
                  <c:v>133.62</c:v>
                </c:pt>
                <c:pt idx="3621">
                  <c:v>111.96</c:v>
                </c:pt>
                <c:pt idx="3622">
                  <c:v>112.44</c:v>
                </c:pt>
                <c:pt idx="3623">
                  <c:v>123.61</c:v>
                </c:pt>
                <c:pt idx="3624">
                  <c:v>84.68</c:v>
                </c:pt>
                <c:pt idx="3625">
                  <c:v>206.62</c:v>
                </c:pt>
                <c:pt idx="3626">
                  <c:v>114.54</c:v>
                </c:pt>
                <c:pt idx="3627">
                  <c:v>216.88</c:v>
                </c:pt>
                <c:pt idx="3628">
                  <c:v>110.38</c:v>
                </c:pt>
                <c:pt idx="3629">
                  <c:v>99.23</c:v>
                </c:pt>
                <c:pt idx="3630">
                  <c:v>204.92</c:v>
                </c:pt>
                <c:pt idx="3631">
                  <c:v>56.74</c:v>
                </c:pt>
                <c:pt idx="3632">
                  <c:v>68.349999999999994</c:v>
                </c:pt>
                <c:pt idx="3633">
                  <c:v>83.52</c:v>
                </c:pt>
                <c:pt idx="3634">
                  <c:v>59.74</c:v>
                </c:pt>
                <c:pt idx="3635">
                  <c:v>81.59</c:v>
                </c:pt>
                <c:pt idx="3636">
                  <c:v>123.83</c:v>
                </c:pt>
                <c:pt idx="3637">
                  <c:v>226.84</c:v>
                </c:pt>
                <c:pt idx="3638">
                  <c:v>93.2</c:v>
                </c:pt>
                <c:pt idx="3639">
                  <c:v>85.84</c:v>
                </c:pt>
                <c:pt idx="3640">
                  <c:v>74.64</c:v>
                </c:pt>
                <c:pt idx="3641">
                  <c:v>80.17</c:v>
                </c:pt>
                <c:pt idx="3642">
                  <c:v>85.03</c:v>
                </c:pt>
                <c:pt idx="3643">
                  <c:v>234.35</c:v>
                </c:pt>
                <c:pt idx="3644">
                  <c:v>116.25</c:v>
                </c:pt>
                <c:pt idx="3645">
                  <c:v>66.55</c:v>
                </c:pt>
                <c:pt idx="3646">
                  <c:v>88.38</c:v>
                </c:pt>
                <c:pt idx="3647">
                  <c:v>81.05</c:v>
                </c:pt>
                <c:pt idx="3648">
                  <c:v>68.400000000000006</c:v>
                </c:pt>
                <c:pt idx="3649">
                  <c:v>96.95</c:v>
                </c:pt>
                <c:pt idx="3650">
                  <c:v>66.239999999999995</c:v>
                </c:pt>
                <c:pt idx="3651">
                  <c:v>91.81</c:v>
                </c:pt>
                <c:pt idx="3652">
                  <c:v>84.86</c:v>
                </c:pt>
                <c:pt idx="3653">
                  <c:v>118.88</c:v>
                </c:pt>
                <c:pt idx="3654">
                  <c:v>85.91</c:v>
                </c:pt>
                <c:pt idx="3655">
                  <c:v>115.4</c:v>
                </c:pt>
                <c:pt idx="3656">
                  <c:v>75.34</c:v>
                </c:pt>
                <c:pt idx="3657">
                  <c:v>100.19</c:v>
                </c:pt>
                <c:pt idx="3658">
                  <c:v>200.73</c:v>
                </c:pt>
                <c:pt idx="3659">
                  <c:v>114.09</c:v>
                </c:pt>
                <c:pt idx="3660">
                  <c:v>67.3</c:v>
                </c:pt>
                <c:pt idx="3661">
                  <c:v>96.91</c:v>
                </c:pt>
                <c:pt idx="3662">
                  <c:v>116.2</c:v>
                </c:pt>
                <c:pt idx="3663">
                  <c:v>72.540000000000006</c:v>
                </c:pt>
                <c:pt idx="3664">
                  <c:v>96.01</c:v>
                </c:pt>
                <c:pt idx="3665">
                  <c:v>89.16</c:v>
                </c:pt>
                <c:pt idx="3666">
                  <c:v>108.64</c:v>
                </c:pt>
                <c:pt idx="3667">
                  <c:v>83.66</c:v>
                </c:pt>
                <c:pt idx="3668">
                  <c:v>81.209999999999994</c:v>
                </c:pt>
                <c:pt idx="3669">
                  <c:v>86.96</c:v>
                </c:pt>
                <c:pt idx="3670">
                  <c:v>92.95</c:v>
                </c:pt>
                <c:pt idx="3671">
                  <c:v>95.86</c:v>
                </c:pt>
                <c:pt idx="3672">
                  <c:v>85.52</c:v>
                </c:pt>
                <c:pt idx="3673">
                  <c:v>159.38999999999999</c:v>
                </c:pt>
                <c:pt idx="3674">
                  <c:v>202.51</c:v>
                </c:pt>
                <c:pt idx="3675">
                  <c:v>82.24</c:v>
                </c:pt>
                <c:pt idx="3676">
                  <c:v>109.81</c:v>
                </c:pt>
                <c:pt idx="3677">
                  <c:v>91.85</c:v>
                </c:pt>
                <c:pt idx="3678">
                  <c:v>123.49</c:v>
                </c:pt>
                <c:pt idx="3679">
                  <c:v>105.49</c:v>
                </c:pt>
                <c:pt idx="3680">
                  <c:v>101.53</c:v>
                </c:pt>
                <c:pt idx="3681">
                  <c:v>89.45</c:v>
                </c:pt>
                <c:pt idx="3682">
                  <c:v>126.04</c:v>
                </c:pt>
                <c:pt idx="3683">
                  <c:v>95.49</c:v>
                </c:pt>
                <c:pt idx="3684">
                  <c:v>89.38</c:v>
                </c:pt>
                <c:pt idx="3685">
                  <c:v>82.3</c:v>
                </c:pt>
                <c:pt idx="3686">
                  <c:v>218</c:v>
                </c:pt>
                <c:pt idx="3687">
                  <c:v>79.7</c:v>
                </c:pt>
                <c:pt idx="3688">
                  <c:v>209.15</c:v>
                </c:pt>
                <c:pt idx="3689">
                  <c:v>70.22</c:v>
                </c:pt>
                <c:pt idx="3690">
                  <c:v>83.57</c:v>
                </c:pt>
                <c:pt idx="3691">
                  <c:v>60.6</c:v>
                </c:pt>
                <c:pt idx="3692">
                  <c:v>97.24</c:v>
                </c:pt>
                <c:pt idx="3693">
                  <c:v>162.72</c:v>
                </c:pt>
                <c:pt idx="3694">
                  <c:v>73.27</c:v>
                </c:pt>
                <c:pt idx="3695">
                  <c:v>92.62</c:v>
                </c:pt>
                <c:pt idx="3696">
                  <c:v>90</c:v>
                </c:pt>
                <c:pt idx="3697">
                  <c:v>78.28</c:v>
                </c:pt>
                <c:pt idx="3698">
                  <c:v>87.81</c:v>
                </c:pt>
                <c:pt idx="3699">
                  <c:v>202.66</c:v>
                </c:pt>
                <c:pt idx="3700">
                  <c:v>196.5</c:v>
                </c:pt>
                <c:pt idx="3701">
                  <c:v>142.31</c:v>
                </c:pt>
                <c:pt idx="3702">
                  <c:v>94.96</c:v>
                </c:pt>
                <c:pt idx="3703">
                  <c:v>83.78</c:v>
                </c:pt>
                <c:pt idx="3704">
                  <c:v>86.1</c:v>
                </c:pt>
                <c:pt idx="3705">
                  <c:v>74.5</c:v>
                </c:pt>
                <c:pt idx="3706">
                  <c:v>66.959999999999994</c:v>
                </c:pt>
                <c:pt idx="3707">
                  <c:v>76.7</c:v>
                </c:pt>
                <c:pt idx="3708">
                  <c:v>103.12</c:v>
                </c:pt>
                <c:pt idx="3709">
                  <c:v>84.03</c:v>
                </c:pt>
                <c:pt idx="3710">
                  <c:v>74.150000000000006</c:v>
                </c:pt>
                <c:pt idx="3711">
                  <c:v>73.290000000000006</c:v>
                </c:pt>
                <c:pt idx="3712">
                  <c:v>115.16</c:v>
                </c:pt>
                <c:pt idx="3713">
                  <c:v>83.55</c:v>
                </c:pt>
                <c:pt idx="3714">
                  <c:v>61.53</c:v>
                </c:pt>
                <c:pt idx="3715">
                  <c:v>100.74</c:v>
                </c:pt>
                <c:pt idx="3716">
                  <c:v>59.31</c:v>
                </c:pt>
                <c:pt idx="3717">
                  <c:v>63.22</c:v>
                </c:pt>
                <c:pt idx="3718">
                  <c:v>209.5</c:v>
                </c:pt>
                <c:pt idx="3719">
                  <c:v>64.510000000000005</c:v>
                </c:pt>
                <c:pt idx="3720">
                  <c:v>90.07</c:v>
                </c:pt>
                <c:pt idx="3721">
                  <c:v>113.95</c:v>
                </c:pt>
                <c:pt idx="3722">
                  <c:v>119.32</c:v>
                </c:pt>
                <c:pt idx="3723">
                  <c:v>99.12</c:v>
                </c:pt>
                <c:pt idx="3724">
                  <c:v>152.84</c:v>
                </c:pt>
                <c:pt idx="3725">
                  <c:v>78.23</c:v>
                </c:pt>
                <c:pt idx="3726">
                  <c:v>68.8</c:v>
                </c:pt>
                <c:pt idx="3727">
                  <c:v>76.05</c:v>
                </c:pt>
                <c:pt idx="3728">
                  <c:v>116.49</c:v>
                </c:pt>
                <c:pt idx="3729">
                  <c:v>99.91</c:v>
                </c:pt>
                <c:pt idx="3730">
                  <c:v>76.099999999999994</c:v>
                </c:pt>
                <c:pt idx="3731">
                  <c:v>121.99</c:v>
                </c:pt>
                <c:pt idx="3732">
                  <c:v>116.21</c:v>
                </c:pt>
                <c:pt idx="3733">
                  <c:v>55.28</c:v>
                </c:pt>
                <c:pt idx="3734">
                  <c:v>219.81</c:v>
                </c:pt>
                <c:pt idx="3735">
                  <c:v>103.73</c:v>
                </c:pt>
                <c:pt idx="3736">
                  <c:v>153.08000000000001</c:v>
                </c:pt>
                <c:pt idx="3737">
                  <c:v>98.69</c:v>
                </c:pt>
                <c:pt idx="3738">
                  <c:v>94.11</c:v>
                </c:pt>
                <c:pt idx="3739">
                  <c:v>117.03</c:v>
                </c:pt>
                <c:pt idx="3740">
                  <c:v>91.35</c:v>
                </c:pt>
                <c:pt idx="3741">
                  <c:v>82.48</c:v>
                </c:pt>
                <c:pt idx="3742">
                  <c:v>99.76</c:v>
                </c:pt>
                <c:pt idx="3743">
                  <c:v>111.1</c:v>
                </c:pt>
                <c:pt idx="3744">
                  <c:v>122.25</c:v>
                </c:pt>
                <c:pt idx="3745">
                  <c:v>84.19</c:v>
                </c:pt>
                <c:pt idx="3746">
                  <c:v>84.6</c:v>
                </c:pt>
                <c:pt idx="3747">
                  <c:v>126.35</c:v>
                </c:pt>
                <c:pt idx="3748">
                  <c:v>87.5</c:v>
                </c:pt>
                <c:pt idx="3749">
                  <c:v>77.52</c:v>
                </c:pt>
                <c:pt idx="3750">
                  <c:v>133.13</c:v>
                </c:pt>
                <c:pt idx="3751">
                  <c:v>96.1</c:v>
                </c:pt>
                <c:pt idx="3752">
                  <c:v>108.61</c:v>
                </c:pt>
                <c:pt idx="3753">
                  <c:v>205.23</c:v>
                </c:pt>
                <c:pt idx="3754">
                  <c:v>76.739999999999995</c:v>
                </c:pt>
                <c:pt idx="3755">
                  <c:v>138.55000000000001</c:v>
                </c:pt>
                <c:pt idx="3756">
                  <c:v>234.27</c:v>
                </c:pt>
                <c:pt idx="3757">
                  <c:v>75.16</c:v>
                </c:pt>
                <c:pt idx="3758">
                  <c:v>77.08</c:v>
                </c:pt>
                <c:pt idx="3759">
                  <c:v>101.19</c:v>
                </c:pt>
                <c:pt idx="3760">
                  <c:v>107.74</c:v>
                </c:pt>
                <c:pt idx="3761">
                  <c:v>62.32</c:v>
                </c:pt>
                <c:pt idx="3762">
                  <c:v>56.32</c:v>
                </c:pt>
                <c:pt idx="3763">
                  <c:v>131.28</c:v>
                </c:pt>
                <c:pt idx="3764">
                  <c:v>67.02</c:v>
                </c:pt>
                <c:pt idx="3765">
                  <c:v>76.72</c:v>
                </c:pt>
                <c:pt idx="3766">
                  <c:v>125.98</c:v>
                </c:pt>
                <c:pt idx="3767">
                  <c:v>72.09</c:v>
                </c:pt>
                <c:pt idx="3768">
                  <c:v>88.05</c:v>
                </c:pt>
                <c:pt idx="3769">
                  <c:v>55.47</c:v>
                </c:pt>
                <c:pt idx="3770">
                  <c:v>145.94</c:v>
                </c:pt>
                <c:pt idx="3771">
                  <c:v>239.21</c:v>
                </c:pt>
                <c:pt idx="3772">
                  <c:v>196.08</c:v>
                </c:pt>
                <c:pt idx="3773">
                  <c:v>93.93</c:v>
                </c:pt>
                <c:pt idx="3774">
                  <c:v>76.739999999999995</c:v>
                </c:pt>
                <c:pt idx="3775">
                  <c:v>83.74</c:v>
                </c:pt>
                <c:pt idx="3776">
                  <c:v>119.58</c:v>
                </c:pt>
                <c:pt idx="3777">
                  <c:v>68.66</c:v>
                </c:pt>
                <c:pt idx="3778">
                  <c:v>65.790000000000006</c:v>
                </c:pt>
                <c:pt idx="3779">
                  <c:v>176.38</c:v>
                </c:pt>
                <c:pt idx="3780">
                  <c:v>175.74</c:v>
                </c:pt>
                <c:pt idx="3781">
                  <c:v>193.45</c:v>
                </c:pt>
                <c:pt idx="3782">
                  <c:v>85.84</c:v>
                </c:pt>
                <c:pt idx="3783">
                  <c:v>93.85</c:v>
                </c:pt>
                <c:pt idx="3784">
                  <c:v>86.21</c:v>
                </c:pt>
                <c:pt idx="3785">
                  <c:v>75.41</c:v>
                </c:pt>
                <c:pt idx="3786">
                  <c:v>95.28</c:v>
                </c:pt>
                <c:pt idx="3787">
                  <c:v>95.87</c:v>
                </c:pt>
                <c:pt idx="3788">
                  <c:v>180.45</c:v>
                </c:pt>
                <c:pt idx="3789">
                  <c:v>95.39</c:v>
                </c:pt>
                <c:pt idx="3790">
                  <c:v>60.77</c:v>
                </c:pt>
                <c:pt idx="3791">
                  <c:v>102.84</c:v>
                </c:pt>
                <c:pt idx="3792">
                  <c:v>130.37</c:v>
                </c:pt>
                <c:pt idx="3793">
                  <c:v>65.44</c:v>
                </c:pt>
                <c:pt idx="3794">
                  <c:v>79.84</c:v>
                </c:pt>
                <c:pt idx="3795">
                  <c:v>62.61</c:v>
                </c:pt>
                <c:pt idx="3796">
                  <c:v>70.069999999999993</c:v>
                </c:pt>
                <c:pt idx="3797">
                  <c:v>108.8</c:v>
                </c:pt>
                <c:pt idx="3798">
                  <c:v>112.11</c:v>
                </c:pt>
                <c:pt idx="3799">
                  <c:v>92.35</c:v>
                </c:pt>
                <c:pt idx="3800">
                  <c:v>76.569999999999993</c:v>
                </c:pt>
                <c:pt idx="3801">
                  <c:v>69.5</c:v>
                </c:pt>
                <c:pt idx="3802">
                  <c:v>219.38</c:v>
                </c:pt>
                <c:pt idx="3803">
                  <c:v>69.48</c:v>
                </c:pt>
                <c:pt idx="3804">
                  <c:v>89.18</c:v>
                </c:pt>
                <c:pt idx="3805">
                  <c:v>68.09</c:v>
                </c:pt>
                <c:pt idx="3806">
                  <c:v>92.71</c:v>
                </c:pt>
                <c:pt idx="3807">
                  <c:v>56.21</c:v>
                </c:pt>
                <c:pt idx="3808">
                  <c:v>72.08</c:v>
                </c:pt>
                <c:pt idx="3809">
                  <c:v>82.56</c:v>
                </c:pt>
                <c:pt idx="3810">
                  <c:v>78.239999999999995</c:v>
                </c:pt>
                <c:pt idx="3811">
                  <c:v>84.66</c:v>
                </c:pt>
                <c:pt idx="3812">
                  <c:v>90.35</c:v>
                </c:pt>
                <c:pt idx="3813">
                  <c:v>68.12</c:v>
                </c:pt>
                <c:pt idx="3814">
                  <c:v>59.14</c:v>
                </c:pt>
                <c:pt idx="3815">
                  <c:v>85.64</c:v>
                </c:pt>
                <c:pt idx="3816">
                  <c:v>56.08</c:v>
                </c:pt>
                <c:pt idx="3817">
                  <c:v>99</c:v>
                </c:pt>
                <c:pt idx="3818">
                  <c:v>93.6</c:v>
                </c:pt>
                <c:pt idx="3819">
                  <c:v>105.75</c:v>
                </c:pt>
                <c:pt idx="3820">
                  <c:v>114.09</c:v>
                </c:pt>
                <c:pt idx="3821">
                  <c:v>57.42</c:v>
                </c:pt>
                <c:pt idx="3822">
                  <c:v>100.01</c:v>
                </c:pt>
                <c:pt idx="3823">
                  <c:v>62</c:v>
                </c:pt>
                <c:pt idx="3824">
                  <c:v>103.61</c:v>
                </c:pt>
                <c:pt idx="3825">
                  <c:v>118.46</c:v>
                </c:pt>
                <c:pt idx="3826">
                  <c:v>94.77</c:v>
                </c:pt>
                <c:pt idx="3827">
                  <c:v>72.12</c:v>
                </c:pt>
                <c:pt idx="3828">
                  <c:v>155.22999999999999</c:v>
                </c:pt>
                <c:pt idx="3829">
                  <c:v>90.6</c:v>
                </c:pt>
                <c:pt idx="3830">
                  <c:v>81.92</c:v>
                </c:pt>
                <c:pt idx="3831">
                  <c:v>67.099999999999994</c:v>
                </c:pt>
                <c:pt idx="3832">
                  <c:v>58.01</c:v>
                </c:pt>
                <c:pt idx="3833">
                  <c:v>173.9</c:v>
                </c:pt>
                <c:pt idx="3834">
                  <c:v>106.27</c:v>
                </c:pt>
                <c:pt idx="3835">
                  <c:v>60.57</c:v>
                </c:pt>
                <c:pt idx="3836">
                  <c:v>105.34</c:v>
                </c:pt>
                <c:pt idx="3837">
                  <c:v>96.28</c:v>
                </c:pt>
                <c:pt idx="3838">
                  <c:v>122.73</c:v>
                </c:pt>
                <c:pt idx="3839">
                  <c:v>104.12</c:v>
                </c:pt>
                <c:pt idx="3840">
                  <c:v>69.739999999999995</c:v>
                </c:pt>
                <c:pt idx="3841">
                  <c:v>106.95</c:v>
                </c:pt>
                <c:pt idx="3842">
                  <c:v>94.63</c:v>
                </c:pt>
                <c:pt idx="3843">
                  <c:v>86.97</c:v>
                </c:pt>
                <c:pt idx="3844">
                  <c:v>76.12</c:v>
                </c:pt>
                <c:pt idx="3845">
                  <c:v>99.94</c:v>
                </c:pt>
                <c:pt idx="3846">
                  <c:v>91.53</c:v>
                </c:pt>
                <c:pt idx="3847">
                  <c:v>145.46</c:v>
                </c:pt>
                <c:pt idx="3848">
                  <c:v>74.86</c:v>
                </c:pt>
                <c:pt idx="3849">
                  <c:v>74.42</c:v>
                </c:pt>
                <c:pt idx="3850">
                  <c:v>70.069999999999993</c:v>
                </c:pt>
                <c:pt idx="3851">
                  <c:v>89.85</c:v>
                </c:pt>
                <c:pt idx="3852">
                  <c:v>104.21</c:v>
                </c:pt>
                <c:pt idx="3853">
                  <c:v>157.77000000000001</c:v>
                </c:pt>
                <c:pt idx="3854">
                  <c:v>101.81</c:v>
                </c:pt>
                <c:pt idx="3855">
                  <c:v>103</c:v>
                </c:pt>
                <c:pt idx="3856">
                  <c:v>101.85</c:v>
                </c:pt>
                <c:pt idx="3857">
                  <c:v>85.92</c:v>
                </c:pt>
                <c:pt idx="3858">
                  <c:v>56.85</c:v>
                </c:pt>
                <c:pt idx="3859">
                  <c:v>89.04</c:v>
                </c:pt>
                <c:pt idx="3860">
                  <c:v>63.01</c:v>
                </c:pt>
                <c:pt idx="3861">
                  <c:v>65.48</c:v>
                </c:pt>
                <c:pt idx="3862">
                  <c:v>68.599999999999994</c:v>
                </c:pt>
                <c:pt idx="3863">
                  <c:v>81.680000000000007</c:v>
                </c:pt>
                <c:pt idx="3864">
                  <c:v>65.209999999999994</c:v>
                </c:pt>
                <c:pt idx="3865">
                  <c:v>72.53</c:v>
                </c:pt>
                <c:pt idx="3866">
                  <c:v>81.78</c:v>
                </c:pt>
                <c:pt idx="3867">
                  <c:v>116.85</c:v>
                </c:pt>
                <c:pt idx="3868">
                  <c:v>80.83</c:v>
                </c:pt>
                <c:pt idx="3869">
                  <c:v>96.21</c:v>
                </c:pt>
                <c:pt idx="3870">
                  <c:v>117.04</c:v>
                </c:pt>
                <c:pt idx="3871">
                  <c:v>78.260000000000005</c:v>
                </c:pt>
                <c:pt idx="3872">
                  <c:v>58.24</c:v>
                </c:pt>
                <c:pt idx="3873">
                  <c:v>82.53</c:v>
                </c:pt>
                <c:pt idx="3874">
                  <c:v>71.25</c:v>
                </c:pt>
                <c:pt idx="3875">
                  <c:v>129.72999999999999</c:v>
                </c:pt>
                <c:pt idx="3876">
                  <c:v>115.47</c:v>
                </c:pt>
                <c:pt idx="3877">
                  <c:v>56.79</c:v>
                </c:pt>
                <c:pt idx="3878">
                  <c:v>100.16</c:v>
                </c:pt>
                <c:pt idx="3879">
                  <c:v>97.6</c:v>
                </c:pt>
                <c:pt idx="3880">
                  <c:v>90.54</c:v>
                </c:pt>
                <c:pt idx="3881">
                  <c:v>105.88</c:v>
                </c:pt>
                <c:pt idx="3882">
                  <c:v>217.94</c:v>
                </c:pt>
                <c:pt idx="3883">
                  <c:v>69.89</c:v>
                </c:pt>
                <c:pt idx="3884">
                  <c:v>93.28</c:v>
                </c:pt>
                <c:pt idx="3885">
                  <c:v>111.27</c:v>
                </c:pt>
                <c:pt idx="3886">
                  <c:v>91.04</c:v>
                </c:pt>
                <c:pt idx="3887">
                  <c:v>87.2</c:v>
                </c:pt>
                <c:pt idx="3888">
                  <c:v>109.12</c:v>
                </c:pt>
                <c:pt idx="3889">
                  <c:v>216.64</c:v>
                </c:pt>
                <c:pt idx="3890">
                  <c:v>74.28</c:v>
                </c:pt>
                <c:pt idx="3891">
                  <c:v>57.6</c:v>
                </c:pt>
                <c:pt idx="3892">
                  <c:v>173.97</c:v>
                </c:pt>
                <c:pt idx="3893">
                  <c:v>65.25</c:v>
                </c:pt>
                <c:pt idx="3894">
                  <c:v>80.92</c:v>
                </c:pt>
                <c:pt idx="3895">
                  <c:v>124.37</c:v>
                </c:pt>
                <c:pt idx="3896">
                  <c:v>102.39</c:v>
                </c:pt>
                <c:pt idx="3897">
                  <c:v>90.42</c:v>
                </c:pt>
                <c:pt idx="3898">
                  <c:v>79.17</c:v>
                </c:pt>
                <c:pt idx="3899">
                  <c:v>71.08</c:v>
                </c:pt>
                <c:pt idx="3900">
                  <c:v>81.540000000000006</c:v>
                </c:pt>
                <c:pt idx="3901">
                  <c:v>159.66999999999999</c:v>
                </c:pt>
                <c:pt idx="3902">
                  <c:v>93.96</c:v>
                </c:pt>
                <c:pt idx="3903">
                  <c:v>103.01</c:v>
                </c:pt>
                <c:pt idx="3904">
                  <c:v>92.49</c:v>
                </c:pt>
                <c:pt idx="3905">
                  <c:v>208.85</c:v>
                </c:pt>
                <c:pt idx="3906">
                  <c:v>122.39</c:v>
                </c:pt>
                <c:pt idx="3907">
                  <c:v>65.91</c:v>
                </c:pt>
                <c:pt idx="3908">
                  <c:v>70.25</c:v>
                </c:pt>
                <c:pt idx="3909">
                  <c:v>219.7</c:v>
                </c:pt>
                <c:pt idx="3910">
                  <c:v>65.7</c:v>
                </c:pt>
                <c:pt idx="3911">
                  <c:v>67.08</c:v>
                </c:pt>
                <c:pt idx="3912">
                  <c:v>107.58</c:v>
                </c:pt>
                <c:pt idx="3913">
                  <c:v>208.05</c:v>
                </c:pt>
                <c:pt idx="3914">
                  <c:v>95.87</c:v>
                </c:pt>
                <c:pt idx="3915">
                  <c:v>68.17</c:v>
                </c:pt>
                <c:pt idx="3916">
                  <c:v>95.37</c:v>
                </c:pt>
                <c:pt idx="3917">
                  <c:v>90</c:v>
                </c:pt>
                <c:pt idx="3918">
                  <c:v>106.1</c:v>
                </c:pt>
                <c:pt idx="3919">
                  <c:v>56.13</c:v>
                </c:pt>
                <c:pt idx="3920">
                  <c:v>104.03</c:v>
                </c:pt>
                <c:pt idx="3921">
                  <c:v>157.01</c:v>
                </c:pt>
                <c:pt idx="3922">
                  <c:v>84.35</c:v>
                </c:pt>
                <c:pt idx="3923">
                  <c:v>67.989999999999995</c:v>
                </c:pt>
                <c:pt idx="3924">
                  <c:v>118.93</c:v>
                </c:pt>
                <c:pt idx="3925">
                  <c:v>185.28</c:v>
                </c:pt>
                <c:pt idx="3926">
                  <c:v>82.08</c:v>
                </c:pt>
                <c:pt idx="3927">
                  <c:v>88.32</c:v>
                </c:pt>
                <c:pt idx="3928">
                  <c:v>85.16</c:v>
                </c:pt>
                <c:pt idx="3929">
                  <c:v>69.540000000000006</c:v>
                </c:pt>
                <c:pt idx="3930">
                  <c:v>62.12</c:v>
                </c:pt>
                <c:pt idx="3931">
                  <c:v>198.3</c:v>
                </c:pt>
                <c:pt idx="3932">
                  <c:v>100.06</c:v>
                </c:pt>
                <c:pt idx="3933">
                  <c:v>101.13</c:v>
                </c:pt>
                <c:pt idx="3934">
                  <c:v>91.09</c:v>
                </c:pt>
                <c:pt idx="3935">
                  <c:v>61.54</c:v>
                </c:pt>
                <c:pt idx="3936">
                  <c:v>62.02</c:v>
                </c:pt>
                <c:pt idx="3937">
                  <c:v>103.11</c:v>
                </c:pt>
                <c:pt idx="3938">
                  <c:v>77.569999999999993</c:v>
                </c:pt>
                <c:pt idx="3939">
                  <c:v>97.34</c:v>
                </c:pt>
                <c:pt idx="3940">
                  <c:v>78.760000000000005</c:v>
                </c:pt>
                <c:pt idx="3941">
                  <c:v>67.099999999999994</c:v>
                </c:pt>
                <c:pt idx="3942">
                  <c:v>79.89</c:v>
                </c:pt>
                <c:pt idx="3943">
                  <c:v>206.66</c:v>
                </c:pt>
                <c:pt idx="3944">
                  <c:v>95.79</c:v>
                </c:pt>
                <c:pt idx="3945">
                  <c:v>83.88</c:v>
                </c:pt>
                <c:pt idx="3946">
                  <c:v>93.51</c:v>
                </c:pt>
                <c:pt idx="3947">
                  <c:v>116.78</c:v>
                </c:pt>
                <c:pt idx="3948">
                  <c:v>117.63</c:v>
                </c:pt>
                <c:pt idx="3949">
                  <c:v>60.01</c:v>
                </c:pt>
                <c:pt idx="3950">
                  <c:v>64.599999999999994</c:v>
                </c:pt>
                <c:pt idx="3951">
                  <c:v>92.43</c:v>
                </c:pt>
                <c:pt idx="3952">
                  <c:v>71.63</c:v>
                </c:pt>
                <c:pt idx="3953">
                  <c:v>87.79</c:v>
                </c:pt>
                <c:pt idx="3954">
                  <c:v>99.64</c:v>
                </c:pt>
                <c:pt idx="3955">
                  <c:v>86.53</c:v>
                </c:pt>
                <c:pt idx="3956">
                  <c:v>200.68</c:v>
                </c:pt>
                <c:pt idx="3957">
                  <c:v>98.37</c:v>
                </c:pt>
                <c:pt idx="3958">
                  <c:v>117.98</c:v>
                </c:pt>
                <c:pt idx="3959">
                  <c:v>218.6</c:v>
                </c:pt>
                <c:pt idx="3960">
                  <c:v>101.3</c:v>
                </c:pt>
                <c:pt idx="3961">
                  <c:v>79.510000000000005</c:v>
                </c:pt>
                <c:pt idx="3962">
                  <c:v>223.26</c:v>
                </c:pt>
                <c:pt idx="3963">
                  <c:v>97.22</c:v>
                </c:pt>
                <c:pt idx="3964">
                  <c:v>172.27</c:v>
                </c:pt>
                <c:pt idx="3965">
                  <c:v>221.83</c:v>
                </c:pt>
                <c:pt idx="3966">
                  <c:v>74.61</c:v>
                </c:pt>
                <c:pt idx="3967">
                  <c:v>60.91</c:v>
                </c:pt>
                <c:pt idx="3968">
                  <c:v>69.790000000000006</c:v>
                </c:pt>
                <c:pt idx="3969">
                  <c:v>83.6</c:v>
                </c:pt>
                <c:pt idx="3970">
                  <c:v>83.95</c:v>
                </c:pt>
                <c:pt idx="3971">
                  <c:v>77.5</c:v>
                </c:pt>
                <c:pt idx="3972">
                  <c:v>64.290000000000006</c:v>
                </c:pt>
                <c:pt idx="3973">
                  <c:v>61.1</c:v>
                </c:pt>
                <c:pt idx="3974">
                  <c:v>100.71</c:v>
                </c:pt>
                <c:pt idx="3975">
                  <c:v>65.209999999999994</c:v>
                </c:pt>
                <c:pt idx="3976">
                  <c:v>119.77</c:v>
                </c:pt>
                <c:pt idx="3977">
                  <c:v>102.39</c:v>
                </c:pt>
                <c:pt idx="3978">
                  <c:v>59.67</c:v>
                </c:pt>
                <c:pt idx="3979">
                  <c:v>83.16</c:v>
                </c:pt>
                <c:pt idx="3980">
                  <c:v>218.1</c:v>
                </c:pt>
                <c:pt idx="3981">
                  <c:v>76.45</c:v>
                </c:pt>
                <c:pt idx="3982">
                  <c:v>200.46</c:v>
                </c:pt>
                <c:pt idx="3983">
                  <c:v>95.7</c:v>
                </c:pt>
                <c:pt idx="3984">
                  <c:v>70.23</c:v>
                </c:pt>
                <c:pt idx="3985">
                  <c:v>75.150000000000006</c:v>
                </c:pt>
                <c:pt idx="3986">
                  <c:v>95.8</c:v>
                </c:pt>
                <c:pt idx="3987">
                  <c:v>90.67</c:v>
                </c:pt>
                <c:pt idx="3988">
                  <c:v>84.79</c:v>
                </c:pt>
                <c:pt idx="3989">
                  <c:v>147.5</c:v>
                </c:pt>
                <c:pt idx="3990">
                  <c:v>134.12</c:v>
                </c:pt>
                <c:pt idx="3991">
                  <c:v>82.62</c:v>
                </c:pt>
                <c:pt idx="3992">
                  <c:v>125.11</c:v>
                </c:pt>
                <c:pt idx="3993">
                  <c:v>92.14</c:v>
                </c:pt>
                <c:pt idx="3994">
                  <c:v>217.79</c:v>
                </c:pt>
                <c:pt idx="3995">
                  <c:v>95.62</c:v>
                </c:pt>
                <c:pt idx="3996">
                  <c:v>93.8</c:v>
                </c:pt>
                <c:pt idx="3997">
                  <c:v>90.61</c:v>
                </c:pt>
                <c:pt idx="3998">
                  <c:v>139.19999999999999</c:v>
                </c:pt>
                <c:pt idx="3999">
                  <c:v>77.010000000000005</c:v>
                </c:pt>
                <c:pt idx="4000">
                  <c:v>105.26</c:v>
                </c:pt>
                <c:pt idx="4001">
                  <c:v>68.349999999999994</c:v>
                </c:pt>
                <c:pt idx="4002">
                  <c:v>99.07</c:v>
                </c:pt>
                <c:pt idx="4003">
                  <c:v>147.74</c:v>
                </c:pt>
                <c:pt idx="4004">
                  <c:v>61.29</c:v>
                </c:pt>
                <c:pt idx="4005">
                  <c:v>98.92</c:v>
                </c:pt>
                <c:pt idx="4006">
                  <c:v>90.74</c:v>
                </c:pt>
                <c:pt idx="4007">
                  <c:v>159.79</c:v>
                </c:pt>
                <c:pt idx="4008">
                  <c:v>233.47</c:v>
                </c:pt>
                <c:pt idx="4009">
                  <c:v>85.53</c:v>
                </c:pt>
                <c:pt idx="4010">
                  <c:v>76.7</c:v>
                </c:pt>
                <c:pt idx="4011">
                  <c:v>67.87</c:v>
                </c:pt>
                <c:pt idx="4012">
                  <c:v>77.260000000000005</c:v>
                </c:pt>
                <c:pt idx="4013">
                  <c:v>91.28</c:v>
                </c:pt>
                <c:pt idx="4014">
                  <c:v>129.19</c:v>
                </c:pt>
                <c:pt idx="4015">
                  <c:v>97.86</c:v>
                </c:pt>
                <c:pt idx="4016">
                  <c:v>112.33</c:v>
                </c:pt>
                <c:pt idx="4017">
                  <c:v>110.41</c:v>
                </c:pt>
                <c:pt idx="4018">
                  <c:v>91.58</c:v>
                </c:pt>
                <c:pt idx="4019">
                  <c:v>58.86</c:v>
                </c:pt>
                <c:pt idx="4020">
                  <c:v>76.88</c:v>
                </c:pt>
                <c:pt idx="4021">
                  <c:v>109.52</c:v>
                </c:pt>
                <c:pt idx="4022">
                  <c:v>181.23</c:v>
                </c:pt>
                <c:pt idx="4023">
                  <c:v>103.58</c:v>
                </c:pt>
                <c:pt idx="4024">
                  <c:v>81.96</c:v>
                </c:pt>
                <c:pt idx="4025">
                  <c:v>104.55</c:v>
                </c:pt>
                <c:pt idx="4026">
                  <c:v>76.12</c:v>
                </c:pt>
                <c:pt idx="4027">
                  <c:v>64.27</c:v>
                </c:pt>
                <c:pt idx="4028">
                  <c:v>200.98</c:v>
                </c:pt>
                <c:pt idx="4029">
                  <c:v>101.96</c:v>
                </c:pt>
                <c:pt idx="4030">
                  <c:v>84.17</c:v>
                </c:pt>
                <c:pt idx="4031">
                  <c:v>85.79</c:v>
                </c:pt>
                <c:pt idx="4032">
                  <c:v>71.459999999999994</c:v>
                </c:pt>
                <c:pt idx="4033">
                  <c:v>95.49</c:v>
                </c:pt>
                <c:pt idx="4034">
                  <c:v>87.62</c:v>
                </c:pt>
                <c:pt idx="4035">
                  <c:v>118.55</c:v>
                </c:pt>
                <c:pt idx="4036">
                  <c:v>82.14</c:v>
                </c:pt>
                <c:pt idx="4037">
                  <c:v>219.67</c:v>
                </c:pt>
                <c:pt idx="4038">
                  <c:v>135.84</c:v>
                </c:pt>
                <c:pt idx="4039">
                  <c:v>74.83</c:v>
                </c:pt>
                <c:pt idx="4040">
                  <c:v>60.37</c:v>
                </c:pt>
                <c:pt idx="4041">
                  <c:v>67.28</c:v>
                </c:pt>
                <c:pt idx="4042">
                  <c:v>77.790000000000006</c:v>
                </c:pt>
                <c:pt idx="4043">
                  <c:v>88.51</c:v>
                </c:pt>
                <c:pt idx="4044">
                  <c:v>90.38</c:v>
                </c:pt>
                <c:pt idx="4045">
                  <c:v>156.69</c:v>
                </c:pt>
                <c:pt idx="4046">
                  <c:v>207.6</c:v>
                </c:pt>
                <c:pt idx="4047">
                  <c:v>158.9</c:v>
                </c:pt>
                <c:pt idx="4048">
                  <c:v>247.97</c:v>
                </c:pt>
                <c:pt idx="4049">
                  <c:v>114.71</c:v>
                </c:pt>
                <c:pt idx="4050">
                  <c:v>58.55</c:v>
                </c:pt>
                <c:pt idx="4051">
                  <c:v>231.15</c:v>
                </c:pt>
                <c:pt idx="4052">
                  <c:v>68.180000000000007</c:v>
                </c:pt>
                <c:pt idx="4053">
                  <c:v>118.75</c:v>
                </c:pt>
                <c:pt idx="4054">
                  <c:v>186.54</c:v>
                </c:pt>
                <c:pt idx="4055">
                  <c:v>96.14</c:v>
                </c:pt>
                <c:pt idx="4056">
                  <c:v>69.52</c:v>
                </c:pt>
                <c:pt idx="4057">
                  <c:v>101.93</c:v>
                </c:pt>
                <c:pt idx="4058">
                  <c:v>71.58</c:v>
                </c:pt>
                <c:pt idx="4059">
                  <c:v>83.1</c:v>
                </c:pt>
                <c:pt idx="4060">
                  <c:v>110.96</c:v>
                </c:pt>
                <c:pt idx="4061">
                  <c:v>122.83</c:v>
                </c:pt>
                <c:pt idx="4062">
                  <c:v>91.65</c:v>
                </c:pt>
                <c:pt idx="4063">
                  <c:v>84.1</c:v>
                </c:pt>
                <c:pt idx="4064">
                  <c:v>118.85</c:v>
                </c:pt>
                <c:pt idx="4065">
                  <c:v>89.32</c:v>
                </c:pt>
                <c:pt idx="4066">
                  <c:v>128.72</c:v>
                </c:pt>
                <c:pt idx="4067">
                  <c:v>98.05</c:v>
                </c:pt>
                <c:pt idx="4068">
                  <c:v>102.1</c:v>
                </c:pt>
                <c:pt idx="4069">
                  <c:v>108.62</c:v>
                </c:pt>
                <c:pt idx="4070">
                  <c:v>96.19</c:v>
                </c:pt>
                <c:pt idx="4071">
                  <c:v>98.07</c:v>
                </c:pt>
                <c:pt idx="4072">
                  <c:v>71.400000000000006</c:v>
                </c:pt>
                <c:pt idx="4073">
                  <c:v>82.27</c:v>
                </c:pt>
                <c:pt idx="4074">
                  <c:v>158.33000000000001</c:v>
                </c:pt>
                <c:pt idx="4075">
                  <c:v>102.5</c:v>
                </c:pt>
                <c:pt idx="4076">
                  <c:v>72.180000000000007</c:v>
                </c:pt>
                <c:pt idx="4077">
                  <c:v>95.94</c:v>
                </c:pt>
                <c:pt idx="4078">
                  <c:v>87.15</c:v>
                </c:pt>
                <c:pt idx="4079">
                  <c:v>82.59</c:v>
                </c:pt>
                <c:pt idx="4080">
                  <c:v>89.31</c:v>
                </c:pt>
                <c:pt idx="4081">
                  <c:v>64.84</c:v>
                </c:pt>
                <c:pt idx="4082">
                  <c:v>107.52</c:v>
                </c:pt>
                <c:pt idx="4083">
                  <c:v>92.76</c:v>
                </c:pt>
                <c:pt idx="4084">
                  <c:v>79.16</c:v>
                </c:pt>
                <c:pt idx="4085">
                  <c:v>87</c:v>
                </c:pt>
                <c:pt idx="4086">
                  <c:v>145.25</c:v>
                </c:pt>
                <c:pt idx="4087">
                  <c:v>125.14</c:v>
                </c:pt>
                <c:pt idx="4088">
                  <c:v>88.6</c:v>
                </c:pt>
                <c:pt idx="4089">
                  <c:v>57.59</c:v>
                </c:pt>
                <c:pt idx="4090">
                  <c:v>59.43</c:v>
                </c:pt>
                <c:pt idx="4091">
                  <c:v>65.430000000000007</c:v>
                </c:pt>
                <c:pt idx="4092">
                  <c:v>154.03</c:v>
                </c:pt>
                <c:pt idx="4093">
                  <c:v>139.81</c:v>
                </c:pt>
                <c:pt idx="4094">
                  <c:v>111.81</c:v>
                </c:pt>
                <c:pt idx="4095">
                  <c:v>106.84</c:v>
                </c:pt>
                <c:pt idx="4096">
                  <c:v>221.06</c:v>
                </c:pt>
                <c:pt idx="4097">
                  <c:v>69.97</c:v>
                </c:pt>
                <c:pt idx="4098">
                  <c:v>77.069999999999993</c:v>
                </c:pt>
                <c:pt idx="4099">
                  <c:v>59.49</c:v>
                </c:pt>
                <c:pt idx="4100">
                  <c:v>109.39</c:v>
                </c:pt>
                <c:pt idx="4101">
                  <c:v>93.97</c:v>
                </c:pt>
                <c:pt idx="4102">
                  <c:v>163.16999999999999</c:v>
                </c:pt>
                <c:pt idx="4103">
                  <c:v>124.39</c:v>
                </c:pt>
                <c:pt idx="4104">
                  <c:v>212.62</c:v>
                </c:pt>
                <c:pt idx="4105">
                  <c:v>128.63</c:v>
                </c:pt>
                <c:pt idx="4106">
                  <c:v>84.1</c:v>
                </c:pt>
                <c:pt idx="4107">
                  <c:v>77.599999999999994</c:v>
                </c:pt>
                <c:pt idx="4108">
                  <c:v>70.510000000000005</c:v>
                </c:pt>
                <c:pt idx="4109">
                  <c:v>109.19</c:v>
                </c:pt>
                <c:pt idx="4110">
                  <c:v>55.23</c:v>
                </c:pt>
                <c:pt idx="4111">
                  <c:v>120.15</c:v>
                </c:pt>
                <c:pt idx="4112">
                  <c:v>72.16</c:v>
                </c:pt>
                <c:pt idx="4113">
                  <c:v>95.89</c:v>
                </c:pt>
                <c:pt idx="4114">
                  <c:v>64.680000000000007</c:v>
                </c:pt>
                <c:pt idx="4115">
                  <c:v>70.510000000000005</c:v>
                </c:pt>
                <c:pt idx="4116">
                  <c:v>81.77</c:v>
                </c:pt>
                <c:pt idx="4117">
                  <c:v>66.47</c:v>
                </c:pt>
                <c:pt idx="4118">
                  <c:v>146.08000000000001</c:v>
                </c:pt>
                <c:pt idx="4119">
                  <c:v>91.68</c:v>
                </c:pt>
                <c:pt idx="4120">
                  <c:v>108.96</c:v>
                </c:pt>
                <c:pt idx="4121">
                  <c:v>113.41</c:v>
                </c:pt>
                <c:pt idx="4122">
                  <c:v>111.08</c:v>
                </c:pt>
                <c:pt idx="4123">
                  <c:v>217.74</c:v>
                </c:pt>
                <c:pt idx="4124">
                  <c:v>78.5</c:v>
                </c:pt>
                <c:pt idx="4125">
                  <c:v>89.06</c:v>
                </c:pt>
                <c:pt idx="4126">
                  <c:v>74.8</c:v>
                </c:pt>
                <c:pt idx="4127">
                  <c:v>80.2</c:v>
                </c:pt>
                <c:pt idx="4128">
                  <c:v>76.52</c:v>
                </c:pt>
                <c:pt idx="4129">
                  <c:v>208.99</c:v>
                </c:pt>
                <c:pt idx="4130">
                  <c:v>99.72</c:v>
                </c:pt>
                <c:pt idx="4131">
                  <c:v>102.97</c:v>
                </c:pt>
                <c:pt idx="4132">
                  <c:v>197.36</c:v>
                </c:pt>
                <c:pt idx="4133">
                  <c:v>98.56</c:v>
                </c:pt>
                <c:pt idx="4134">
                  <c:v>86.06</c:v>
                </c:pt>
                <c:pt idx="4135">
                  <c:v>123.08</c:v>
                </c:pt>
                <c:pt idx="4136">
                  <c:v>75</c:v>
                </c:pt>
                <c:pt idx="4137">
                  <c:v>105.9</c:v>
                </c:pt>
                <c:pt idx="4138">
                  <c:v>73.87</c:v>
                </c:pt>
                <c:pt idx="4139">
                  <c:v>78.040000000000006</c:v>
                </c:pt>
                <c:pt idx="4140">
                  <c:v>107.74</c:v>
                </c:pt>
                <c:pt idx="4141">
                  <c:v>60.64</c:v>
                </c:pt>
                <c:pt idx="4142">
                  <c:v>82.57</c:v>
                </c:pt>
                <c:pt idx="4143">
                  <c:v>115.98</c:v>
                </c:pt>
                <c:pt idx="4144">
                  <c:v>110.38</c:v>
                </c:pt>
                <c:pt idx="4145">
                  <c:v>92.59</c:v>
                </c:pt>
                <c:pt idx="4146">
                  <c:v>82.64</c:v>
                </c:pt>
                <c:pt idx="4147">
                  <c:v>70.28</c:v>
                </c:pt>
                <c:pt idx="4148">
                  <c:v>106.54</c:v>
                </c:pt>
                <c:pt idx="4149">
                  <c:v>59.11</c:v>
                </c:pt>
                <c:pt idx="4150">
                  <c:v>58.89</c:v>
                </c:pt>
                <c:pt idx="4151">
                  <c:v>129.66</c:v>
                </c:pt>
                <c:pt idx="4152">
                  <c:v>73.569999999999993</c:v>
                </c:pt>
                <c:pt idx="4153">
                  <c:v>72.040000000000006</c:v>
                </c:pt>
                <c:pt idx="4154">
                  <c:v>125.63</c:v>
                </c:pt>
                <c:pt idx="4155">
                  <c:v>77.94</c:v>
                </c:pt>
                <c:pt idx="4156">
                  <c:v>68.989999999999995</c:v>
                </c:pt>
                <c:pt idx="4157">
                  <c:v>111.76</c:v>
                </c:pt>
                <c:pt idx="4158">
                  <c:v>65.36</c:v>
                </c:pt>
                <c:pt idx="4159">
                  <c:v>80.27</c:v>
                </c:pt>
                <c:pt idx="4160">
                  <c:v>81.73</c:v>
                </c:pt>
                <c:pt idx="4161">
                  <c:v>79.22</c:v>
                </c:pt>
                <c:pt idx="4162">
                  <c:v>142.63</c:v>
                </c:pt>
                <c:pt idx="4163">
                  <c:v>97.05</c:v>
                </c:pt>
                <c:pt idx="4164">
                  <c:v>222.52</c:v>
                </c:pt>
                <c:pt idx="4165">
                  <c:v>70.38</c:v>
                </c:pt>
                <c:pt idx="4166">
                  <c:v>114.46</c:v>
                </c:pt>
                <c:pt idx="4167">
                  <c:v>64.62</c:v>
                </c:pt>
                <c:pt idx="4168">
                  <c:v>94.12</c:v>
                </c:pt>
                <c:pt idx="4169">
                  <c:v>70.19</c:v>
                </c:pt>
                <c:pt idx="4170">
                  <c:v>55.35</c:v>
                </c:pt>
                <c:pt idx="4171">
                  <c:v>115.52</c:v>
                </c:pt>
                <c:pt idx="4172">
                  <c:v>60.7</c:v>
                </c:pt>
                <c:pt idx="4173">
                  <c:v>69.239999999999995</c:v>
                </c:pt>
                <c:pt idx="4174">
                  <c:v>103.29</c:v>
                </c:pt>
                <c:pt idx="4175">
                  <c:v>92.74</c:v>
                </c:pt>
                <c:pt idx="4176">
                  <c:v>232.64</c:v>
                </c:pt>
                <c:pt idx="4177">
                  <c:v>82.46</c:v>
                </c:pt>
                <c:pt idx="4178">
                  <c:v>63.57</c:v>
                </c:pt>
                <c:pt idx="4179">
                  <c:v>73.239999999999995</c:v>
                </c:pt>
                <c:pt idx="4180">
                  <c:v>78.430000000000007</c:v>
                </c:pt>
                <c:pt idx="4181">
                  <c:v>57.46</c:v>
                </c:pt>
                <c:pt idx="4182">
                  <c:v>104.16</c:v>
                </c:pt>
                <c:pt idx="4183">
                  <c:v>110.42</c:v>
                </c:pt>
                <c:pt idx="4184">
                  <c:v>119.4</c:v>
                </c:pt>
                <c:pt idx="4185">
                  <c:v>119.13</c:v>
                </c:pt>
                <c:pt idx="4186">
                  <c:v>120.22</c:v>
                </c:pt>
                <c:pt idx="4187">
                  <c:v>80.8</c:v>
                </c:pt>
                <c:pt idx="4188">
                  <c:v>57.96</c:v>
                </c:pt>
                <c:pt idx="4189">
                  <c:v>81.239999999999995</c:v>
                </c:pt>
                <c:pt idx="4190">
                  <c:v>88.79</c:v>
                </c:pt>
                <c:pt idx="4191">
                  <c:v>70.91</c:v>
                </c:pt>
                <c:pt idx="4192">
                  <c:v>87.12</c:v>
                </c:pt>
                <c:pt idx="4193">
                  <c:v>126.09</c:v>
                </c:pt>
                <c:pt idx="4194">
                  <c:v>76.42</c:v>
                </c:pt>
                <c:pt idx="4195">
                  <c:v>56.33</c:v>
                </c:pt>
                <c:pt idx="4196">
                  <c:v>131.81</c:v>
                </c:pt>
                <c:pt idx="4197">
                  <c:v>95.23</c:v>
                </c:pt>
                <c:pt idx="4198">
                  <c:v>71.180000000000007</c:v>
                </c:pt>
                <c:pt idx="4199">
                  <c:v>87.71</c:v>
                </c:pt>
                <c:pt idx="4200">
                  <c:v>115.68</c:v>
                </c:pt>
                <c:pt idx="4201">
                  <c:v>207.37</c:v>
                </c:pt>
                <c:pt idx="4202">
                  <c:v>74.430000000000007</c:v>
                </c:pt>
                <c:pt idx="4203">
                  <c:v>75.099999999999994</c:v>
                </c:pt>
                <c:pt idx="4204">
                  <c:v>69.72</c:v>
                </c:pt>
                <c:pt idx="4205">
                  <c:v>111.84</c:v>
                </c:pt>
                <c:pt idx="4206">
                  <c:v>111.08</c:v>
                </c:pt>
                <c:pt idx="4207">
                  <c:v>201.96</c:v>
                </c:pt>
                <c:pt idx="4208">
                  <c:v>68.680000000000007</c:v>
                </c:pt>
                <c:pt idx="4209">
                  <c:v>56.9</c:v>
                </c:pt>
                <c:pt idx="4210">
                  <c:v>91.16</c:v>
                </c:pt>
                <c:pt idx="4211">
                  <c:v>99.44</c:v>
                </c:pt>
                <c:pt idx="4212">
                  <c:v>78.849999999999994</c:v>
                </c:pt>
                <c:pt idx="4213">
                  <c:v>123.89</c:v>
                </c:pt>
                <c:pt idx="4214">
                  <c:v>90.44</c:v>
                </c:pt>
                <c:pt idx="4215">
                  <c:v>138.44</c:v>
                </c:pt>
                <c:pt idx="4216">
                  <c:v>75.06</c:v>
                </c:pt>
                <c:pt idx="4217">
                  <c:v>85.66</c:v>
                </c:pt>
                <c:pt idx="4218">
                  <c:v>102.76</c:v>
                </c:pt>
                <c:pt idx="4219">
                  <c:v>71.790000000000006</c:v>
                </c:pt>
                <c:pt idx="4220">
                  <c:v>167.16</c:v>
                </c:pt>
                <c:pt idx="4221">
                  <c:v>131.05000000000001</c:v>
                </c:pt>
                <c:pt idx="4222">
                  <c:v>86.92</c:v>
                </c:pt>
                <c:pt idx="4223">
                  <c:v>59.62</c:v>
                </c:pt>
                <c:pt idx="4224">
                  <c:v>103.72</c:v>
                </c:pt>
                <c:pt idx="4225">
                  <c:v>77.099999999999994</c:v>
                </c:pt>
                <c:pt idx="4226">
                  <c:v>94.75</c:v>
                </c:pt>
                <c:pt idx="4227">
                  <c:v>77.72</c:v>
                </c:pt>
                <c:pt idx="4228">
                  <c:v>76.09</c:v>
                </c:pt>
                <c:pt idx="4229">
                  <c:v>61.8</c:v>
                </c:pt>
                <c:pt idx="4230">
                  <c:v>92.97</c:v>
                </c:pt>
                <c:pt idx="4231">
                  <c:v>83.73</c:v>
                </c:pt>
                <c:pt idx="4232">
                  <c:v>79.33</c:v>
                </c:pt>
                <c:pt idx="4233">
                  <c:v>108.32</c:v>
                </c:pt>
                <c:pt idx="4234">
                  <c:v>103.65</c:v>
                </c:pt>
                <c:pt idx="4235">
                  <c:v>86.19</c:v>
                </c:pt>
                <c:pt idx="4236">
                  <c:v>131.41999999999999</c:v>
                </c:pt>
                <c:pt idx="4237">
                  <c:v>69.459999999999994</c:v>
                </c:pt>
                <c:pt idx="4238">
                  <c:v>76.78</c:v>
                </c:pt>
                <c:pt idx="4239">
                  <c:v>103.78</c:v>
                </c:pt>
                <c:pt idx="4240">
                  <c:v>213.43</c:v>
                </c:pt>
                <c:pt idx="4241">
                  <c:v>93.52</c:v>
                </c:pt>
                <c:pt idx="4242">
                  <c:v>115.07</c:v>
                </c:pt>
                <c:pt idx="4243">
                  <c:v>69.45</c:v>
                </c:pt>
                <c:pt idx="4244">
                  <c:v>81</c:v>
                </c:pt>
                <c:pt idx="4245">
                  <c:v>83.16</c:v>
                </c:pt>
                <c:pt idx="4246">
                  <c:v>108.63</c:v>
                </c:pt>
                <c:pt idx="4247">
                  <c:v>88.06</c:v>
                </c:pt>
                <c:pt idx="4248">
                  <c:v>80.569999999999993</c:v>
                </c:pt>
                <c:pt idx="4249">
                  <c:v>248.24</c:v>
                </c:pt>
                <c:pt idx="4250">
                  <c:v>57.79</c:v>
                </c:pt>
                <c:pt idx="4251">
                  <c:v>87.4</c:v>
                </c:pt>
                <c:pt idx="4252">
                  <c:v>76.63</c:v>
                </c:pt>
                <c:pt idx="4253">
                  <c:v>58.01</c:v>
                </c:pt>
                <c:pt idx="4254">
                  <c:v>77.430000000000007</c:v>
                </c:pt>
                <c:pt idx="4255">
                  <c:v>101.12</c:v>
                </c:pt>
                <c:pt idx="4256">
                  <c:v>64.45</c:v>
                </c:pt>
                <c:pt idx="4257">
                  <c:v>79.42</c:v>
                </c:pt>
                <c:pt idx="4258">
                  <c:v>82.94</c:v>
                </c:pt>
                <c:pt idx="4259">
                  <c:v>81.58</c:v>
                </c:pt>
                <c:pt idx="4260">
                  <c:v>62.21</c:v>
                </c:pt>
                <c:pt idx="4261">
                  <c:v>229.94</c:v>
                </c:pt>
                <c:pt idx="4262">
                  <c:v>116.06</c:v>
                </c:pt>
                <c:pt idx="4263">
                  <c:v>117.77</c:v>
                </c:pt>
                <c:pt idx="4264">
                  <c:v>66.69</c:v>
                </c:pt>
                <c:pt idx="4265">
                  <c:v>122.23</c:v>
                </c:pt>
                <c:pt idx="4266">
                  <c:v>168.68</c:v>
                </c:pt>
                <c:pt idx="4267">
                  <c:v>119.9</c:v>
                </c:pt>
                <c:pt idx="4268">
                  <c:v>110.33</c:v>
                </c:pt>
                <c:pt idx="4269">
                  <c:v>77.95</c:v>
                </c:pt>
                <c:pt idx="4270">
                  <c:v>80.349999999999994</c:v>
                </c:pt>
                <c:pt idx="4271">
                  <c:v>57.38</c:v>
                </c:pt>
                <c:pt idx="4272">
                  <c:v>96.47</c:v>
                </c:pt>
                <c:pt idx="4273">
                  <c:v>70.66</c:v>
                </c:pt>
                <c:pt idx="4274">
                  <c:v>202.06</c:v>
                </c:pt>
                <c:pt idx="4275">
                  <c:v>91.3</c:v>
                </c:pt>
                <c:pt idx="4276">
                  <c:v>67.56</c:v>
                </c:pt>
                <c:pt idx="4277">
                  <c:v>126.12</c:v>
                </c:pt>
                <c:pt idx="4278">
                  <c:v>86.4</c:v>
                </c:pt>
                <c:pt idx="4279">
                  <c:v>103.22</c:v>
                </c:pt>
                <c:pt idx="4280">
                  <c:v>88.85</c:v>
                </c:pt>
                <c:pt idx="4281">
                  <c:v>63.9</c:v>
                </c:pt>
                <c:pt idx="4282">
                  <c:v>81.319999999999993</c:v>
                </c:pt>
                <c:pt idx="4283">
                  <c:v>253.93</c:v>
                </c:pt>
                <c:pt idx="4284">
                  <c:v>78.11</c:v>
                </c:pt>
                <c:pt idx="4285">
                  <c:v>134.65</c:v>
                </c:pt>
                <c:pt idx="4286">
                  <c:v>194.75</c:v>
                </c:pt>
                <c:pt idx="4287">
                  <c:v>77.94</c:v>
                </c:pt>
                <c:pt idx="4288">
                  <c:v>56.94</c:v>
                </c:pt>
                <c:pt idx="4289">
                  <c:v>117.03</c:v>
                </c:pt>
                <c:pt idx="4290">
                  <c:v>207.84</c:v>
                </c:pt>
                <c:pt idx="4291">
                  <c:v>228.26</c:v>
                </c:pt>
                <c:pt idx="4292">
                  <c:v>84.43</c:v>
                </c:pt>
                <c:pt idx="4293">
                  <c:v>57.09</c:v>
                </c:pt>
                <c:pt idx="4294">
                  <c:v>94.89</c:v>
                </c:pt>
                <c:pt idx="4295">
                  <c:v>132.46</c:v>
                </c:pt>
                <c:pt idx="4296">
                  <c:v>75.13</c:v>
                </c:pt>
                <c:pt idx="4297">
                  <c:v>76.64</c:v>
                </c:pt>
                <c:pt idx="4298">
                  <c:v>91.32</c:v>
                </c:pt>
                <c:pt idx="4299">
                  <c:v>85.9</c:v>
                </c:pt>
                <c:pt idx="4300">
                  <c:v>76.19</c:v>
                </c:pt>
                <c:pt idx="4301">
                  <c:v>85.77</c:v>
                </c:pt>
                <c:pt idx="4302">
                  <c:v>63.42</c:v>
                </c:pt>
                <c:pt idx="4303">
                  <c:v>112.02</c:v>
                </c:pt>
                <c:pt idx="4304">
                  <c:v>203.76</c:v>
                </c:pt>
                <c:pt idx="4305">
                  <c:v>98.44</c:v>
                </c:pt>
                <c:pt idx="4306">
                  <c:v>79.569999999999993</c:v>
                </c:pt>
                <c:pt idx="4307">
                  <c:v>63.98</c:v>
                </c:pt>
                <c:pt idx="4308">
                  <c:v>101.46</c:v>
                </c:pt>
                <c:pt idx="4309">
                  <c:v>74.66</c:v>
                </c:pt>
                <c:pt idx="4310">
                  <c:v>68.66</c:v>
                </c:pt>
                <c:pt idx="4311">
                  <c:v>205.78</c:v>
                </c:pt>
                <c:pt idx="4312">
                  <c:v>111.24</c:v>
                </c:pt>
                <c:pt idx="4313">
                  <c:v>134.76</c:v>
                </c:pt>
                <c:pt idx="4314">
                  <c:v>110.1</c:v>
                </c:pt>
                <c:pt idx="4315">
                  <c:v>100.8</c:v>
                </c:pt>
                <c:pt idx="4316">
                  <c:v>113.08</c:v>
                </c:pt>
                <c:pt idx="4317">
                  <c:v>56.48</c:v>
                </c:pt>
                <c:pt idx="4318">
                  <c:v>77.77</c:v>
                </c:pt>
                <c:pt idx="4319">
                  <c:v>104.02</c:v>
                </c:pt>
                <c:pt idx="4320">
                  <c:v>83.59</c:v>
                </c:pt>
                <c:pt idx="4321">
                  <c:v>179.67</c:v>
                </c:pt>
                <c:pt idx="4322">
                  <c:v>91.89</c:v>
                </c:pt>
                <c:pt idx="4323">
                  <c:v>78.900000000000006</c:v>
                </c:pt>
                <c:pt idx="4324">
                  <c:v>230.74</c:v>
                </c:pt>
                <c:pt idx="4325">
                  <c:v>216.19</c:v>
                </c:pt>
                <c:pt idx="4326">
                  <c:v>83.7</c:v>
                </c:pt>
                <c:pt idx="4327">
                  <c:v>200.66</c:v>
                </c:pt>
                <c:pt idx="4328">
                  <c:v>73.989999999999995</c:v>
                </c:pt>
                <c:pt idx="4329">
                  <c:v>228.5</c:v>
                </c:pt>
                <c:pt idx="4330">
                  <c:v>70.430000000000007</c:v>
                </c:pt>
                <c:pt idx="4331">
                  <c:v>74.39</c:v>
                </c:pt>
                <c:pt idx="4332">
                  <c:v>102.92</c:v>
                </c:pt>
                <c:pt idx="4333">
                  <c:v>87.91</c:v>
                </c:pt>
                <c:pt idx="4334">
                  <c:v>118.55</c:v>
                </c:pt>
                <c:pt idx="4335">
                  <c:v>232.29</c:v>
                </c:pt>
                <c:pt idx="4336">
                  <c:v>125.32</c:v>
                </c:pt>
                <c:pt idx="4337">
                  <c:v>78.98</c:v>
                </c:pt>
                <c:pt idx="4338">
                  <c:v>100.2</c:v>
                </c:pt>
                <c:pt idx="4339">
                  <c:v>200.91</c:v>
                </c:pt>
                <c:pt idx="4340">
                  <c:v>95.24</c:v>
                </c:pt>
                <c:pt idx="4341">
                  <c:v>56.64</c:v>
                </c:pt>
                <c:pt idx="4342">
                  <c:v>80.48</c:v>
                </c:pt>
                <c:pt idx="4343">
                  <c:v>112.96</c:v>
                </c:pt>
                <c:pt idx="4344">
                  <c:v>236.04</c:v>
                </c:pt>
                <c:pt idx="4345">
                  <c:v>73</c:v>
                </c:pt>
                <c:pt idx="4346">
                  <c:v>61.13</c:v>
                </c:pt>
                <c:pt idx="4347">
                  <c:v>88.56</c:v>
                </c:pt>
                <c:pt idx="4348">
                  <c:v>66.16</c:v>
                </c:pt>
                <c:pt idx="4349">
                  <c:v>88.98</c:v>
                </c:pt>
                <c:pt idx="4350">
                  <c:v>94.39</c:v>
                </c:pt>
                <c:pt idx="4351">
                  <c:v>87.39</c:v>
                </c:pt>
                <c:pt idx="4352">
                  <c:v>77.91</c:v>
                </c:pt>
                <c:pt idx="4353">
                  <c:v>86.85</c:v>
                </c:pt>
                <c:pt idx="4354">
                  <c:v>94.37</c:v>
                </c:pt>
                <c:pt idx="4355">
                  <c:v>76.64</c:v>
                </c:pt>
                <c:pt idx="4356">
                  <c:v>254.95</c:v>
                </c:pt>
                <c:pt idx="4357">
                  <c:v>107.33</c:v>
                </c:pt>
                <c:pt idx="4358">
                  <c:v>80.94</c:v>
                </c:pt>
                <c:pt idx="4359">
                  <c:v>112.02</c:v>
                </c:pt>
                <c:pt idx="4360">
                  <c:v>196.58</c:v>
                </c:pt>
                <c:pt idx="4361">
                  <c:v>89.14</c:v>
                </c:pt>
                <c:pt idx="4362">
                  <c:v>69.94</c:v>
                </c:pt>
                <c:pt idx="4363">
                  <c:v>55.79</c:v>
                </c:pt>
                <c:pt idx="4364">
                  <c:v>73.08</c:v>
                </c:pt>
                <c:pt idx="4365">
                  <c:v>96.02</c:v>
                </c:pt>
                <c:pt idx="4366">
                  <c:v>189.82</c:v>
                </c:pt>
                <c:pt idx="4367">
                  <c:v>89.68</c:v>
                </c:pt>
                <c:pt idx="4368">
                  <c:v>101.06</c:v>
                </c:pt>
                <c:pt idx="4369">
                  <c:v>62.66</c:v>
                </c:pt>
                <c:pt idx="4370">
                  <c:v>84.03</c:v>
                </c:pt>
                <c:pt idx="4371">
                  <c:v>108.38</c:v>
                </c:pt>
                <c:pt idx="4372">
                  <c:v>78.790000000000006</c:v>
                </c:pt>
                <c:pt idx="4373">
                  <c:v>76.12</c:v>
                </c:pt>
                <c:pt idx="4374">
                  <c:v>68.010000000000005</c:v>
                </c:pt>
                <c:pt idx="4375">
                  <c:v>90.11</c:v>
                </c:pt>
                <c:pt idx="4376">
                  <c:v>193.61</c:v>
                </c:pt>
                <c:pt idx="4377">
                  <c:v>195.74</c:v>
                </c:pt>
                <c:pt idx="4378">
                  <c:v>94.77</c:v>
                </c:pt>
                <c:pt idx="4379">
                  <c:v>85</c:v>
                </c:pt>
                <c:pt idx="4380">
                  <c:v>141.37</c:v>
                </c:pt>
                <c:pt idx="4381">
                  <c:v>90.71</c:v>
                </c:pt>
                <c:pt idx="4382">
                  <c:v>106.8</c:v>
                </c:pt>
                <c:pt idx="4383">
                  <c:v>121.66</c:v>
                </c:pt>
                <c:pt idx="4384">
                  <c:v>85.18</c:v>
                </c:pt>
                <c:pt idx="4385">
                  <c:v>130.07</c:v>
                </c:pt>
                <c:pt idx="4386">
                  <c:v>74.239999999999995</c:v>
                </c:pt>
                <c:pt idx="4387">
                  <c:v>79.98</c:v>
                </c:pt>
                <c:pt idx="4388">
                  <c:v>106.76</c:v>
                </c:pt>
                <c:pt idx="4389">
                  <c:v>76.34</c:v>
                </c:pt>
                <c:pt idx="4390">
                  <c:v>221.24</c:v>
                </c:pt>
                <c:pt idx="4391">
                  <c:v>80.55</c:v>
                </c:pt>
                <c:pt idx="4392">
                  <c:v>63.98</c:v>
                </c:pt>
                <c:pt idx="4393">
                  <c:v>55.93</c:v>
                </c:pt>
                <c:pt idx="4394">
                  <c:v>73.94</c:v>
                </c:pt>
                <c:pt idx="4395">
                  <c:v>65.58</c:v>
                </c:pt>
                <c:pt idx="4396">
                  <c:v>83.8</c:v>
                </c:pt>
                <c:pt idx="4397">
                  <c:v>95.87</c:v>
                </c:pt>
                <c:pt idx="4398">
                  <c:v>112.83</c:v>
                </c:pt>
                <c:pt idx="4399">
                  <c:v>84.93</c:v>
                </c:pt>
                <c:pt idx="4400">
                  <c:v>103.08</c:v>
                </c:pt>
                <c:pt idx="4401">
                  <c:v>85.98</c:v>
                </c:pt>
                <c:pt idx="4402">
                  <c:v>83.75</c:v>
                </c:pt>
                <c:pt idx="4403">
                  <c:v>125.43</c:v>
                </c:pt>
                <c:pt idx="4404">
                  <c:v>101.58</c:v>
                </c:pt>
                <c:pt idx="4405">
                  <c:v>149.80000000000001</c:v>
                </c:pt>
                <c:pt idx="4406">
                  <c:v>112.55</c:v>
                </c:pt>
                <c:pt idx="4407">
                  <c:v>70.87</c:v>
                </c:pt>
                <c:pt idx="4408">
                  <c:v>92.96</c:v>
                </c:pt>
                <c:pt idx="4409">
                  <c:v>112.19</c:v>
                </c:pt>
                <c:pt idx="4410">
                  <c:v>85.08</c:v>
                </c:pt>
                <c:pt idx="4411">
                  <c:v>112.37</c:v>
                </c:pt>
                <c:pt idx="4412">
                  <c:v>151.26</c:v>
                </c:pt>
                <c:pt idx="4413">
                  <c:v>73.81</c:v>
                </c:pt>
                <c:pt idx="4414">
                  <c:v>77.2</c:v>
                </c:pt>
                <c:pt idx="4415">
                  <c:v>76.08</c:v>
                </c:pt>
                <c:pt idx="4416">
                  <c:v>123.98</c:v>
                </c:pt>
                <c:pt idx="4417">
                  <c:v>108.51</c:v>
                </c:pt>
                <c:pt idx="4418">
                  <c:v>98.07</c:v>
                </c:pt>
                <c:pt idx="4419">
                  <c:v>85.82</c:v>
                </c:pt>
                <c:pt idx="4420">
                  <c:v>86.21</c:v>
                </c:pt>
                <c:pt idx="4421">
                  <c:v>99.01</c:v>
                </c:pt>
                <c:pt idx="4422">
                  <c:v>79.53</c:v>
                </c:pt>
                <c:pt idx="4423">
                  <c:v>80.08</c:v>
                </c:pt>
                <c:pt idx="4424">
                  <c:v>69.47</c:v>
                </c:pt>
                <c:pt idx="4425">
                  <c:v>85.07</c:v>
                </c:pt>
                <c:pt idx="4426">
                  <c:v>88</c:v>
                </c:pt>
                <c:pt idx="4427">
                  <c:v>144.13999999999999</c:v>
                </c:pt>
                <c:pt idx="4428">
                  <c:v>78.8</c:v>
                </c:pt>
                <c:pt idx="4429">
                  <c:v>86.78</c:v>
                </c:pt>
                <c:pt idx="4430">
                  <c:v>105.72</c:v>
                </c:pt>
                <c:pt idx="4431">
                  <c:v>64.37</c:v>
                </c:pt>
                <c:pt idx="4432">
                  <c:v>146.1</c:v>
                </c:pt>
                <c:pt idx="4433">
                  <c:v>58.66</c:v>
                </c:pt>
                <c:pt idx="4434">
                  <c:v>192.5</c:v>
                </c:pt>
                <c:pt idx="4435">
                  <c:v>103.5</c:v>
                </c:pt>
                <c:pt idx="4436">
                  <c:v>89.42</c:v>
                </c:pt>
                <c:pt idx="4437">
                  <c:v>212.92</c:v>
                </c:pt>
                <c:pt idx="4438">
                  <c:v>60.73</c:v>
                </c:pt>
                <c:pt idx="4439">
                  <c:v>73.180000000000007</c:v>
                </c:pt>
                <c:pt idx="4440">
                  <c:v>82.26</c:v>
                </c:pt>
                <c:pt idx="4441">
                  <c:v>87.4</c:v>
                </c:pt>
                <c:pt idx="4442">
                  <c:v>86.95</c:v>
                </c:pt>
                <c:pt idx="4443">
                  <c:v>74</c:v>
                </c:pt>
                <c:pt idx="4444">
                  <c:v>73.98</c:v>
                </c:pt>
                <c:pt idx="4445">
                  <c:v>124.78</c:v>
                </c:pt>
                <c:pt idx="4446">
                  <c:v>191.94</c:v>
                </c:pt>
                <c:pt idx="4447">
                  <c:v>247.87</c:v>
                </c:pt>
                <c:pt idx="4448">
                  <c:v>83.2</c:v>
                </c:pt>
                <c:pt idx="4449">
                  <c:v>88.62</c:v>
                </c:pt>
                <c:pt idx="4450">
                  <c:v>81.510000000000005</c:v>
                </c:pt>
                <c:pt idx="4451">
                  <c:v>101.76</c:v>
                </c:pt>
                <c:pt idx="4452">
                  <c:v>115.71</c:v>
                </c:pt>
                <c:pt idx="4453">
                  <c:v>229.73</c:v>
                </c:pt>
                <c:pt idx="4454">
                  <c:v>57.4</c:v>
                </c:pt>
                <c:pt idx="4455">
                  <c:v>100.47</c:v>
                </c:pt>
                <c:pt idx="4456">
                  <c:v>81.36</c:v>
                </c:pt>
                <c:pt idx="4457">
                  <c:v>261.67</c:v>
                </c:pt>
                <c:pt idx="4458">
                  <c:v>110.2</c:v>
                </c:pt>
                <c:pt idx="4459">
                  <c:v>98.9</c:v>
                </c:pt>
                <c:pt idx="4460">
                  <c:v>95.19</c:v>
                </c:pt>
                <c:pt idx="4461">
                  <c:v>105.28</c:v>
                </c:pt>
                <c:pt idx="4462">
                  <c:v>83.03</c:v>
                </c:pt>
                <c:pt idx="4463">
                  <c:v>89.41</c:v>
                </c:pt>
                <c:pt idx="4464">
                  <c:v>70.56</c:v>
                </c:pt>
                <c:pt idx="4465">
                  <c:v>78.790000000000006</c:v>
                </c:pt>
                <c:pt idx="4466">
                  <c:v>70.13</c:v>
                </c:pt>
                <c:pt idx="4467">
                  <c:v>62.68</c:v>
                </c:pt>
                <c:pt idx="4468">
                  <c:v>71.77</c:v>
                </c:pt>
                <c:pt idx="4469">
                  <c:v>77.989999999999995</c:v>
                </c:pt>
                <c:pt idx="4470">
                  <c:v>256.74</c:v>
                </c:pt>
                <c:pt idx="4471">
                  <c:v>93.72</c:v>
                </c:pt>
                <c:pt idx="4472">
                  <c:v>63.74</c:v>
                </c:pt>
                <c:pt idx="4473">
                  <c:v>60.67</c:v>
                </c:pt>
                <c:pt idx="4474">
                  <c:v>112.08</c:v>
                </c:pt>
                <c:pt idx="4475">
                  <c:v>221.08</c:v>
                </c:pt>
                <c:pt idx="4476">
                  <c:v>101.81</c:v>
                </c:pt>
                <c:pt idx="4477">
                  <c:v>60.17</c:v>
                </c:pt>
                <c:pt idx="4478">
                  <c:v>65.290000000000006</c:v>
                </c:pt>
                <c:pt idx="4479">
                  <c:v>153.24</c:v>
                </c:pt>
                <c:pt idx="4480">
                  <c:v>61.42</c:v>
                </c:pt>
                <c:pt idx="4481">
                  <c:v>86.67</c:v>
                </c:pt>
                <c:pt idx="4482">
                  <c:v>82.42</c:v>
                </c:pt>
                <c:pt idx="4483">
                  <c:v>100.54</c:v>
                </c:pt>
                <c:pt idx="4484">
                  <c:v>111.48</c:v>
                </c:pt>
                <c:pt idx="4485">
                  <c:v>85.33</c:v>
                </c:pt>
                <c:pt idx="4486">
                  <c:v>126.57</c:v>
                </c:pt>
                <c:pt idx="4487">
                  <c:v>81.510000000000005</c:v>
                </c:pt>
                <c:pt idx="4488">
                  <c:v>67.97</c:v>
                </c:pt>
                <c:pt idx="4489">
                  <c:v>77.92</c:v>
                </c:pt>
                <c:pt idx="4490">
                  <c:v>80.540000000000006</c:v>
                </c:pt>
                <c:pt idx="4491">
                  <c:v>76.47</c:v>
                </c:pt>
                <c:pt idx="4492">
                  <c:v>87.15</c:v>
                </c:pt>
                <c:pt idx="4493">
                  <c:v>86.07</c:v>
                </c:pt>
                <c:pt idx="4494">
                  <c:v>106.52</c:v>
                </c:pt>
                <c:pt idx="4495">
                  <c:v>94.24</c:v>
                </c:pt>
                <c:pt idx="4496">
                  <c:v>89.73</c:v>
                </c:pt>
                <c:pt idx="4497">
                  <c:v>208.39</c:v>
                </c:pt>
                <c:pt idx="4498">
                  <c:v>128.61000000000001</c:v>
                </c:pt>
                <c:pt idx="4499">
                  <c:v>57.56</c:v>
                </c:pt>
                <c:pt idx="4500">
                  <c:v>227.23</c:v>
                </c:pt>
                <c:pt idx="4501">
                  <c:v>77.760000000000005</c:v>
                </c:pt>
                <c:pt idx="4502">
                  <c:v>72.760000000000005</c:v>
                </c:pt>
                <c:pt idx="4503">
                  <c:v>90.11</c:v>
                </c:pt>
                <c:pt idx="4504">
                  <c:v>203.27</c:v>
                </c:pt>
                <c:pt idx="4505">
                  <c:v>234.5</c:v>
                </c:pt>
                <c:pt idx="4506">
                  <c:v>71.12</c:v>
                </c:pt>
                <c:pt idx="4507">
                  <c:v>190.67</c:v>
                </c:pt>
                <c:pt idx="4508">
                  <c:v>116.04</c:v>
                </c:pt>
                <c:pt idx="4509">
                  <c:v>82.95</c:v>
                </c:pt>
                <c:pt idx="4510">
                  <c:v>112.75</c:v>
                </c:pt>
                <c:pt idx="4511">
                  <c:v>82.63</c:v>
                </c:pt>
                <c:pt idx="4512">
                  <c:v>92.75</c:v>
                </c:pt>
                <c:pt idx="4513">
                  <c:v>117.63</c:v>
                </c:pt>
                <c:pt idx="4514">
                  <c:v>197.06</c:v>
                </c:pt>
                <c:pt idx="4515">
                  <c:v>216.07</c:v>
                </c:pt>
                <c:pt idx="4516">
                  <c:v>76.03</c:v>
                </c:pt>
                <c:pt idx="4517">
                  <c:v>62.44</c:v>
                </c:pt>
                <c:pt idx="4518">
                  <c:v>108.82</c:v>
                </c:pt>
                <c:pt idx="4519">
                  <c:v>101.66</c:v>
                </c:pt>
                <c:pt idx="4520">
                  <c:v>121.15</c:v>
                </c:pt>
                <c:pt idx="4521">
                  <c:v>116.44</c:v>
                </c:pt>
                <c:pt idx="4522">
                  <c:v>116.62</c:v>
                </c:pt>
                <c:pt idx="4523">
                  <c:v>93.3</c:v>
                </c:pt>
                <c:pt idx="4524">
                  <c:v>144.33000000000001</c:v>
                </c:pt>
                <c:pt idx="4525">
                  <c:v>98.02</c:v>
                </c:pt>
                <c:pt idx="4526">
                  <c:v>80.67</c:v>
                </c:pt>
                <c:pt idx="4527">
                  <c:v>94.27</c:v>
                </c:pt>
                <c:pt idx="4528">
                  <c:v>76.349999999999994</c:v>
                </c:pt>
                <c:pt idx="4529">
                  <c:v>57.56</c:v>
                </c:pt>
                <c:pt idx="4530">
                  <c:v>179.14</c:v>
                </c:pt>
                <c:pt idx="4531">
                  <c:v>63.49</c:v>
                </c:pt>
                <c:pt idx="4532">
                  <c:v>145.18</c:v>
                </c:pt>
                <c:pt idx="4533">
                  <c:v>66.3</c:v>
                </c:pt>
                <c:pt idx="4534">
                  <c:v>120.56</c:v>
                </c:pt>
                <c:pt idx="4535">
                  <c:v>69.2</c:v>
                </c:pt>
                <c:pt idx="4536">
                  <c:v>150.74</c:v>
                </c:pt>
                <c:pt idx="4537">
                  <c:v>81.38</c:v>
                </c:pt>
                <c:pt idx="4538">
                  <c:v>78.48</c:v>
                </c:pt>
                <c:pt idx="4539">
                  <c:v>203.87</c:v>
                </c:pt>
                <c:pt idx="4540">
                  <c:v>87</c:v>
                </c:pt>
                <c:pt idx="4541">
                  <c:v>84.68</c:v>
                </c:pt>
                <c:pt idx="4542">
                  <c:v>91.89</c:v>
                </c:pt>
                <c:pt idx="4543">
                  <c:v>88.97</c:v>
                </c:pt>
                <c:pt idx="4544">
                  <c:v>116.98</c:v>
                </c:pt>
                <c:pt idx="4545">
                  <c:v>135.82</c:v>
                </c:pt>
                <c:pt idx="4546">
                  <c:v>96.62</c:v>
                </c:pt>
                <c:pt idx="4547">
                  <c:v>106.53</c:v>
                </c:pt>
                <c:pt idx="4548">
                  <c:v>58.42</c:v>
                </c:pt>
                <c:pt idx="4549">
                  <c:v>79.62</c:v>
                </c:pt>
                <c:pt idx="4550">
                  <c:v>141.84</c:v>
                </c:pt>
                <c:pt idx="4551">
                  <c:v>78.05</c:v>
                </c:pt>
                <c:pt idx="4552">
                  <c:v>77.16</c:v>
                </c:pt>
                <c:pt idx="4553">
                  <c:v>86.3</c:v>
                </c:pt>
                <c:pt idx="4554">
                  <c:v>83.55</c:v>
                </c:pt>
                <c:pt idx="4555">
                  <c:v>102</c:v>
                </c:pt>
                <c:pt idx="4556">
                  <c:v>68.069999999999993</c:v>
                </c:pt>
                <c:pt idx="4557">
                  <c:v>81.77</c:v>
                </c:pt>
                <c:pt idx="4558">
                  <c:v>82.62</c:v>
                </c:pt>
                <c:pt idx="4559">
                  <c:v>102.03</c:v>
                </c:pt>
                <c:pt idx="4560">
                  <c:v>235.06</c:v>
                </c:pt>
                <c:pt idx="4561">
                  <c:v>57.52</c:v>
                </c:pt>
                <c:pt idx="4562">
                  <c:v>76.98</c:v>
                </c:pt>
                <c:pt idx="4563">
                  <c:v>82.31</c:v>
                </c:pt>
                <c:pt idx="4564">
                  <c:v>83.84</c:v>
                </c:pt>
                <c:pt idx="4565">
                  <c:v>98.14</c:v>
                </c:pt>
                <c:pt idx="4566">
                  <c:v>84.04</c:v>
                </c:pt>
                <c:pt idx="4567">
                  <c:v>92.24</c:v>
                </c:pt>
                <c:pt idx="4568">
                  <c:v>94.92</c:v>
                </c:pt>
                <c:pt idx="4569">
                  <c:v>112.7</c:v>
                </c:pt>
                <c:pt idx="4570">
                  <c:v>74.34</c:v>
                </c:pt>
                <c:pt idx="4571">
                  <c:v>72.989999999999995</c:v>
                </c:pt>
                <c:pt idx="4572">
                  <c:v>104.9</c:v>
                </c:pt>
                <c:pt idx="4573">
                  <c:v>99.96</c:v>
                </c:pt>
                <c:pt idx="4574">
                  <c:v>85.27</c:v>
                </c:pt>
                <c:pt idx="4575">
                  <c:v>60.32</c:v>
                </c:pt>
                <c:pt idx="4576">
                  <c:v>94.14</c:v>
                </c:pt>
                <c:pt idx="4577">
                  <c:v>195.43</c:v>
                </c:pt>
                <c:pt idx="4578">
                  <c:v>200.25</c:v>
                </c:pt>
                <c:pt idx="4579">
                  <c:v>90.31</c:v>
                </c:pt>
                <c:pt idx="4580">
                  <c:v>95.33</c:v>
                </c:pt>
                <c:pt idx="4581">
                  <c:v>85.65</c:v>
                </c:pt>
                <c:pt idx="4582">
                  <c:v>223.64</c:v>
                </c:pt>
                <c:pt idx="4583">
                  <c:v>76.430000000000007</c:v>
                </c:pt>
                <c:pt idx="4584">
                  <c:v>98.66</c:v>
                </c:pt>
                <c:pt idx="4585">
                  <c:v>75.84</c:v>
                </c:pt>
                <c:pt idx="4586">
                  <c:v>85.46</c:v>
                </c:pt>
                <c:pt idx="4587">
                  <c:v>81.33</c:v>
                </c:pt>
                <c:pt idx="4588">
                  <c:v>199.78</c:v>
                </c:pt>
                <c:pt idx="4589">
                  <c:v>176.42</c:v>
                </c:pt>
                <c:pt idx="4590">
                  <c:v>101.56</c:v>
                </c:pt>
                <c:pt idx="4591">
                  <c:v>84.48</c:v>
                </c:pt>
                <c:pt idx="4592">
                  <c:v>93.21</c:v>
                </c:pt>
                <c:pt idx="4593">
                  <c:v>72.88</c:v>
                </c:pt>
                <c:pt idx="4594">
                  <c:v>84.1</c:v>
                </c:pt>
                <c:pt idx="4595">
                  <c:v>72.84</c:v>
                </c:pt>
                <c:pt idx="4596">
                  <c:v>70.89</c:v>
                </c:pt>
                <c:pt idx="4597">
                  <c:v>108.14</c:v>
                </c:pt>
                <c:pt idx="4598">
                  <c:v>244.3</c:v>
                </c:pt>
                <c:pt idx="4599">
                  <c:v>88.04</c:v>
                </c:pt>
                <c:pt idx="4600">
                  <c:v>65.84</c:v>
                </c:pt>
                <c:pt idx="4601">
                  <c:v>106.73</c:v>
                </c:pt>
                <c:pt idx="4602">
                  <c:v>106.03</c:v>
                </c:pt>
                <c:pt idx="4603">
                  <c:v>80.88</c:v>
                </c:pt>
                <c:pt idx="4604">
                  <c:v>140.1</c:v>
                </c:pt>
                <c:pt idx="4605">
                  <c:v>127.4</c:v>
                </c:pt>
                <c:pt idx="4606">
                  <c:v>87.72</c:v>
                </c:pt>
                <c:pt idx="4607">
                  <c:v>58.23</c:v>
                </c:pt>
                <c:pt idx="4608">
                  <c:v>69.37</c:v>
                </c:pt>
                <c:pt idx="4609">
                  <c:v>58.64</c:v>
                </c:pt>
                <c:pt idx="4610">
                  <c:v>59.67</c:v>
                </c:pt>
                <c:pt idx="4611">
                  <c:v>78.08</c:v>
                </c:pt>
                <c:pt idx="4612">
                  <c:v>105.08</c:v>
                </c:pt>
                <c:pt idx="4613">
                  <c:v>89.3</c:v>
                </c:pt>
                <c:pt idx="4614">
                  <c:v>61.38</c:v>
                </c:pt>
                <c:pt idx="4615">
                  <c:v>56.11</c:v>
                </c:pt>
                <c:pt idx="4616">
                  <c:v>223.16</c:v>
                </c:pt>
                <c:pt idx="4617">
                  <c:v>75.53</c:v>
                </c:pt>
                <c:pt idx="4618">
                  <c:v>107.47</c:v>
                </c:pt>
                <c:pt idx="4619">
                  <c:v>76</c:v>
                </c:pt>
                <c:pt idx="4620">
                  <c:v>90.28</c:v>
                </c:pt>
                <c:pt idx="4621">
                  <c:v>65.22</c:v>
                </c:pt>
                <c:pt idx="4622">
                  <c:v>86.24</c:v>
                </c:pt>
                <c:pt idx="4623">
                  <c:v>166.38</c:v>
                </c:pt>
                <c:pt idx="4624">
                  <c:v>78.91</c:v>
                </c:pt>
                <c:pt idx="4625">
                  <c:v>226.28</c:v>
                </c:pt>
                <c:pt idx="4626">
                  <c:v>90.73</c:v>
                </c:pt>
                <c:pt idx="4627">
                  <c:v>172.86</c:v>
                </c:pt>
                <c:pt idx="4628">
                  <c:v>213.92</c:v>
                </c:pt>
                <c:pt idx="4629">
                  <c:v>92.23</c:v>
                </c:pt>
                <c:pt idx="4630">
                  <c:v>79.81</c:v>
                </c:pt>
                <c:pt idx="4631">
                  <c:v>81.78</c:v>
                </c:pt>
                <c:pt idx="4632">
                  <c:v>102</c:v>
                </c:pt>
                <c:pt idx="4633">
                  <c:v>68.42</c:v>
                </c:pt>
                <c:pt idx="4634">
                  <c:v>94.68</c:v>
                </c:pt>
                <c:pt idx="4635">
                  <c:v>125.33</c:v>
                </c:pt>
                <c:pt idx="4636">
                  <c:v>212.19</c:v>
                </c:pt>
                <c:pt idx="4637">
                  <c:v>89</c:v>
                </c:pt>
                <c:pt idx="4638">
                  <c:v>60.98</c:v>
                </c:pt>
                <c:pt idx="4639">
                  <c:v>58.19</c:v>
                </c:pt>
                <c:pt idx="4640">
                  <c:v>67.680000000000007</c:v>
                </c:pt>
                <c:pt idx="4641">
                  <c:v>84.99</c:v>
                </c:pt>
                <c:pt idx="4642">
                  <c:v>62.13</c:v>
                </c:pt>
                <c:pt idx="4643">
                  <c:v>57.1</c:v>
                </c:pt>
                <c:pt idx="4644">
                  <c:v>97.95</c:v>
                </c:pt>
                <c:pt idx="4645">
                  <c:v>94.06</c:v>
                </c:pt>
                <c:pt idx="4646">
                  <c:v>93.88</c:v>
                </c:pt>
                <c:pt idx="4647">
                  <c:v>90.3</c:v>
                </c:pt>
                <c:pt idx="4648">
                  <c:v>83.14</c:v>
                </c:pt>
                <c:pt idx="4649">
                  <c:v>118.66</c:v>
                </c:pt>
                <c:pt idx="4650">
                  <c:v>100.47</c:v>
                </c:pt>
                <c:pt idx="4651">
                  <c:v>90.78</c:v>
                </c:pt>
                <c:pt idx="4652">
                  <c:v>66.459999999999994</c:v>
                </c:pt>
                <c:pt idx="4653">
                  <c:v>73.56</c:v>
                </c:pt>
                <c:pt idx="4654">
                  <c:v>200.8</c:v>
                </c:pt>
                <c:pt idx="4655">
                  <c:v>57.28</c:v>
                </c:pt>
                <c:pt idx="4656">
                  <c:v>92.87</c:v>
                </c:pt>
                <c:pt idx="4657">
                  <c:v>96.47</c:v>
                </c:pt>
                <c:pt idx="4658">
                  <c:v>99.44</c:v>
                </c:pt>
                <c:pt idx="4659">
                  <c:v>77.959999999999994</c:v>
                </c:pt>
                <c:pt idx="4660">
                  <c:v>60.13</c:v>
                </c:pt>
                <c:pt idx="4661">
                  <c:v>88.17</c:v>
                </c:pt>
                <c:pt idx="4662">
                  <c:v>84.41</c:v>
                </c:pt>
                <c:pt idx="4663">
                  <c:v>72.34</c:v>
                </c:pt>
                <c:pt idx="4664">
                  <c:v>68.72</c:v>
                </c:pt>
                <c:pt idx="4665">
                  <c:v>222.58</c:v>
                </c:pt>
                <c:pt idx="4666">
                  <c:v>66.06</c:v>
                </c:pt>
                <c:pt idx="4667">
                  <c:v>156.43</c:v>
                </c:pt>
                <c:pt idx="4668">
                  <c:v>105.76</c:v>
                </c:pt>
                <c:pt idx="4669">
                  <c:v>73.069999999999993</c:v>
                </c:pt>
                <c:pt idx="4670">
                  <c:v>99.48</c:v>
                </c:pt>
                <c:pt idx="4671">
                  <c:v>79.599999999999994</c:v>
                </c:pt>
                <c:pt idx="4672">
                  <c:v>70</c:v>
                </c:pt>
                <c:pt idx="4673">
                  <c:v>112.98</c:v>
                </c:pt>
                <c:pt idx="4674">
                  <c:v>61.07</c:v>
                </c:pt>
                <c:pt idx="4675">
                  <c:v>63.43</c:v>
                </c:pt>
                <c:pt idx="4676">
                  <c:v>73.2</c:v>
                </c:pt>
                <c:pt idx="4677">
                  <c:v>102.73</c:v>
                </c:pt>
                <c:pt idx="4678">
                  <c:v>74.88</c:v>
                </c:pt>
                <c:pt idx="4679">
                  <c:v>122.43</c:v>
                </c:pt>
                <c:pt idx="4680">
                  <c:v>84.21</c:v>
                </c:pt>
                <c:pt idx="4681">
                  <c:v>80.42</c:v>
                </c:pt>
                <c:pt idx="4682">
                  <c:v>80.44</c:v>
                </c:pt>
                <c:pt idx="4683">
                  <c:v>80.63</c:v>
                </c:pt>
                <c:pt idx="4684">
                  <c:v>206.53</c:v>
                </c:pt>
                <c:pt idx="4685">
                  <c:v>104.12</c:v>
                </c:pt>
                <c:pt idx="4686">
                  <c:v>96.82</c:v>
                </c:pt>
                <c:pt idx="4687">
                  <c:v>88.1</c:v>
                </c:pt>
                <c:pt idx="4688">
                  <c:v>64.849999999999994</c:v>
                </c:pt>
                <c:pt idx="4689">
                  <c:v>102.87</c:v>
                </c:pt>
                <c:pt idx="4690">
                  <c:v>83.75</c:v>
                </c:pt>
                <c:pt idx="4691">
                  <c:v>97.68</c:v>
                </c:pt>
                <c:pt idx="4692">
                  <c:v>97.58</c:v>
                </c:pt>
                <c:pt idx="4693">
                  <c:v>74.16</c:v>
                </c:pt>
                <c:pt idx="4694">
                  <c:v>86</c:v>
                </c:pt>
                <c:pt idx="4695">
                  <c:v>100.93</c:v>
                </c:pt>
                <c:pt idx="4696">
                  <c:v>232.78</c:v>
                </c:pt>
                <c:pt idx="4697">
                  <c:v>86.96</c:v>
                </c:pt>
                <c:pt idx="4698">
                  <c:v>67.5</c:v>
                </c:pt>
                <c:pt idx="4699">
                  <c:v>81.209999999999994</c:v>
                </c:pt>
                <c:pt idx="4700">
                  <c:v>110.14</c:v>
                </c:pt>
                <c:pt idx="4701">
                  <c:v>120.44</c:v>
                </c:pt>
                <c:pt idx="4702">
                  <c:v>187.47</c:v>
                </c:pt>
                <c:pt idx="4703">
                  <c:v>94.62</c:v>
                </c:pt>
                <c:pt idx="4704">
                  <c:v>89.57</c:v>
                </c:pt>
                <c:pt idx="4705">
                  <c:v>95.31</c:v>
                </c:pt>
                <c:pt idx="4706">
                  <c:v>75.069999999999993</c:v>
                </c:pt>
                <c:pt idx="4707">
                  <c:v>106.65</c:v>
                </c:pt>
                <c:pt idx="4708">
                  <c:v>234.06</c:v>
                </c:pt>
                <c:pt idx="4709">
                  <c:v>144.15</c:v>
                </c:pt>
                <c:pt idx="4710">
                  <c:v>58.81</c:v>
                </c:pt>
                <c:pt idx="4711">
                  <c:v>242.62</c:v>
                </c:pt>
                <c:pt idx="4712">
                  <c:v>93.04</c:v>
                </c:pt>
                <c:pt idx="4713">
                  <c:v>65.680000000000007</c:v>
                </c:pt>
                <c:pt idx="4714">
                  <c:v>150</c:v>
                </c:pt>
                <c:pt idx="4715">
                  <c:v>63.56</c:v>
                </c:pt>
                <c:pt idx="4716">
                  <c:v>96.98</c:v>
                </c:pt>
                <c:pt idx="4717">
                  <c:v>66.7</c:v>
                </c:pt>
                <c:pt idx="4718">
                  <c:v>79.66</c:v>
                </c:pt>
                <c:pt idx="4719">
                  <c:v>90.16</c:v>
                </c:pt>
                <c:pt idx="4720">
                  <c:v>104.09</c:v>
                </c:pt>
                <c:pt idx="4721">
                  <c:v>90.96</c:v>
                </c:pt>
                <c:pt idx="4722">
                  <c:v>152.38</c:v>
                </c:pt>
                <c:pt idx="4723">
                  <c:v>114.54</c:v>
                </c:pt>
                <c:pt idx="4724">
                  <c:v>174.54</c:v>
                </c:pt>
                <c:pt idx="4725">
                  <c:v>106.47</c:v>
                </c:pt>
                <c:pt idx="4726">
                  <c:v>73.63</c:v>
                </c:pt>
                <c:pt idx="4727">
                  <c:v>98.52</c:v>
                </c:pt>
                <c:pt idx="4728">
                  <c:v>62.93</c:v>
                </c:pt>
                <c:pt idx="4729">
                  <c:v>67.87</c:v>
                </c:pt>
                <c:pt idx="4730">
                  <c:v>120.43</c:v>
                </c:pt>
                <c:pt idx="4731">
                  <c:v>76.56</c:v>
                </c:pt>
                <c:pt idx="4732">
                  <c:v>108.03</c:v>
                </c:pt>
                <c:pt idx="4733">
                  <c:v>83.16</c:v>
                </c:pt>
                <c:pt idx="4734">
                  <c:v>67.900000000000006</c:v>
                </c:pt>
                <c:pt idx="4735">
                  <c:v>115.46</c:v>
                </c:pt>
                <c:pt idx="4736">
                  <c:v>123.94</c:v>
                </c:pt>
                <c:pt idx="4737">
                  <c:v>231.54</c:v>
                </c:pt>
                <c:pt idx="4738">
                  <c:v>219.8</c:v>
                </c:pt>
                <c:pt idx="4739">
                  <c:v>187.99</c:v>
                </c:pt>
                <c:pt idx="4740">
                  <c:v>234.45</c:v>
                </c:pt>
                <c:pt idx="4741">
                  <c:v>75.47</c:v>
                </c:pt>
                <c:pt idx="4742">
                  <c:v>98.24</c:v>
                </c:pt>
                <c:pt idx="4743">
                  <c:v>66.2</c:v>
                </c:pt>
                <c:pt idx="4744">
                  <c:v>94.67</c:v>
                </c:pt>
                <c:pt idx="4745">
                  <c:v>75.95</c:v>
                </c:pt>
                <c:pt idx="4746">
                  <c:v>111.79</c:v>
                </c:pt>
                <c:pt idx="4747">
                  <c:v>80.89</c:v>
                </c:pt>
                <c:pt idx="4748">
                  <c:v>86.91</c:v>
                </c:pt>
                <c:pt idx="4749">
                  <c:v>59.36</c:v>
                </c:pt>
                <c:pt idx="4750">
                  <c:v>240.69</c:v>
                </c:pt>
                <c:pt idx="4751">
                  <c:v>66.67</c:v>
                </c:pt>
                <c:pt idx="4752">
                  <c:v>87.54</c:v>
                </c:pt>
                <c:pt idx="4753">
                  <c:v>139.87</c:v>
                </c:pt>
                <c:pt idx="4754">
                  <c:v>67.92</c:v>
                </c:pt>
                <c:pt idx="4755">
                  <c:v>83.62</c:v>
                </c:pt>
                <c:pt idx="4756">
                  <c:v>110.97</c:v>
                </c:pt>
                <c:pt idx="4757">
                  <c:v>70.53</c:v>
                </c:pt>
                <c:pt idx="4758">
                  <c:v>115.91</c:v>
                </c:pt>
                <c:pt idx="4759">
                  <c:v>59.74</c:v>
                </c:pt>
                <c:pt idx="4760">
                  <c:v>62.64</c:v>
                </c:pt>
                <c:pt idx="4761">
                  <c:v>84.81</c:v>
                </c:pt>
                <c:pt idx="4762">
                  <c:v>78.680000000000007</c:v>
                </c:pt>
                <c:pt idx="4763">
                  <c:v>217.57</c:v>
                </c:pt>
                <c:pt idx="4764">
                  <c:v>79.760000000000005</c:v>
                </c:pt>
                <c:pt idx="4765">
                  <c:v>63.28</c:v>
                </c:pt>
                <c:pt idx="4766">
                  <c:v>78.48</c:v>
                </c:pt>
                <c:pt idx="4767">
                  <c:v>70.48</c:v>
                </c:pt>
                <c:pt idx="4768">
                  <c:v>120.96</c:v>
                </c:pt>
                <c:pt idx="4769">
                  <c:v>77.290000000000006</c:v>
                </c:pt>
                <c:pt idx="4770">
                  <c:v>108.51</c:v>
                </c:pt>
                <c:pt idx="4771">
                  <c:v>113.85</c:v>
                </c:pt>
                <c:pt idx="4772">
                  <c:v>97.65</c:v>
                </c:pt>
                <c:pt idx="4773">
                  <c:v>121.83</c:v>
                </c:pt>
                <c:pt idx="4774">
                  <c:v>81.53</c:v>
                </c:pt>
                <c:pt idx="4775">
                  <c:v>58.35</c:v>
                </c:pt>
                <c:pt idx="4776">
                  <c:v>65.42</c:v>
                </c:pt>
                <c:pt idx="4777">
                  <c:v>69.34</c:v>
                </c:pt>
                <c:pt idx="4778">
                  <c:v>109.09</c:v>
                </c:pt>
                <c:pt idx="4779">
                  <c:v>66.709999999999994</c:v>
                </c:pt>
                <c:pt idx="4780">
                  <c:v>114.92</c:v>
                </c:pt>
                <c:pt idx="4781">
                  <c:v>120.58</c:v>
                </c:pt>
                <c:pt idx="4782">
                  <c:v>165.36</c:v>
                </c:pt>
                <c:pt idx="4783">
                  <c:v>66.11</c:v>
                </c:pt>
                <c:pt idx="4784">
                  <c:v>126.34</c:v>
                </c:pt>
                <c:pt idx="4785">
                  <c:v>68.27</c:v>
                </c:pt>
                <c:pt idx="4786">
                  <c:v>92.86</c:v>
                </c:pt>
                <c:pt idx="4787">
                  <c:v>96.77</c:v>
                </c:pt>
                <c:pt idx="4788">
                  <c:v>89.24</c:v>
                </c:pt>
                <c:pt idx="4789">
                  <c:v>89.32</c:v>
                </c:pt>
                <c:pt idx="4790">
                  <c:v>107.06</c:v>
                </c:pt>
                <c:pt idx="4791">
                  <c:v>65.63</c:v>
                </c:pt>
                <c:pt idx="4792">
                  <c:v>123.66</c:v>
                </c:pt>
                <c:pt idx="4793">
                  <c:v>63.82</c:v>
                </c:pt>
                <c:pt idx="4794">
                  <c:v>108.06</c:v>
                </c:pt>
                <c:pt idx="4795">
                  <c:v>136.18</c:v>
                </c:pt>
                <c:pt idx="4796">
                  <c:v>71.290000000000006</c:v>
                </c:pt>
                <c:pt idx="4797">
                  <c:v>76.58</c:v>
                </c:pt>
                <c:pt idx="4798">
                  <c:v>119.58</c:v>
                </c:pt>
                <c:pt idx="4799">
                  <c:v>109.3</c:v>
                </c:pt>
                <c:pt idx="4800">
                  <c:v>111.94</c:v>
                </c:pt>
                <c:pt idx="4801">
                  <c:v>81.64</c:v>
                </c:pt>
                <c:pt idx="4802">
                  <c:v>97.64</c:v>
                </c:pt>
                <c:pt idx="4803">
                  <c:v>110.32</c:v>
                </c:pt>
                <c:pt idx="4804">
                  <c:v>79</c:v>
                </c:pt>
                <c:pt idx="4805">
                  <c:v>95.08</c:v>
                </c:pt>
                <c:pt idx="4806">
                  <c:v>137.27000000000001</c:v>
                </c:pt>
                <c:pt idx="4807">
                  <c:v>57.83</c:v>
                </c:pt>
                <c:pt idx="4808">
                  <c:v>84.08</c:v>
                </c:pt>
                <c:pt idx="4809">
                  <c:v>234.51</c:v>
                </c:pt>
                <c:pt idx="4810">
                  <c:v>142.63999999999999</c:v>
                </c:pt>
                <c:pt idx="4811">
                  <c:v>69.77</c:v>
                </c:pt>
                <c:pt idx="4812">
                  <c:v>71.400000000000006</c:v>
                </c:pt>
                <c:pt idx="4813">
                  <c:v>79.61</c:v>
                </c:pt>
                <c:pt idx="4814">
                  <c:v>77.459999999999994</c:v>
                </c:pt>
                <c:pt idx="4815">
                  <c:v>96.85</c:v>
                </c:pt>
                <c:pt idx="4816">
                  <c:v>182.22</c:v>
                </c:pt>
                <c:pt idx="4817">
                  <c:v>67.260000000000005</c:v>
                </c:pt>
                <c:pt idx="4818">
                  <c:v>60.02</c:v>
                </c:pt>
                <c:pt idx="4819">
                  <c:v>113.45</c:v>
                </c:pt>
                <c:pt idx="4820">
                  <c:v>112.31</c:v>
                </c:pt>
                <c:pt idx="4821">
                  <c:v>68.53</c:v>
                </c:pt>
                <c:pt idx="4822">
                  <c:v>57.15</c:v>
                </c:pt>
                <c:pt idx="4823">
                  <c:v>214.73</c:v>
                </c:pt>
                <c:pt idx="4824">
                  <c:v>91.82</c:v>
                </c:pt>
                <c:pt idx="4825">
                  <c:v>71.8</c:v>
                </c:pt>
                <c:pt idx="4826">
                  <c:v>63.41</c:v>
                </c:pt>
                <c:pt idx="4827">
                  <c:v>106.24</c:v>
                </c:pt>
                <c:pt idx="4828">
                  <c:v>83.01</c:v>
                </c:pt>
                <c:pt idx="4829">
                  <c:v>67.92</c:v>
                </c:pt>
                <c:pt idx="4830">
                  <c:v>74.989999999999995</c:v>
                </c:pt>
                <c:pt idx="4831">
                  <c:v>75.22</c:v>
                </c:pt>
                <c:pt idx="4832">
                  <c:v>61.88</c:v>
                </c:pt>
                <c:pt idx="4833">
                  <c:v>65.67</c:v>
                </c:pt>
                <c:pt idx="4834">
                  <c:v>110.18</c:v>
                </c:pt>
                <c:pt idx="4835">
                  <c:v>119.3</c:v>
                </c:pt>
                <c:pt idx="4836">
                  <c:v>208.69</c:v>
                </c:pt>
                <c:pt idx="4837">
                  <c:v>95.18</c:v>
                </c:pt>
                <c:pt idx="4838">
                  <c:v>107.72</c:v>
                </c:pt>
                <c:pt idx="4839">
                  <c:v>83.27</c:v>
                </c:pt>
                <c:pt idx="4840">
                  <c:v>90.29</c:v>
                </c:pt>
                <c:pt idx="4841">
                  <c:v>81.87</c:v>
                </c:pt>
                <c:pt idx="4842">
                  <c:v>153.31</c:v>
                </c:pt>
                <c:pt idx="4843">
                  <c:v>101.46</c:v>
                </c:pt>
                <c:pt idx="4844">
                  <c:v>72.489999999999995</c:v>
                </c:pt>
                <c:pt idx="4845">
                  <c:v>86.58</c:v>
                </c:pt>
                <c:pt idx="4846">
                  <c:v>113.26</c:v>
                </c:pt>
                <c:pt idx="4847">
                  <c:v>84.92</c:v>
                </c:pt>
                <c:pt idx="4848">
                  <c:v>128.16999999999999</c:v>
                </c:pt>
                <c:pt idx="4849">
                  <c:v>93.93</c:v>
                </c:pt>
                <c:pt idx="4850">
                  <c:v>99.87</c:v>
                </c:pt>
                <c:pt idx="4851">
                  <c:v>129.31</c:v>
                </c:pt>
                <c:pt idx="4852">
                  <c:v>89.43</c:v>
                </c:pt>
                <c:pt idx="4853">
                  <c:v>101.6</c:v>
                </c:pt>
                <c:pt idx="4854">
                  <c:v>66.55</c:v>
                </c:pt>
                <c:pt idx="4855">
                  <c:v>231.72</c:v>
                </c:pt>
                <c:pt idx="4856">
                  <c:v>96.69</c:v>
                </c:pt>
                <c:pt idx="4857">
                  <c:v>102.13</c:v>
                </c:pt>
                <c:pt idx="4858">
                  <c:v>100.88</c:v>
                </c:pt>
                <c:pt idx="4859">
                  <c:v>66.22</c:v>
                </c:pt>
                <c:pt idx="4860">
                  <c:v>109.33</c:v>
                </c:pt>
                <c:pt idx="4861">
                  <c:v>206.53</c:v>
                </c:pt>
                <c:pt idx="4862">
                  <c:v>83.91</c:v>
                </c:pt>
                <c:pt idx="4863">
                  <c:v>67.92</c:v>
                </c:pt>
                <c:pt idx="4864">
                  <c:v>73.48</c:v>
                </c:pt>
                <c:pt idx="4865">
                  <c:v>101.31</c:v>
                </c:pt>
                <c:pt idx="4866">
                  <c:v>103.66</c:v>
                </c:pt>
                <c:pt idx="4867">
                  <c:v>70.73</c:v>
                </c:pt>
                <c:pt idx="4868">
                  <c:v>77.45</c:v>
                </c:pt>
                <c:pt idx="4869">
                  <c:v>193.8</c:v>
                </c:pt>
                <c:pt idx="4870">
                  <c:v>114.34</c:v>
                </c:pt>
                <c:pt idx="4871">
                  <c:v>69.25</c:v>
                </c:pt>
                <c:pt idx="4872">
                  <c:v>88.44</c:v>
                </c:pt>
                <c:pt idx="4873">
                  <c:v>84.09</c:v>
                </c:pt>
                <c:pt idx="4874">
                  <c:v>87.06</c:v>
                </c:pt>
                <c:pt idx="4875">
                  <c:v>92.64</c:v>
                </c:pt>
                <c:pt idx="4876">
                  <c:v>99.36</c:v>
                </c:pt>
                <c:pt idx="4877">
                  <c:v>135.63</c:v>
                </c:pt>
                <c:pt idx="4878">
                  <c:v>82.44</c:v>
                </c:pt>
                <c:pt idx="4879">
                  <c:v>81.88</c:v>
                </c:pt>
                <c:pt idx="4880">
                  <c:v>95.44</c:v>
                </c:pt>
                <c:pt idx="4881">
                  <c:v>72.709999999999994</c:v>
                </c:pt>
                <c:pt idx="4882">
                  <c:v>65.45</c:v>
                </c:pt>
                <c:pt idx="4883">
                  <c:v>203.01</c:v>
                </c:pt>
                <c:pt idx="4884">
                  <c:v>110.84</c:v>
                </c:pt>
                <c:pt idx="4885">
                  <c:v>83.12</c:v>
                </c:pt>
                <c:pt idx="4886">
                  <c:v>55.12</c:v>
                </c:pt>
                <c:pt idx="4887">
                  <c:v>105.91</c:v>
                </c:pt>
                <c:pt idx="4888">
                  <c:v>61.57</c:v>
                </c:pt>
                <c:pt idx="4889">
                  <c:v>83.1</c:v>
                </c:pt>
                <c:pt idx="4890">
                  <c:v>66.319999999999993</c:v>
                </c:pt>
                <c:pt idx="4891">
                  <c:v>72.56</c:v>
                </c:pt>
                <c:pt idx="4892">
                  <c:v>97.99</c:v>
                </c:pt>
                <c:pt idx="4893">
                  <c:v>63.27</c:v>
                </c:pt>
                <c:pt idx="4894">
                  <c:v>79.599999999999994</c:v>
                </c:pt>
                <c:pt idx="4895">
                  <c:v>177.56</c:v>
                </c:pt>
                <c:pt idx="4896">
                  <c:v>81.31</c:v>
                </c:pt>
                <c:pt idx="4897">
                  <c:v>59.91</c:v>
                </c:pt>
                <c:pt idx="4898">
                  <c:v>132.85</c:v>
                </c:pt>
                <c:pt idx="4899">
                  <c:v>198.84</c:v>
                </c:pt>
                <c:pt idx="4900">
                  <c:v>77.12</c:v>
                </c:pt>
                <c:pt idx="4901">
                  <c:v>87.17</c:v>
                </c:pt>
                <c:pt idx="4902">
                  <c:v>96.03</c:v>
                </c:pt>
                <c:pt idx="4903">
                  <c:v>83.56</c:v>
                </c:pt>
                <c:pt idx="4904">
                  <c:v>80.930000000000007</c:v>
                </c:pt>
                <c:pt idx="4905">
                  <c:v>84.54</c:v>
                </c:pt>
                <c:pt idx="4906">
                  <c:v>70.510000000000005</c:v>
                </c:pt>
                <c:pt idx="4907">
                  <c:v>56.87</c:v>
                </c:pt>
                <c:pt idx="4908">
                  <c:v>67.55</c:v>
                </c:pt>
                <c:pt idx="4909">
                  <c:v>243.52</c:v>
                </c:pt>
                <c:pt idx="4910">
                  <c:v>108.63</c:v>
                </c:pt>
                <c:pt idx="4911">
                  <c:v>69.06</c:v>
                </c:pt>
                <c:pt idx="4912">
                  <c:v>73.89</c:v>
                </c:pt>
                <c:pt idx="4913">
                  <c:v>84.49</c:v>
                </c:pt>
                <c:pt idx="4914">
                  <c:v>73.709999999999994</c:v>
                </c:pt>
                <c:pt idx="4915">
                  <c:v>129.01</c:v>
                </c:pt>
                <c:pt idx="4916">
                  <c:v>72.959999999999994</c:v>
                </c:pt>
                <c:pt idx="4917">
                  <c:v>110.23</c:v>
                </c:pt>
                <c:pt idx="4918">
                  <c:v>79.489999999999995</c:v>
                </c:pt>
                <c:pt idx="4919">
                  <c:v>89.33</c:v>
                </c:pt>
                <c:pt idx="4920">
                  <c:v>68.38</c:v>
                </c:pt>
                <c:pt idx="4921">
                  <c:v>238.27</c:v>
                </c:pt>
                <c:pt idx="4922">
                  <c:v>135.79</c:v>
                </c:pt>
                <c:pt idx="4923">
                  <c:v>82.19</c:v>
                </c:pt>
                <c:pt idx="4924">
                  <c:v>93.2</c:v>
                </c:pt>
                <c:pt idx="4925">
                  <c:v>208.31</c:v>
                </c:pt>
                <c:pt idx="4926">
                  <c:v>111.33</c:v>
                </c:pt>
                <c:pt idx="4927">
                  <c:v>69.84</c:v>
                </c:pt>
                <c:pt idx="4928">
                  <c:v>121.71</c:v>
                </c:pt>
                <c:pt idx="4929">
                  <c:v>80.08</c:v>
                </c:pt>
                <c:pt idx="4930">
                  <c:v>84.4</c:v>
                </c:pt>
                <c:pt idx="4931">
                  <c:v>98.61</c:v>
                </c:pt>
                <c:pt idx="4932">
                  <c:v>86.61</c:v>
                </c:pt>
                <c:pt idx="4933">
                  <c:v>80.44</c:v>
                </c:pt>
                <c:pt idx="4934">
                  <c:v>107.02</c:v>
                </c:pt>
                <c:pt idx="4935">
                  <c:v>97.23</c:v>
                </c:pt>
                <c:pt idx="4936">
                  <c:v>91.21</c:v>
                </c:pt>
                <c:pt idx="4937">
                  <c:v>103.69</c:v>
                </c:pt>
                <c:pt idx="4938">
                  <c:v>74.12</c:v>
                </c:pt>
                <c:pt idx="4939">
                  <c:v>71.08</c:v>
                </c:pt>
                <c:pt idx="4940">
                  <c:v>58.39</c:v>
                </c:pt>
                <c:pt idx="4941">
                  <c:v>176.34</c:v>
                </c:pt>
                <c:pt idx="4942">
                  <c:v>73.760000000000005</c:v>
                </c:pt>
                <c:pt idx="4943">
                  <c:v>67.209999999999994</c:v>
                </c:pt>
                <c:pt idx="4944">
                  <c:v>87.98</c:v>
                </c:pt>
                <c:pt idx="4945">
                  <c:v>94.23</c:v>
                </c:pt>
                <c:pt idx="4946">
                  <c:v>111.36</c:v>
                </c:pt>
                <c:pt idx="4947">
                  <c:v>84.07</c:v>
                </c:pt>
                <c:pt idx="4948">
                  <c:v>117.31</c:v>
                </c:pt>
                <c:pt idx="4949">
                  <c:v>84.94</c:v>
                </c:pt>
                <c:pt idx="4950">
                  <c:v>68.86</c:v>
                </c:pt>
                <c:pt idx="4951">
                  <c:v>132.88</c:v>
                </c:pt>
                <c:pt idx="4952">
                  <c:v>211.83</c:v>
                </c:pt>
                <c:pt idx="4953">
                  <c:v>124.92</c:v>
                </c:pt>
                <c:pt idx="4954">
                  <c:v>57.42</c:v>
                </c:pt>
                <c:pt idx="4955">
                  <c:v>215.69</c:v>
                </c:pt>
                <c:pt idx="4956">
                  <c:v>154.66999999999999</c:v>
                </c:pt>
                <c:pt idx="4957">
                  <c:v>67.66</c:v>
                </c:pt>
                <c:pt idx="4958">
                  <c:v>153.47999999999999</c:v>
                </c:pt>
                <c:pt idx="4959">
                  <c:v>62.63</c:v>
                </c:pt>
                <c:pt idx="4960">
                  <c:v>77.930000000000007</c:v>
                </c:pt>
                <c:pt idx="4961">
                  <c:v>80.3</c:v>
                </c:pt>
                <c:pt idx="4962">
                  <c:v>106.69</c:v>
                </c:pt>
                <c:pt idx="4963">
                  <c:v>83.07</c:v>
                </c:pt>
                <c:pt idx="4964">
                  <c:v>140.13999999999999</c:v>
                </c:pt>
                <c:pt idx="4965">
                  <c:v>92.65</c:v>
                </c:pt>
                <c:pt idx="4966">
                  <c:v>111.37</c:v>
                </c:pt>
                <c:pt idx="4967">
                  <c:v>99</c:v>
                </c:pt>
                <c:pt idx="4968">
                  <c:v>78.239999999999995</c:v>
                </c:pt>
                <c:pt idx="4969">
                  <c:v>83.88</c:v>
                </c:pt>
                <c:pt idx="4970">
                  <c:v>86.21</c:v>
                </c:pt>
                <c:pt idx="4971">
                  <c:v>57.06</c:v>
                </c:pt>
                <c:pt idx="4972">
                  <c:v>112.25</c:v>
                </c:pt>
                <c:pt idx="4973">
                  <c:v>81.06</c:v>
                </c:pt>
                <c:pt idx="4974">
                  <c:v>104.37</c:v>
                </c:pt>
                <c:pt idx="4975">
                  <c:v>124.31</c:v>
                </c:pt>
                <c:pt idx="4976">
                  <c:v>101.95</c:v>
                </c:pt>
                <c:pt idx="4977">
                  <c:v>116.95</c:v>
                </c:pt>
                <c:pt idx="4978">
                  <c:v>99.76</c:v>
                </c:pt>
                <c:pt idx="4979">
                  <c:v>105.48</c:v>
                </c:pt>
                <c:pt idx="4980">
                  <c:v>100.6</c:v>
                </c:pt>
                <c:pt idx="4981">
                  <c:v>65.05</c:v>
                </c:pt>
                <c:pt idx="4982">
                  <c:v>75.900000000000006</c:v>
                </c:pt>
                <c:pt idx="4983">
                  <c:v>267.60000000000002</c:v>
                </c:pt>
                <c:pt idx="4984">
                  <c:v>215.07</c:v>
                </c:pt>
                <c:pt idx="4985">
                  <c:v>109.03</c:v>
                </c:pt>
                <c:pt idx="4986">
                  <c:v>225.35</c:v>
                </c:pt>
                <c:pt idx="4987">
                  <c:v>196.26</c:v>
                </c:pt>
                <c:pt idx="4988">
                  <c:v>95.42</c:v>
                </c:pt>
                <c:pt idx="4989">
                  <c:v>123.04</c:v>
                </c:pt>
                <c:pt idx="4990">
                  <c:v>85.88</c:v>
                </c:pt>
                <c:pt idx="4991">
                  <c:v>107.43</c:v>
                </c:pt>
                <c:pt idx="4992">
                  <c:v>56.85</c:v>
                </c:pt>
                <c:pt idx="4993">
                  <c:v>102.15</c:v>
                </c:pt>
                <c:pt idx="4994">
                  <c:v>88.68</c:v>
                </c:pt>
                <c:pt idx="4995">
                  <c:v>182.52</c:v>
                </c:pt>
                <c:pt idx="4996">
                  <c:v>93.97</c:v>
                </c:pt>
                <c:pt idx="4997">
                  <c:v>104.03</c:v>
                </c:pt>
                <c:pt idx="4998">
                  <c:v>67.989999999999995</c:v>
                </c:pt>
                <c:pt idx="4999">
                  <c:v>83.37</c:v>
                </c:pt>
                <c:pt idx="5000">
                  <c:v>124.66</c:v>
                </c:pt>
                <c:pt idx="5001">
                  <c:v>212.87</c:v>
                </c:pt>
                <c:pt idx="5002">
                  <c:v>96.75</c:v>
                </c:pt>
                <c:pt idx="5003">
                  <c:v>63.28</c:v>
                </c:pt>
                <c:pt idx="5004">
                  <c:v>82.64</c:v>
                </c:pt>
                <c:pt idx="5005">
                  <c:v>71.34</c:v>
                </c:pt>
                <c:pt idx="5006">
                  <c:v>183.43</c:v>
                </c:pt>
                <c:pt idx="5007">
                  <c:v>101.19</c:v>
                </c:pt>
                <c:pt idx="5008">
                  <c:v>88.51</c:v>
                </c:pt>
                <c:pt idx="5009">
                  <c:v>126.85</c:v>
                </c:pt>
                <c:pt idx="5010">
                  <c:v>74.17</c:v>
                </c:pt>
                <c:pt idx="5011">
                  <c:v>76.040000000000006</c:v>
                </c:pt>
                <c:pt idx="5012">
                  <c:v>73.87</c:v>
                </c:pt>
                <c:pt idx="5013">
                  <c:v>99.07</c:v>
                </c:pt>
                <c:pt idx="5014">
                  <c:v>82.93</c:v>
                </c:pt>
                <c:pt idx="5015">
                  <c:v>133.24</c:v>
                </c:pt>
                <c:pt idx="5016">
                  <c:v>69.88</c:v>
                </c:pt>
                <c:pt idx="5017">
                  <c:v>69.12</c:v>
                </c:pt>
                <c:pt idx="5018">
                  <c:v>86.05</c:v>
                </c:pt>
                <c:pt idx="5019">
                  <c:v>185.27</c:v>
                </c:pt>
                <c:pt idx="5020">
                  <c:v>97.46</c:v>
                </c:pt>
                <c:pt idx="5021">
                  <c:v>81.900000000000006</c:v>
                </c:pt>
                <c:pt idx="5022">
                  <c:v>99.58</c:v>
                </c:pt>
                <c:pt idx="5023">
                  <c:v>124.54</c:v>
                </c:pt>
                <c:pt idx="5024">
                  <c:v>153.34</c:v>
                </c:pt>
                <c:pt idx="5025">
                  <c:v>112.35</c:v>
                </c:pt>
                <c:pt idx="5026">
                  <c:v>160.76</c:v>
                </c:pt>
                <c:pt idx="5027">
                  <c:v>73.290000000000006</c:v>
                </c:pt>
                <c:pt idx="5028">
                  <c:v>108.08</c:v>
                </c:pt>
                <c:pt idx="5029">
                  <c:v>206.49</c:v>
                </c:pt>
                <c:pt idx="5030">
                  <c:v>77.42</c:v>
                </c:pt>
                <c:pt idx="5031">
                  <c:v>117.59</c:v>
                </c:pt>
                <c:pt idx="5032">
                  <c:v>61.94</c:v>
                </c:pt>
                <c:pt idx="5033">
                  <c:v>116.68</c:v>
                </c:pt>
                <c:pt idx="5034">
                  <c:v>253.86</c:v>
                </c:pt>
                <c:pt idx="5035">
                  <c:v>203.36</c:v>
                </c:pt>
                <c:pt idx="5036">
                  <c:v>125.87</c:v>
                </c:pt>
                <c:pt idx="5037">
                  <c:v>64.09</c:v>
                </c:pt>
                <c:pt idx="5038">
                  <c:v>65.33</c:v>
                </c:pt>
                <c:pt idx="5039">
                  <c:v>70.150000000000006</c:v>
                </c:pt>
                <c:pt idx="5040">
                  <c:v>96.84</c:v>
                </c:pt>
                <c:pt idx="5041">
                  <c:v>175.92</c:v>
                </c:pt>
                <c:pt idx="5042">
                  <c:v>100.65</c:v>
                </c:pt>
                <c:pt idx="5043">
                  <c:v>112.39</c:v>
                </c:pt>
                <c:pt idx="5044">
                  <c:v>81.099999999999994</c:v>
                </c:pt>
                <c:pt idx="5045">
                  <c:v>98.3</c:v>
                </c:pt>
                <c:pt idx="5046">
                  <c:v>89.68</c:v>
                </c:pt>
                <c:pt idx="5047">
                  <c:v>95.16</c:v>
                </c:pt>
                <c:pt idx="5048">
                  <c:v>191.15</c:v>
                </c:pt>
                <c:pt idx="5049">
                  <c:v>91.04</c:v>
                </c:pt>
                <c:pt idx="5050">
                  <c:v>101.87</c:v>
                </c:pt>
                <c:pt idx="5051">
                  <c:v>96.86</c:v>
                </c:pt>
                <c:pt idx="5052">
                  <c:v>91.05</c:v>
                </c:pt>
                <c:pt idx="5053">
                  <c:v>55.84</c:v>
                </c:pt>
                <c:pt idx="5054">
                  <c:v>84.04</c:v>
                </c:pt>
                <c:pt idx="5055">
                  <c:v>92.06</c:v>
                </c:pt>
                <c:pt idx="5056">
                  <c:v>89.61</c:v>
                </c:pt>
                <c:pt idx="5057">
                  <c:v>69.92</c:v>
                </c:pt>
                <c:pt idx="5058">
                  <c:v>89.29</c:v>
                </c:pt>
                <c:pt idx="5059">
                  <c:v>120.23</c:v>
                </c:pt>
                <c:pt idx="5060">
                  <c:v>60.22</c:v>
                </c:pt>
                <c:pt idx="5061">
                  <c:v>223.78</c:v>
                </c:pt>
                <c:pt idx="5062">
                  <c:v>211.58</c:v>
                </c:pt>
                <c:pt idx="5063">
                  <c:v>179.38</c:v>
                </c:pt>
                <c:pt idx="5064">
                  <c:v>193.88</c:v>
                </c:pt>
                <c:pt idx="5065">
                  <c:v>89.01</c:v>
                </c:pt>
                <c:pt idx="5066">
                  <c:v>118.41</c:v>
                </c:pt>
                <c:pt idx="5067">
                  <c:v>138.51</c:v>
                </c:pt>
                <c:pt idx="5068">
                  <c:v>120.03</c:v>
                </c:pt>
                <c:pt idx="5069">
                  <c:v>91.01</c:v>
                </c:pt>
                <c:pt idx="5070">
                  <c:v>61.98</c:v>
                </c:pt>
                <c:pt idx="5071">
                  <c:v>135.32</c:v>
                </c:pt>
                <c:pt idx="5072">
                  <c:v>58.72</c:v>
                </c:pt>
                <c:pt idx="5073">
                  <c:v>90.42</c:v>
                </c:pt>
                <c:pt idx="5074">
                  <c:v>104</c:v>
                </c:pt>
                <c:pt idx="5075">
                  <c:v>102.5</c:v>
                </c:pt>
                <c:pt idx="5076">
                  <c:v>174.37</c:v>
                </c:pt>
                <c:pt idx="5077">
                  <c:v>106.56</c:v>
                </c:pt>
                <c:pt idx="5078">
                  <c:v>76.31</c:v>
                </c:pt>
                <c:pt idx="5079">
                  <c:v>77.28</c:v>
                </c:pt>
                <c:pt idx="5080">
                  <c:v>90.52</c:v>
                </c:pt>
                <c:pt idx="5081">
                  <c:v>108.35</c:v>
                </c:pt>
                <c:pt idx="5082">
                  <c:v>72.03</c:v>
                </c:pt>
                <c:pt idx="5083">
                  <c:v>90.57</c:v>
                </c:pt>
                <c:pt idx="5084">
                  <c:v>97.04</c:v>
                </c:pt>
                <c:pt idx="5085">
                  <c:v>83.89</c:v>
                </c:pt>
                <c:pt idx="5086">
                  <c:v>152.56</c:v>
                </c:pt>
                <c:pt idx="5087">
                  <c:v>75.930000000000007</c:v>
                </c:pt>
                <c:pt idx="5088">
                  <c:v>76.89</c:v>
                </c:pt>
                <c:pt idx="5089">
                  <c:v>62.13</c:v>
                </c:pt>
                <c:pt idx="5090">
                  <c:v>100.85</c:v>
                </c:pt>
                <c:pt idx="5091">
                  <c:v>95.05</c:v>
                </c:pt>
                <c:pt idx="5092">
                  <c:v>82.35</c:v>
                </c:pt>
                <c:pt idx="5093">
                  <c:v>95.02</c:v>
                </c:pt>
                <c:pt idx="5094">
                  <c:v>82.38</c:v>
                </c:pt>
                <c:pt idx="5095">
                  <c:v>79.150000000000006</c:v>
                </c:pt>
                <c:pt idx="5096">
                  <c:v>76.62</c:v>
                </c:pt>
                <c:pt idx="5097">
                  <c:v>91.68</c:v>
                </c:pt>
                <c:pt idx="5098">
                  <c:v>71.88</c:v>
                </c:pt>
                <c:pt idx="5099">
                  <c:v>83.94</c:v>
                </c:pt>
                <c:pt idx="5100">
                  <c:v>71.97</c:v>
                </c:pt>
                <c:pt idx="5101">
                  <c:v>97.95</c:v>
                </c:pt>
                <c:pt idx="5102">
                  <c:v>77.930000000000007</c:v>
                </c:pt>
                <c:pt idx="5103">
                  <c:v>82.85</c:v>
                </c:pt>
                <c:pt idx="5104">
                  <c:v>103.08</c:v>
                </c:pt>
                <c:pt idx="5105">
                  <c:v>83.75</c:v>
                </c:pt>
                <c:pt idx="5106">
                  <c:v>125.2</c:v>
                </c:pt>
                <c:pt idx="5107">
                  <c:v>82.99</c:v>
                </c:pt>
                <c:pt idx="5108">
                  <c:v>166.29</c:v>
                </c:pt>
                <c:pt idx="5109">
                  <c:v>85.28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A6-4696-B60F-EF2210CE4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323567"/>
        <c:axId val="1547330767"/>
      </c:scatterChart>
      <c:valAx>
        <c:axId val="154732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330767"/>
        <c:crosses val="autoZero"/>
        <c:crossBetween val="midCat"/>
      </c:valAx>
      <c:valAx>
        <c:axId val="154733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32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175260</xdr:colOff>
      <xdr:row>27</xdr:row>
      <xdr:rowOff>159624</xdr:rowOff>
    </xdr:from>
    <xdr:to>
      <xdr:col>7</xdr:col>
      <xdr:colOff>502920</xdr:colOff>
      <xdr:row>29</xdr:row>
      <xdr:rowOff>15257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7E16E8-9A71-E82D-E374-4C4636DA9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2860" y="5158344"/>
          <a:ext cx="327660" cy="221393"/>
        </a:xfrm>
        <a:prstGeom prst="rect">
          <a:avLst/>
        </a:prstGeom>
      </xdr:spPr>
    </xdr:pic>
    <xdr:clientData/>
  </xdr:twoCellAnchor>
  <xdr:twoCellAnchor editAs="oneCell">
    <xdr:from>
      <xdr:col>9</xdr:col>
      <xdr:colOff>124097</xdr:colOff>
      <xdr:row>24</xdr:row>
      <xdr:rowOff>17417</xdr:rowOff>
    </xdr:from>
    <xdr:to>
      <xdr:col>12</xdr:col>
      <xdr:colOff>543410</xdr:colOff>
      <xdr:row>26</xdr:row>
      <xdr:rowOff>124138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1933AE-26AC-CAD7-35AC-F0513CFF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00897" y="4545874"/>
          <a:ext cx="2465827" cy="476835"/>
        </a:xfrm>
        <a:prstGeom prst="rect">
          <a:avLst/>
        </a:prstGeom>
      </xdr:spPr>
    </xdr:pic>
    <xdr:clientData/>
  </xdr:twoCellAnchor>
  <xdr:twoCellAnchor editAs="oneCell">
    <xdr:from>
      <xdr:col>7</xdr:col>
      <xdr:colOff>121920</xdr:colOff>
      <xdr:row>28</xdr:row>
      <xdr:rowOff>175260</xdr:rowOff>
    </xdr:from>
    <xdr:to>
      <xdr:col>7</xdr:col>
      <xdr:colOff>548640</xdr:colOff>
      <xdr:row>30</xdr:row>
      <xdr:rowOff>22860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755E68-50B7-3FE7-CE8E-6DA5C4C78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79520" y="5356860"/>
          <a:ext cx="426720" cy="213360"/>
        </a:xfrm>
        <a:prstGeom prst="rect">
          <a:avLst/>
        </a:prstGeom>
      </xdr:spPr>
    </xdr:pic>
    <xdr:clientData/>
  </xdr:twoCellAnchor>
  <xdr:twoCellAnchor editAs="oneCell">
    <xdr:from>
      <xdr:col>7</xdr:col>
      <xdr:colOff>198120</xdr:colOff>
      <xdr:row>30</xdr:row>
      <xdr:rowOff>22860</xdr:rowOff>
    </xdr:from>
    <xdr:to>
      <xdr:col>7</xdr:col>
      <xdr:colOff>522015</xdr:colOff>
      <xdr:row>31</xdr:row>
      <xdr:rowOff>30507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477B9A-FA11-E8BE-514D-69299466B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55720" y="5570220"/>
          <a:ext cx="323895" cy="190527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152401</xdr:colOff>
      <xdr:row>31</xdr:row>
      <xdr:rowOff>30481</xdr:rowOff>
    </xdr:from>
    <xdr:to>
      <xdr:col>7</xdr:col>
      <xdr:colOff>558801</xdr:colOff>
      <xdr:row>32</xdr:row>
      <xdr:rowOff>91441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BDCD23-26DD-5E94-8FC2-3D16EC1C2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01" y="5760721"/>
          <a:ext cx="406400" cy="24384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12</xdr:col>
      <xdr:colOff>45777</xdr:colOff>
      <xdr:row>29</xdr:row>
      <xdr:rowOff>15257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E5039A6-AAEA-0B9C-D154-59DF0B7AB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09360" y="5181600"/>
          <a:ext cx="655377" cy="19813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11</xdr:col>
      <xdr:colOff>457200</xdr:colOff>
      <xdr:row>31</xdr:row>
      <xdr:rowOff>27433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E94FDF0-8FED-D55C-710C-1F6B7A565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09360" y="5547360"/>
          <a:ext cx="457200" cy="21031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304800</xdr:colOff>
      <xdr:row>35</xdr:row>
      <xdr:rowOff>121920</xdr:rowOff>
    </xdr:to>
    <xdr:sp macro="" textlink="">
      <xdr:nvSpPr>
        <xdr:cNvPr id="3073" name="AutoShape 1" descr="01tabel r | PDF">
          <a:extLst>
            <a:ext uri="{FF2B5EF4-FFF2-40B4-BE49-F238E27FC236}">
              <a16:creationId xmlns:a16="http://schemas.microsoft.com/office/drawing/2014/main" id="{37280129-E7CB-0E2B-3F8F-D6C223D80EB3}"/>
            </a:ext>
          </a:extLst>
        </xdr:cNvPr>
        <xdr:cNvSpPr>
          <a:spLocks noChangeAspect="1" noChangeArrowheads="1"/>
        </xdr:cNvSpPr>
      </xdr:nvSpPr>
      <xdr:spPr bwMode="auto">
        <a:xfrm>
          <a:off x="6918960" y="627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304800</xdr:colOff>
      <xdr:row>36</xdr:row>
      <xdr:rowOff>121920</xdr:rowOff>
    </xdr:to>
    <xdr:sp macro="" textlink="">
      <xdr:nvSpPr>
        <xdr:cNvPr id="3074" name="AutoShape 2" descr="01tabel r | PDF">
          <a:extLst>
            <a:ext uri="{FF2B5EF4-FFF2-40B4-BE49-F238E27FC236}">
              <a16:creationId xmlns:a16="http://schemas.microsoft.com/office/drawing/2014/main" id="{FF9F79E8-1FCD-C1BB-037A-9FF823DD41A0}"/>
            </a:ext>
          </a:extLst>
        </xdr:cNvPr>
        <xdr:cNvSpPr>
          <a:spLocks noChangeAspect="1" noChangeArrowheads="1"/>
        </xdr:cNvSpPr>
      </xdr:nvSpPr>
      <xdr:spPr bwMode="auto">
        <a:xfrm>
          <a:off x="9570720" y="646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141514</xdr:colOff>
      <xdr:row>1</xdr:row>
      <xdr:rowOff>141514</xdr:rowOff>
    </xdr:from>
    <xdr:to>
      <xdr:col>28</xdr:col>
      <xdr:colOff>358359</xdr:colOff>
      <xdr:row>15</xdr:row>
      <xdr:rowOff>116027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CA1CB5D-0882-EEA5-C43A-38799C9E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97743" y="337457"/>
          <a:ext cx="3515216" cy="2619741"/>
        </a:xfrm>
        <a:prstGeom prst="rect">
          <a:avLst/>
        </a:prstGeom>
      </xdr:spPr>
    </xdr:pic>
    <xdr:clientData/>
  </xdr:twoCellAnchor>
  <xdr:twoCellAnchor>
    <xdr:from>
      <xdr:col>23</xdr:col>
      <xdr:colOff>10884</xdr:colOff>
      <xdr:row>18</xdr:row>
      <xdr:rowOff>21771</xdr:rowOff>
    </xdr:from>
    <xdr:to>
      <xdr:col>30</xdr:col>
      <xdr:colOff>315684</xdr:colOff>
      <xdr:row>32</xdr:row>
      <xdr:rowOff>163286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5F08DCA-5446-4B61-DBCF-72C11565A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11"/>
  <sheetViews>
    <sheetView zoomScale="70" zoomScaleNormal="70" workbookViewId="0">
      <selection activeCell="V5" sqref="V5"/>
    </sheetView>
  </sheetViews>
  <sheetFormatPr defaultRowHeight="14.4" x14ac:dyDescent="0.3"/>
  <cols>
    <col min="2" max="2" width="12.21875" customWidth="1"/>
    <col min="3" max="3" width="11.44140625" customWidth="1"/>
    <col min="4" max="4" width="11.77734375" customWidth="1"/>
    <col min="5" max="5" width="13.88671875" customWidth="1"/>
    <col min="6" max="6" width="19.88671875" customWidth="1"/>
    <col min="7" max="7" width="18" customWidth="1"/>
    <col min="8" max="8" width="19.109375" customWidth="1"/>
    <col min="9" max="9" width="19.5546875" customWidth="1"/>
    <col min="10" max="10" width="15" customWidth="1"/>
    <col min="11" max="11" width="17" customWidth="1"/>
    <col min="12" max="12" width="12.33203125" customWidth="1"/>
    <col min="17" max="17" width="12.6640625" customWidth="1"/>
    <col min="21" max="21" width="16.5546875" customWidth="1"/>
    <col min="25" max="25" width="15.109375" customWidth="1"/>
    <col min="27" max="27" width="8.886718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2"/>
      <c r="O1" s="2"/>
      <c r="Q1" s="3"/>
    </row>
    <row r="2" spans="1:22" ht="15.6" customHeight="1" x14ac:dyDescent="0.3">
      <c r="A2">
        <v>9046</v>
      </c>
      <c r="B2" t="s">
        <v>12</v>
      </c>
      <c r="C2">
        <v>67</v>
      </c>
      <c r="D2" t="s">
        <v>15</v>
      </c>
      <c r="E2" t="s">
        <v>16</v>
      </c>
      <c r="F2" t="s">
        <v>16</v>
      </c>
      <c r="G2" t="s">
        <v>17</v>
      </c>
      <c r="H2" t="s">
        <v>22</v>
      </c>
      <c r="I2">
        <v>228.69</v>
      </c>
      <c r="J2">
        <v>36.6</v>
      </c>
      <c r="K2" t="s">
        <v>24</v>
      </c>
      <c r="L2" t="s">
        <v>16</v>
      </c>
    </row>
    <row r="3" spans="1:22" x14ac:dyDescent="0.3">
      <c r="A3">
        <v>51676</v>
      </c>
      <c r="B3" t="s">
        <v>13</v>
      </c>
      <c r="C3">
        <v>61</v>
      </c>
      <c r="D3" t="s">
        <v>15</v>
      </c>
      <c r="E3" t="s">
        <v>15</v>
      </c>
      <c r="F3" t="s">
        <v>16</v>
      </c>
      <c r="G3" t="s">
        <v>18</v>
      </c>
      <c r="H3" t="s">
        <v>23</v>
      </c>
      <c r="I3">
        <v>202.21</v>
      </c>
      <c r="K3" t="s">
        <v>25</v>
      </c>
      <c r="L3" t="s">
        <v>16</v>
      </c>
    </row>
    <row r="4" spans="1:22" x14ac:dyDescent="0.3">
      <c r="A4">
        <v>31112</v>
      </c>
      <c r="B4" t="s">
        <v>12</v>
      </c>
      <c r="C4">
        <v>80</v>
      </c>
      <c r="D4" t="s">
        <v>15</v>
      </c>
      <c r="E4" t="s">
        <v>16</v>
      </c>
      <c r="F4" t="s">
        <v>16</v>
      </c>
      <c r="G4" t="s">
        <v>17</v>
      </c>
      <c r="H4" t="s">
        <v>23</v>
      </c>
      <c r="I4">
        <v>105.92</v>
      </c>
      <c r="J4">
        <v>32.5</v>
      </c>
      <c r="K4" t="s">
        <v>25</v>
      </c>
      <c r="L4" t="s">
        <v>16</v>
      </c>
      <c r="N4" t="s">
        <v>28</v>
      </c>
      <c r="O4">
        <f>COUNTA(C2:C5111)</f>
        <v>5110</v>
      </c>
      <c r="R4" s="4" t="s">
        <v>31</v>
      </c>
      <c r="S4" s="10" t="s">
        <v>32</v>
      </c>
      <c r="T4" s="10"/>
      <c r="U4" s="4" t="s">
        <v>33</v>
      </c>
      <c r="V4" s="4" t="s">
        <v>34</v>
      </c>
    </row>
    <row r="5" spans="1:22" x14ac:dyDescent="0.3">
      <c r="A5">
        <v>60182</v>
      </c>
      <c r="B5" t="s">
        <v>13</v>
      </c>
      <c r="C5">
        <v>49</v>
      </c>
      <c r="D5" t="s">
        <v>15</v>
      </c>
      <c r="E5" t="s">
        <v>15</v>
      </c>
      <c r="F5" t="s">
        <v>16</v>
      </c>
      <c r="G5" t="s">
        <v>17</v>
      </c>
      <c r="H5" t="s">
        <v>22</v>
      </c>
      <c r="I5">
        <v>171.23</v>
      </c>
      <c r="J5">
        <v>34.4</v>
      </c>
      <c r="K5" t="s">
        <v>26</v>
      </c>
      <c r="L5" t="s">
        <v>16</v>
      </c>
      <c r="N5" t="s">
        <v>29</v>
      </c>
      <c r="O5">
        <f>MAX(C2:C5111)</f>
        <v>82</v>
      </c>
      <c r="R5" s="4">
        <v>1</v>
      </c>
      <c r="S5" s="4">
        <f>O6</f>
        <v>0.08</v>
      </c>
      <c r="T5" s="4">
        <f>S5+$P$10-1</f>
        <v>5.08</v>
      </c>
      <c r="U5" s="4" t="str">
        <f>CONCATENATE(S5,"-",T5)</f>
        <v>0,08-5,08</v>
      </c>
      <c r="V5" s="4" cm="1">
        <f t="array" ref="V5:V18">FREQUENCY(C2:C5111,T5:T17)</f>
        <v>320</v>
      </c>
    </row>
    <row r="6" spans="1:22" x14ac:dyDescent="0.3">
      <c r="A6">
        <v>1665</v>
      </c>
      <c r="B6" t="s">
        <v>13</v>
      </c>
      <c r="C6">
        <v>79</v>
      </c>
      <c r="D6" t="s">
        <v>16</v>
      </c>
      <c r="E6" t="s">
        <v>15</v>
      </c>
      <c r="F6" t="s">
        <v>16</v>
      </c>
      <c r="G6" t="s">
        <v>18</v>
      </c>
      <c r="H6" t="s">
        <v>23</v>
      </c>
      <c r="I6">
        <v>174.12</v>
      </c>
      <c r="J6">
        <v>24</v>
      </c>
      <c r="K6" t="s">
        <v>25</v>
      </c>
      <c r="L6" t="s">
        <v>16</v>
      </c>
      <c r="N6" t="s">
        <v>30</v>
      </c>
      <c r="O6">
        <f>MIN(C2:C5111)</f>
        <v>0.08</v>
      </c>
      <c r="R6" s="4">
        <v>2</v>
      </c>
      <c r="S6" s="4">
        <f>T5+1</f>
        <v>6.08</v>
      </c>
      <c r="T6" s="4">
        <f t="shared" ref="T6:T17" si="0">S6+$P$10-1</f>
        <v>11.08</v>
      </c>
      <c r="U6" s="4" t="str">
        <f t="shared" ref="U6:U17" si="1">CONCATENATE(S6,"-",T6)</f>
        <v>6,08-11,08</v>
      </c>
      <c r="V6" s="4">
        <v>223</v>
      </c>
    </row>
    <row r="7" spans="1:22" x14ac:dyDescent="0.3">
      <c r="A7">
        <v>56669</v>
      </c>
      <c r="B7" t="s">
        <v>12</v>
      </c>
      <c r="C7">
        <v>81</v>
      </c>
      <c r="D7" t="s">
        <v>15</v>
      </c>
      <c r="E7" t="s">
        <v>15</v>
      </c>
      <c r="F7" t="s">
        <v>16</v>
      </c>
      <c r="G7" t="s">
        <v>17</v>
      </c>
      <c r="H7" t="s">
        <v>22</v>
      </c>
      <c r="I7">
        <v>186.21</v>
      </c>
      <c r="J7">
        <v>29</v>
      </c>
      <c r="K7" t="s">
        <v>24</v>
      </c>
      <c r="L7" t="s">
        <v>16</v>
      </c>
      <c r="R7" s="4">
        <v>3</v>
      </c>
      <c r="S7" s="4">
        <f t="shared" ref="S7:S17" si="2">T6+1</f>
        <v>12.08</v>
      </c>
      <c r="T7" s="4">
        <f t="shared" si="0"/>
        <v>17.079999999999998</v>
      </c>
      <c r="U7" s="4" t="str">
        <f t="shared" si="1"/>
        <v>12,08-17,08</v>
      </c>
      <c r="V7" s="4">
        <v>313</v>
      </c>
    </row>
    <row r="8" spans="1:22" x14ac:dyDescent="0.3">
      <c r="A8">
        <v>53882</v>
      </c>
      <c r="B8" t="s">
        <v>12</v>
      </c>
      <c r="C8">
        <v>74</v>
      </c>
      <c r="D8" t="s">
        <v>16</v>
      </c>
      <c r="E8" t="s">
        <v>16</v>
      </c>
      <c r="F8" t="s">
        <v>16</v>
      </c>
      <c r="G8" t="s">
        <v>17</v>
      </c>
      <c r="H8" t="s">
        <v>23</v>
      </c>
      <c r="I8">
        <v>70.09</v>
      </c>
      <c r="J8">
        <v>27.4</v>
      </c>
      <c r="K8" t="s">
        <v>25</v>
      </c>
      <c r="L8" t="s">
        <v>16</v>
      </c>
      <c r="N8" t="s">
        <v>35</v>
      </c>
      <c r="O8">
        <f>O5-O6</f>
        <v>81.92</v>
      </c>
      <c r="R8" s="4">
        <v>4</v>
      </c>
      <c r="S8" s="4">
        <f t="shared" si="2"/>
        <v>18.079999999999998</v>
      </c>
      <c r="T8" s="4">
        <f t="shared" si="0"/>
        <v>23.08</v>
      </c>
      <c r="U8" s="4" t="str">
        <f t="shared" si="1"/>
        <v>18,08-23,08</v>
      </c>
      <c r="V8" s="4">
        <v>325</v>
      </c>
    </row>
    <row r="9" spans="1:22" x14ac:dyDescent="0.3">
      <c r="A9">
        <v>10434</v>
      </c>
      <c r="B9" t="s">
        <v>13</v>
      </c>
      <c r="C9">
        <v>69</v>
      </c>
      <c r="D9" t="s">
        <v>15</v>
      </c>
      <c r="E9" t="s">
        <v>15</v>
      </c>
      <c r="F9" t="s">
        <v>15</v>
      </c>
      <c r="G9" t="s">
        <v>17</v>
      </c>
      <c r="H9" t="s">
        <v>22</v>
      </c>
      <c r="I9">
        <v>94.39</v>
      </c>
      <c r="J9">
        <v>22.8</v>
      </c>
      <c r="K9" t="s">
        <v>25</v>
      </c>
      <c r="L9" t="s">
        <v>16</v>
      </c>
      <c r="N9" t="s">
        <v>36</v>
      </c>
      <c r="O9">
        <f>1+3.3*LOG(O4)</f>
        <v>13.237788970444551</v>
      </c>
      <c r="P9">
        <v>13</v>
      </c>
      <c r="R9" s="4">
        <v>5</v>
      </c>
      <c r="S9" s="4">
        <f t="shared" si="2"/>
        <v>24.08</v>
      </c>
      <c r="T9" s="4">
        <f t="shared" si="0"/>
        <v>29.08</v>
      </c>
      <c r="U9" s="4" t="str">
        <f t="shared" si="1"/>
        <v>24,08-29,08</v>
      </c>
      <c r="V9" s="4">
        <v>334</v>
      </c>
    </row>
    <row r="10" spans="1:22" x14ac:dyDescent="0.3">
      <c r="A10">
        <v>27419</v>
      </c>
      <c r="B10" t="s">
        <v>13</v>
      </c>
      <c r="C10">
        <v>59</v>
      </c>
      <c r="D10" t="s">
        <v>15</v>
      </c>
      <c r="E10" t="s">
        <v>15</v>
      </c>
      <c r="F10" t="s">
        <v>16</v>
      </c>
      <c r="G10" t="s">
        <v>17</v>
      </c>
      <c r="H10" t="s">
        <v>23</v>
      </c>
      <c r="I10">
        <v>76.150000000000006</v>
      </c>
      <c r="K10" t="s">
        <v>27</v>
      </c>
      <c r="L10" t="s">
        <v>16</v>
      </c>
      <c r="N10" t="s">
        <v>37</v>
      </c>
      <c r="O10">
        <f>O8/P9</f>
        <v>6.3015384615384615</v>
      </c>
      <c r="P10">
        <v>6</v>
      </c>
      <c r="R10" s="4">
        <v>6</v>
      </c>
      <c r="S10" s="4">
        <f t="shared" si="2"/>
        <v>30.08</v>
      </c>
      <c r="T10" s="4">
        <f t="shared" si="0"/>
        <v>35.08</v>
      </c>
      <c r="U10" s="4" t="str">
        <f t="shared" si="1"/>
        <v>30,08-35,08</v>
      </c>
      <c r="V10" s="4">
        <v>384</v>
      </c>
    </row>
    <row r="11" spans="1:22" x14ac:dyDescent="0.3">
      <c r="A11">
        <v>60491</v>
      </c>
      <c r="B11" t="s">
        <v>13</v>
      </c>
      <c r="C11">
        <v>78</v>
      </c>
      <c r="D11" t="s">
        <v>15</v>
      </c>
      <c r="E11" t="s">
        <v>15</v>
      </c>
      <c r="F11" t="s">
        <v>16</v>
      </c>
      <c r="G11" t="s">
        <v>17</v>
      </c>
      <c r="H11" t="s">
        <v>22</v>
      </c>
      <c r="I11">
        <v>58.57</v>
      </c>
      <c r="J11">
        <v>24.2</v>
      </c>
      <c r="K11" t="s">
        <v>27</v>
      </c>
      <c r="L11" t="s">
        <v>16</v>
      </c>
      <c r="R11" s="4">
        <v>7</v>
      </c>
      <c r="S11" s="4">
        <f t="shared" si="2"/>
        <v>36.08</v>
      </c>
      <c r="T11" s="4">
        <f t="shared" si="0"/>
        <v>41.08</v>
      </c>
      <c r="U11" s="4" t="str">
        <f t="shared" si="1"/>
        <v>36,08-41,08</v>
      </c>
      <c r="V11" s="4">
        <v>418</v>
      </c>
    </row>
    <row r="12" spans="1:22" x14ac:dyDescent="0.3">
      <c r="A12">
        <v>12109</v>
      </c>
      <c r="B12" t="s">
        <v>13</v>
      </c>
      <c r="C12">
        <v>81</v>
      </c>
      <c r="D12" t="s">
        <v>16</v>
      </c>
      <c r="E12" t="s">
        <v>15</v>
      </c>
      <c r="F12" t="s">
        <v>16</v>
      </c>
      <c r="G12" t="s">
        <v>17</v>
      </c>
      <c r="H12" t="s">
        <v>23</v>
      </c>
      <c r="I12">
        <v>80.430000000000007</v>
      </c>
      <c r="J12">
        <v>29.7</v>
      </c>
      <c r="K12" t="s">
        <v>25</v>
      </c>
      <c r="L12" t="s">
        <v>16</v>
      </c>
      <c r="R12" s="4">
        <v>8</v>
      </c>
      <c r="S12" s="4">
        <f t="shared" si="2"/>
        <v>42.08</v>
      </c>
      <c r="T12" s="4">
        <f t="shared" si="0"/>
        <v>47.08</v>
      </c>
      <c r="U12" s="4" t="str">
        <f t="shared" si="1"/>
        <v>42,08-47,08</v>
      </c>
      <c r="V12" s="4">
        <v>438</v>
      </c>
    </row>
    <row r="13" spans="1:22" x14ac:dyDescent="0.3">
      <c r="A13">
        <v>12095</v>
      </c>
      <c r="B13" t="s">
        <v>13</v>
      </c>
      <c r="C13">
        <v>61</v>
      </c>
      <c r="D13" t="s">
        <v>15</v>
      </c>
      <c r="E13" t="s">
        <v>16</v>
      </c>
      <c r="F13" t="s">
        <v>16</v>
      </c>
      <c r="G13" t="s">
        <v>19</v>
      </c>
      <c r="H13" t="s">
        <v>23</v>
      </c>
      <c r="I13">
        <v>120.46</v>
      </c>
      <c r="J13">
        <v>36.799999999999997</v>
      </c>
      <c r="K13" t="s">
        <v>26</v>
      </c>
      <c r="L13" t="s">
        <v>16</v>
      </c>
      <c r="R13" s="4">
        <v>9</v>
      </c>
      <c r="S13" s="4">
        <f t="shared" si="2"/>
        <v>48.08</v>
      </c>
      <c r="T13" s="4">
        <f t="shared" si="0"/>
        <v>53.08</v>
      </c>
      <c r="U13" s="4" t="str">
        <f t="shared" si="1"/>
        <v>48,08-53,08</v>
      </c>
      <c r="V13" s="4">
        <v>489</v>
      </c>
    </row>
    <row r="14" spans="1:22" x14ac:dyDescent="0.3">
      <c r="A14">
        <v>12175</v>
      </c>
      <c r="B14" t="s">
        <v>13</v>
      </c>
      <c r="C14">
        <v>54</v>
      </c>
      <c r="D14" t="s">
        <v>15</v>
      </c>
      <c r="E14" t="s">
        <v>15</v>
      </c>
      <c r="F14" t="s">
        <v>16</v>
      </c>
      <c r="G14" t="s">
        <v>17</v>
      </c>
      <c r="H14" t="s">
        <v>22</v>
      </c>
      <c r="I14">
        <v>104.51</v>
      </c>
      <c r="J14">
        <v>27.3</v>
      </c>
      <c r="K14" t="s">
        <v>26</v>
      </c>
      <c r="L14" t="s">
        <v>16</v>
      </c>
      <c r="R14" s="4">
        <v>10</v>
      </c>
      <c r="S14" s="4">
        <f t="shared" si="2"/>
        <v>54.08</v>
      </c>
      <c r="T14" s="4">
        <f t="shared" si="0"/>
        <v>59.08</v>
      </c>
      <c r="U14" s="4" t="str">
        <f t="shared" si="1"/>
        <v>54,08-59,08</v>
      </c>
      <c r="V14" s="4">
        <v>490</v>
      </c>
    </row>
    <row r="15" spans="1:22" x14ac:dyDescent="0.3">
      <c r="A15">
        <v>8213</v>
      </c>
      <c r="B15" t="s">
        <v>12</v>
      </c>
      <c r="C15">
        <v>78</v>
      </c>
      <c r="D15" t="s">
        <v>15</v>
      </c>
      <c r="E15" t="s">
        <v>16</v>
      </c>
      <c r="F15" t="s">
        <v>16</v>
      </c>
      <c r="G15" t="s">
        <v>17</v>
      </c>
      <c r="H15" t="s">
        <v>22</v>
      </c>
      <c r="I15">
        <v>219.84</v>
      </c>
      <c r="K15" t="s">
        <v>27</v>
      </c>
      <c r="L15" t="s">
        <v>16</v>
      </c>
      <c r="R15" s="4">
        <v>11</v>
      </c>
      <c r="S15" s="4">
        <f t="shared" si="2"/>
        <v>60.08</v>
      </c>
      <c r="T15" s="4">
        <f t="shared" si="0"/>
        <v>65.08</v>
      </c>
      <c r="U15" s="4" t="str">
        <f t="shared" si="1"/>
        <v>60,08-65,08</v>
      </c>
      <c r="V15" s="4">
        <v>411</v>
      </c>
    </row>
    <row r="16" spans="1:22" x14ac:dyDescent="0.3">
      <c r="A16">
        <v>5317</v>
      </c>
      <c r="B16" t="s">
        <v>13</v>
      </c>
      <c r="C16">
        <v>79</v>
      </c>
      <c r="D16" t="s">
        <v>15</v>
      </c>
      <c r="E16" t="s">
        <v>16</v>
      </c>
      <c r="F16" t="s">
        <v>16</v>
      </c>
      <c r="G16" t="s">
        <v>17</v>
      </c>
      <c r="H16" t="s">
        <v>22</v>
      </c>
      <c r="I16">
        <v>214.09</v>
      </c>
      <c r="J16">
        <v>28.2</v>
      </c>
      <c r="K16" t="s">
        <v>25</v>
      </c>
      <c r="L16" t="s">
        <v>16</v>
      </c>
      <c r="R16" s="4">
        <v>12</v>
      </c>
      <c r="S16" s="4">
        <f t="shared" si="2"/>
        <v>66.08</v>
      </c>
      <c r="T16" s="4">
        <f t="shared" si="0"/>
        <v>71.08</v>
      </c>
      <c r="U16" s="4" t="str">
        <f t="shared" si="1"/>
        <v>66,08-71,08</v>
      </c>
      <c r="V16" s="4">
        <v>316</v>
      </c>
    </row>
    <row r="17" spans="1:22" x14ac:dyDescent="0.3">
      <c r="A17">
        <v>58202</v>
      </c>
      <c r="B17" t="s">
        <v>13</v>
      </c>
      <c r="C17">
        <v>50</v>
      </c>
      <c r="D17" t="s">
        <v>16</v>
      </c>
      <c r="E17" t="s">
        <v>15</v>
      </c>
      <c r="F17" t="s">
        <v>16</v>
      </c>
      <c r="G17" t="s">
        <v>18</v>
      </c>
      <c r="H17" t="s">
        <v>23</v>
      </c>
      <c r="I17">
        <v>167.41</v>
      </c>
      <c r="J17">
        <v>30.9</v>
      </c>
      <c r="K17" t="s">
        <v>25</v>
      </c>
      <c r="L17" t="s">
        <v>16</v>
      </c>
      <c r="R17" s="4">
        <v>13</v>
      </c>
      <c r="S17" s="4">
        <f t="shared" si="2"/>
        <v>72.08</v>
      </c>
      <c r="T17" s="4">
        <f t="shared" si="0"/>
        <v>77.08</v>
      </c>
      <c r="U17" s="4" t="str">
        <f t="shared" si="1"/>
        <v>72,08-77,08</v>
      </c>
      <c r="V17" s="4">
        <v>276</v>
      </c>
    </row>
    <row r="18" spans="1:22" x14ac:dyDescent="0.3">
      <c r="A18">
        <v>56112</v>
      </c>
      <c r="B18" t="s">
        <v>12</v>
      </c>
      <c r="C18">
        <v>64</v>
      </c>
      <c r="D18" t="s">
        <v>15</v>
      </c>
      <c r="E18" t="s">
        <v>16</v>
      </c>
      <c r="F18" t="s">
        <v>16</v>
      </c>
      <c r="G18" t="s">
        <v>17</v>
      </c>
      <c r="H18" t="s">
        <v>22</v>
      </c>
      <c r="I18">
        <v>191.61</v>
      </c>
      <c r="J18">
        <v>37.5</v>
      </c>
      <c r="K18" t="s">
        <v>26</v>
      </c>
      <c r="L18" t="s">
        <v>16</v>
      </c>
      <c r="V18" s="4">
        <v>373</v>
      </c>
    </row>
    <row r="19" spans="1:22" x14ac:dyDescent="0.3">
      <c r="A19">
        <v>34120</v>
      </c>
      <c r="B19" t="s">
        <v>12</v>
      </c>
      <c r="C19">
        <v>75</v>
      </c>
      <c r="D19" t="s">
        <v>16</v>
      </c>
      <c r="E19" t="s">
        <v>15</v>
      </c>
      <c r="F19" t="s">
        <v>16</v>
      </c>
      <c r="G19" t="s">
        <v>17</v>
      </c>
      <c r="H19" t="s">
        <v>22</v>
      </c>
      <c r="I19">
        <v>221.29</v>
      </c>
      <c r="J19">
        <v>25.8</v>
      </c>
      <c r="K19" t="s">
        <v>26</v>
      </c>
      <c r="L19" t="s">
        <v>16</v>
      </c>
      <c r="V19" s="7">
        <f>SUM(V5:V18)</f>
        <v>5110</v>
      </c>
    </row>
    <row r="20" spans="1:22" x14ac:dyDescent="0.3">
      <c r="A20">
        <v>27458</v>
      </c>
      <c r="B20" t="s">
        <v>13</v>
      </c>
      <c r="C20">
        <v>60</v>
      </c>
      <c r="D20" t="s">
        <v>15</v>
      </c>
      <c r="E20" t="s">
        <v>15</v>
      </c>
      <c r="F20" t="s">
        <v>15</v>
      </c>
      <c r="G20" t="s">
        <v>17</v>
      </c>
      <c r="H20" t="s">
        <v>22</v>
      </c>
      <c r="I20">
        <v>89.22</v>
      </c>
      <c r="J20">
        <v>37.799999999999997</v>
      </c>
      <c r="K20" t="s">
        <v>25</v>
      </c>
      <c r="L20" t="s">
        <v>16</v>
      </c>
    </row>
    <row r="21" spans="1:22" x14ac:dyDescent="0.3">
      <c r="A21">
        <v>25226</v>
      </c>
      <c r="B21" t="s">
        <v>12</v>
      </c>
      <c r="C21">
        <v>57</v>
      </c>
      <c r="D21" t="s">
        <v>15</v>
      </c>
      <c r="E21" t="s">
        <v>16</v>
      </c>
      <c r="F21" t="s">
        <v>15</v>
      </c>
      <c r="G21" t="s">
        <v>19</v>
      </c>
      <c r="H21" t="s">
        <v>22</v>
      </c>
      <c r="I21">
        <v>217.08</v>
      </c>
      <c r="K21" t="s">
        <v>27</v>
      </c>
      <c r="L21" t="s">
        <v>16</v>
      </c>
    </row>
    <row r="22" spans="1:22" x14ac:dyDescent="0.3">
      <c r="A22">
        <v>70630</v>
      </c>
      <c r="B22" t="s">
        <v>13</v>
      </c>
      <c r="C22">
        <v>71</v>
      </c>
      <c r="D22" t="s">
        <v>15</v>
      </c>
      <c r="E22" t="s">
        <v>15</v>
      </c>
      <c r="F22" t="s">
        <v>16</v>
      </c>
      <c r="G22" t="s">
        <v>19</v>
      </c>
      <c r="H22" t="s">
        <v>23</v>
      </c>
      <c r="I22">
        <v>193.94</v>
      </c>
      <c r="J22">
        <v>22.4</v>
      </c>
      <c r="K22" t="s">
        <v>26</v>
      </c>
      <c r="L22" t="s">
        <v>16</v>
      </c>
    </row>
    <row r="23" spans="1:22" x14ac:dyDescent="0.3">
      <c r="A23">
        <v>13861</v>
      </c>
      <c r="B23" t="s">
        <v>13</v>
      </c>
      <c r="C23">
        <v>52</v>
      </c>
      <c r="D23" t="s">
        <v>16</v>
      </c>
      <c r="E23" t="s">
        <v>15</v>
      </c>
      <c r="F23" t="s">
        <v>16</v>
      </c>
      <c r="G23" t="s">
        <v>18</v>
      </c>
      <c r="H23" t="s">
        <v>22</v>
      </c>
      <c r="I23">
        <v>233.29</v>
      </c>
      <c r="J23">
        <v>48.9</v>
      </c>
      <c r="K23" t="s">
        <v>25</v>
      </c>
      <c r="L23" t="s">
        <v>16</v>
      </c>
    </row>
    <row r="24" spans="1:22" x14ac:dyDescent="0.3">
      <c r="A24">
        <v>68794</v>
      </c>
      <c r="B24" t="s">
        <v>13</v>
      </c>
      <c r="C24">
        <v>79</v>
      </c>
      <c r="D24" t="s">
        <v>15</v>
      </c>
      <c r="E24" t="s">
        <v>15</v>
      </c>
      <c r="F24" t="s">
        <v>16</v>
      </c>
      <c r="G24" t="s">
        <v>18</v>
      </c>
      <c r="H24" t="s">
        <v>22</v>
      </c>
      <c r="I24">
        <v>228.7</v>
      </c>
      <c r="J24">
        <v>26.6</v>
      </c>
      <c r="K24" t="s">
        <v>25</v>
      </c>
      <c r="L24" t="s">
        <v>16</v>
      </c>
    </row>
    <row r="25" spans="1:22" x14ac:dyDescent="0.3">
      <c r="A25">
        <v>64778</v>
      </c>
      <c r="B25" t="s">
        <v>12</v>
      </c>
      <c r="C25">
        <v>82</v>
      </c>
      <c r="D25" t="s">
        <v>15</v>
      </c>
      <c r="E25" t="s">
        <v>16</v>
      </c>
      <c r="F25" t="s">
        <v>16</v>
      </c>
      <c r="G25" t="s">
        <v>17</v>
      </c>
      <c r="H25" t="s">
        <v>23</v>
      </c>
      <c r="I25">
        <v>208.3</v>
      </c>
      <c r="J25">
        <v>32.5</v>
      </c>
      <c r="K25" t="s">
        <v>27</v>
      </c>
      <c r="L25" t="s">
        <v>16</v>
      </c>
    </row>
    <row r="26" spans="1:22" x14ac:dyDescent="0.3">
      <c r="A26">
        <v>4219</v>
      </c>
      <c r="B26" t="s">
        <v>12</v>
      </c>
      <c r="C26">
        <v>71</v>
      </c>
      <c r="D26" t="s">
        <v>15</v>
      </c>
      <c r="E26" t="s">
        <v>15</v>
      </c>
      <c r="F26" t="s">
        <v>16</v>
      </c>
      <c r="G26" t="s">
        <v>17</v>
      </c>
      <c r="H26" t="s">
        <v>22</v>
      </c>
      <c r="I26">
        <v>102.87</v>
      </c>
      <c r="J26">
        <v>27.2</v>
      </c>
      <c r="K26" t="s">
        <v>24</v>
      </c>
      <c r="L26" t="s">
        <v>16</v>
      </c>
    </row>
    <row r="27" spans="1:22" x14ac:dyDescent="0.3">
      <c r="A27">
        <v>70822</v>
      </c>
      <c r="B27" t="s">
        <v>12</v>
      </c>
      <c r="C27">
        <v>80</v>
      </c>
      <c r="D27" t="s">
        <v>15</v>
      </c>
      <c r="E27" t="s">
        <v>15</v>
      </c>
      <c r="F27" t="s">
        <v>16</v>
      </c>
      <c r="G27" t="s">
        <v>18</v>
      </c>
      <c r="H27" t="s">
        <v>23</v>
      </c>
      <c r="I27">
        <v>104.12</v>
      </c>
      <c r="J27">
        <v>23.5</v>
      </c>
      <c r="K27" t="s">
        <v>25</v>
      </c>
      <c r="L27" t="s">
        <v>16</v>
      </c>
    </row>
    <row r="28" spans="1:22" x14ac:dyDescent="0.3">
      <c r="A28">
        <v>38047</v>
      </c>
      <c r="B28" t="s">
        <v>13</v>
      </c>
      <c r="C28">
        <v>65</v>
      </c>
      <c r="D28" t="s">
        <v>15</v>
      </c>
      <c r="E28" t="s">
        <v>15</v>
      </c>
      <c r="F28" t="s">
        <v>16</v>
      </c>
      <c r="G28" t="s">
        <v>17</v>
      </c>
      <c r="H28" t="s">
        <v>23</v>
      </c>
      <c r="I28">
        <v>100.98</v>
      </c>
      <c r="J28">
        <v>28.2</v>
      </c>
      <c r="K28" t="s">
        <v>24</v>
      </c>
      <c r="L28" t="s">
        <v>16</v>
      </c>
    </row>
    <row r="29" spans="1:22" x14ac:dyDescent="0.3">
      <c r="A29">
        <v>61843</v>
      </c>
      <c r="B29" t="s">
        <v>12</v>
      </c>
      <c r="C29">
        <v>58</v>
      </c>
      <c r="D29" t="s">
        <v>15</v>
      </c>
      <c r="E29" t="s">
        <v>15</v>
      </c>
      <c r="F29" t="s">
        <v>16</v>
      </c>
      <c r="G29" t="s">
        <v>17</v>
      </c>
      <c r="H29" t="s">
        <v>23</v>
      </c>
      <c r="I29">
        <v>189.84</v>
      </c>
      <c r="K29" t="s">
        <v>27</v>
      </c>
      <c r="L29" t="s">
        <v>16</v>
      </c>
    </row>
    <row r="30" spans="1:22" x14ac:dyDescent="0.3">
      <c r="A30">
        <v>54827</v>
      </c>
      <c r="B30" t="s">
        <v>12</v>
      </c>
      <c r="C30">
        <v>69</v>
      </c>
      <c r="D30" t="s">
        <v>15</v>
      </c>
      <c r="E30" t="s">
        <v>16</v>
      </c>
      <c r="F30" t="s">
        <v>16</v>
      </c>
      <c r="G30" t="s">
        <v>18</v>
      </c>
      <c r="H30" t="s">
        <v>22</v>
      </c>
      <c r="I30">
        <v>195.23</v>
      </c>
      <c r="J30">
        <v>28.3</v>
      </c>
      <c r="K30" t="s">
        <v>26</v>
      </c>
      <c r="L30" t="s">
        <v>16</v>
      </c>
    </row>
    <row r="31" spans="1:22" x14ac:dyDescent="0.3">
      <c r="A31">
        <v>69160</v>
      </c>
      <c r="B31" t="s">
        <v>12</v>
      </c>
      <c r="C31">
        <v>59</v>
      </c>
      <c r="D31" t="s">
        <v>15</v>
      </c>
      <c r="E31" t="s">
        <v>15</v>
      </c>
      <c r="F31" t="s">
        <v>16</v>
      </c>
      <c r="G31" t="s">
        <v>17</v>
      </c>
      <c r="H31" t="s">
        <v>23</v>
      </c>
      <c r="I31">
        <v>211.78</v>
      </c>
      <c r="K31" t="s">
        <v>24</v>
      </c>
      <c r="L31" t="s">
        <v>16</v>
      </c>
    </row>
    <row r="32" spans="1:22" x14ac:dyDescent="0.3">
      <c r="A32">
        <v>43717</v>
      </c>
      <c r="B32" t="s">
        <v>12</v>
      </c>
      <c r="C32">
        <v>57</v>
      </c>
      <c r="D32" t="s">
        <v>16</v>
      </c>
      <c r="E32" t="s">
        <v>15</v>
      </c>
      <c r="F32" t="s">
        <v>16</v>
      </c>
      <c r="G32" t="s">
        <v>17</v>
      </c>
      <c r="H32" t="s">
        <v>22</v>
      </c>
      <c r="I32">
        <v>212.08</v>
      </c>
      <c r="J32">
        <v>44.2</v>
      </c>
      <c r="K32" t="s">
        <v>26</v>
      </c>
      <c r="L32" t="s">
        <v>16</v>
      </c>
    </row>
    <row r="33" spans="1:12" x14ac:dyDescent="0.3">
      <c r="A33">
        <v>33879</v>
      </c>
      <c r="B33" t="s">
        <v>12</v>
      </c>
      <c r="C33">
        <v>42</v>
      </c>
      <c r="D33" t="s">
        <v>15</v>
      </c>
      <c r="E33" t="s">
        <v>15</v>
      </c>
      <c r="F33" t="s">
        <v>16</v>
      </c>
      <c r="G33" t="s">
        <v>17</v>
      </c>
      <c r="H33" t="s">
        <v>23</v>
      </c>
      <c r="I33">
        <v>83.41</v>
      </c>
      <c r="J33">
        <v>25.4</v>
      </c>
      <c r="K33" t="s">
        <v>27</v>
      </c>
      <c r="L33" t="s">
        <v>16</v>
      </c>
    </row>
    <row r="34" spans="1:12" x14ac:dyDescent="0.3">
      <c r="A34">
        <v>39373</v>
      </c>
      <c r="B34" t="s">
        <v>13</v>
      </c>
      <c r="C34">
        <v>82</v>
      </c>
      <c r="D34" t="s">
        <v>16</v>
      </c>
      <c r="E34" t="s">
        <v>15</v>
      </c>
      <c r="F34" t="s">
        <v>16</v>
      </c>
      <c r="G34" t="s">
        <v>18</v>
      </c>
      <c r="H34" t="s">
        <v>22</v>
      </c>
      <c r="I34">
        <v>196.92</v>
      </c>
      <c r="J34">
        <v>22.2</v>
      </c>
      <c r="K34" t="s">
        <v>25</v>
      </c>
      <c r="L34" t="s">
        <v>16</v>
      </c>
    </row>
    <row r="35" spans="1:12" x14ac:dyDescent="0.3">
      <c r="A35">
        <v>54401</v>
      </c>
      <c r="B35" t="s">
        <v>12</v>
      </c>
      <c r="C35">
        <v>80</v>
      </c>
      <c r="D35" t="s">
        <v>15</v>
      </c>
      <c r="E35" t="s">
        <v>16</v>
      </c>
      <c r="F35" t="s">
        <v>16</v>
      </c>
      <c r="G35" t="s">
        <v>18</v>
      </c>
      <c r="H35" t="s">
        <v>22</v>
      </c>
      <c r="I35">
        <v>252.72</v>
      </c>
      <c r="J35">
        <v>30.5</v>
      </c>
      <c r="K35" t="s">
        <v>24</v>
      </c>
      <c r="L35" t="s">
        <v>16</v>
      </c>
    </row>
    <row r="36" spans="1:12" x14ac:dyDescent="0.3">
      <c r="A36">
        <v>14248</v>
      </c>
      <c r="B36" t="s">
        <v>12</v>
      </c>
      <c r="C36">
        <v>48</v>
      </c>
      <c r="D36" t="s">
        <v>15</v>
      </c>
      <c r="E36" t="s">
        <v>15</v>
      </c>
      <c r="F36" t="s">
        <v>15</v>
      </c>
      <c r="G36" t="s">
        <v>19</v>
      </c>
      <c r="H36" t="s">
        <v>22</v>
      </c>
      <c r="I36">
        <v>84.2</v>
      </c>
      <c r="J36">
        <v>29.7</v>
      </c>
      <c r="K36" t="s">
        <v>25</v>
      </c>
      <c r="L36" t="s">
        <v>16</v>
      </c>
    </row>
    <row r="37" spans="1:12" x14ac:dyDescent="0.3">
      <c r="A37">
        <v>712</v>
      </c>
      <c r="B37" t="s">
        <v>13</v>
      </c>
      <c r="C37">
        <v>82</v>
      </c>
      <c r="D37" t="s">
        <v>16</v>
      </c>
      <c r="E37" t="s">
        <v>16</v>
      </c>
      <c r="F37" t="s">
        <v>15</v>
      </c>
      <c r="G37" t="s">
        <v>17</v>
      </c>
      <c r="H37" t="s">
        <v>23</v>
      </c>
      <c r="I37">
        <v>84.03</v>
      </c>
      <c r="J37">
        <v>26.5</v>
      </c>
      <c r="K37" t="s">
        <v>24</v>
      </c>
      <c r="L37" t="s">
        <v>16</v>
      </c>
    </row>
    <row r="38" spans="1:12" x14ac:dyDescent="0.3">
      <c r="A38">
        <v>47269</v>
      </c>
      <c r="B38" t="s">
        <v>12</v>
      </c>
      <c r="C38">
        <v>74</v>
      </c>
      <c r="D38" t="s">
        <v>15</v>
      </c>
      <c r="E38" t="s">
        <v>15</v>
      </c>
      <c r="F38" t="s">
        <v>16</v>
      </c>
      <c r="G38" t="s">
        <v>17</v>
      </c>
      <c r="H38" t="s">
        <v>23</v>
      </c>
      <c r="I38">
        <v>219.72</v>
      </c>
      <c r="J38">
        <v>33.700000000000003</v>
      </c>
      <c r="K38" t="s">
        <v>24</v>
      </c>
      <c r="L38" t="s">
        <v>16</v>
      </c>
    </row>
    <row r="39" spans="1:12" x14ac:dyDescent="0.3">
      <c r="A39">
        <v>24977</v>
      </c>
      <c r="B39" t="s">
        <v>13</v>
      </c>
      <c r="C39">
        <v>72</v>
      </c>
      <c r="D39" t="s">
        <v>16</v>
      </c>
      <c r="E39" t="s">
        <v>15</v>
      </c>
      <c r="F39" t="s">
        <v>16</v>
      </c>
      <c r="G39" t="s">
        <v>17</v>
      </c>
      <c r="H39" t="s">
        <v>23</v>
      </c>
      <c r="I39">
        <v>74.63</v>
      </c>
      <c r="J39">
        <v>23.1</v>
      </c>
      <c r="K39" t="s">
        <v>24</v>
      </c>
      <c r="L39" t="s">
        <v>16</v>
      </c>
    </row>
    <row r="40" spans="1:12" x14ac:dyDescent="0.3">
      <c r="A40">
        <v>47306</v>
      </c>
      <c r="B40" t="s">
        <v>12</v>
      </c>
      <c r="C40">
        <v>58</v>
      </c>
      <c r="D40" t="s">
        <v>15</v>
      </c>
      <c r="E40" t="s">
        <v>15</v>
      </c>
      <c r="F40" t="s">
        <v>15</v>
      </c>
      <c r="G40" t="s">
        <v>17</v>
      </c>
      <c r="H40" t="s">
        <v>23</v>
      </c>
      <c r="I40">
        <v>92.62</v>
      </c>
      <c r="J40">
        <v>32</v>
      </c>
      <c r="K40" t="s">
        <v>27</v>
      </c>
      <c r="L40" t="s">
        <v>16</v>
      </c>
    </row>
    <row r="41" spans="1:12" x14ac:dyDescent="0.3">
      <c r="A41">
        <v>62602</v>
      </c>
      <c r="B41" t="s">
        <v>13</v>
      </c>
      <c r="C41">
        <v>49</v>
      </c>
      <c r="D41" t="s">
        <v>15</v>
      </c>
      <c r="E41" t="s">
        <v>15</v>
      </c>
      <c r="F41" t="s">
        <v>16</v>
      </c>
      <c r="G41" t="s">
        <v>17</v>
      </c>
      <c r="H41" t="s">
        <v>22</v>
      </c>
      <c r="I41">
        <v>60.91</v>
      </c>
      <c r="J41">
        <v>29.9</v>
      </c>
      <c r="K41" t="s">
        <v>25</v>
      </c>
      <c r="L41" t="s">
        <v>16</v>
      </c>
    </row>
    <row r="42" spans="1:12" x14ac:dyDescent="0.3">
      <c r="A42">
        <v>4651</v>
      </c>
      <c r="B42" t="s">
        <v>12</v>
      </c>
      <c r="C42">
        <v>78</v>
      </c>
      <c r="D42" t="s">
        <v>15</v>
      </c>
      <c r="E42" t="s">
        <v>15</v>
      </c>
      <c r="F42" t="s">
        <v>16</v>
      </c>
      <c r="G42" t="s">
        <v>17</v>
      </c>
      <c r="H42" t="s">
        <v>23</v>
      </c>
      <c r="I42">
        <v>78.03</v>
      </c>
      <c r="J42">
        <v>23.9</v>
      </c>
      <c r="K42" t="s">
        <v>24</v>
      </c>
      <c r="L42" t="s">
        <v>16</v>
      </c>
    </row>
    <row r="43" spans="1:12" x14ac:dyDescent="0.3">
      <c r="A43">
        <v>1261</v>
      </c>
      <c r="B43" t="s">
        <v>12</v>
      </c>
      <c r="C43">
        <v>54</v>
      </c>
      <c r="D43" t="s">
        <v>15</v>
      </c>
      <c r="E43" t="s">
        <v>15</v>
      </c>
      <c r="F43" t="s">
        <v>16</v>
      </c>
      <c r="G43" t="s">
        <v>17</v>
      </c>
      <c r="H43" t="s">
        <v>22</v>
      </c>
      <c r="I43">
        <v>71.22</v>
      </c>
      <c r="J43">
        <v>28.5</v>
      </c>
      <c r="K43" t="s">
        <v>25</v>
      </c>
      <c r="L43" t="s">
        <v>16</v>
      </c>
    </row>
    <row r="44" spans="1:12" x14ac:dyDescent="0.3">
      <c r="A44">
        <v>61960</v>
      </c>
      <c r="B44" t="s">
        <v>12</v>
      </c>
      <c r="C44">
        <v>82</v>
      </c>
      <c r="D44" t="s">
        <v>15</v>
      </c>
      <c r="E44" t="s">
        <v>16</v>
      </c>
      <c r="F44" t="s">
        <v>16</v>
      </c>
      <c r="G44" t="s">
        <v>17</v>
      </c>
      <c r="H44" t="s">
        <v>22</v>
      </c>
      <c r="I44">
        <v>144.9</v>
      </c>
      <c r="J44">
        <v>26.4</v>
      </c>
      <c r="K44" t="s">
        <v>26</v>
      </c>
      <c r="L44" t="s">
        <v>16</v>
      </c>
    </row>
    <row r="45" spans="1:12" x14ac:dyDescent="0.3">
      <c r="A45">
        <v>1845</v>
      </c>
      <c r="B45" t="s">
        <v>13</v>
      </c>
      <c r="C45">
        <v>63</v>
      </c>
      <c r="D45" t="s">
        <v>15</v>
      </c>
      <c r="E45" t="s">
        <v>15</v>
      </c>
      <c r="F45" t="s">
        <v>16</v>
      </c>
      <c r="G45" t="s">
        <v>17</v>
      </c>
      <c r="H45" t="s">
        <v>22</v>
      </c>
      <c r="I45">
        <v>90.9</v>
      </c>
      <c r="K45" t="s">
        <v>24</v>
      </c>
      <c r="L45" t="s">
        <v>16</v>
      </c>
    </row>
    <row r="46" spans="1:12" x14ac:dyDescent="0.3">
      <c r="A46">
        <v>7937</v>
      </c>
      <c r="B46" t="s">
        <v>12</v>
      </c>
      <c r="C46">
        <v>60</v>
      </c>
      <c r="D46" t="s">
        <v>16</v>
      </c>
      <c r="E46" t="s">
        <v>15</v>
      </c>
      <c r="F46" t="s">
        <v>16</v>
      </c>
      <c r="G46" t="s">
        <v>19</v>
      </c>
      <c r="H46" t="s">
        <v>22</v>
      </c>
      <c r="I46">
        <v>213.03</v>
      </c>
      <c r="J46">
        <v>20.2</v>
      </c>
      <c r="K46" t="s">
        <v>26</v>
      </c>
      <c r="L46" t="s">
        <v>16</v>
      </c>
    </row>
    <row r="47" spans="1:12" x14ac:dyDescent="0.3">
      <c r="A47">
        <v>19824</v>
      </c>
      <c r="B47" t="s">
        <v>12</v>
      </c>
      <c r="C47">
        <v>76</v>
      </c>
      <c r="D47" t="s">
        <v>16</v>
      </c>
      <c r="E47" t="s">
        <v>15</v>
      </c>
      <c r="F47" t="s">
        <v>16</v>
      </c>
      <c r="G47" t="s">
        <v>17</v>
      </c>
      <c r="H47" t="s">
        <v>23</v>
      </c>
      <c r="I47">
        <v>243.58</v>
      </c>
      <c r="J47">
        <v>33.6</v>
      </c>
      <c r="K47" t="s">
        <v>25</v>
      </c>
      <c r="L47" t="s">
        <v>16</v>
      </c>
    </row>
    <row r="48" spans="1:12" x14ac:dyDescent="0.3">
      <c r="A48">
        <v>37937</v>
      </c>
      <c r="B48" t="s">
        <v>13</v>
      </c>
      <c r="C48">
        <v>75</v>
      </c>
      <c r="D48" t="s">
        <v>15</v>
      </c>
      <c r="E48" t="s">
        <v>16</v>
      </c>
      <c r="F48" t="s">
        <v>15</v>
      </c>
      <c r="G48" t="s">
        <v>18</v>
      </c>
      <c r="H48" t="s">
        <v>22</v>
      </c>
      <c r="I48">
        <v>109.78</v>
      </c>
      <c r="K48" t="s">
        <v>27</v>
      </c>
      <c r="L48" t="s">
        <v>16</v>
      </c>
    </row>
    <row r="49" spans="1:12" x14ac:dyDescent="0.3">
      <c r="A49">
        <v>47472</v>
      </c>
      <c r="B49" t="s">
        <v>13</v>
      </c>
      <c r="C49">
        <v>58</v>
      </c>
      <c r="D49" t="s">
        <v>15</v>
      </c>
      <c r="E49" t="s">
        <v>15</v>
      </c>
      <c r="F49" t="s">
        <v>16</v>
      </c>
      <c r="G49" t="s">
        <v>17</v>
      </c>
      <c r="H49" t="s">
        <v>22</v>
      </c>
      <c r="I49">
        <v>107.26</v>
      </c>
      <c r="J49">
        <v>38.6</v>
      </c>
      <c r="K49" t="s">
        <v>24</v>
      </c>
      <c r="L49" t="s">
        <v>16</v>
      </c>
    </row>
    <row r="50" spans="1:12" x14ac:dyDescent="0.3">
      <c r="A50">
        <v>35626</v>
      </c>
      <c r="B50" t="s">
        <v>12</v>
      </c>
      <c r="C50">
        <v>81</v>
      </c>
      <c r="D50" t="s">
        <v>15</v>
      </c>
      <c r="E50" t="s">
        <v>15</v>
      </c>
      <c r="F50" t="s">
        <v>16</v>
      </c>
      <c r="G50" t="s">
        <v>18</v>
      </c>
      <c r="H50" t="s">
        <v>22</v>
      </c>
      <c r="I50">
        <v>99.33</v>
      </c>
      <c r="J50">
        <v>33.700000000000003</v>
      </c>
      <c r="K50" t="s">
        <v>25</v>
      </c>
      <c r="L50" t="s">
        <v>16</v>
      </c>
    </row>
    <row r="51" spans="1:12" x14ac:dyDescent="0.3">
      <c r="A51">
        <v>36338</v>
      </c>
      <c r="B51" t="s">
        <v>13</v>
      </c>
      <c r="C51">
        <v>39</v>
      </c>
      <c r="D51" t="s">
        <v>16</v>
      </c>
      <c r="E51" t="s">
        <v>15</v>
      </c>
      <c r="F51" t="s">
        <v>16</v>
      </c>
      <c r="G51" t="s">
        <v>17</v>
      </c>
      <c r="H51" t="s">
        <v>23</v>
      </c>
      <c r="I51">
        <v>58.09</v>
      </c>
      <c r="J51">
        <v>39.200000000000003</v>
      </c>
      <c r="K51" t="s">
        <v>26</v>
      </c>
      <c r="L51" t="s">
        <v>16</v>
      </c>
    </row>
    <row r="52" spans="1:12" x14ac:dyDescent="0.3">
      <c r="A52">
        <v>18587</v>
      </c>
      <c r="B52" t="s">
        <v>13</v>
      </c>
      <c r="C52">
        <v>76</v>
      </c>
      <c r="D52" t="s">
        <v>15</v>
      </c>
      <c r="E52" t="s">
        <v>15</v>
      </c>
      <c r="F52" t="s">
        <v>15</v>
      </c>
      <c r="G52" t="s">
        <v>17</v>
      </c>
      <c r="H52" t="s">
        <v>22</v>
      </c>
      <c r="I52">
        <v>89.96</v>
      </c>
      <c r="K52" t="s">
        <v>27</v>
      </c>
      <c r="L52" t="s">
        <v>16</v>
      </c>
    </row>
    <row r="53" spans="1:12" x14ac:dyDescent="0.3">
      <c r="A53">
        <v>15102</v>
      </c>
      <c r="B53" t="s">
        <v>12</v>
      </c>
      <c r="C53">
        <v>78</v>
      </c>
      <c r="D53" t="s">
        <v>16</v>
      </c>
      <c r="E53" t="s">
        <v>15</v>
      </c>
      <c r="F53" t="s">
        <v>16</v>
      </c>
      <c r="G53" t="s">
        <v>17</v>
      </c>
      <c r="H53" t="s">
        <v>22</v>
      </c>
      <c r="I53">
        <v>75.319999999999993</v>
      </c>
      <c r="K53" t="s">
        <v>24</v>
      </c>
      <c r="L53" t="s">
        <v>16</v>
      </c>
    </row>
    <row r="54" spans="1:12" x14ac:dyDescent="0.3">
      <c r="A54">
        <v>59190</v>
      </c>
      <c r="B54" t="s">
        <v>13</v>
      </c>
      <c r="C54">
        <v>79</v>
      </c>
      <c r="D54" t="s">
        <v>15</v>
      </c>
      <c r="E54" t="s">
        <v>16</v>
      </c>
      <c r="F54" t="s">
        <v>16</v>
      </c>
      <c r="G54" t="s">
        <v>17</v>
      </c>
      <c r="H54" t="s">
        <v>23</v>
      </c>
      <c r="I54">
        <v>127.29</v>
      </c>
      <c r="J54">
        <v>27.7</v>
      </c>
      <c r="K54" t="s">
        <v>25</v>
      </c>
      <c r="L54" t="s">
        <v>16</v>
      </c>
    </row>
    <row r="55" spans="1:12" x14ac:dyDescent="0.3">
      <c r="A55">
        <v>47167</v>
      </c>
      <c r="B55" t="s">
        <v>13</v>
      </c>
      <c r="C55">
        <v>77</v>
      </c>
      <c r="D55" t="s">
        <v>16</v>
      </c>
      <c r="E55" t="s">
        <v>15</v>
      </c>
      <c r="F55" t="s">
        <v>16</v>
      </c>
      <c r="G55" t="s">
        <v>18</v>
      </c>
      <c r="H55" t="s">
        <v>22</v>
      </c>
      <c r="I55">
        <v>124.13</v>
      </c>
      <c r="J55">
        <v>31.4</v>
      </c>
      <c r="K55" t="s">
        <v>25</v>
      </c>
      <c r="L55" t="s">
        <v>16</v>
      </c>
    </row>
    <row r="56" spans="1:12" x14ac:dyDescent="0.3">
      <c r="A56">
        <v>8752</v>
      </c>
      <c r="B56" t="s">
        <v>13</v>
      </c>
      <c r="C56">
        <v>63</v>
      </c>
      <c r="D56" t="s">
        <v>15</v>
      </c>
      <c r="E56" t="s">
        <v>15</v>
      </c>
      <c r="F56" t="s">
        <v>16</v>
      </c>
      <c r="G56" t="s">
        <v>19</v>
      </c>
      <c r="H56" t="s">
        <v>22</v>
      </c>
      <c r="I56">
        <v>197.54</v>
      </c>
      <c r="K56" t="s">
        <v>25</v>
      </c>
      <c r="L56" t="s">
        <v>16</v>
      </c>
    </row>
    <row r="57" spans="1:12" x14ac:dyDescent="0.3">
      <c r="A57">
        <v>25831</v>
      </c>
      <c r="B57" t="s">
        <v>12</v>
      </c>
      <c r="C57">
        <v>63</v>
      </c>
      <c r="D57" t="s">
        <v>15</v>
      </c>
      <c r="E57" t="s">
        <v>16</v>
      </c>
      <c r="F57" t="s">
        <v>16</v>
      </c>
      <c r="G57" t="s">
        <v>17</v>
      </c>
      <c r="H57" t="s">
        <v>23</v>
      </c>
      <c r="I57">
        <v>196.71</v>
      </c>
      <c r="J57">
        <v>36.5</v>
      </c>
      <c r="K57" t="s">
        <v>24</v>
      </c>
      <c r="L57" t="s">
        <v>16</v>
      </c>
    </row>
    <row r="58" spans="1:12" x14ac:dyDescent="0.3">
      <c r="A58">
        <v>38829</v>
      </c>
      <c r="B58" t="s">
        <v>13</v>
      </c>
      <c r="C58">
        <v>82</v>
      </c>
      <c r="D58" t="s">
        <v>15</v>
      </c>
      <c r="E58" t="s">
        <v>15</v>
      </c>
      <c r="F58" t="s">
        <v>16</v>
      </c>
      <c r="G58" t="s">
        <v>17</v>
      </c>
      <c r="H58" t="s">
        <v>23</v>
      </c>
      <c r="I58">
        <v>59.32</v>
      </c>
      <c r="J58">
        <v>33.200000000000003</v>
      </c>
      <c r="K58" t="s">
        <v>25</v>
      </c>
      <c r="L58" t="s">
        <v>16</v>
      </c>
    </row>
    <row r="59" spans="1:12" x14ac:dyDescent="0.3">
      <c r="A59">
        <v>66400</v>
      </c>
      <c r="B59" t="s">
        <v>12</v>
      </c>
      <c r="C59">
        <v>78</v>
      </c>
      <c r="D59" t="s">
        <v>15</v>
      </c>
      <c r="E59" t="s">
        <v>15</v>
      </c>
      <c r="F59" t="s">
        <v>16</v>
      </c>
      <c r="G59" t="s">
        <v>17</v>
      </c>
      <c r="H59" t="s">
        <v>22</v>
      </c>
      <c r="I59">
        <v>237.75</v>
      </c>
      <c r="K59" t="s">
        <v>24</v>
      </c>
      <c r="L59" t="s">
        <v>16</v>
      </c>
    </row>
    <row r="60" spans="1:12" x14ac:dyDescent="0.3">
      <c r="A60">
        <v>58631</v>
      </c>
      <c r="B60" t="s">
        <v>12</v>
      </c>
      <c r="C60">
        <v>73</v>
      </c>
      <c r="D60" t="s">
        <v>16</v>
      </c>
      <c r="E60" t="s">
        <v>15</v>
      </c>
      <c r="F60" t="s">
        <v>16</v>
      </c>
      <c r="G60" t="s">
        <v>18</v>
      </c>
      <c r="H60" t="s">
        <v>22</v>
      </c>
      <c r="I60">
        <v>194.99</v>
      </c>
      <c r="J60">
        <v>32.799999999999997</v>
      </c>
      <c r="K60" t="s">
        <v>25</v>
      </c>
      <c r="L60" t="s">
        <v>16</v>
      </c>
    </row>
    <row r="61" spans="1:12" x14ac:dyDescent="0.3">
      <c r="A61">
        <v>5111</v>
      </c>
      <c r="B61" t="s">
        <v>13</v>
      </c>
      <c r="C61">
        <v>54</v>
      </c>
      <c r="D61" t="s">
        <v>16</v>
      </c>
      <c r="E61" t="s">
        <v>15</v>
      </c>
      <c r="F61" t="s">
        <v>16</v>
      </c>
      <c r="G61" t="s">
        <v>19</v>
      </c>
      <c r="H61" t="s">
        <v>22</v>
      </c>
      <c r="I61">
        <v>180.93</v>
      </c>
      <c r="J61">
        <v>27.7</v>
      </c>
      <c r="K61" t="s">
        <v>25</v>
      </c>
      <c r="L61" t="s">
        <v>16</v>
      </c>
    </row>
    <row r="62" spans="1:12" x14ac:dyDescent="0.3">
      <c r="A62">
        <v>10710</v>
      </c>
      <c r="B62" t="s">
        <v>13</v>
      </c>
      <c r="C62">
        <v>56</v>
      </c>
      <c r="D62" t="s">
        <v>15</v>
      </c>
      <c r="E62" t="s">
        <v>15</v>
      </c>
      <c r="F62" t="s">
        <v>16</v>
      </c>
      <c r="G62" t="s">
        <v>17</v>
      </c>
      <c r="H62" t="s">
        <v>22</v>
      </c>
      <c r="I62">
        <v>185.17</v>
      </c>
      <c r="J62">
        <v>40.4</v>
      </c>
      <c r="K62" t="s">
        <v>24</v>
      </c>
      <c r="L62" t="s">
        <v>16</v>
      </c>
    </row>
    <row r="63" spans="1:12" x14ac:dyDescent="0.3">
      <c r="A63">
        <v>55927</v>
      </c>
      <c r="B63" t="s">
        <v>13</v>
      </c>
      <c r="C63">
        <v>80</v>
      </c>
      <c r="D63" t="s">
        <v>16</v>
      </c>
      <c r="E63" t="s">
        <v>15</v>
      </c>
      <c r="F63" t="s">
        <v>16</v>
      </c>
      <c r="G63" t="s">
        <v>17</v>
      </c>
      <c r="H63" t="s">
        <v>23</v>
      </c>
      <c r="I63">
        <v>74.900000000000006</v>
      </c>
      <c r="J63">
        <v>22.2</v>
      </c>
      <c r="K63" t="s">
        <v>25</v>
      </c>
      <c r="L63" t="s">
        <v>16</v>
      </c>
    </row>
    <row r="64" spans="1:12" x14ac:dyDescent="0.3">
      <c r="A64">
        <v>65842</v>
      </c>
      <c r="B64" t="s">
        <v>13</v>
      </c>
      <c r="C64">
        <v>67</v>
      </c>
      <c r="D64" t="s">
        <v>16</v>
      </c>
      <c r="E64" t="s">
        <v>15</v>
      </c>
      <c r="F64" t="s">
        <v>16</v>
      </c>
      <c r="G64" t="s">
        <v>18</v>
      </c>
      <c r="H64" t="s">
        <v>23</v>
      </c>
      <c r="I64">
        <v>61.94</v>
      </c>
      <c r="J64">
        <v>25.3</v>
      </c>
      <c r="K64" t="s">
        <v>26</v>
      </c>
      <c r="L64" t="s">
        <v>16</v>
      </c>
    </row>
    <row r="65" spans="1:12" x14ac:dyDescent="0.3">
      <c r="A65">
        <v>19557</v>
      </c>
      <c r="B65" t="s">
        <v>13</v>
      </c>
      <c r="C65">
        <v>45</v>
      </c>
      <c r="D65" t="s">
        <v>15</v>
      </c>
      <c r="E65" t="s">
        <v>15</v>
      </c>
      <c r="F65" t="s">
        <v>16</v>
      </c>
      <c r="G65" t="s">
        <v>17</v>
      </c>
      <c r="H65" t="s">
        <v>23</v>
      </c>
      <c r="I65">
        <v>93.72</v>
      </c>
      <c r="J65">
        <v>30.2</v>
      </c>
      <c r="K65" t="s">
        <v>24</v>
      </c>
      <c r="L65" t="s">
        <v>16</v>
      </c>
    </row>
    <row r="66" spans="1:12" x14ac:dyDescent="0.3">
      <c r="A66">
        <v>7356</v>
      </c>
      <c r="B66" t="s">
        <v>12</v>
      </c>
      <c r="C66">
        <v>75</v>
      </c>
      <c r="D66" t="s">
        <v>15</v>
      </c>
      <c r="E66" t="s">
        <v>15</v>
      </c>
      <c r="F66" t="s">
        <v>16</v>
      </c>
      <c r="G66" t="s">
        <v>17</v>
      </c>
      <c r="H66" t="s">
        <v>22</v>
      </c>
      <c r="I66">
        <v>104.72</v>
      </c>
      <c r="K66" t="s">
        <v>27</v>
      </c>
      <c r="L66" t="s">
        <v>16</v>
      </c>
    </row>
    <row r="67" spans="1:12" x14ac:dyDescent="0.3">
      <c r="A67">
        <v>17013</v>
      </c>
      <c r="B67" t="s">
        <v>12</v>
      </c>
      <c r="C67">
        <v>78</v>
      </c>
      <c r="D67" t="s">
        <v>16</v>
      </c>
      <c r="E67" t="s">
        <v>15</v>
      </c>
      <c r="F67" t="s">
        <v>15</v>
      </c>
      <c r="G67" t="s">
        <v>17</v>
      </c>
      <c r="H67" t="s">
        <v>22</v>
      </c>
      <c r="I67">
        <v>113.01</v>
      </c>
      <c r="J67">
        <v>24</v>
      </c>
      <c r="K67" t="s">
        <v>25</v>
      </c>
      <c r="L67" t="s">
        <v>16</v>
      </c>
    </row>
    <row r="68" spans="1:12" x14ac:dyDescent="0.3">
      <c r="A68">
        <v>17004</v>
      </c>
      <c r="B68" t="s">
        <v>13</v>
      </c>
      <c r="C68">
        <v>70</v>
      </c>
      <c r="D68" t="s">
        <v>15</v>
      </c>
      <c r="E68" t="s">
        <v>15</v>
      </c>
      <c r="F68" t="s">
        <v>16</v>
      </c>
      <c r="G68" t="s">
        <v>17</v>
      </c>
      <c r="H68" t="s">
        <v>22</v>
      </c>
      <c r="I68">
        <v>221.58</v>
      </c>
      <c r="J68">
        <v>47.5</v>
      </c>
      <c r="K68" t="s">
        <v>25</v>
      </c>
      <c r="L68" t="s">
        <v>16</v>
      </c>
    </row>
    <row r="69" spans="1:12" x14ac:dyDescent="0.3">
      <c r="A69">
        <v>72366</v>
      </c>
      <c r="B69" t="s">
        <v>12</v>
      </c>
      <c r="C69">
        <v>76</v>
      </c>
      <c r="D69" t="s">
        <v>15</v>
      </c>
      <c r="E69" t="s">
        <v>15</v>
      </c>
      <c r="F69" t="s">
        <v>16</v>
      </c>
      <c r="G69" t="s">
        <v>17</v>
      </c>
      <c r="H69" t="s">
        <v>22</v>
      </c>
      <c r="I69">
        <v>104.47</v>
      </c>
      <c r="J69">
        <v>20.3</v>
      </c>
      <c r="K69" t="s">
        <v>27</v>
      </c>
      <c r="L69" t="s">
        <v>16</v>
      </c>
    </row>
    <row r="70" spans="1:12" x14ac:dyDescent="0.3">
      <c r="A70">
        <v>6118</v>
      </c>
      <c r="B70" t="s">
        <v>12</v>
      </c>
      <c r="C70">
        <v>59</v>
      </c>
      <c r="D70" t="s">
        <v>15</v>
      </c>
      <c r="E70" t="s">
        <v>15</v>
      </c>
      <c r="F70" t="s">
        <v>16</v>
      </c>
      <c r="G70" t="s">
        <v>17</v>
      </c>
      <c r="H70" t="s">
        <v>22</v>
      </c>
      <c r="I70">
        <v>86.23</v>
      </c>
      <c r="J70">
        <v>30</v>
      </c>
      <c r="K70" t="s">
        <v>24</v>
      </c>
      <c r="L70" t="s">
        <v>16</v>
      </c>
    </row>
    <row r="71" spans="1:12" x14ac:dyDescent="0.3">
      <c r="A71">
        <v>7371</v>
      </c>
      <c r="B71" t="s">
        <v>13</v>
      </c>
      <c r="C71">
        <v>80</v>
      </c>
      <c r="D71" t="s">
        <v>16</v>
      </c>
      <c r="E71" t="s">
        <v>15</v>
      </c>
      <c r="F71" t="s">
        <v>16</v>
      </c>
      <c r="G71" t="s">
        <v>18</v>
      </c>
      <c r="H71" t="s">
        <v>23</v>
      </c>
      <c r="I71">
        <v>72.67</v>
      </c>
      <c r="J71">
        <v>28.9</v>
      </c>
      <c r="K71" t="s">
        <v>25</v>
      </c>
      <c r="L71" t="s">
        <v>16</v>
      </c>
    </row>
    <row r="72" spans="1:12" x14ac:dyDescent="0.3">
      <c r="A72">
        <v>70676</v>
      </c>
      <c r="B72" t="s">
        <v>13</v>
      </c>
      <c r="C72">
        <v>76</v>
      </c>
      <c r="D72" t="s">
        <v>15</v>
      </c>
      <c r="E72" t="s">
        <v>15</v>
      </c>
      <c r="F72" t="s">
        <v>16</v>
      </c>
      <c r="G72" t="s">
        <v>19</v>
      </c>
      <c r="H72" t="s">
        <v>23</v>
      </c>
      <c r="I72">
        <v>62.57</v>
      </c>
      <c r="K72" t="s">
        <v>24</v>
      </c>
      <c r="L72" t="s">
        <v>16</v>
      </c>
    </row>
    <row r="73" spans="1:12" x14ac:dyDescent="0.3">
      <c r="A73">
        <v>2326</v>
      </c>
      <c r="B73" t="s">
        <v>13</v>
      </c>
      <c r="C73">
        <v>67</v>
      </c>
      <c r="D73" t="s">
        <v>16</v>
      </c>
      <c r="E73" t="s">
        <v>15</v>
      </c>
      <c r="F73" t="s">
        <v>16</v>
      </c>
      <c r="G73" t="s">
        <v>17</v>
      </c>
      <c r="H73" t="s">
        <v>23</v>
      </c>
      <c r="I73">
        <v>179.12</v>
      </c>
      <c r="J73">
        <v>28.1</v>
      </c>
      <c r="K73" t="s">
        <v>24</v>
      </c>
      <c r="L73" t="s">
        <v>16</v>
      </c>
    </row>
    <row r="74" spans="1:12" x14ac:dyDescent="0.3">
      <c r="A74">
        <v>27169</v>
      </c>
      <c r="B74" t="s">
        <v>13</v>
      </c>
      <c r="C74">
        <v>66</v>
      </c>
      <c r="D74" t="s">
        <v>16</v>
      </c>
      <c r="E74" t="s">
        <v>15</v>
      </c>
      <c r="F74" t="s">
        <v>16</v>
      </c>
      <c r="G74" t="s">
        <v>19</v>
      </c>
      <c r="H74" t="s">
        <v>23</v>
      </c>
      <c r="I74">
        <v>116.55</v>
      </c>
      <c r="J74">
        <v>31.1</v>
      </c>
      <c r="K74" t="s">
        <v>24</v>
      </c>
      <c r="L74" t="s">
        <v>16</v>
      </c>
    </row>
    <row r="75" spans="1:12" x14ac:dyDescent="0.3">
      <c r="A75">
        <v>50784</v>
      </c>
      <c r="B75" t="s">
        <v>12</v>
      </c>
      <c r="C75">
        <v>63</v>
      </c>
      <c r="D75" t="s">
        <v>15</v>
      </c>
      <c r="E75" t="s">
        <v>15</v>
      </c>
      <c r="F75" t="s">
        <v>16</v>
      </c>
      <c r="G75" t="s">
        <v>17</v>
      </c>
      <c r="H75" t="s">
        <v>23</v>
      </c>
      <c r="I75">
        <v>228.56</v>
      </c>
      <c r="J75">
        <v>27.4</v>
      </c>
      <c r="K75" t="s">
        <v>25</v>
      </c>
      <c r="L75" t="s">
        <v>16</v>
      </c>
    </row>
    <row r="76" spans="1:12" x14ac:dyDescent="0.3">
      <c r="A76">
        <v>19773</v>
      </c>
      <c r="B76" t="s">
        <v>13</v>
      </c>
      <c r="C76">
        <v>52</v>
      </c>
      <c r="D76" t="s">
        <v>15</v>
      </c>
      <c r="E76" t="s">
        <v>15</v>
      </c>
      <c r="F76" t="s">
        <v>16</v>
      </c>
      <c r="G76" t="s">
        <v>17</v>
      </c>
      <c r="H76" t="s">
        <v>23</v>
      </c>
      <c r="I76">
        <v>96.59</v>
      </c>
      <c r="J76">
        <v>26.4</v>
      </c>
      <c r="K76" t="s">
        <v>25</v>
      </c>
      <c r="L76" t="s">
        <v>16</v>
      </c>
    </row>
    <row r="77" spans="1:12" x14ac:dyDescent="0.3">
      <c r="A77">
        <v>66159</v>
      </c>
      <c r="B77" t="s">
        <v>13</v>
      </c>
      <c r="C77">
        <v>80</v>
      </c>
      <c r="D77" t="s">
        <v>15</v>
      </c>
      <c r="E77" t="s">
        <v>16</v>
      </c>
      <c r="F77" t="s">
        <v>16</v>
      </c>
      <c r="G77" t="s">
        <v>18</v>
      </c>
      <c r="H77" t="s">
        <v>23</v>
      </c>
      <c r="I77">
        <v>66.72</v>
      </c>
      <c r="J77">
        <v>21.7</v>
      </c>
      <c r="K77" t="s">
        <v>24</v>
      </c>
      <c r="L77" t="s">
        <v>16</v>
      </c>
    </row>
    <row r="78" spans="1:12" x14ac:dyDescent="0.3">
      <c r="A78">
        <v>36236</v>
      </c>
      <c r="B78" t="s">
        <v>12</v>
      </c>
      <c r="C78">
        <v>80</v>
      </c>
      <c r="D78" t="s">
        <v>16</v>
      </c>
      <c r="E78" t="s">
        <v>15</v>
      </c>
      <c r="F78" t="s">
        <v>16</v>
      </c>
      <c r="G78" t="s">
        <v>17</v>
      </c>
      <c r="H78" t="s">
        <v>22</v>
      </c>
      <c r="I78">
        <v>240.09</v>
      </c>
      <c r="J78">
        <v>27</v>
      </c>
      <c r="K78" t="s">
        <v>25</v>
      </c>
      <c r="L78" t="s">
        <v>16</v>
      </c>
    </row>
    <row r="79" spans="1:12" x14ac:dyDescent="0.3">
      <c r="A79">
        <v>71673</v>
      </c>
      <c r="B79" t="s">
        <v>13</v>
      </c>
      <c r="C79">
        <v>79</v>
      </c>
      <c r="D79" t="s">
        <v>15</v>
      </c>
      <c r="E79" t="s">
        <v>15</v>
      </c>
      <c r="F79" t="s">
        <v>16</v>
      </c>
      <c r="G79" t="s">
        <v>17</v>
      </c>
      <c r="H79" t="s">
        <v>22</v>
      </c>
      <c r="I79">
        <v>110.85</v>
      </c>
      <c r="J79">
        <v>24.1</v>
      </c>
      <c r="K79" t="s">
        <v>24</v>
      </c>
      <c r="L79" t="s">
        <v>16</v>
      </c>
    </row>
    <row r="80" spans="1:12" x14ac:dyDescent="0.3">
      <c r="A80">
        <v>45805</v>
      </c>
      <c r="B80" t="s">
        <v>13</v>
      </c>
      <c r="C80">
        <v>51</v>
      </c>
      <c r="D80" t="s">
        <v>15</v>
      </c>
      <c r="E80" t="s">
        <v>15</v>
      </c>
      <c r="F80" t="s">
        <v>16</v>
      </c>
      <c r="G80" t="s">
        <v>17</v>
      </c>
      <c r="H80" t="s">
        <v>22</v>
      </c>
      <c r="I80">
        <v>165.31</v>
      </c>
      <c r="K80" t="s">
        <v>25</v>
      </c>
      <c r="L80" t="s">
        <v>16</v>
      </c>
    </row>
    <row r="81" spans="1:12" x14ac:dyDescent="0.3">
      <c r="A81">
        <v>42117</v>
      </c>
      <c r="B81" t="s">
        <v>12</v>
      </c>
      <c r="C81">
        <v>43</v>
      </c>
      <c r="D81" t="s">
        <v>15</v>
      </c>
      <c r="E81" t="s">
        <v>15</v>
      </c>
      <c r="F81" t="s">
        <v>16</v>
      </c>
      <c r="G81" t="s">
        <v>18</v>
      </c>
      <c r="H81" t="s">
        <v>22</v>
      </c>
      <c r="I81">
        <v>143.43</v>
      </c>
      <c r="J81">
        <v>45.9</v>
      </c>
      <c r="K81" t="s">
        <v>27</v>
      </c>
      <c r="L81" t="s">
        <v>16</v>
      </c>
    </row>
    <row r="82" spans="1:12" x14ac:dyDescent="0.3">
      <c r="A82">
        <v>57419</v>
      </c>
      <c r="B82" t="s">
        <v>12</v>
      </c>
      <c r="C82">
        <v>59</v>
      </c>
      <c r="D82" t="s">
        <v>15</v>
      </c>
      <c r="E82" t="s">
        <v>15</v>
      </c>
      <c r="F82" t="s">
        <v>16</v>
      </c>
      <c r="G82" t="s">
        <v>17</v>
      </c>
      <c r="H82" t="s">
        <v>23</v>
      </c>
      <c r="I82">
        <v>96.16</v>
      </c>
      <c r="J82">
        <v>44.1</v>
      </c>
      <c r="K82" t="s">
        <v>27</v>
      </c>
      <c r="L82" t="s">
        <v>16</v>
      </c>
    </row>
    <row r="83" spans="1:12" x14ac:dyDescent="0.3">
      <c r="A83">
        <v>26015</v>
      </c>
      <c r="B83" t="s">
        <v>13</v>
      </c>
      <c r="C83">
        <v>66</v>
      </c>
      <c r="D83" t="s">
        <v>15</v>
      </c>
      <c r="E83" t="s">
        <v>15</v>
      </c>
      <c r="F83" t="s">
        <v>16</v>
      </c>
      <c r="G83" t="s">
        <v>18</v>
      </c>
      <c r="H83" t="s">
        <v>22</v>
      </c>
      <c r="I83">
        <v>101.45</v>
      </c>
      <c r="K83" t="s">
        <v>27</v>
      </c>
      <c r="L83" t="s">
        <v>16</v>
      </c>
    </row>
    <row r="84" spans="1:12" x14ac:dyDescent="0.3">
      <c r="A84">
        <v>26727</v>
      </c>
      <c r="B84" t="s">
        <v>13</v>
      </c>
      <c r="C84">
        <v>79</v>
      </c>
      <c r="D84" t="s">
        <v>15</v>
      </c>
      <c r="E84" t="s">
        <v>15</v>
      </c>
      <c r="F84" t="s">
        <v>15</v>
      </c>
      <c r="G84" t="s">
        <v>17</v>
      </c>
      <c r="H84" t="s">
        <v>23</v>
      </c>
      <c r="I84">
        <v>88.92</v>
      </c>
      <c r="J84">
        <v>22.9</v>
      </c>
      <c r="K84" t="s">
        <v>25</v>
      </c>
      <c r="L84" t="s">
        <v>16</v>
      </c>
    </row>
    <row r="85" spans="1:12" x14ac:dyDescent="0.3">
      <c r="A85">
        <v>66638</v>
      </c>
      <c r="B85" t="s">
        <v>13</v>
      </c>
      <c r="C85">
        <v>68</v>
      </c>
      <c r="D85" t="s">
        <v>16</v>
      </c>
      <c r="E85" t="s">
        <v>15</v>
      </c>
      <c r="F85" t="s">
        <v>15</v>
      </c>
      <c r="G85" t="s">
        <v>18</v>
      </c>
      <c r="H85" t="s">
        <v>22</v>
      </c>
      <c r="I85">
        <v>79.790000000000006</v>
      </c>
      <c r="J85">
        <v>29.7</v>
      </c>
      <c r="K85" t="s">
        <v>25</v>
      </c>
      <c r="L85" t="s">
        <v>16</v>
      </c>
    </row>
    <row r="86" spans="1:12" x14ac:dyDescent="0.3">
      <c r="A86">
        <v>70042</v>
      </c>
      <c r="B86" t="s">
        <v>12</v>
      </c>
      <c r="C86">
        <v>58</v>
      </c>
      <c r="D86" t="s">
        <v>15</v>
      </c>
      <c r="E86" t="s">
        <v>15</v>
      </c>
      <c r="F86" t="s">
        <v>16</v>
      </c>
      <c r="G86" t="s">
        <v>17</v>
      </c>
      <c r="H86" t="s">
        <v>22</v>
      </c>
      <c r="I86">
        <v>71.2</v>
      </c>
      <c r="K86" t="s">
        <v>27</v>
      </c>
      <c r="L86" t="s">
        <v>16</v>
      </c>
    </row>
    <row r="87" spans="1:12" x14ac:dyDescent="0.3">
      <c r="A87">
        <v>32399</v>
      </c>
      <c r="B87" t="s">
        <v>12</v>
      </c>
      <c r="C87">
        <v>54</v>
      </c>
      <c r="D87" t="s">
        <v>15</v>
      </c>
      <c r="E87" t="s">
        <v>15</v>
      </c>
      <c r="F87" t="s">
        <v>16</v>
      </c>
      <c r="G87" t="s">
        <v>17</v>
      </c>
      <c r="H87" t="s">
        <v>23</v>
      </c>
      <c r="I87">
        <v>96.97</v>
      </c>
      <c r="J87">
        <v>29.1</v>
      </c>
      <c r="K87" t="s">
        <v>26</v>
      </c>
      <c r="L87" t="s">
        <v>16</v>
      </c>
    </row>
    <row r="88" spans="1:12" x14ac:dyDescent="0.3">
      <c r="A88">
        <v>3253</v>
      </c>
      <c r="B88" t="s">
        <v>12</v>
      </c>
      <c r="C88">
        <v>61</v>
      </c>
      <c r="D88" t="s">
        <v>15</v>
      </c>
      <c r="E88" t="s">
        <v>16</v>
      </c>
      <c r="F88" t="s">
        <v>16</v>
      </c>
      <c r="G88" t="s">
        <v>17</v>
      </c>
      <c r="H88" t="s">
        <v>23</v>
      </c>
      <c r="I88">
        <v>111.81</v>
      </c>
      <c r="J88">
        <v>27.3</v>
      </c>
      <c r="K88" t="s">
        <v>26</v>
      </c>
      <c r="L88" t="s">
        <v>16</v>
      </c>
    </row>
    <row r="89" spans="1:12" x14ac:dyDescent="0.3">
      <c r="A89">
        <v>71796</v>
      </c>
      <c r="B89" t="s">
        <v>13</v>
      </c>
      <c r="C89">
        <v>70</v>
      </c>
      <c r="D89" t="s">
        <v>15</v>
      </c>
      <c r="E89" t="s">
        <v>16</v>
      </c>
      <c r="F89" t="s">
        <v>16</v>
      </c>
      <c r="G89" t="s">
        <v>17</v>
      </c>
      <c r="H89" t="s">
        <v>23</v>
      </c>
      <c r="I89">
        <v>59.35</v>
      </c>
      <c r="J89">
        <v>32.299999999999997</v>
      </c>
      <c r="K89" t="s">
        <v>24</v>
      </c>
      <c r="L89" t="s">
        <v>16</v>
      </c>
    </row>
    <row r="90" spans="1:12" x14ac:dyDescent="0.3">
      <c r="A90">
        <v>14499</v>
      </c>
      <c r="B90" t="s">
        <v>12</v>
      </c>
      <c r="C90">
        <v>47</v>
      </c>
      <c r="D90" t="s">
        <v>15</v>
      </c>
      <c r="E90" t="s">
        <v>15</v>
      </c>
      <c r="F90" t="s">
        <v>16</v>
      </c>
      <c r="G90" t="s">
        <v>17</v>
      </c>
      <c r="H90" t="s">
        <v>22</v>
      </c>
      <c r="I90">
        <v>86.94</v>
      </c>
      <c r="J90">
        <v>41.1</v>
      </c>
      <c r="K90" t="s">
        <v>24</v>
      </c>
      <c r="L90" t="s">
        <v>16</v>
      </c>
    </row>
    <row r="91" spans="1:12" x14ac:dyDescent="0.3">
      <c r="A91">
        <v>49130</v>
      </c>
      <c r="B91" t="s">
        <v>12</v>
      </c>
      <c r="C91">
        <v>74</v>
      </c>
      <c r="D91" t="s">
        <v>15</v>
      </c>
      <c r="E91" t="s">
        <v>15</v>
      </c>
      <c r="F91" t="s">
        <v>16</v>
      </c>
      <c r="G91" t="s">
        <v>17</v>
      </c>
      <c r="H91" t="s">
        <v>22</v>
      </c>
      <c r="I91">
        <v>98.55</v>
      </c>
      <c r="J91">
        <v>25.6</v>
      </c>
      <c r="K91" t="s">
        <v>27</v>
      </c>
      <c r="L91" t="s">
        <v>16</v>
      </c>
    </row>
    <row r="92" spans="1:12" x14ac:dyDescent="0.3">
      <c r="A92">
        <v>28291</v>
      </c>
      <c r="B92" t="s">
        <v>13</v>
      </c>
      <c r="C92">
        <v>79</v>
      </c>
      <c r="D92" t="s">
        <v>15</v>
      </c>
      <c r="E92" t="s">
        <v>16</v>
      </c>
      <c r="F92" t="s">
        <v>16</v>
      </c>
      <c r="G92" t="s">
        <v>17</v>
      </c>
      <c r="H92" t="s">
        <v>22</v>
      </c>
      <c r="I92">
        <v>226.98</v>
      </c>
      <c r="J92">
        <v>29.8</v>
      </c>
      <c r="K92" t="s">
        <v>25</v>
      </c>
      <c r="L92" t="s">
        <v>16</v>
      </c>
    </row>
    <row r="93" spans="1:12" x14ac:dyDescent="0.3">
      <c r="A93">
        <v>51169</v>
      </c>
      <c r="B93" t="s">
        <v>12</v>
      </c>
      <c r="C93">
        <v>81</v>
      </c>
      <c r="D93" t="s">
        <v>15</v>
      </c>
      <c r="E93" t="s">
        <v>15</v>
      </c>
      <c r="F93" t="s">
        <v>16</v>
      </c>
      <c r="G93" t="s">
        <v>17</v>
      </c>
      <c r="H93" t="s">
        <v>22</v>
      </c>
      <c r="I93">
        <v>72.81</v>
      </c>
      <c r="J93">
        <v>26.3</v>
      </c>
      <c r="K93" t="s">
        <v>25</v>
      </c>
      <c r="L93" t="s">
        <v>16</v>
      </c>
    </row>
    <row r="94" spans="1:12" x14ac:dyDescent="0.3">
      <c r="A94">
        <v>66315</v>
      </c>
      <c r="B94" t="s">
        <v>13</v>
      </c>
      <c r="C94">
        <v>57</v>
      </c>
      <c r="D94" t="s">
        <v>15</v>
      </c>
      <c r="E94" t="s">
        <v>15</v>
      </c>
      <c r="F94" t="s">
        <v>15</v>
      </c>
      <c r="G94" t="s">
        <v>18</v>
      </c>
      <c r="H94" t="s">
        <v>22</v>
      </c>
      <c r="I94">
        <v>68.02</v>
      </c>
      <c r="J94">
        <v>37.5</v>
      </c>
      <c r="K94" t="s">
        <v>25</v>
      </c>
      <c r="L94" t="s">
        <v>16</v>
      </c>
    </row>
    <row r="95" spans="1:12" x14ac:dyDescent="0.3">
      <c r="A95">
        <v>37726</v>
      </c>
      <c r="B95" t="s">
        <v>13</v>
      </c>
      <c r="C95">
        <v>80</v>
      </c>
      <c r="D95" t="s">
        <v>16</v>
      </c>
      <c r="E95" t="s">
        <v>15</v>
      </c>
      <c r="F95" t="s">
        <v>16</v>
      </c>
      <c r="G95" t="s">
        <v>18</v>
      </c>
      <c r="H95" t="s">
        <v>22</v>
      </c>
      <c r="I95">
        <v>68.56</v>
      </c>
      <c r="J95">
        <v>26.2</v>
      </c>
      <c r="K95" t="s">
        <v>27</v>
      </c>
      <c r="L95" t="s">
        <v>16</v>
      </c>
    </row>
    <row r="96" spans="1:12" x14ac:dyDescent="0.3">
      <c r="A96">
        <v>54385</v>
      </c>
      <c r="B96" t="s">
        <v>12</v>
      </c>
      <c r="C96">
        <v>45</v>
      </c>
      <c r="D96" t="s">
        <v>15</v>
      </c>
      <c r="E96" t="s">
        <v>15</v>
      </c>
      <c r="F96" t="s">
        <v>16</v>
      </c>
      <c r="G96" t="s">
        <v>17</v>
      </c>
      <c r="H96" t="s">
        <v>23</v>
      </c>
      <c r="I96">
        <v>64.14</v>
      </c>
      <c r="J96">
        <v>29.4</v>
      </c>
      <c r="K96" t="s">
        <v>25</v>
      </c>
      <c r="L96" t="s">
        <v>16</v>
      </c>
    </row>
    <row r="97" spans="1:12" x14ac:dyDescent="0.3">
      <c r="A97">
        <v>2458</v>
      </c>
      <c r="B97" t="s">
        <v>13</v>
      </c>
      <c r="C97">
        <v>78</v>
      </c>
      <c r="D97" t="s">
        <v>15</v>
      </c>
      <c r="E97" t="s">
        <v>15</v>
      </c>
      <c r="F97" t="s">
        <v>16</v>
      </c>
      <c r="G97" t="s">
        <v>17</v>
      </c>
      <c r="H97" t="s">
        <v>23</v>
      </c>
      <c r="I97">
        <v>235.63</v>
      </c>
      <c r="J97">
        <v>32.299999999999997</v>
      </c>
      <c r="K97" t="s">
        <v>25</v>
      </c>
      <c r="L97" t="s">
        <v>16</v>
      </c>
    </row>
    <row r="98" spans="1:12" x14ac:dyDescent="0.3">
      <c r="A98">
        <v>35512</v>
      </c>
      <c r="B98" t="s">
        <v>13</v>
      </c>
      <c r="C98">
        <v>70</v>
      </c>
      <c r="D98" t="s">
        <v>15</v>
      </c>
      <c r="E98" t="s">
        <v>15</v>
      </c>
      <c r="F98" t="s">
        <v>16</v>
      </c>
      <c r="G98" t="s">
        <v>18</v>
      </c>
      <c r="H98" t="s">
        <v>23</v>
      </c>
      <c r="I98">
        <v>76.34</v>
      </c>
      <c r="J98">
        <v>24.4</v>
      </c>
      <c r="K98" t="s">
        <v>24</v>
      </c>
      <c r="L98" t="s">
        <v>16</v>
      </c>
    </row>
    <row r="99" spans="1:12" x14ac:dyDescent="0.3">
      <c r="A99">
        <v>56841</v>
      </c>
      <c r="B99" t="s">
        <v>12</v>
      </c>
      <c r="C99">
        <v>58</v>
      </c>
      <c r="D99" t="s">
        <v>15</v>
      </c>
      <c r="E99" t="s">
        <v>16</v>
      </c>
      <c r="F99" t="s">
        <v>16</v>
      </c>
      <c r="G99" t="s">
        <v>17</v>
      </c>
      <c r="H99" t="s">
        <v>23</v>
      </c>
      <c r="I99">
        <v>240.59</v>
      </c>
      <c r="J99">
        <v>31.4</v>
      </c>
      <c r="K99" t="s">
        <v>26</v>
      </c>
      <c r="L99" t="s">
        <v>16</v>
      </c>
    </row>
    <row r="100" spans="1:12" x14ac:dyDescent="0.3">
      <c r="A100">
        <v>8154</v>
      </c>
      <c r="B100" t="s">
        <v>12</v>
      </c>
      <c r="C100">
        <v>57</v>
      </c>
      <c r="D100" t="s">
        <v>16</v>
      </c>
      <c r="E100" t="s">
        <v>15</v>
      </c>
      <c r="F100" t="s">
        <v>16</v>
      </c>
      <c r="G100" t="s">
        <v>19</v>
      </c>
      <c r="H100" t="s">
        <v>22</v>
      </c>
      <c r="I100">
        <v>78.92</v>
      </c>
      <c r="J100">
        <v>27.7</v>
      </c>
      <c r="K100" t="s">
        <v>24</v>
      </c>
      <c r="L100" t="s">
        <v>16</v>
      </c>
    </row>
    <row r="101" spans="1:12" x14ac:dyDescent="0.3">
      <c r="A101">
        <v>4639</v>
      </c>
      <c r="B101" t="s">
        <v>13</v>
      </c>
      <c r="C101">
        <v>69</v>
      </c>
      <c r="D101" t="s">
        <v>15</v>
      </c>
      <c r="E101" t="s">
        <v>15</v>
      </c>
      <c r="F101" t="s">
        <v>16</v>
      </c>
      <c r="G101" t="s">
        <v>19</v>
      </c>
      <c r="H101" t="s">
        <v>22</v>
      </c>
      <c r="I101">
        <v>82.81</v>
      </c>
      <c r="J101">
        <v>28</v>
      </c>
      <c r="K101" t="s">
        <v>25</v>
      </c>
      <c r="L101" t="s">
        <v>16</v>
      </c>
    </row>
    <row r="102" spans="1:12" x14ac:dyDescent="0.3">
      <c r="A102">
        <v>12363</v>
      </c>
      <c r="B102" t="s">
        <v>12</v>
      </c>
      <c r="C102">
        <v>64</v>
      </c>
      <c r="D102" t="s">
        <v>15</v>
      </c>
      <c r="E102" t="s">
        <v>16</v>
      </c>
      <c r="F102" t="s">
        <v>16</v>
      </c>
      <c r="G102" t="s">
        <v>19</v>
      </c>
      <c r="H102" t="s">
        <v>22</v>
      </c>
      <c r="I102">
        <v>74.099999999999994</v>
      </c>
      <c r="J102">
        <v>28.8</v>
      </c>
      <c r="K102" t="s">
        <v>27</v>
      </c>
      <c r="L102" t="s">
        <v>16</v>
      </c>
    </row>
    <row r="103" spans="1:12" x14ac:dyDescent="0.3">
      <c r="A103">
        <v>63973</v>
      </c>
      <c r="B103" t="s">
        <v>13</v>
      </c>
      <c r="C103">
        <v>77</v>
      </c>
      <c r="D103" t="s">
        <v>15</v>
      </c>
      <c r="E103" t="s">
        <v>15</v>
      </c>
      <c r="F103" t="s">
        <v>16</v>
      </c>
      <c r="G103" t="s">
        <v>19</v>
      </c>
      <c r="H103" t="s">
        <v>23</v>
      </c>
      <c r="I103">
        <v>190.32</v>
      </c>
      <c r="J103">
        <v>31.4</v>
      </c>
      <c r="K103" t="s">
        <v>25</v>
      </c>
      <c r="L103" t="s">
        <v>16</v>
      </c>
    </row>
    <row r="104" spans="1:12" x14ac:dyDescent="0.3">
      <c r="A104">
        <v>45277</v>
      </c>
      <c r="B104" t="s">
        <v>13</v>
      </c>
      <c r="C104">
        <v>74</v>
      </c>
      <c r="D104" t="s">
        <v>15</v>
      </c>
      <c r="E104" t="s">
        <v>15</v>
      </c>
      <c r="F104" t="s">
        <v>16</v>
      </c>
      <c r="G104" t="s">
        <v>17</v>
      </c>
      <c r="H104" t="s">
        <v>23</v>
      </c>
      <c r="I104">
        <v>231.61</v>
      </c>
      <c r="J104">
        <v>34.6</v>
      </c>
      <c r="K104" t="s">
        <v>24</v>
      </c>
      <c r="L104" t="s">
        <v>16</v>
      </c>
    </row>
    <row r="105" spans="1:12" x14ac:dyDescent="0.3">
      <c r="A105">
        <v>4712</v>
      </c>
      <c r="B105" t="s">
        <v>13</v>
      </c>
      <c r="C105">
        <v>81</v>
      </c>
      <c r="D105" t="s">
        <v>15</v>
      </c>
      <c r="E105" t="s">
        <v>16</v>
      </c>
      <c r="F105" t="s">
        <v>16</v>
      </c>
      <c r="G105" t="s">
        <v>18</v>
      </c>
      <c r="H105" t="s">
        <v>23</v>
      </c>
      <c r="I105">
        <v>78.7</v>
      </c>
      <c r="J105">
        <v>19.399999999999999</v>
      </c>
      <c r="K105" t="s">
        <v>27</v>
      </c>
      <c r="L105" t="s">
        <v>16</v>
      </c>
    </row>
    <row r="106" spans="1:12" x14ac:dyDescent="0.3">
      <c r="A106">
        <v>33175</v>
      </c>
      <c r="B106" t="s">
        <v>13</v>
      </c>
      <c r="C106">
        <v>57</v>
      </c>
      <c r="D106" t="s">
        <v>15</v>
      </c>
      <c r="E106" t="s">
        <v>15</v>
      </c>
      <c r="F106" t="s">
        <v>16</v>
      </c>
      <c r="G106" t="s">
        <v>19</v>
      </c>
      <c r="H106" t="s">
        <v>22</v>
      </c>
      <c r="I106">
        <v>110.52</v>
      </c>
      <c r="J106">
        <v>28.5</v>
      </c>
      <c r="K106" t="s">
        <v>27</v>
      </c>
      <c r="L106" t="s">
        <v>16</v>
      </c>
    </row>
    <row r="107" spans="1:12" x14ac:dyDescent="0.3">
      <c r="A107">
        <v>2346</v>
      </c>
      <c r="B107" t="s">
        <v>12</v>
      </c>
      <c r="C107">
        <v>58</v>
      </c>
      <c r="D107" t="s">
        <v>15</v>
      </c>
      <c r="E107" t="s">
        <v>15</v>
      </c>
      <c r="F107" t="s">
        <v>16</v>
      </c>
      <c r="G107" t="s">
        <v>17</v>
      </c>
      <c r="H107" t="s">
        <v>22</v>
      </c>
      <c r="I107">
        <v>82.3</v>
      </c>
      <c r="K107" t="s">
        <v>26</v>
      </c>
      <c r="L107" t="s">
        <v>16</v>
      </c>
    </row>
    <row r="108" spans="1:12" x14ac:dyDescent="0.3">
      <c r="A108">
        <v>42072</v>
      </c>
      <c r="B108" t="s">
        <v>13</v>
      </c>
      <c r="C108">
        <v>50</v>
      </c>
      <c r="D108" t="s">
        <v>16</v>
      </c>
      <c r="E108" t="s">
        <v>15</v>
      </c>
      <c r="F108" t="s">
        <v>16</v>
      </c>
      <c r="G108" t="s">
        <v>17</v>
      </c>
      <c r="H108" t="s">
        <v>23</v>
      </c>
      <c r="I108">
        <v>73.180000000000007</v>
      </c>
      <c r="J108">
        <v>30.3</v>
      </c>
      <c r="K108" t="s">
        <v>24</v>
      </c>
      <c r="L108" t="s">
        <v>16</v>
      </c>
    </row>
    <row r="109" spans="1:12" x14ac:dyDescent="0.3">
      <c r="A109">
        <v>12062</v>
      </c>
      <c r="B109" t="s">
        <v>13</v>
      </c>
      <c r="C109">
        <v>54</v>
      </c>
      <c r="D109" t="s">
        <v>15</v>
      </c>
      <c r="E109" t="s">
        <v>15</v>
      </c>
      <c r="F109" t="s">
        <v>16</v>
      </c>
      <c r="G109" t="s">
        <v>18</v>
      </c>
      <c r="H109" t="s">
        <v>23</v>
      </c>
      <c r="I109">
        <v>191.82</v>
      </c>
      <c r="J109">
        <v>40.4</v>
      </c>
      <c r="K109" t="s">
        <v>26</v>
      </c>
      <c r="L109" t="s">
        <v>16</v>
      </c>
    </row>
    <row r="110" spans="1:12" x14ac:dyDescent="0.3">
      <c r="A110">
        <v>30456</v>
      </c>
      <c r="B110" t="s">
        <v>13</v>
      </c>
      <c r="C110">
        <v>79</v>
      </c>
      <c r="D110" t="s">
        <v>15</v>
      </c>
      <c r="E110" t="s">
        <v>15</v>
      </c>
      <c r="F110" t="s">
        <v>16</v>
      </c>
      <c r="G110" t="s">
        <v>17</v>
      </c>
      <c r="H110" t="s">
        <v>23</v>
      </c>
      <c r="I110">
        <v>93.05</v>
      </c>
      <c r="J110">
        <v>24.2</v>
      </c>
      <c r="K110" t="s">
        <v>25</v>
      </c>
      <c r="L110" t="s">
        <v>16</v>
      </c>
    </row>
    <row r="111" spans="1:12" x14ac:dyDescent="0.3">
      <c r="A111">
        <v>59125</v>
      </c>
      <c r="B111" t="s">
        <v>13</v>
      </c>
      <c r="C111">
        <v>53</v>
      </c>
      <c r="D111" t="s">
        <v>15</v>
      </c>
      <c r="E111" t="s">
        <v>15</v>
      </c>
      <c r="F111" t="s">
        <v>16</v>
      </c>
      <c r="G111" t="s">
        <v>19</v>
      </c>
      <c r="H111" t="s">
        <v>22</v>
      </c>
      <c r="I111">
        <v>64.17</v>
      </c>
      <c r="J111">
        <v>41.5</v>
      </c>
      <c r="K111" t="s">
        <v>25</v>
      </c>
      <c r="L111" t="s">
        <v>16</v>
      </c>
    </row>
    <row r="112" spans="1:12" x14ac:dyDescent="0.3">
      <c r="A112">
        <v>56546</v>
      </c>
      <c r="B112" t="s">
        <v>12</v>
      </c>
      <c r="C112">
        <v>79</v>
      </c>
      <c r="D112" t="s">
        <v>15</v>
      </c>
      <c r="E112" t="s">
        <v>16</v>
      </c>
      <c r="F112" t="s">
        <v>16</v>
      </c>
      <c r="G112" t="s">
        <v>17</v>
      </c>
      <c r="H112" t="s">
        <v>23</v>
      </c>
      <c r="I112">
        <v>129.97999999999999</v>
      </c>
      <c r="J112">
        <v>22.6</v>
      </c>
      <c r="K112" t="s">
        <v>24</v>
      </c>
      <c r="L112" t="s">
        <v>16</v>
      </c>
    </row>
    <row r="113" spans="1:12" x14ac:dyDescent="0.3">
      <c r="A113">
        <v>48405</v>
      </c>
      <c r="B113" t="s">
        <v>12</v>
      </c>
      <c r="C113">
        <v>80</v>
      </c>
      <c r="D113" t="s">
        <v>15</v>
      </c>
      <c r="E113" t="s">
        <v>16</v>
      </c>
      <c r="F113" t="s">
        <v>16</v>
      </c>
      <c r="G113" t="s">
        <v>17</v>
      </c>
      <c r="H113" t="s">
        <v>22</v>
      </c>
      <c r="I113">
        <v>68.53</v>
      </c>
      <c r="J113">
        <v>24.2</v>
      </c>
      <c r="K113" t="s">
        <v>26</v>
      </c>
      <c r="L113" t="s">
        <v>16</v>
      </c>
    </row>
    <row r="114" spans="1:12" x14ac:dyDescent="0.3">
      <c r="A114">
        <v>36706</v>
      </c>
      <c r="B114" t="s">
        <v>13</v>
      </c>
      <c r="C114">
        <v>76</v>
      </c>
      <c r="D114" t="s">
        <v>15</v>
      </c>
      <c r="E114" t="s">
        <v>15</v>
      </c>
      <c r="F114" t="s">
        <v>16</v>
      </c>
      <c r="G114" t="s">
        <v>18</v>
      </c>
      <c r="H114" t="s">
        <v>22</v>
      </c>
      <c r="I114">
        <v>106.41</v>
      </c>
      <c r="K114" t="s">
        <v>24</v>
      </c>
      <c r="L114" t="s">
        <v>16</v>
      </c>
    </row>
    <row r="115" spans="1:12" x14ac:dyDescent="0.3">
      <c r="A115">
        <v>41069</v>
      </c>
      <c r="B115" t="s">
        <v>13</v>
      </c>
      <c r="C115">
        <v>45</v>
      </c>
      <c r="D115" t="s">
        <v>15</v>
      </c>
      <c r="E115" t="s">
        <v>15</v>
      </c>
      <c r="F115" t="s">
        <v>16</v>
      </c>
      <c r="G115" t="s">
        <v>17</v>
      </c>
      <c r="H115" t="s">
        <v>23</v>
      </c>
      <c r="I115">
        <v>224.1</v>
      </c>
      <c r="J115">
        <v>56.6</v>
      </c>
      <c r="K115" t="s">
        <v>25</v>
      </c>
      <c r="L115" t="s">
        <v>16</v>
      </c>
    </row>
    <row r="116" spans="1:12" x14ac:dyDescent="0.3">
      <c r="A116">
        <v>71639</v>
      </c>
      <c r="B116" t="s">
        <v>13</v>
      </c>
      <c r="C116">
        <v>68</v>
      </c>
      <c r="D116" t="s">
        <v>15</v>
      </c>
      <c r="E116" t="s">
        <v>15</v>
      </c>
      <c r="F116" t="s">
        <v>15</v>
      </c>
      <c r="G116" t="s">
        <v>19</v>
      </c>
      <c r="H116" t="s">
        <v>22</v>
      </c>
      <c r="I116">
        <v>82.1</v>
      </c>
      <c r="J116">
        <v>27.1</v>
      </c>
      <c r="K116" t="s">
        <v>27</v>
      </c>
      <c r="L116" t="s">
        <v>16</v>
      </c>
    </row>
    <row r="117" spans="1:12" x14ac:dyDescent="0.3">
      <c r="A117">
        <v>53401</v>
      </c>
      <c r="B117" t="s">
        <v>12</v>
      </c>
      <c r="C117">
        <v>71</v>
      </c>
      <c r="D117" t="s">
        <v>16</v>
      </c>
      <c r="E117" t="s">
        <v>16</v>
      </c>
      <c r="F117" t="s">
        <v>15</v>
      </c>
      <c r="G117" t="s">
        <v>19</v>
      </c>
      <c r="H117" t="s">
        <v>23</v>
      </c>
      <c r="I117">
        <v>216.94</v>
      </c>
      <c r="J117">
        <v>30.9</v>
      </c>
      <c r="K117" t="s">
        <v>25</v>
      </c>
      <c r="L117" t="s">
        <v>16</v>
      </c>
    </row>
    <row r="118" spans="1:12" x14ac:dyDescent="0.3">
      <c r="A118">
        <v>60744</v>
      </c>
      <c r="B118" t="s">
        <v>12</v>
      </c>
      <c r="C118">
        <v>61</v>
      </c>
      <c r="D118" t="s">
        <v>16</v>
      </c>
      <c r="E118" t="s">
        <v>15</v>
      </c>
      <c r="F118" t="s">
        <v>16</v>
      </c>
      <c r="G118" t="s">
        <v>18</v>
      </c>
      <c r="H118" t="s">
        <v>23</v>
      </c>
      <c r="I118">
        <v>76.11</v>
      </c>
      <c r="J118">
        <v>27.3</v>
      </c>
      <c r="K118" t="s">
        <v>26</v>
      </c>
      <c r="L118" t="s">
        <v>16</v>
      </c>
    </row>
    <row r="119" spans="1:12" x14ac:dyDescent="0.3">
      <c r="A119">
        <v>7547</v>
      </c>
      <c r="B119" t="s">
        <v>12</v>
      </c>
      <c r="C119">
        <v>74</v>
      </c>
      <c r="D119" t="s">
        <v>15</v>
      </c>
      <c r="E119" t="s">
        <v>15</v>
      </c>
      <c r="F119" t="s">
        <v>16</v>
      </c>
      <c r="G119" t="s">
        <v>17</v>
      </c>
      <c r="H119" t="s">
        <v>22</v>
      </c>
      <c r="I119">
        <v>72.959999999999994</v>
      </c>
      <c r="J119">
        <v>31.3</v>
      </c>
      <c r="K119" t="s">
        <v>26</v>
      </c>
      <c r="L119" t="s">
        <v>16</v>
      </c>
    </row>
    <row r="120" spans="1:12" x14ac:dyDescent="0.3">
      <c r="A120">
        <v>31720</v>
      </c>
      <c r="B120" t="s">
        <v>13</v>
      </c>
      <c r="C120">
        <v>38</v>
      </c>
      <c r="D120" t="s">
        <v>15</v>
      </c>
      <c r="E120" t="s">
        <v>15</v>
      </c>
      <c r="F120" t="s">
        <v>15</v>
      </c>
      <c r="G120" t="s">
        <v>18</v>
      </c>
      <c r="H120" t="s">
        <v>22</v>
      </c>
      <c r="I120">
        <v>82.28</v>
      </c>
      <c r="J120">
        <v>24</v>
      </c>
      <c r="K120" t="s">
        <v>24</v>
      </c>
      <c r="L120" t="s">
        <v>16</v>
      </c>
    </row>
    <row r="121" spans="1:12" x14ac:dyDescent="0.3">
      <c r="A121">
        <v>5563</v>
      </c>
      <c r="B121" t="s">
        <v>13</v>
      </c>
      <c r="C121">
        <v>77</v>
      </c>
      <c r="D121" t="s">
        <v>15</v>
      </c>
      <c r="E121" t="s">
        <v>15</v>
      </c>
      <c r="F121" t="s">
        <v>16</v>
      </c>
      <c r="G121" t="s">
        <v>17</v>
      </c>
      <c r="H121" t="s">
        <v>22</v>
      </c>
      <c r="I121">
        <v>105.22</v>
      </c>
      <c r="J121">
        <v>31</v>
      </c>
      <c r="K121" t="s">
        <v>25</v>
      </c>
      <c r="L121" t="s">
        <v>16</v>
      </c>
    </row>
    <row r="122" spans="1:12" x14ac:dyDescent="0.3">
      <c r="A122">
        <v>68798</v>
      </c>
      <c r="B122" t="s">
        <v>13</v>
      </c>
      <c r="C122">
        <v>58</v>
      </c>
      <c r="D122" t="s">
        <v>15</v>
      </c>
      <c r="E122" t="s">
        <v>15</v>
      </c>
      <c r="F122" t="s">
        <v>16</v>
      </c>
      <c r="G122" t="s">
        <v>17</v>
      </c>
      <c r="H122" t="s">
        <v>23</v>
      </c>
      <c r="I122">
        <v>59.86</v>
      </c>
      <c r="J122">
        <v>28</v>
      </c>
      <c r="K122" t="s">
        <v>24</v>
      </c>
      <c r="L122" t="s">
        <v>16</v>
      </c>
    </row>
    <row r="123" spans="1:12" x14ac:dyDescent="0.3">
      <c r="A123">
        <v>72918</v>
      </c>
      <c r="B123" t="s">
        <v>13</v>
      </c>
      <c r="C123">
        <v>53</v>
      </c>
      <c r="D123" t="s">
        <v>16</v>
      </c>
      <c r="E123" t="s">
        <v>15</v>
      </c>
      <c r="F123" t="s">
        <v>16</v>
      </c>
      <c r="G123" t="s">
        <v>17</v>
      </c>
      <c r="H123" t="s">
        <v>22</v>
      </c>
      <c r="I123">
        <v>62.55</v>
      </c>
      <c r="J123">
        <v>30.3</v>
      </c>
      <c r="K123" t="s">
        <v>27</v>
      </c>
      <c r="L123" t="s">
        <v>16</v>
      </c>
    </row>
    <row r="124" spans="1:12" x14ac:dyDescent="0.3">
      <c r="A124">
        <v>13491</v>
      </c>
      <c r="B124" t="s">
        <v>12</v>
      </c>
      <c r="C124">
        <v>80</v>
      </c>
      <c r="D124" t="s">
        <v>15</v>
      </c>
      <c r="E124" t="s">
        <v>15</v>
      </c>
      <c r="F124" t="s">
        <v>16</v>
      </c>
      <c r="G124" t="s">
        <v>17</v>
      </c>
      <c r="H124" t="s">
        <v>23</v>
      </c>
      <c r="I124">
        <v>259.63</v>
      </c>
      <c r="J124">
        <v>31.7</v>
      </c>
      <c r="K124" t="s">
        <v>26</v>
      </c>
      <c r="L124" t="s">
        <v>16</v>
      </c>
    </row>
    <row r="125" spans="1:12" x14ac:dyDescent="0.3">
      <c r="A125">
        <v>44033</v>
      </c>
      <c r="B125" t="s">
        <v>12</v>
      </c>
      <c r="C125">
        <v>56</v>
      </c>
      <c r="D125" t="s">
        <v>16</v>
      </c>
      <c r="E125" t="s">
        <v>15</v>
      </c>
      <c r="F125" t="s">
        <v>16</v>
      </c>
      <c r="G125" t="s">
        <v>17</v>
      </c>
      <c r="H125" t="s">
        <v>23</v>
      </c>
      <c r="I125">
        <v>249.31</v>
      </c>
      <c r="J125">
        <v>35.799999999999997</v>
      </c>
      <c r="K125" t="s">
        <v>25</v>
      </c>
      <c r="L125" t="s">
        <v>16</v>
      </c>
    </row>
    <row r="126" spans="1:12" x14ac:dyDescent="0.3">
      <c r="A126">
        <v>14164</v>
      </c>
      <c r="B126" t="s">
        <v>13</v>
      </c>
      <c r="C126">
        <v>72</v>
      </c>
      <c r="D126" t="s">
        <v>15</v>
      </c>
      <c r="E126" t="s">
        <v>15</v>
      </c>
      <c r="F126" t="s">
        <v>16</v>
      </c>
      <c r="G126" t="s">
        <v>17</v>
      </c>
      <c r="H126" t="s">
        <v>22</v>
      </c>
      <c r="I126">
        <v>219.91</v>
      </c>
      <c r="K126" t="s">
        <v>27</v>
      </c>
      <c r="L126" t="s">
        <v>16</v>
      </c>
    </row>
    <row r="127" spans="1:12" x14ac:dyDescent="0.3">
      <c r="A127">
        <v>50522</v>
      </c>
      <c r="B127" t="s">
        <v>13</v>
      </c>
      <c r="C127">
        <v>72</v>
      </c>
      <c r="D127" t="s">
        <v>15</v>
      </c>
      <c r="E127" t="s">
        <v>15</v>
      </c>
      <c r="F127" t="s">
        <v>16</v>
      </c>
      <c r="G127" t="s">
        <v>19</v>
      </c>
      <c r="H127" t="s">
        <v>22</v>
      </c>
      <c r="I127">
        <v>131.41</v>
      </c>
      <c r="J127">
        <v>28.4</v>
      </c>
      <c r="K127" t="s">
        <v>25</v>
      </c>
      <c r="L127" t="s">
        <v>16</v>
      </c>
    </row>
    <row r="128" spans="1:12" x14ac:dyDescent="0.3">
      <c r="A128">
        <v>3352</v>
      </c>
      <c r="B128" t="s">
        <v>12</v>
      </c>
      <c r="C128">
        <v>78</v>
      </c>
      <c r="D128" t="s">
        <v>16</v>
      </c>
      <c r="E128" t="s">
        <v>15</v>
      </c>
      <c r="F128" t="s">
        <v>16</v>
      </c>
      <c r="G128" t="s">
        <v>18</v>
      </c>
      <c r="H128" t="s">
        <v>22</v>
      </c>
      <c r="I128">
        <v>93.13</v>
      </c>
      <c r="K128" t="s">
        <v>24</v>
      </c>
      <c r="L128" t="s">
        <v>16</v>
      </c>
    </row>
    <row r="129" spans="1:12" x14ac:dyDescent="0.3">
      <c r="A129">
        <v>70943</v>
      </c>
      <c r="B129" t="s">
        <v>13</v>
      </c>
      <c r="C129">
        <v>80</v>
      </c>
      <c r="D129" t="s">
        <v>15</v>
      </c>
      <c r="E129" t="s">
        <v>15</v>
      </c>
      <c r="F129" t="s">
        <v>16</v>
      </c>
      <c r="G129" t="s">
        <v>17</v>
      </c>
      <c r="H129" t="s">
        <v>22</v>
      </c>
      <c r="I129">
        <v>73.540000000000006</v>
      </c>
      <c r="J129">
        <v>24</v>
      </c>
      <c r="K129" t="s">
        <v>27</v>
      </c>
      <c r="L129" t="s">
        <v>16</v>
      </c>
    </row>
    <row r="130" spans="1:12" x14ac:dyDescent="0.3">
      <c r="A130">
        <v>37132</v>
      </c>
      <c r="B130" t="s">
        <v>12</v>
      </c>
      <c r="C130">
        <v>82</v>
      </c>
      <c r="D130" t="s">
        <v>15</v>
      </c>
      <c r="E130" t="s">
        <v>15</v>
      </c>
      <c r="F130" t="s">
        <v>16</v>
      </c>
      <c r="G130" t="s">
        <v>19</v>
      </c>
      <c r="H130" t="s">
        <v>22</v>
      </c>
      <c r="I130">
        <v>200.59</v>
      </c>
      <c r="J130">
        <v>29</v>
      </c>
      <c r="K130" t="s">
        <v>24</v>
      </c>
      <c r="L130" t="s">
        <v>16</v>
      </c>
    </row>
    <row r="131" spans="1:12" x14ac:dyDescent="0.3">
      <c r="A131">
        <v>48796</v>
      </c>
      <c r="B131" t="s">
        <v>13</v>
      </c>
      <c r="C131">
        <v>75</v>
      </c>
      <c r="D131" t="s">
        <v>15</v>
      </c>
      <c r="E131" t="s">
        <v>15</v>
      </c>
      <c r="F131" t="s">
        <v>16</v>
      </c>
      <c r="G131" t="s">
        <v>19</v>
      </c>
      <c r="H131" t="s">
        <v>22</v>
      </c>
      <c r="I131">
        <v>62.48</v>
      </c>
      <c r="K131" t="s">
        <v>27</v>
      </c>
      <c r="L131" t="s">
        <v>16</v>
      </c>
    </row>
    <row r="132" spans="1:12" x14ac:dyDescent="0.3">
      <c r="A132">
        <v>53440</v>
      </c>
      <c r="B132" t="s">
        <v>13</v>
      </c>
      <c r="C132">
        <v>73</v>
      </c>
      <c r="D132" t="s">
        <v>16</v>
      </c>
      <c r="E132" t="s">
        <v>15</v>
      </c>
      <c r="F132" t="s">
        <v>16</v>
      </c>
      <c r="G132" t="s">
        <v>17</v>
      </c>
      <c r="H132" t="s">
        <v>23</v>
      </c>
      <c r="I132">
        <v>190.14</v>
      </c>
      <c r="J132">
        <v>36.5</v>
      </c>
      <c r="K132" t="s">
        <v>25</v>
      </c>
      <c r="L132" t="s">
        <v>16</v>
      </c>
    </row>
    <row r="133" spans="1:12" x14ac:dyDescent="0.3">
      <c r="A133">
        <v>16817</v>
      </c>
      <c r="B133" t="s">
        <v>13</v>
      </c>
      <c r="C133">
        <v>78</v>
      </c>
      <c r="D133" t="s">
        <v>16</v>
      </c>
      <c r="E133" t="s">
        <v>15</v>
      </c>
      <c r="F133" t="s">
        <v>15</v>
      </c>
      <c r="G133" t="s">
        <v>17</v>
      </c>
      <c r="H133" t="s">
        <v>22</v>
      </c>
      <c r="I133">
        <v>130.54</v>
      </c>
      <c r="J133">
        <v>20.100000000000001</v>
      </c>
      <c r="K133" t="s">
        <v>25</v>
      </c>
      <c r="L133" t="s">
        <v>16</v>
      </c>
    </row>
    <row r="134" spans="1:12" x14ac:dyDescent="0.3">
      <c r="A134">
        <v>69551</v>
      </c>
      <c r="B134" t="s">
        <v>12</v>
      </c>
      <c r="C134">
        <v>69</v>
      </c>
      <c r="D134" t="s">
        <v>16</v>
      </c>
      <c r="E134" t="s">
        <v>15</v>
      </c>
      <c r="F134" t="s">
        <v>15</v>
      </c>
      <c r="G134" t="s">
        <v>17</v>
      </c>
      <c r="H134" t="s">
        <v>23</v>
      </c>
      <c r="I134">
        <v>182.99</v>
      </c>
      <c r="J134">
        <v>36.5</v>
      </c>
      <c r="K134" t="s">
        <v>25</v>
      </c>
      <c r="L134" t="s">
        <v>16</v>
      </c>
    </row>
    <row r="135" spans="1:12" x14ac:dyDescent="0.3">
      <c r="A135">
        <v>31563</v>
      </c>
      <c r="B135" t="s">
        <v>13</v>
      </c>
      <c r="C135">
        <v>38</v>
      </c>
      <c r="D135" t="s">
        <v>15</v>
      </c>
      <c r="E135" t="s">
        <v>15</v>
      </c>
      <c r="F135" t="s">
        <v>16</v>
      </c>
      <c r="G135" t="s">
        <v>17</v>
      </c>
      <c r="H135" t="s">
        <v>23</v>
      </c>
      <c r="I135">
        <v>101.45</v>
      </c>
      <c r="K135" t="s">
        <v>24</v>
      </c>
      <c r="L135" t="s">
        <v>16</v>
      </c>
    </row>
    <row r="136" spans="1:12" x14ac:dyDescent="0.3">
      <c r="A136">
        <v>20387</v>
      </c>
      <c r="B136" t="s">
        <v>13</v>
      </c>
      <c r="C136">
        <v>68</v>
      </c>
      <c r="D136" t="s">
        <v>16</v>
      </c>
      <c r="E136" t="s">
        <v>15</v>
      </c>
      <c r="F136" t="s">
        <v>16</v>
      </c>
      <c r="G136" t="s">
        <v>18</v>
      </c>
      <c r="H136" t="s">
        <v>23</v>
      </c>
      <c r="I136">
        <v>206.09</v>
      </c>
      <c r="J136">
        <v>26.7</v>
      </c>
      <c r="K136" t="s">
        <v>25</v>
      </c>
      <c r="L136" t="s">
        <v>16</v>
      </c>
    </row>
    <row r="137" spans="1:12" x14ac:dyDescent="0.3">
      <c r="A137">
        <v>71279</v>
      </c>
      <c r="B137" t="s">
        <v>13</v>
      </c>
      <c r="C137">
        <v>71</v>
      </c>
      <c r="D137" t="s">
        <v>15</v>
      </c>
      <c r="E137" t="s">
        <v>15</v>
      </c>
      <c r="F137" t="s">
        <v>16</v>
      </c>
      <c r="G137" t="s">
        <v>19</v>
      </c>
      <c r="H137" t="s">
        <v>22</v>
      </c>
      <c r="I137">
        <v>263.32</v>
      </c>
      <c r="J137">
        <v>38.700000000000003</v>
      </c>
      <c r="K137" t="s">
        <v>25</v>
      </c>
      <c r="L137" t="s">
        <v>16</v>
      </c>
    </row>
    <row r="138" spans="1:12" x14ac:dyDescent="0.3">
      <c r="A138">
        <v>55824</v>
      </c>
      <c r="B138" t="s">
        <v>12</v>
      </c>
      <c r="C138">
        <v>76</v>
      </c>
      <c r="D138" t="s">
        <v>15</v>
      </c>
      <c r="E138" t="s">
        <v>15</v>
      </c>
      <c r="F138" t="s">
        <v>16</v>
      </c>
      <c r="G138" t="s">
        <v>17</v>
      </c>
      <c r="H138" t="s">
        <v>22</v>
      </c>
      <c r="I138">
        <v>140.1</v>
      </c>
      <c r="J138">
        <v>29.9</v>
      </c>
      <c r="K138" t="s">
        <v>24</v>
      </c>
      <c r="L138" t="s">
        <v>16</v>
      </c>
    </row>
    <row r="139" spans="1:12" x14ac:dyDescent="0.3">
      <c r="A139">
        <v>11762</v>
      </c>
      <c r="B139" t="s">
        <v>13</v>
      </c>
      <c r="C139">
        <v>76</v>
      </c>
      <c r="D139" t="s">
        <v>15</v>
      </c>
      <c r="E139" t="s">
        <v>15</v>
      </c>
      <c r="F139" t="s">
        <v>16</v>
      </c>
      <c r="G139" t="s">
        <v>17</v>
      </c>
      <c r="H139" t="s">
        <v>22</v>
      </c>
      <c r="I139">
        <v>207.28</v>
      </c>
      <c r="J139">
        <v>34.9</v>
      </c>
      <c r="K139" t="s">
        <v>27</v>
      </c>
      <c r="L139" t="s">
        <v>16</v>
      </c>
    </row>
    <row r="140" spans="1:12" x14ac:dyDescent="0.3">
      <c r="A140">
        <v>29281</v>
      </c>
      <c r="B140" t="s">
        <v>12</v>
      </c>
      <c r="C140">
        <v>76</v>
      </c>
      <c r="D140" t="s">
        <v>16</v>
      </c>
      <c r="E140" t="s">
        <v>15</v>
      </c>
      <c r="F140" t="s">
        <v>16</v>
      </c>
      <c r="G140" t="s">
        <v>18</v>
      </c>
      <c r="H140" t="s">
        <v>23</v>
      </c>
      <c r="I140">
        <v>194.37</v>
      </c>
      <c r="J140">
        <v>27</v>
      </c>
      <c r="K140" t="s">
        <v>24</v>
      </c>
      <c r="L140" t="s">
        <v>16</v>
      </c>
    </row>
    <row r="141" spans="1:12" x14ac:dyDescent="0.3">
      <c r="A141">
        <v>30683</v>
      </c>
      <c r="B141" t="s">
        <v>13</v>
      </c>
      <c r="C141">
        <v>75</v>
      </c>
      <c r="D141" t="s">
        <v>15</v>
      </c>
      <c r="E141" t="s">
        <v>15</v>
      </c>
      <c r="F141" t="s">
        <v>16</v>
      </c>
      <c r="G141" t="s">
        <v>17</v>
      </c>
      <c r="H141" t="s">
        <v>23</v>
      </c>
      <c r="I141">
        <v>199.2</v>
      </c>
      <c r="J141">
        <v>26.6</v>
      </c>
      <c r="K141" t="s">
        <v>27</v>
      </c>
      <c r="L141" t="s">
        <v>16</v>
      </c>
    </row>
    <row r="142" spans="1:12" x14ac:dyDescent="0.3">
      <c r="A142">
        <v>20439</v>
      </c>
      <c r="B142" t="s">
        <v>12</v>
      </c>
      <c r="C142">
        <v>82</v>
      </c>
      <c r="D142" t="s">
        <v>15</v>
      </c>
      <c r="E142" t="s">
        <v>16</v>
      </c>
      <c r="F142" t="s">
        <v>16</v>
      </c>
      <c r="G142" t="s">
        <v>19</v>
      </c>
      <c r="H142" t="s">
        <v>23</v>
      </c>
      <c r="I142">
        <v>103.68</v>
      </c>
      <c r="J142">
        <v>25</v>
      </c>
      <c r="K142" t="s">
        <v>25</v>
      </c>
      <c r="L142" t="s">
        <v>16</v>
      </c>
    </row>
    <row r="143" spans="1:12" x14ac:dyDescent="0.3">
      <c r="A143">
        <v>45965</v>
      </c>
      <c r="B143" t="s">
        <v>13</v>
      </c>
      <c r="C143">
        <v>59</v>
      </c>
      <c r="D143" t="s">
        <v>15</v>
      </c>
      <c r="E143" t="s">
        <v>15</v>
      </c>
      <c r="F143" t="s">
        <v>16</v>
      </c>
      <c r="G143" t="s">
        <v>17</v>
      </c>
      <c r="H143" t="s">
        <v>23</v>
      </c>
      <c r="I143">
        <v>116.44</v>
      </c>
      <c r="J143">
        <v>23.8</v>
      </c>
      <c r="K143" t="s">
        <v>26</v>
      </c>
      <c r="L143" t="s">
        <v>16</v>
      </c>
    </row>
    <row r="144" spans="1:12" x14ac:dyDescent="0.3">
      <c r="A144">
        <v>8045</v>
      </c>
      <c r="B144" t="s">
        <v>13</v>
      </c>
      <c r="C144">
        <v>74</v>
      </c>
      <c r="D144" t="s">
        <v>16</v>
      </c>
      <c r="E144" t="s">
        <v>15</v>
      </c>
      <c r="F144" t="s">
        <v>16</v>
      </c>
      <c r="G144" t="s">
        <v>17</v>
      </c>
      <c r="H144" t="s">
        <v>22</v>
      </c>
      <c r="I144">
        <v>70.28</v>
      </c>
      <c r="J144">
        <v>21.8</v>
      </c>
      <c r="K144" t="s">
        <v>25</v>
      </c>
      <c r="L144" t="s">
        <v>16</v>
      </c>
    </row>
    <row r="145" spans="1:12" x14ac:dyDescent="0.3">
      <c r="A145">
        <v>37651</v>
      </c>
      <c r="B145" t="s">
        <v>13</v>
      </c>
      <c r="C145">
        <v>69</v>
      </c>
      <c r="D145" t="s">
        <v>16</v>
      </c>
      <c r="E145" t="s">
        <v>16</v>
      </c>
      <c r="F145" t="s">
        <v>15</v>
      </c>
      <c r="G145" t="s">
        <v>18</v>
      </c>
      <c r="H145" t="s">
        <v>22</v>
      </c>
      <c r="I145">
        <v>72.17</v>
      </c>
      <c r="J145">
        <v>36.799999999999997</v>
      </c>
      <c r="K145" t="s">
        <v>25</v>
      </c>
      <c r="L145" t="s">
        <v>16</v>
      </c>
    </row>
    <row r="146" spans="1:12" x14ac:dyDescent="0.3">
      <c r="A146">
        <v>17308</v>
      </c>
      <c r="B146" t="s">
        <v>13</v>
      </c>
      <c r="C146">
        <v>72</v>
      </c>
      <c r="D146" t="s">
        <v>16</v>
      </c>
      <c r="E146" t="s">
        <v>15</v>
      </c>
      <c r="F146" t="s">
        <v>16</v>
      </c>
      <c r="G146" t="s">
        <v>17</v>
      </c>
      <c r="H146" t="s">
        <v>22</v>
      </c>
      <c r="I146">
        <v>221.79</v>
      </c>
      <c r="J146">
        <v>30</v>
      </c>
      <c r="K146" t="s">
        <v>25</v>
      </c>
      <c r="L146" t="s">
        <v>16</v>
      </c>
    </row>
    <row r="147" spans="1:12" x14ac:dyDescent="0.3">
      <c r="A147">
        <v>67981</v>
      </c>
      <c r="B147" t="s">
        <v>12</v>
      </c>
      <c r="C147">
        <v>66</v>
      </c>
      <c r="D147" t="s">
        <v>15</v>
      </c>
      <c r="E147" t="s">
        <v>15</v>
      </c>
      <c r="F147" t="s">
        <v>16</v>
      </c>
      <c r="G147" t="s">
        <v>17</v>
      </c>
      <c r="H147" t="s">
        <v>22</v>
      </c>
      <c r="I147">
        <v>151.16</v>
      </c>
      <c r="J147">
        <v>27.5</v>
      </c>
      <c r="K147" t="s">
        <v>24</v>
      </c>
      <c r="L147" t="s">
        <v>16</v>
      </c>
    </row>
    <row r="148" spans="1:12" x14ac:dyDescent="0.3">
      <c r="A148">
        <v>41241</v>
      </c>
      <c r="B148" t="s">
        <v>12</v>
      </c>
      <c r="C148">
        <v>65</v>
      </c>
      <c r="D148" t="s">
        <v>15</v>
      </c>
      <c r="E148" t="s">
        <v>15</v>
      </c>
      <c r="F148" t="s">
        <v>16</v>
      </c>
      <c r="G148" t="s">
        <v>18</v>
      </c>
      <c r="H148" t="s">
        <v>22</v>
      </c>
      <c r="I148">
        <v>68.430000000000007</v>
      </c>
      <c r="K148" t="s">
        <v>24</v>
      </c>
      <c r="L148" t="s">
        <v>16</v>
      </c>
    </row>
    <row r="149" spans="1:12" x14ac:dyDescent="0.3">
      <c r="A149">
        <v>62861</v>
      </c>
      <c r="B149" t="s">
        <v>13</v>
      </c>
      <c r="C149">
        <v>78</v>
      </c>
      <c r="D149" t="s">
        <v>15</v>
      </c>
      <c r="E149" t="s">
        <v>15</v>
      </c>
      <c r="F149" t="s">
        <v>16</v>
      </c>
      <c r="G149" t="s">
        <v>17</v>
      </c>
      <c r="H149" t="s">
        <v>22</v>
      </c>
      <c r="I149">
        <v>67.290000000000006</v>
      </c>
      <c r="J149">
        <v>24.6</v>
      </c>
      <c r="K149" t="s">
        <v>25</v>
      </c>
      <c r="L149" t="s">
        <v>16</v>
      </c>
    </row>
    <row r="150" spans="1:12" x14ac:dyDescent="0.3">
      <c r="A150">
        <v>72081</v>
      </c>
      <c r="B150" t="s">
        <v>13</v>
      </c>
      <c r="C150">
        <v>57</v>
      </c>
      <c r="D150" t="s">
        <v>16</v>
      </c>
      <c r="E150" t="s">
        <v>15</v>
      </c>
      <c r="F150" t="s">
        <v>16</v>
      </c>
      <c r="G150" t="s">
        <v>19</v>
      </c>
      <c r="H150" t="s">
        <v>23</v>
      </c>
      <c r="I150">
        <v>67.41</v>
      </c>
      <c r="J150">
        <v>32.9</v>
      </c>
      <c r="K150" t="s">
        <v>25</v>
      </c>
      <c r="L150" t="s">
        <v>16</v>
      </c>
    </row>
    <row r="151" spans="1:12" x14ac:dyDescent="0.3">
      <c r="A151">
        <v>58978</v>
      </c>
      <c r="B151" t="s">
        <v>13</v>
      </c>
      <c r="C151">
        <v>70</v>
      </c>
      <c r="D151" t="s">
        <v>15</v>
      </c>
      <c r="E151" t="s">
        <v>16</v>
      </c>
      <c r="F151" t="s">
        <v>16</v>
      </c>
      <c r="G151" t="s">
        <v>17</v>
      </c>
      <c r="H151" t="s">
        <v>23</v>
      </c>
      <c r="I151">
        <v>239.07</v>
      </c>
      <c r="J151">
        <v>26.1</v>
      </c>
      <c r="K151" t="s">
        <v>25</v>
      </c>
      <c r="L151" t="s">
        <v>16</v>
      </c>
    </row>
    <row r="152" spans="1:12" x14ac:dyDescent="0.3">
      <c r="A152">
        <v>11933</v>
      </c>
      <c r="B152" t="s">
        <v>13</v>
      </c>
      <c r="C152">
        <v>79</v>
      </c>
      <c r="D152" t="s">
        <v>15</v>
      </c>
      <c r="E152" t="s">
        <v>15</v>
      </c>
      <c r="F152" t="s">
        <v>16</v>
      </c>
      <c r="G152" t="s">
        <v>17</v>
      </c>
      <c r="H152" t="s">
        <v>23</v>
      </c>
      <c r="I152">
        <v>169.67</v>
      </c>
      <c r="K152" t="s">
        <v>27</v>
      </c>
      <c r="L152" t="s">
        <v>16</v>
      </c>
    </row>
    <row r="153" spans="1:12" x14ac:dyDescent="0.3">
      <c r="A153">
        <v>46703</v>
      </c>
      <c r="B153" t="s">
        <v>12</v>
      </c>
      <c r="C153">
        <v>68</v>
      </c>
      <c r="D153" t="s">
        <v>15</v>
      </c>
      <c r="E153" t="s">
        <v>16</v>
      </c>
      <c r="F153" t="s">
        <v>16</v>
      </c>
      <c r="G153" t="s">
        <v>17</v>
      </c>
      <c r="H153" t="s">
        <v>22</v>
      </c>
      <c r="I153">
        <v>223.83</v>
      </c>
      <c r="J153">
        <v>31.9</v>
      </c>
      <c r="K153" t="s">
        <v>24</v>
      </c>
      <c r="L153" t="s">
        <v>16</v>
      </c>
    </row>
    <row r="154" spans="1:12" x14ac:dyDescent="0.3">
      <c r="A154">
        <v>32503</v>
      </c>
      <c r="B154" t="s">
        <v>13</v>
      </c>
      <c r="C154">
        <v>80</v>
      </c>
      <c r="D154" t="s">
        <v>15</v>
      </c>
      <c r="E154" t="s">
        <v>15</v>
      </c>
      <c r="F154" t="s">
        <v>16</v>
      </c>
      <c r="G154" t="s">
        <v>18</v>
      </c>
      <c r="H154" t="s">
        <v>22</v>
      </c>
      <c r="I154">
        <v>76.569999999999993</v>
      </c>
      <c r="J154">
        <v>34.1</v>
      </c>
      <c r="K154" t="s">
        <v>25</v>
      </c>
      <c r="L154" t="s">
        <v>16</v>
      </c>
    </row>
    <row r="155" spans="1:12" x14ac:dyDescent="0.3">
      <c r="A155">
        <v>12482</v>
      </c>
      <c r="B155" t="s">
        <v>12</v>
      </c>
      <c r="C155">
        <v>68</v>
      </c>
      <c r="D155" t="s">
        <v>15</v>
      </c>
      <c r="E155" t="s">
        <v>15</v>
      </c>
      <c r="F155" t="s">
        <v>16</v>
      </c>
      <c r="G155" t="s">
        <v>18</v>
      </c>
      <c r="H155" t="s">
        <v>22</v>
      </c>
      <c r="I155">
        <v>77.819999999999993</v>
      </c>
      <c r="J155">
        <v>27.5</v>
      </c>
      <c r="K155" t="s">
        <v>26</v>
      </c>
      <c r="L155" t="s">
        <v>16</v>
      </c>
    </row>
    <row r="156" spans="1:12" x14ac:dyDescent="0.3">
      <c r="A156">
        <v>56939</v>
      </c>
      <c r="B156" t="s">
        <v>13</v>
      </c>
      <c r="C156">
        <v>55</v>
      </c>
      <c r="D156" t="s">
        <v>15</v>
      </c>
      <c r="E156" t="s">
        <v>15</v>
      </c>
      <c r="F156" t="s">
        <v>16</v>
      </c>
      <c r="G156" t="s">
        <v>18</v>
      </c>
      <c r="H156" t="s">
        <v>23</v>
      </c>
      <c r="I156">
        <v>92.98</v>
      </c>
      <c r="J156">
        <v>25.6</v>
      </c>
      <c r="K156" t="s">
        <v>25</v>
      </c>
      <c r="L156" t="s">
        <v>16</v>
      </c>
    </row>
    <row r="157" spans="1:12" x14ac:dyDescent="0.3">
      <c r="A157">
        <v>24669</v>
      </c>
      <c r="B157" t="s">
        <v>13</v>
      </c>
      <c r="C157">
        <v>77</v>
      </c>
      <c r="D157" t="s">
        <v>15</v>
      </c>
      <c r="E157" t="s">
        <v>16</v>
      </c>
      <c r="F157" t="s">
        <v>16</v>
      </c>
      <c r="G157" t="s">
        <v>17</v>
      </c>
      <c r="H157" t="s">
        <v>23</v>
      </c>
      <c r="I157">
        <v>231.56</v>
      </c>
      <c r="J157">
        <v>36.9</v>
      </c>
      <c r="K157" t="s">
        <v>25</v>
      </c>
      <c r="L157" t="s">
        <v>16</v>
      </c>
    </row>
    <row r="158" spans="1:12" x14ac:dyDescent="0.3">
      <c r="A158">
        <v>43054</v>
      </c>
      <c r="B158" t="s">
        <v>13</v>
      </c>
      <c r="C158">
        <v>50</v>
      </c>
      <c r="D158" t="s">
        <v>15</v>
      </c>
      <c r="E158" t="s">
        <v>15</v>
      </c>
      <c r="F158" t="s">
        <v>16</v>
      </c>
      <c r="G158" t="s">
        <v>17</v>
      </c>
      <c r="H158" t="s">
        <v>23</v>
      </c>
      <c r="I158">
        <v>102.16</v>
      </c>
      <c r="J158">
        <v>31.4</v>
      </c>
      <c r="K158" t="s">
        <v>26</v>
      </c>
      <c r="L158" t="s">
        <v>16</v>
      </c>
    </row>
    <row r="159" spans="1:12" x14ac:dyDescent="0.3">
      <c r="A159">
        <v>59437</v>
      </c>
      <c r="B159" t="s">
        <v>13</v>
      </c>
      <c r="C159">
        <v>57</v>
      </c>
      <c r="D159" t="s">
        <v>15</v>
      </c>
      <c r="E159" t="s">
        <v>15</v>
      </c>
      <c r="F159" t="s">
        <v>16</v>
      </c>
      <c r="G159" t="s">
        <v>17</v>
      </c>
      <c r="H159" t="s">
        <v>22</v>
      </c>
      <c r="I159">
        <v>221.89</v>
      </c>
      <c r="J159">
        <v>37.299999999999997</v>
      </c>
      <c r="K159" t="s">
        <v>26</v>
      </c>
      <c r="L159" t="s">
        <v>16</v>
      </c>
    </row>
    <row r="160" spans="1:12" x14ac:dyDescent="0.3">
      <c r="A160">
        <v>66258</v>
      </c>
      <c r="B160" t="s">
        <v>13</v>
      </c>
      <c r="C160">
        <v>71</v>
      </c>
      <c r="D160" t="s">
        <v>15</v>
      </c>
      <c r="E160" t="s">
        <v>15</v>
      </c>
      <c r="F160" t="s">
        <v>16</v>
      </c>
      <c r="G160" t="s">
        <v>18</v>
      </c>
      <c r="H160" t="s">
        <v>22</v>
      </c>
      <c r="I160">
        <v>195.71</v>
      </c>
      <c r="J160">
        <v>34.1</v>
      </c>
      <c r="K160" t="s">
        <v>24</v>
      </c>
      <c r="L160" t="s">
        <v>16</v>
      </c>
    </row>
    <row r="161" spans="1:12" x14ac:dyDescent="0.3">
      <c r="A161">
        <v>34567</v>
      </c>
      <c r="B161" t="s">
        <v>13</v>
      </c>
      <c r="C161">
        <v>81</v>
      </c>
      <c r="D161" t="s">
        <v>16</v>
      </c>
      <c r="E161" t="s">
        <v>15</v>
      </c>
      <c r="F161" t="s">
        <v>16</v>
      </c>
      <c r="G161" t="s">
        <v>18</v>
      </c>
      <c r="H161" t="s">
        <v>23</v>
      </c>
      <c r="I161">
        <v>74.02</v>
      </c>
      <c r="J161">
        <v>25</v>
      </c>
      <c r="K161" t="s">
        <v>25</v>
      </c>
      <c r="L161" t="s">
        <v>16</v>
      </c>
    </row>
    <row r="162" spans="1:12" x14ac:dyDescent="0.3">
      <c r="A162">
        <v>50931</v>
      </c>
      <c r="B162" t="s">
        <v>13</v>
      </c>
      <c r="C162">
        <v>76</v>
      </c>
      <c r="D162" t="s">
        <v>15</v>
      </c>
      <c r="E162" t="s">
        <v>15</v>
      </c>
      <c r="F162" t="s">
        <v>16</v>
      </c>
      <c r="G162" t="s">
        <v>17</v>
      </c>
      <c r="H162" t="s">
        <v>22</v>
      </c>
      <c r="I162">
        <v>57.92</v>
      </c>
      <c r="K162" t="s">
        <v>24</v>
      </c>
      <c r="L162" t="s">
        <v>16</v>
      </c>
    </row>
    <row r="163" spans="1:12" x14ac:dyDescent="0.3">
      <c r="A163">
        <v>16590</v>
      </c>
      <c r="B163" t="s">
        <v>12</v>
      </c>
      <c r="C163">
        <v>71</v>
      </c>
      <c r="D163" t="s">
        <v>15</v>
      </c>
      <c r="E163" t="s">
        <v>16</v>
      </c>
      <c r="F163" t="s">
        <v>16</v>
      </c>
      <c r="G163" t="s">
        <v>17</v>
      </c>
      <c r="H163" t="s">
        <v>22</v>
      </c>
      <c r="I163">
        <v>81.760000000000005</v>
      </c>
      <c r="K163" t="s">
        <v>26</v>
      </c>
      <c r="L163" t="s">
        <v>16</v>
      </c>
    </row>
    <row r="164" spans="1:12" x14ac:dyDescent="0.3">
      <c r="A164">
        <v>69768</v>
      </c>
      <c r="B164" t="s">
        <v>13</v>
      </c>
      <c r="C164">
        <v>1.32</v>
      </c>
      <c r="D164" t="s">
        <v>15</v>
      </c>
      <c r="E164" t="s">
        <v>15</v>
      </c>
      <c r="F164" t="s">
        <v>15</v>
      </c>
      <c r="G164" t="s">
        <v>20</v>
      </c>
      <c r="H164" t="s">
        <v>22</v>
      </c>
      <c r="I164">
        <v>70.37</v>
      </c>
      <c r="K164" t="s">
        <v>27</v>
      </c>
      <c r="L164" t="s">
        <v>16</v>
      </c>
    </row>
    <row r="165" spans="1:12" x14ac:dyDescent="0.3">
      <c r="A165">
        <v>20426</v>
      </c>
      <c r="B165" t="s">
        <v>13</v>
      </c>
      <c r="C165">
        <v>78</v>
      </c>
      <c r="D165" t="s">
        <v>16</v>
      </c>
      <c r="E165" t="s">
        <v>15</v>
      </c>
      <c r="F165" t="s">
        <v>15</v>
      </c>
      <c r="G165" t="s">
        <v>17</v>
      </c>
      <c r="H165" t="s">
        <v>22</v>
      </c>
      <c r="I165">
        <v>203.87</v>
      </c>
      <c r="J165">
        <v>45.7</v>
      </c>
      <c r="K165" t="s">
        <v>25</v>
      </c>
      <c r="L165" t="s">
        <v>16</v>
      </c>
    </row>
    <row r="166" spans="1:12" x14ac:dyDescent="0.3">
      <c r="A166">
        <v>3512</v>
      </c>
      <c r="B166" t="s">
        <v>13</v>
      </c>
      <c r="C166">
        <v>70</v>
      </c>
      <c r="D166" t="s">
        <v>16</v>
      </c>
      <c r="E166" t="s">
        <v>15</v>
      </c>
      <c r="F166" t="s">
        <v>16</v>
      </c>
      <c r="G166" t="s">
        <v>18</v>
      </c>
      <c r="H166" t="s">
        <v>22</v>
      </c>
      <c r="I166">
        <v>89.13</v>
      </c>
      <c r="J166">
        <v>34.200000000000003</v>
      </c>
      <c r="K166" t="s">
        <v>24</v>
      </c>
      <c r="L166" t="s">
        <v>16</v>
      </c>
    </row>
    <row r="167" spans="1:12" x14ac:dyDescent="0.3">
      <c r="A167">
        <v>42899</v>
      </c>
      <c r="B167" t="s">
        <v>12</v>
      </c>
      <c r="C167">
        <v>78</v>
      </c>
      <c r="D167" t="s">
        <v>15</v>
      </c>
      <c r="E167" t="s">
        <v>15</v>
      </c>
      <c r="F167" t="s">
        <v>16</v>
      </c>
      <c r="G167" t="s">
        <v>18</v>
      </c>
      <c r="H167" t="s">
        <v>22</v>
      </c>
      <c r="I167">
        <v>133.19</v>
      </c>
      <c r="J167">
        <v>23.6</v>
      </c>
      <c r="K167" t="s">
        <v>24</v>
      </c>
      <c r="L167" t="s">
        <v>16</v>
      </c>
    </row>
    <row r="168" spans="1:12" x14ac:dyDescent="0.3">
      <c r="A168">
        <v>63453</v>
      </c>
      <c r="B168" t="s">
        <v>13</v>
      </c>
      <c r="C168">
        <v>56</v>
      </c>
      <c r="D168" t="s">
        <v>15</v>
      </c>
      <c r="E168" t="s">
        <v>15</v>
      </c>
      <c r="F168" t="s">
        <v>16</v>
      </c>
      <c r="G168" t="s">
        <v>19</v>
      </c>
      <c r="H168" t="s">
        <v>23</v>
      </c>
      <c r="I168">
        <v>162.22999999999999</v>
      </c>
      <c r="J168">
        <v>27.3</v>
      </c>
      <c r="K168" t="s">
        <v>27</v>
      </c>
      <c r="L168" t="s">
        <v>16</v>
      </c>
    </row>
    <row r="169" spans="1:12" x14ac:dyDescent="0.3">
      <c r="A169">
        <v>43364</v>
      </c>
      <c r="B169" t="s">
        <v>12</v>
      </c>
      <c r="C169">
        <v>79</v>
      </c>
      <c r="D169" t="s">
        <v>16</v>
      </c>
      <c r="E169" t="s">
        <v>15</v>
      </c>
      <c r="F169" t="s">
        <v>16</v>
      </c>
      <c r="G169" t="s">
        <v>17</v>
      </c>
      <c r="H169" t="s">
        <v>23</v>
      </c>
      <c r="I169">
        <v>75.02</v>
      </c>
      <c r="K169" t="s">
        <v>25</v>
      </c>
      <c r="L169" t="s">
        <v>16</v>
      </c>
    </row>
    <row r="170" spans="1:12" x14ac:dyDescent="0.3">
      <c r="A170">
        <v>44993</v>
      </c>
      <c r="B170" t="s">
        <v>13</v>
      </c>
      <c r="C170">
        <v>79</v>
      </c>
      <c r="D170" t="s">
        <v>16</v>
      </c>
      <c r="E170" t="s">
        <v>15</v>
      </c>
      <c r="F170" t="s">
        <v>15</v>
      </c>
      <c r="G170" t="s">
        <v>19</v>
      </c>
      <c r="H170" t="s">
        <v>22</v>
      </c>
      <c r="I170">
        <v>98.02</v>
      </c>
      <c r="J170">
        <v>22.3</v>
      </c>
      <c r="K170" t="s">
        <v>24</v>
      </c>
      <c r="L170" t="s">
        <v>16</v>
      </c>
    </row>
    <row r="171" spans="1:12" x14ac:dyDescent="0.3">
      <c r="A171">
        <v>210</v>
      </c>
      <c r="B171" t="s">
        <v>12</v>
      </c>
      <c r="C171">
        <v>81</v>
      </c>
      <c r="D171" t="s">
        <v>15</v>
      </c>
      <c r="E171" t="s">
        <v>15</v>
      </c>
      <c r="F171" t="s">
        <v>16</v>
      </c>
      <c r="G171" t="s">
        <v>18</v>
      </c>
      <c r="H171" t="s">
        <v>23</v>
      </c>
      <c r="I171">
        <v>91.54</v>
      </c>
      <c r="J171">
        <v>31.4</v>
      </c>
      <c r="K171" t="s">
        <v>25</v>
      </c>
      <c r="L171" t="s">
        <v>16</v>
      </c>
    </row>
    <row r="172" spans="1:12" x14ac:dyDescent="0.3">
      <c r="A172">
        <v>28939</v>
      </c>
      <c r="B172" t="s">
        <v>12</v>
      </c>
      <c r="C172">
        <v>64</v>
      </c>
      <c r="D172" t="s">
        <v>15</v>
      </c>
      <c r="E172" t="s">
        <v>15</v>
      </c>
      <c r="F172" t="s">
        <v>16</v>
      </c>
      <c r="G172" t="s">
        <v>18</v>
      </c>
      <c r="H172" t="s">
        <v>23</v>
      </c>
      <c r="I172">
        <v>111.98</v>
      </c>
      <c r="K172" t="s">
        <v>24</v>
      </c>
      <c r="L172" t="s">
        <v>16</v>
      </c>
    </row>
    <row r="173" spans="1:12" x14ac:dyDescent="0.3">
      <c r="A173">
        <v>60739</v>
      </c>
      <c r="B173" t="s">
        <v>13</v>
      </c>
      <c r="C173">
        <v>79</v>
      </c>
      <c r="D173" t="s">
        <v>16</v>
      </c>
      <c r="E173" t="s">
        <v>16</v>
      </c>
      <c r="F173" t="s">
        <v>15</v>
      </c>
      <c r="G173" t="s">
        <v>18</v>
      </c>
      <c r="H173" t="s">
        <v>23</v>
      </c>
      <c r="I173">
        <v>60.94</v>
      </c>
      <c r="K173" t="s">
        <v>25</v>
      </c>
      <c r="L173" t="s">
        <v>16</v>
      </c>
    </row>
    <row r="174" spans="1:12" x14ac:dyDescent="0.3">
      <c r="A174">
        <v>67432</v>
      </c>
      <c r="B174" t="s">
        <v>13</v>
      </c>
      <c r="C174">
        <v>60</v>
      </c>
      <c r="D174" t="s">
        <v>15</v>
      </c>
      <c r="E174" t="s">
        <v>15</v>
      </c>
      <c r="F174" t="s">
        <v>16</v>
      </c>
      <c r="G174" t="s">
        <v>17</v>
      </c>
      <c r="H174" t="s">
        <v>22</v>
      </c>
      <c r="I174">
        <v>97.43</v>
      </c>
      <c r="J174">
        <v>26.4</v>
      </c>
      <c r="K174" t="s">
        <v>26</v>
      </c>
      <c r="L174" t="s">
        <v>16</v>
      </c>
    </row>
    <row r="175" spans="1:12" x14ac:dyDescent="0.3">
      <c r="A175">
        <v>2182</v>
      </c>
      <c r="B175" t="s">
        <v>13</v>
      </c>
      <c r="C175">
        <v>80</v>
      </c>
      <c r="D175" t="s">
        <v>16</v>
      </c>
      <c r="E175" t="s">
        <v>15</v>
      </c>
      <c r="F175" t="s">
        <v>16</v>
      </c>
      <c r="G175" t="s">
        <v>18</v>
      </c>
      <c r="H175" t="s">
        <v>23</v>
      </c>
      <c r="I175">
        <v>91.02</v>
      </c>
      <c r="J175">
        <v>32.9</v>
      </c>
      <c r="K175" t="s">
        <v>24</v>
      </c>
      <c r="L175" t="s">
        <v>16</v>
      </c>
    </row>
    <row r="176" spans="1:12" x14ac:dyDescent="0.3">
      <c r="A176">
        <v>40899</v>
      </c>
      <c r="B176" t="s">
        <v>13</v>
      </c>
      <c r="C176">
        <v>78</v>
      </c>
      <c r="D176" t="s">
        <v>15</v>
      </c>
      <c r="E176" t="s">
        <v>15</v>
      </c>
      <c r="F176" t="s">
        <v>16</v>
      </c>
      <c r="G176" t="s">
        <v>18</v>
      </c>
      <c r="H176" t="s">
        <v>23</v>
      </c>
      <c r="I176">
        <v>60.67</v>
      </c>
      <c r="K176" t="s">
        <v>24</v>
      </c>
      <c r="L176" t="s">
        <v>16</v>
      </c>
    </row>
    <row r="177" spans="1:12" x14ac:dyDescent="0.3">
      <c r="A177">
        <v>14431</v>
      </c>
      <c r="B177" t="s">
        <v>12</v>
      </c>
      <c r="C177">
        <v>72</v>
      </c>
      <c r="D177" t="s">
        <v>16</v>
      </c>
      <c r="E177" t="s">
        <v>15</v>
      </c>
      <c r="F177" t="s">
        <v>16</v>
      </c>
      <c r="G177" t="s">
        <v>18</v>
      </c>
      <c r="H177" t="s">
        <v>23</v>
      </c>
      <c r="I177">
        <v>185.49</v>
      </c>
      <c r="J177">
        <v>37.1</v>
      </c>
      <c r="K177" t="s">
        <v>25</v>
      </c>
      <c r="L177" t="s">
        <v>16</v>
      </c>
    </row>
    <row r="178" spans="1:12" x14ac:dyDescent="0.3">
      <c r="A178">
        <v>62466</v>
      </c>
      <c r="B178" t="s">
        <v>13</v>
      </c>
      <c r="C178">
        <v>80</v>
      </c>
      <c r="D178" t="s">
        <v>15</v>
      </c>
      <c r="E178" t="s">
        <v>15</v>
      </c>
      <c r="F178" t="s">
        <v>16</v>
      </c>
      <c r="G178" t="s">
        <v>17</v>
      </c>
      <c r="H178" t="s">
        <v>22</v>
      </c>
      <c r="I178">
        <v>64.44</v>
      </c>
      <c r="J178">
        <v>45</v>
      </c>
      <c r="K178" t="s">
        <v>25</v>
      </c>
      <c r="L178" t="s">
        <v>16</v>
      </c>
    </row>
    <row r="179" spans="1:12" x14ac:dyDescent="0.3">
      <c r="A179">
        <v>36841</v>
      </c>
      <c r="B179" t="s">
        <v>12</v>
      </c>
      <c r="C179">
        <v>78</v>
      </c>
      <c r="D179" t="s">
        <v>16</v>
      </c>
      <c r="E179" t="s">
        <v>15</v>
      </c>
      <c r="F179" t="s">
        <v>16</v>
      </c>
      <c r="G179" t="s">
        <v>18</v>
      </c>
      <c r="H179" t="s">
        <v>23</v>
      </c>
      <c r="I179">
        <v>56.11</v>
      </c>
      <c r="J179">
        <v>25.5</v>
      </c>
      <c r="K179" t="s">
        <v>24</v>
      </c>
      <c r="L179" t="s">
        <v>16</v>
      </c>
    </row>
    <row r="180" spans="1:12" x14ac:dyDescent="0.3">
      <c r="A180">
        <v>33486</v>
      </c>
      <c r="B180" t="s">
        <v>13</v>
      </c>
      <c r="C180">
        <v>80</v>
      </c>
      <c r="D180" t="s">
        <v>15</v>
      </c>
      <c r="E180" t="s">
        <v>15</v>
      </c>
      <c r="F180" t="s">
        <v>16</v>
      </c>
      <c r="G180" t="s">
        <v>19</v>
      </c>
      <c r="H180" t="s">
        <v>22</v>
      </c>
      <c r="I180">
        <v>110.66</v>
      </c>
      <c r="K180" t="s">
        <v>27</v>
      </c>
      <c r="L180" t="s">
        <v>16</v>
      </c>
    </row>
    <row r="181" spans="1:12" x14ac:dyDescent="0.3">
      <c r="A181">
        <v>65105</v>
      </c>
      <c r="B181" t="s">
        <v>12</v>
      </c>
      <c r="C181">
        <v>81</v>
      </c>
      <c r="D181" t="s">
        <v>15</v>
      </c>
      <c r="E181" t="s">
        <v>15</v>
      </c>
      <c r="F181" t="s">
        <v>16</v>
      </c>
      <c r="G181" t="s">
        <v>17</v>
      </c>
      <c r="H181" t="s">
        <v>22</v>
      </c>
      <c r="I181">
        <v>213.22</v>
      </c>
      <c r="J181">
        <v>26.1</v>
      </c>
      <c r="K181" t="s">
        <v>27</v>
      </c>
      <c r="L181" t="s">
        <v>16</v>
      </c>
    </row>
    <row r="182" spans="1:12" x14ac:dyDescent="0.3">
      <c r="A182">
        <v>54567</v>
      </c>
      <c r="B182" t="s">
        <v>13</v>
      </c>
      <c r="C182">
        <v>46</v>
      </c>
      <c r="D182" t="s">
        <v>15</v>
      </c>
      <c r="E182" t="s">
        <v>15</v>
      </c>
      <c r="F182" t="s">
        <v>16</v>
      </c>
      <c r="G182" t="s">
        <v>17</v>
      </c>
      <c r="H182" t="s">
        <v>22</v>
      </c>
      <c r="I182">
        <v>78.180000000000007</v>
      </c>
      <c r="J182">
        <v>30.8</v>
      </c>
      <c r="K182" t="s">
        <v>25</v>
      </c>
      <c r="L182" t="s">
        <v>16</v>
      </c>
    </row>
    <row r="183" spans="1:12" x14ac:dyDescent="0.3">
      <c r="A183">
        <v>66204</v>
      </c>
      <c r="B183" t="s">
        <v>12</v>
      </c>
      <c r="C183">
        <v>59</v>
      </c>
      <c r="D183" t="s">
        <v>15</v>
      </c>
      <c r="E183" t="s">
        <v>15</v>
      </c>
      <c r="F183" t="s">
        <v>16</v>
      </c>
      <c r="G183" t="s">
        <v>17</v>
      </c>
      <c r="H183" t="s">
        <v>22</v>
      </c>
      <c r="I183">
        <v>111.04</v>
      </c>
      <c r="J183">
        <v>32</v>
      </c>
      <c r="K183" t="s">
        <v>24</v>
      </c>
      <c r="L183" t="s">
        <v>16</v>
      </c>
    </row>
    <row r="184" spans="1:12" x14ac:dyDescent="0.3">
      <c r="A184">
        <v>39912</v>
      </c>
      <c r="B184" t="s">
        <v>13</v>
      </c>
      <c r="C184">
        <v>32</v>
      </c>
      <c r="D184" t="s">
        <v>15</v>
      </c>
      <c r="E184" t="s">
        <v>15</v>
      </c>
      <c r="F184" t="s">
        <v>16</v>
      </c>
      <c r="G184" t="s">
        <v>17</v>
      </c>
      <c r="H184" t="s">
        <v>23</v>
      </c>
      <c r="I184">
        <v>76.13</v>
      </c>
      <c r="J184">
        <v>29.9</v>
      </c>
      <c r="K184" t="s">
        <v>26</v>
      </c>
      <c r="L184" t="s">
        <v>16</v>
      </c>
    </row>
    <row r="185" spans="1:12" x14ac:dyDescent="0.3">
      <c r="A185">
        <v>8003</v>
      </c>
      <c r="B185" t="s">
        <v>13</v>
      </c>
      <c r="C185">
        <v>77</v>
      </c>
      <c r="D185" t="s">
        <v>15</v>
      </c>
      <c r="E185" t="s">
        <v>15</v>
      </c>
      <c r="F185" t="s">
        <v>15</v>
      </c>
      <c r="G185" t="s">
        <v>17</v>
      </c>
      <c r="H185" t="s">
        <v>22</v>
      </c>
      <c r="I185">
        <v>81.319999999999993</v>
      </c>
      <c r="K185" t="s">
        <v>27</v>
      </c>
      <c r="L185" t="s">
        <v>16</v>
      </c>
    </row>
    <row r="186" spans="1:12" x14ac:dyDescent="0.3">
      <c r="A186">
        <v>28378</v>
      </c>
      <c r="B186" t="s">
        <v>12</v>
      </c>
      <c r="C186">
        <v>61</v>
      </c>
      <c r="D186" t="s">
        <v>16</v>
      </c>
      <c r="E186" t="s">
        <v>16</v>
      </c>
      <c r="F186" t="s">
        <v>16</v>
      </c>
      <c r="G186" t="s">
        <v>17</v>
      </c>
      <c r="H186" t="s">
        <v>22</v>
      </c>
      <c r="I186">
        <v>112.24</v>
      </c>
      <c r="J186">
        <v>37.4</v>
      </c>
      <c r="K186" t="s">
        <v>26</v>
      </c>
      <c r="L186" t="s">
        <v>16</v>
      </c>
    </row>
    <row r="187" spans="1:12" x14ac:dyDescent="0.3">
      <c r="A187">
        <v>41081</v>
      </c>
      <c r="B187" t="s">
        <v>12</v>
      </c>
      <c r="C187">
        <v>63</v>
      </c>
      <c r="D187" t="s">
        <v>15</v>
      </c>
      <c r="E187" t="s">
        <v>15</v>
      </c>
      <c r="F187" t="s">
        <v>16</v>
      </c>
      <c r="G187" t="s">
        <v>17</v>
      </c>
      <c r="H187" t="s">
        <v>23</v>
      </c>
      <c r="I187">
        <v>137.30000000000001</v>
      </c>
      <c r="J187">
        <v>31.7</v>
      </c>
      <c r="K187" t="s">
        <v>24</v>
      </c>
      <c r="L187" t="s">
        <v>16</v>
      </c>
    </row>
    <row r="188" spans="1:12" x14ac:dyDescent="0.3">
      <c r="A188">
        <v>16077</v>
      </c>
      <c r="B188" t="s">
        <v>12</v>
      </c>
      <c r="C188">
        <v>63</v>
      </c>
      <c r="D188" t="s">
        <v>15</v>
      </c>
      <c r="E188" t="s">
        <v>16</v>
      </c>
      <c r="F188" t="s">
        <v>16</v>
      </c>
      <c r="G188" t="s">
        <v>18</v>
      </c>
      <c r="H188" t="s">
        <v>22</v>
      </c>
      <c r="I188">
        <v>116.69</v>
      </c>
      <c r="J188">
        <v>34.5</v>
      </c>
      <c r="K188" t="s">
        <v>24</v>
      </c>
      <c r="L188" t="s">
        <v>16</v>
      </c>
    </row>
    <row r="189" spans="1:12" x14ac:dyDescent="0.3">
      <c r="A189">
        <v>67895</v>
      </c>
      <c r="B189" t="s">
        <v>13</v>
      </c>
      <c r="C189">
        <v>82</v>
      </c>
      <c r="D189" t="s">
        <v>16</v>
      </c>
      <c r="E189" t="s">
        <v>16</v>
      </c>
      <c r="F189" t="s">
        <v>16</v>
      </c>
      <c r="G189" t="s">
        <v>19</v>
      </c>
      <c r="H189" t="s">
        <v>22</v>
      </c>
      <c r="I189">
        <v>215.94</v>
      </c>
      <c r="J189">
        <v>27.9</v>
      </c>
      <c r="K189" t="s">
        <v>24</v>
      </c>
      <c r="L189" t="s">
        <v>16</v>
      </c>
    </row>
    <row r="190" spans="1:12" x14ac:dyDescent="0.3">
      <c r="A190">
        <v>30184</v>
      </c>
      <c r="B190" t="s">
        <v>12</v>
      </c>
      <c r="C190">
        <v>82</v>
      </c>
      <c r="D190" t="s">
        <v>15</v>
      </c>
      <c r="E190" t="s">
        <v>15</v>
      </c>
      <c r="F190" t="s">
        <v>16</v>
      </c>
      <c r="G190" t="s">
        <v>17</v>
      </c>
      <c r="H190" t="s">
        <v>23</v>
      </c>
      <c r="I190">
        <v>86.62</v>
      </c>
      <c r="J190">
        <v>29.5</v>
      </c>
      <c r="K190" t="s">
        <v>24</v>
      </c>
      <c r="L190" t="s">
        <v>16</v>
      </c>
    </row>
    <row r="191" spans="1:12" x14ac:dyDescent="0.3">
      <c r="A191">
        <v>66955</v>
      </c>
      <c r="B191" t="s">
        <v>12</v>
      </c>
      <c r="C191">
        <v>61</v>
      </c>
      <c r="D191" t="s">
        <v>15</v>
      </c>
      <c r="E191" t="s">
        <v>16</v>
      </c>
      <c r="F191" t="s">
        <v>16</v>
      </c>
      <c r="G191" t="s">
        <v>17</v>
      </c>
      <c r="H191" t="s">
        <v>22</v>
      </c>
      <c r="I191">
        <v>209.86</v>
      </c>
      <c r="K191" t="s">
        <v>27</v>
      </c>
      <c r="L191" t="s">
        <v>16</v>
      </c>
    </row>
    <row r="192" spans="1:12" x14ac:dyDescent="0.3">
      <c r="A192">
        <v>24905</v>
      </c>
      <c r="B192" t="s">
        <v>13</v>
      </c>
      <c r="C192">
        <v>65</v>
      </c>
      <c r="D192" t="s">
        <v>15</v>
      </c>
      <c r="E192" t="s">
        <v>15</v>
      </c>
      <c r="F192" t="s">
        <v>16</v>
      </c>
      <c r="G192" t="s">
        <v>17</v>
      </c>
      <c r="H192" t="s">
        <v>22</v>
      </c>
      <c r="I192">
        <v>205.77</v>
      </c>
      <c r="J192">
        <v>46</v>
      </c>
      <c r="K192" t="s">
        <v>24</v>
      </c>
      <c r="L192" t="s">
        <v>16</v>
      </c>
    </row>
    <row r="193" spans="1:12" x14ac:dyDescent="0.3">
      <c r="A193">
        <v>66071</v>
      </c>
      <c r="B193" t="s">
        <v>12</v>
      </c>
      <c r="C193">
        <v>51</v>
      </c>
      <c r="D193" t="s">
        <v>16</v>
      </c>
      <c r="E193" t="s">
        <v>15</v>
      </c>
      <c r="F193" t="s">
        <v>16</v>
      </c>
      <c r="G193" t="s">
        <v>17</v>
      </c>
      <c r="H193" t="s">
        <v>22</v>
      </c>
      <c r="I193">
        <v>112.16</v>
      </c>
      <c r="J193">
        <v>42.5</v>
      </c>
      <c r="K193" t="s">
        <v>24</v>
      </c>
      <c r="L193" t="s">
        <v>16</v>
      </c>
    </row>
    <row r="194" spans="1:12" x14ac:dyDescent="0.3">
      <c r="A194">
        <v>36255</v>
      </c>
      <c r="B194" t="s">
        <v>12</v>
      </c>
      <c r="C194">
        <v>59</v>
      </c>
      <c r="D194" t="s">
        <v>15</v>
      </c>
      <c r="E194" t="s">
        <v>15</v>
      </c>
      <c r="F194" t="s">
        <v>16</v>
      </c>
      <c r="G194" t="s">
        <v>18</v>
      </c>
      <c r="H194" t="s">
        <v>23</v>
      </c>
      <c r="I194">
        <v>118.03</v>
      </c>
      <c r="J194">
        <v>35.5</v>
      </c>
      <c r="K194" t="s">
        <v>26</v>
      </c>
      <c r="L194" t="s">
        <v>16</v>
      </c>
    </row>
    <row r="195" spans="1:12" x14ac:dyDescent="0.3">
      <c r="A195">
        <v>69112</v>
      </c>
      <c r="B195" t="s">
        <v>12</v>
      </c>
      <c r="C195">
        <v>68</v>
      </c>
      <c r="D195" t="s">
        <v>16</v>
      </c>
      <c r="E195" t="s">
        <v>16</v>
      </c>
      <c r="F195" t="s">
        <v>16</v>
      </c>
      <c r="G195" t="s">
        <v>17</v>
      </c>
      <c r="H195" t="s">
        <v>23</v>
      </c>
      <c r="I195">
        <v>271.74</v>
      </c>
      <c r="J195">
        <v>31.1</v>
      </c>
      <c r="K195" t="s">
        <v>26</v>
      </c>
      <c r="L195" t="s">
        <v>16</v>
      </c>
    </row>
    <row r="196" spans="1:12" x14ac:dyDescent="0.3">
      <c r="A196">
        <v>23410</v>
      </c>
      <c r="B196" t="s">
        <v>13</v>
      </c>
      <c r="C196">
        <v>72</v>
      </c>
      <c r="D196" t="s">
        <v>15</v>
      </c>
      <c r="E196" t="s">
        <v>15</v>
      </c>
      <c r="F196" t="s">
        <v>16</v>
      </c>
      <c r="G196" t="s">
        <v>17</v>
      </c>
      <c r="H196" t="s">
        <v>23</v>
      </c>
      <c r="I196">
        <v>97.92</v>
      </c>
      <c r="J196">
        <v>26.9</v>
      </c>
      <c r="K196" t="s">
        <v>26</v>
      </c>
      <c r="L196" t="s">
        <v>16</v>
      </c>
    </row>
    <row r="197" spans="1:12" x14ac:dyDescent="0.3">
      <c r="A197">
        <v>64373</v>
      </c>
      <c r="B197" t="s">
        <v>12</v>
      </c>
      <c r="C197">
        <v>59</v>
      </c>
      <c r="D197" t="s">
        <v>15</v>
      </c>
      <c r="E197" t="s">
        <v>15</v>
      </c>
      <c r="F197" t="s">
        <v>16</v>
      </c>
      <c r="G197" t="s">
        <v>17</v>
      </c>
      <c r="H197" t="s">
        <v>22</v>
      </c>
      <c r="I197">
        <v>200.62</v>
      </c>
      <c r="J197">
        <v>35.799999999999997</v>
      </c>
      <c r="K197" t="s">
        <v>24</v>
      </c>
      <c r="L197" t="s">
        <v>16</v>
      </c>
    </row>
    <row r="198" spans="1:12" x14ac:dyDescent="0.3">
      <c r="A198">
        <v>58267</v>
      </c>
      <c r="B198" t="s">
        <v>12</v>
      </c>
      <c r="C198">
        <v>70</v>
      </c>
      <c r="D198" t="s">
        <v>16</v>
      </c>
      <c r="E198" t="s">
        <v>15</v>
      </c>
      <c r="F198" t="s">
        <v>16</v>
      </c>
      <c r="G198" t="s">
        <v>17</v>
      </c>
      <c r="H198" t="s">
        <v>23</v>
      </c>
      <c r="I198">
        <v>242.52</v>
      </c>
      <c r="J198">
        <v>45.5</v>
      </c>
      <c r="K198" t="s">
        <v>24</v>
      </c>
      <c r="L198" t="s">
        <v>16</v>
      </c>
    </row>
    <row r="199" spans="1:12" x14ac:dyDescent="0.3">
      <c r="A199">
        <v>35684</v>
      </c>
      <c r="B199" t="s">
        <v>12</v>
      </c>
      <c r="C199">
        <v>69</v>
      </c>
      <c r="D199" t="s">
        <v>15</v>
      </c>
      <c r="E199" t="s">
        <v>15</v>
      </c>
      <c r="F199" t="s">
        <v>16</v>
      </c>
      <c r="G199" t="s">
        <v>17</v>
      </c>
      <c r="H199" t="s">
        <v>23</v>
      </c>
      <c r="I199">
        <v>93.81</v>
      </c>
      <c r="J199">
        <v>28.5</v>
      </c>
      <c r="K199" t="s">
        <v>27</v>
      </c>
      <c r="L199" t="s">
        <v>16</v>
      </c>
    </row>
    <row r="200" spans="1:12" x14ac:dyDescent="0.3">
      <c r="A200">
        <v>18937</v>
      </c>
      <c r="B200" t="s">
        <v>12</v>
      </c>
      <c r="C200">
        <v>79</v>
      </c>
      <c r="D200" t="s">
        <v>15</v>
      </c>
      <c r="E200" t="s">
        <v>15</v>
      </c>
      <c r="F200" t="s">
        <v>16</v>
      </c>
      <c r="G200" t="s">
        <v>17</v>
      </c>
      <c r="H200" t="s">
        <v>23</v>
      </c>
      <c r="I200">
        <v>114.77</v>
      </c>
      <c r="K200" t="s">
        <v>24</v>
      </c>
      <c r="L200" t="s">
        <v>16</v>
      </c>
    </row>
    <row r="201" spans="1:12" x14ac:dyDescent="0.3">
      <c r="A201">
        <v>491</v>
      </c>
      <c r="B201" t="s">
        <v>13</v>
      </c>
      <c r="C201">
        <v>74</v>
      </c>
      <c r="D201" t="s">
        <v>15</v>
      </c>
      <c r="E201" t="s">
        <v>15</v>
      </c>
      <c r="F201" t="s">
        <v>16</v>
      </c>
      <c r="G201" t="s">
        <v>18</v>
      </c>
      <c r="H201" t="s">
        <v>22</v>
      </c>
      <c r="I201">
        <v>74.959999999999994</v>
      </c>
      <c r="J201">
        <v>26.6</v>
      </c>
      <c r="K201" t="s">
        <v>25</v>
      </c>
      <c r="L201" t="s">
        <v>16</v>
      </c>
    </row>
    <row r="202" spans="1:12" x14ac:dyDescent="0.3">
      <c r="A202">
        <v>54695</v>
      </c>
      <c r="B202" t="s">
        <v>12</v>
      </c>
      <c r="C202">
        <v>74</v>
      </c>
      <c r="D202" t="s">
        <v>15</v>
      </c>
      <c r="E202" t="s">
        <v>15</v>
      </c>
      <c r="F202" t="s">
        <v>16</v>
      </c>
      <c r="G202" t="s">
        <v>17</v>
      </c>
      <c r="H202" t="s">
        <v>22</v>
      </c>
      <c r="I202">
        <v>167.13</v>
      </c>
      <c r="K202" t="s">
        <v>27</v>
      </c>
      <c r="L202" t="s">
        <v>16</v>
      </c>
    </row>
    <row r="203" spans="1:12" x14ac:dyDescent="0.3">
      <c r="A203">
        <v>68627</v>
      </c>
      <c r="B203" t="s">
        <v>12</v>
      </c>
      <c r="C203">
        <v>80</v>
      </c>
      <c r="D203" t="s">
        <v>16</v>
      </c>
      <c r="E203" t="s">
        <v>16</v>
      </c>
      <c r="F203" t="s">
        <v>16</v>
      </c>
      <c r="G203" t="s">
        <v>17</v>
      </c>
      <c r="H203" t="s">
        <v>22</v>
      </c>
      <c r="I203">
        <v>175.29</v>
      </c>
      <c r="J203">
        <v>31.5</v>
      </c>
      <c r="K203" t="s">
        <v>24</v>
      </c>
      <c r="L203" t="s">
        <v>16</v>
      </c>
    </row>
    <row r="204" spans="1:12" x14ac:dyDescent="0.3">
      <c r="A204">
        <v>8580</v>
      </c>
      <c r="B204" t="s">
        <v>13</v>
      </c>
      <c r="C204">
        <v>77</v>
      </c>
      <c r="D204" t="s">
        <v>15</v>
      </c>
      <c r="E204" t="s">
        <v>15</v>
      </c>
      <c r="F204" t="s">
        <v>16</v>
      </c>
      <c r="G204" t="s">
        <v>18</v>
      </c>
      <c r="H204" t="s">
        <v>23</v>
      </c>
      <c r="I204">
        <v>90</v>
      </c>
      <c r="J204">
        <v>32</v>
      </c>
      <c r="K204" t="s">
        <v>25</v>
      </c>
      <c r="L204" t="s">
        <v>16</v>
      </c>
    </row>
    <row r="205" spans="1:12" x14ac:dyDescent="0.3">
      <c r="A205">
        <v>28484</v>
      </c>
      <c r="B205" t="s">
        <v>13</v>
      </c>
      <c r="C205">
        <v>78</v>
      </c>
      <c r="D205" t="s">
        <v>15</v>
      </c>
      <c r="E205" t="s">
        <v>15</v>
      </c>
      <c r="F205" t="s">
        <v>16</v>
      </c>
      <c r="G205" t="s">
        <v>18</v>
      </c>
      <c r="H205" t="s">
        <v>23</v>
      </c>
      <c r="I205">
        <v>109.47</v>
      </c>
      <c r="J205">
        <v>30.8</v>
      </c>
      <c r="K205" t="s">
        <v>25</v>
      </c>
      <c r="L205" t="s">
        <v>16</v>
      </c>
    </row>
    <row r="206" spans="1:12" x14ac:dyDescent="0.3">
      <c r="A206">
        <v>62019</v>
      </c>
      <c r="B206" t="s">
        <v>12</v>
      </c>
      <c r="C206">
        <v>54</v>
      </c>
      <c r="D206" t="s">
        <v>15</v>
      </c>
      <c r="E206" t="s">
        <v>15</v>
      </c>
      <c r="F206" t="s">
        <v>16</v>
      </c>
      <c r="G206" t="s">
        <v>19</v>
      </c>
      <c r="H206" t="s">
        <v>23</v>
      </c>
      <c r="I206">
        <v>87.85</v>
      </c>
      <c r="J206">
        <v>31.1</v>
      </c>
      <c r="K206" t="s">
        <v>26</v>
      </c>
      <c r="L206" t="s">
        <v>16</v>
      </c>
    </row>
    <row r="207" spans="1:12" x14ac:dyDescent="0.3">
      <c r="A207">
        <v>51314</v>
      </c>
      <c r="B207" t="s">
        <v>13</v>
      </c>
      <c r="C207">
        <v>78</v>
      </c>
      <c r="D207" t="s">
        <v>15</v>
      </c>
      <c r="E207" t="s">
        <v>15</v>
      </c>
      <c r="F207" t="s">
        <v>16</v>
      </c>
      <c r="G207" t="s">
        <v>17</v>
      </c>
      <c r="H207" t="s">
        <v>22</v>
      </c>
      <c r="I207">
        <v>106.74</v>
      </c>
      <c r="J207">
        <v>33</v>
      </c>
      <c r="K207" t="s">
        <v>24</v>
      </c>
      <c r="L207" t="s">
        <v>16</v>
      </c>
    </row>
    <row r="208" spans="1:12" x14ac:dyDescent="0.3">
      <c r="A208">
        <v>37060</v>
      </c>
      <c r="B208" t="s">
        <v>13</v>
      </c>
      <c r="C208">
        <v>81</v>
      </c>
      <c r="D208" t="s">
        <v>15</v>
      </c>
      <c r="E208" t="s">
        <v>15</v>
      </c>
      <c r="F208" t="s">
        <v>16</v>
      </c>
      <c r="G208" t="s">
        <v>17</v>
      </c>
      <c r="H208" t="s">
        <v>23</v>
      </c>
      <c r="I208">
        <v>80.13</v>
      </c>
      <c r="J208">
        <v>23.4</v>
      </c>
      <c r="K208" t="s">
        <v>25</v>
      </c>
      <c r="L208" t="s">
        <v>16</v>
      </c>
    </row>
    <row r="209" spans="1:12" x14ac:dyDescent="0.3">
      <c r="A209">
        <v>35578</v>
      </c>
      <c r="B209" t="s">
        <v>12</v>
      </c>
      <c r="C209">
        <v>78</v>
      </c>
      <c r="D209" t="s">
        <v>15</v>
      </c>
      <c r="E209" t="s">
        <v>15</v>
      </c>
      <c r="F209" t="s">
        <v>15</v>
      </c>
      <c r="G209" t="s">
        <v>18</v>
      </c>
      <c r="H209" t="s">
        <v>22</v>
      </c>
      <c r="I209">
        <v>90.19</v>
      </c>
      <c r="J209">
        <v>26.9</v>
      </c>
      <c r="K209" t="s">
        <v>25</v>
      </c>
      <c r="L209" t="s">
        <v>16</v>
      </c>
    </row>
    <row r="210" spans="1:12" x14ac:dyDescent="0.3">
      <c r="A210">
        <v>54921</v>
      </c>
      <c r="B210" t="s">
        <v>12</v>
      </c>
      <c r="C210">
        <v>78</v>
      </c>
      <c r="D210" t="s">
        <v>16</v>
      </c>
      <c r="E210" t="s">
        <v>15</v>
      </c>
      <c r="F210" t="s">
        <v>16</v>
      </c>
      <c r="G210" t="s">
        <v>18</v>
      </c>
      <c r="H210" t="s">
        <v>23</v>
      </c>
      <c r="I210">
        <v>134.80000000000001</v>
      </c>
      <c r="J210">
        <v>33.6</v>
      </c>
      <c r="K210" t="s">
        <v>27</v>
      </c>
      <c r="L210" t="s">
        <v>16</v>
      </c>
    </row>
    <row r="211" spans="1:12" x14ac:dyDescent="0.3">
      <c r="A211">
        <v>33454</v>
      </c>
      <c r="B211" t="s">
        <v>13</v>
      </c>
      <c r="C211">
        <v>63</v>
      </c>
      <c r="D211" t="s">
        <v>15</v>
      </c>
      <c r="E211" t="s">
        <v>15</v>
      </c>
      <c r="F211" t="s">
        <v>16</v>
      </c>
      <c r="G211" t="s">
        <v>19</v>
      </c>
      <c r="H211" t="s">
        <v>23</v>
      </c>
      <c r="I211">
        <v>106.58</v>
      </c>
      <c r="J211">
        <v>23.9</v>
      </c>
      <c r="K211" t="s">
        <v>27</v>
      </c>
      <c r="L211" t="s">
        <v>16</v>
      </c>
    </row>
    <row r="212" spans="1:12" x14ac:dyDescent="0.3">
      <c r="A212">
        <v>33943</v>
      </c>
      <c r="B212" t="s">
        <v>13</v>
      </c>
      <c r="C212">
        <v>39</v>
      </c>
      <c r="D212" t="s">
        <v>15</v>
      </c>
      <c r="E212" t="s">
        <v>15</v>
      </c>
      <c r="F212" t="s">
        <v>16</v>
      </c>
      <c r="G212" t="s">
        <v>17</v>
      </c>
      <c r="H212" t="s">
        <v>22</v>
      </c>
      <c r="I212">
        <v>83.24</v>
      </c>
      <c r="J212">
        <v>26.3</v>
      </c>
      <c r="K212" t="s">
        <v>25</v>
      </c>
      <c r="L212" t="s">
        <v>16</v>
      </c>
    </row>
    <row r="213" spans="1:12" x14ac:dyDescent="0.3">
      <c r="A213">
        <v>62439</v>
      </c>
      <c r="B213" t="s">
        <v>13</v>
      </c>
      <c r="C213">
        <v>51</v>
      </c>
      <c r="D213" t="s">
        <v>15</v>
      </c>
      <c r="E213" t="s">
        <v>15</v>
      </c>
      <c r="F213" t="s">
        <v>16</v>
      </c>
      <c r="G213" t="s">
        <v>19</v>
      </c>
      <c r="H213" t="s">
        <v>23</v>
      </c>
      <c r="I213">
        <v>103.43</v>
      </c>
      <c r="J213">
        <v>27.3</v>
      </c>
      <c r="K213" t="s">
        <v>24</v>
      </c>
      <c r="L213" t="s">
        <v>16</v>
      </c>
    </row>
    <row r="214" spans="1:12" x14ac:dyDescent="0.3">
      <c r="A214">
        <v>31179</v>
      </c>
      <c r="B214" t="s">
        <v>12</v>
      </c>
      <c r="C214">
        <v>63</v>
      </c>
      <c r="D214" t="s">
        <v>15</v>
      </c>
      <c r="E214" t="s">
        <v>15</v>
      </c>
      <c r="F214" t="s">
        <v>16</v>
      </c>
      <c r="G214" t="s">
        <v>17</v>
      </c>
      <c r="H214" t="s">
        <v>22</v>
      </c>
      <c r="I214">
        <v>208.65</v>
      </c>
      <c r="J214">
        <v>30.7</v>
      </c>
      <c r="K214" t="s">
        <v>25</v>
      </c>
      <c r="L214" t="s">
        <v>16</v>
      </c>
    </row>
    <row r="215" spans="1:12" x14ac:dyDescent="0.3">
      <c r="A215">
        <v>66866</v>
      </c>
      <c r="B215" t="s">
        <v>13</v>
      </c>
      <c r="C215">
        <v>48</v>
      </c>
      <c r="D215" t="s">
        <v>15</v>
      </c>
      <c r="E215" t="s">
        <v>15</v>
      </c>
      <c r="F215" t="s">
        <v>16</v>
      </c>
      <c r="G215" t="s">
        <v>17</v>
      </c>
      <c r="H215" t="s">
        <v>22</v>
      </c>
      <c r="I215">
        <v>74.11</v>
      </c>
      <c r="J215">
        <v>20.5</v>
      </c>
      <c r="K215" t="s">
        <v>25</v>
      </c>
      <c r="L215" t="s">
        <v>16</v>
      </c>
    </row>
    <row r="216" spans="1:12" x14ac:dyDescent="0.3">
      <c r="A216">
        <v>2548</v>
      </c>
      <c r="B216" t="s">
        <v>13</v>
      </c>
      <c r="C216">
        <v>81</v>
      </c>
      <c r="D216" t="s">
        <v>15</v>
      </c>
      <c r="E216" t="s">
        <v>15</v>
      </c>
      <c r="F216" t="s">
        <v>16</v>
      </c>
      <c r="G216" t="s">
        <v>18</v>
      </c>
      <c r="H216" t="s">
        <v>22</v>
      </c>
      <c r="I216">
        <v>95.84</v>
      </c>
      <c r="J216">
        <v>21.5</v>
      </c>
      <c r="K216" t="s">
        <v>25</v>
      </c>
      <c r="L216" t="s">
        <v>16</v>
      </c>
    </row>
    <row r="217" spans="1:12" x14ac:dyDescent="0.3">
      <c r="A217">
        <v>68025</v>
      </c>
      <c r="B217" t="s">
        <v>13</v>
      </c>
      <c r="C217">
        <v>79</v>
      </c>
      <c r="D217" t="s">
        <v>15</v>
      </c>
      <c r="E217" t="s">
        <v>16</v>
      </c>
      <c r="F217" t="s">
        <v>15</v>
      </c>
      <c r="G217" t="s">
        <v>17</v>
      </c>
      <c r="H217" t="s">
        <v>22</v>
      </c>
      <c r="I217">
        <v>205.33</v>
      </c>
      <c r="J217">
        <v>31</v>
      </c>
      <c r="K217" t="s">
        <v>26</v>
      </c>
      <c r="L217" t="s">
        <v>16</v>
      </c>
    </row>
    <row r="218" spans="1:12" x14ac:dyDescent="0.3">
      <c r="A218">
        <v>2390</v>
      </c>
      <c r="B218" t="s">
        <v>12</v>
      </c>
      <c r="C218">
        <v>78</v>
      </c>
      <c r="D218" t="s">
        <v>15</v>
      </c>
      <c r="E218" t="s">
        <v>15</v>
      </c>
      <c r="F218" t="s">
        <v>16</v>
      </c>
      <c r="G218" t="s">
        <v>18</v>
      </c>
      <c r="H218" t="s">
        <v>22</v>
      </c>
      <c r="I218">
        <v>116.1</v>
      </c>
      <c r="J218">
        <v>27.1</v>
      </c>
      <c r="K218" t="s">
        <v>25</v>
      </c>
      <c r="L218" t="s">
        <v>16</v>
      </c>
    </row>
    <row r="219" spans="1:12" x14ac:dyDescent="0.3">
      <c r="A219">
        <v>29552</v>
      </c>
      <c r="B219" t="s">
        <v>13</v>
      </c>
      <c r="C219">
        <v>55</v>
      </c>
      <c r="D219" t="s">
        <v>16</v>
      </c>
      <c r="E219" t="s">
        <v>16</v>
      </c>
      <c r="F219" t="s">
        <v>16</v>
      </c>
      <c r="G219" t="s">
        <v>17</v>
      </c>
      <c r="H219" t="s">
        <v>22</v>
      </c>
      <c r="I219">
        <v>210.4</v>
      </c>
      <c r="J219">
        <v>40</v>
      </c>
      <c r="K219" t="s">
        <v>26</v>
      </c>
      <c r="L219" t="s">
        <v>16</v>
      </c>
    </row>
    <row r="220" spans="1:12" x14ac:dyDescent="0.3">
      <c r="A220">
        <v>25904</v>
      </c>
      <c r="B220" t="s">
        <v>13</v>
      </c>
      <c r="C220">
        <v>76</v>
      </c>
      <c r="D220" t="s">
        <v>16</v>
      </c>
      <c r="E220" t="s">
        <v>16</v>
      </c>
      <c r="F220" t="s">
        <v>16</v>
      </c>
      <c r="G220" t="s">
        <v>18</v>
      </c>
      <c r="H220" t="s">
        <v>22</v>
      </c>
      <c r="I220">
        <v>199.86</v>
      </c>
      <c r="K220" t="s">
        <v>26</v>
      </c>
      <c r="L220" t="s">
        <v>16</v>
      </c>
    </row>
    <row r="221" spans="1:12" x14ac:dyDescent="0.3">
      <c r="A221">
        <v>31421</v>
      </c>
      <c r="B221" t="s">
        <v>12</v>
      </c>
      <c r="C221">
        <v>73</v>
      </c>
      <c r="D221" t="s">
        <v>15</v>
      </c>
      <c r="E221" t="s">
        <v>16</v>
      </c>
      <c r="F221" t="s">
        <v>16</v>
      </c>
      <c r="G221" t="s">
        <v>19</v>
      </c>
      <c r="H221" t="s">
        <v>23</v>
      </c>
      <c r="I221">
        <v>219.73</v>
      </c>
      <c r="J221">
        <v>28.6</v>
      </c>
      <c r="K221" t="s">
        <v>25</v>
      </c>
      <c r="L221" t="s">
        <v>16</v>
      </c>
    </row>
    <row r="222" spans="1:12" x14ac:dyDescent="0.3">
      <c r="A222">
        <v>20463</v>
      </c>
      <c r="B222" t="s">
        <v>12</v>
      </c>
      <c r="C222">
        <v>81</v>
      </c>
      <c r="D222" t="s">
        <v>16</v>
      </c>
      <c r="E222" t="s">
        <v>16</v>
      </c>
      <c r="F222" t="s">
        <v>16</v>
      </c>
      <c r="G222" t="s">
        <v>17</v>
      </c>
      <c r="H222" t="s">
        <v>22</v>
      </c>
      <c r="I222">
        <v>250.89</v>
      </c>
      <c r="J222">
        <v>28.1</v>
      </c>
      <c r="K222" t="s">
        <v>26</v>
      </c>
      <c r="L222" t="s">
        <v>16</v>
      </c>
    </row>
    <row r="223" spans="1:12" x14ac:dyDescent="0.3">
      <c r="A223">
        <v>68023</v>
      </c>
      <c r="B223" t="s">
        <v>12</v>
      </c>
      <c r="C223">
        <v>79</v>
      </c>
      <c r="D223" t="s">
        <v>15</v>
      </c>
      <c r="E223" t="s">
        <v>15</v>
      </c>
      <c r="F223" t="s">
        <v>16</v>
      </c>
      <c r="G223" t="s">
        <v>17</v>
      </c>
      <c r="H223" t="s">
        <v>23</v>
      </c>
      <c r="I223">
        <v>72.73</v>
      </c>
      <c r="J223">
        <v>28.4</v>
      </c>
      <c r="K223" t="s">
        <v>25</v>
      </c>
      <c r="L223" t="s">
        <v>16</v>
      </c>
    </row>
    <row r="224" spans="1:12" x14ac:dyDescent="0.3">
      <c r="A224">
        <v>12689</v>
      </c>
      <c r="B224" t="s">
        <v>13</v>
      </c>
      <c r="C224">
        <v>63</v>
      </c>
      <c r="D224" t="s">
        <v>15</v>
      </c>
      <c r="E224" t="s">
        <v>15</v>
      </c>
      <c r="F224" t="s">
        <v>16</v>
      </c>
      <c r="G224" t="s">
        <v>19</v>
      </c>
      <c r="H224" t="s">
        <v>23</v>
      </c>
      <c r="I224">
        <v>205.35</v>
      </c>
      <c r="J224">
        <v>42.2</v>
      </c>
      <c r="K224" t="s">
        <v>24</v>
      </c>
      <c r="L224" t="s">
        <v>16</v>
      </c>
    </row>
    <row r="225" spans="1:12" x14ac:dyDescent="0.3">
      <c r="A225">
        <v>54724</v>
      </c>
      <c r="B225" t="s">
        <v>13</v>
      </c>
      <c r="C225">
        <v>81</v>
      </c>
      <c r="D225" t="s">
        <v>15</v>
      </c>
      <c r="E225" t="s">
        <v>15</v>
      </c>
      <c r="F225" t="s">
        <v>15</v>
      </c>
      <c r="G225" t="s">
        <v>19</v>
      </c>
      <c r="H225" t="s">
        <v>22</v>
      </c>
      <c r="I225">
        <v>70.3</v>
      </c>
      <c r="J225">
        <v>25.8</v>
      </c>
      <c r="K225" t="s">
        <v>26</v>
      </c>
      <c r="L225" t="s">
        <v>16</v>
      </c>
    </row>
    <row r="226" spans="1:12" x14ac:dyDescent="0.3">
      <c r="A226">
        <v>8899</v>
      </c>
      <c r="B226" t="s">
        <v>12</v>
      </c>
      <c r="C226">
        <v>49</v>
      </c>
      <c r="D226" t="s">
        <v>15</v>
      </c>
      <c r="E226" t="s">
        <v>15</v>
      </c>
      <c r="F226" t="s">
        <v>15</v>
      </c>
      <c r="G226" t="s">
        <v>17</v>
      </c>
      <c r="H226" t="s">
        <v>23</v>
      </c>
      <c r="I226">
        <v>104.86</v>
      </c>
      <c r="J226">
        <v>31.9</v>
      </c>
      <c r="K226" t="s">
        <v>26</v>
      </c>
      <c r="L226" t="s">
        <v>16</v>
      </c>
    </row>
    <row r="227" spans="1:12" x14ac:dyDescent="0.3">
      <c r="A227">
        <v>39186</v>
      </c>
      <c r="B227" t="s">
        <v>13</v>
      </c>
      <c r="C227">
        <v>57</v>
      </c>
      <c r="D227" t="s">
        <v>15</v>
      </c>
      <c r="E227" t="s">
        <v>16</v>
      </c>
      <c r="F227" t="s">
        <v>16</v>
      </c>
      <c r="G227" t="s">
        <v>17</v>
      </c>
      <c r="H227" t="s">
        <v>22</v>
      </c>
      <c r="I227">
        <v>216.58</v>
      </c>
      <c r="J227">
        <v>31</v>
      </c>
      <c r="K227" t="s">
        <v>27</v>
      </c>
      <c r="L227" t="s">
        <v>16</v>
      </c>
    </row>
    <row r="228" spans="1:12" x14ac:dyDescent="0.3">
      <c r="A228">
        <v>32729</v>
      </c>
      <c r="B228" t="s">
        <v>13</v>
      </c>
      <c r="C228">
        <v>81</v>
      </c>
      <c r="D228" t="s">
        <v>15</v>
      </c>
      <c r="E228" t="s">
        <v>15</v>
      </c>
      <c r="F228" t="s">
        <v>16</v>
      </c>
      <c r="G228" t="s">
        <v>17</v>
      </c>
      <c r="H228" t="s">
        <v>23</v>
      </c>
      <c r="I228">
        <v>184.4</v>
      </c>
      <c r="J228">
        <v>27.5</v>
      </c>
      <c r="K228" t="s">
        <v>25</v>
      </c>
      <c r="L228" t="s">
        <v>16</v>
      </c>
    </row>
    <row r="229" spans="1:12" x14ac:dyDescent="0.3">
      <c r="A229">
        <v>39105</v>
      </c>
      <c r="B229" t="s">
        <v>12</v>
      </c>
      <c r="C229">
        <v>74</v>
      </c>
      <c r="D229" t="s">
        <v>15</v>
      </c>
      <c r="E229" t="s">
        <v>15</v>
      </c>
      <c r="F229" t="s">
        <v>16</v>
      </c>
      <c r="G229" t="s">
        <v>18</v>
      </c>
      <c r="H229" t="s">
        <v>23</v>
      </c>
      <c r="I229">
        <v>60.98</v>
      </c>
      <c r="K229" t="s">
        <v>25</v>
      </c>
      <c r="L229" t="s">
        <v>16</v>
      </c>
    </row>
    <row r="230" spans="1:12" x14ac:dyDescent="0.3">
      <c r="A230">
        <v>31154</v>
      </c>
      <c r="B230" t="s">
        <v>13</v>
      </c>
      <c r="C230">
        <v>39</v>
      </c>
      <c r="D230" t="s">
        <v>15</v>
      </c>
      <c r="E230" t="s">
        <v>15</v>
      </c>
      <c r="F230" t="s">
        <v>16</v>
      </c>
      <c r="G230" t="s">
        <v>18</v>
      </c>
      <c r="H230" t="s">
        <v>22</v>
      </c>
      <c r="I230">
        <v>97.76</v>
      </c>
      <c r="J230">
        <v>29.6</v>
      </c>
      <c r="K230" t="s">
        <v>26</v>
      </c>
      <c r="L230" t="s">
        <v>16</v>
      </c>
    </row>
    <row r="231" spans="1:12" x14ac:dyDescent="0.3">
      <c r="A231">
        <v>69959</v>
      </c>
      <c r="B231" t="s">
        <v>13</v>
      </c>
      <c r="C231">
        <v>80</v>
      </c>
      <c r="D231" t="s">
        <v>16</v>
      </c>
      <c r="E231" t="s">
        <v>15</v>
      </c>
      <c r="F231" t="s">
        <v>15</v>
      </c>
      <c r="G231" t="s">
        <v>17</v>
      </c>
      <c r="H231" t="s">
        <v>22</v>
      </c>
      <c r="I231">
        <v>66.03</v>
      </c>
      <c r="J231">
        <v>35.4</v>
      </c>
      <c r="K231" t="s">
        <v>25</v>
      </c>
      <c r="L231" t="s">
        <v>16</v>
      </c>
    </row>
    <row r="232" spans="1:12" x14ac:dyDescent="0.3">
      <c r="A232">
        <v>10552</v>
      </c>
      <c r="B232" t="s">
        <v>13</v>
      </c>
      <c r="C232">
        <v>81</v>
      </c>
      <c r="D232" t="s">
        <v>15</v>
      </c>
      <c r="E232" t="s">
        <v>15</v>
      </c>
      <c r="F232" t="s">
        <v>16</v>
      </c>
      <c r="G232" t="s">
        <v>18</v>
      </c>
      <c r="H232" t="s">
        <v>23</v>
      </c>
      <c r="I232">
        <v>81.95</v>
      </c>
      <c r="J232">
        <v>16.899999999999999</v>
      </c>
      <c r="K232" t="s">
        <v>25</v>
      </c>
      <c r="L232" t="s">
        <v>16</v>
      </c>
    </row>
    <row r="233" spans="1:12" x14ac:dyDescent="0.3">
      <c r="A233">
        <v>12917</v>
      </c>
      <c r="B233" t="s">
        <v>13</v>
      </c>
      <c r="C233">
        <v>79</v>
      </c>
      <c r="D233" t="s">
        <v>15</v>
      </c>
      <c r="E233" t="s">
        <v>15</v>
      </c>
      <c r="F233" t="s">
        <v>16</v>
      </c>
      <c r="G233" t="s">
        <v>17</v>
      </c>
      <c r="H233" t="s">
        <v>22</v>
      </c>
      <c r="I233">
        <v>97.73</v>
      </c>
      <c r="J233">
        <v>21.5</v>
      </c>
      <c r="K233" t="s">
        <v>26</v>
      </c>
      <c r="L233" t="s">
        <v>16</v>
      </c>
    </row>
    <row r="234" spans="1:12" x14ac:dyDescent="0.3">
      <c r="A234">
        <v>68356</v>
      </c>
      <c r="B234" t="s">
        <v>13</v>
      </c>
      <c r="C234">
        <v>73</v>
      </c>
      <c r="D234" t="s">
        <v>15</v>
      </c>
      <c r="E234" t="s">
        <v>15</v>
      </c>
      <c r="F234" t="s">
        <v>16</v>
      </c>
      <c r="G234" t="s">
        <v>18</v>
      </c>
      <c r="H234" t="s">
        <v>22</v>
      </c>
      <c r="I234">
        <v>70.94</v>
      </c>
      <c r="J234">
        <v>34.4</v>
      </c>
      <c r="K234" t="s">
        <v>25</v>
      </c>
      <c r="L234" t="s">
        <v>16</v>
      </c>
    </row>
    <row r="235" spans="1:12" x14ac:dyDescent="0.3">
      <c r="A235">
        <v>23368</v>
      </c>
      <c r="B235" t="s">
        <v>13</v>
      </c>
      <c r="C235">
        <v>77</v>
      </c>
      <c r="D235" t="s">
        <v>16</v>
      </c>
      <c r="E235" t="s">
        <v>15</v>
      </c>
      <c r="F235" t="s">
        <v>16</v>
      </c>
      <c r="G235" t="s">
        <v>18</v>
      </c>
      <c r="H235" t="s">
        <v>22</v>
      </c>
      <c r="I235">
        <v>199.84</v>
      </c>
      <c r="J235">
        <v>28</v>
      </c>
      <c r="K235" t="s">
        <v>24</v>
      </c>
      <c r="L235" t="s">
        <v>16</v>
      </c>
    </row>
    <row r="236" spans="1:12" x14ac:dyDescent="0.3">
      <c r="A236">
        <v>25974</v>
      </c>
      <c r="B236" t="s">
        <v>12</v>
      </c>
      <c r="C236">
        <v>78</v>
      </c>
      <c r="D236" t="s">
        <v>15</v>
      </c>
      <c r="E236" t="s">
        <v>15</v>
      </c>
      <c r="F236" t="s">
        <v>16</v>
      </c>
      <c r="G236" t="s">
        <v>18</v>
      </c>
      <c r="H236" t="s">
        <v>22</v>
      </c>
      <c r="I236">
        <v>218.46</v>
      </c>
      <c r="J236">
        <v>26.8</v>
      </c>
      <c r="K236" t="s">
        <v>27</v>
      </c>
      <c r="L236" t="s">
        <v>16</v>
      </c>
    </row>
    <row r="237" spans="1:12" x14ac:dyDescent="0.3">
      <c r="A237">
        <v>1210</v>
      </c>
      <c r="B237" t="s">
        <v>13</v>
      </c>
      <c r="C237">
        <v>68</v>
      </c>
      <c r="D237" t="s">
        <v>15</v>
      </c>
      <c r="E237" t="s">
        <v>15</v>
      </c>
      <c r="F237" t="s">
        <v>16</v>
      </c>
      <c r="G237" t="s">
        <v>17</v>
      </c>
      <c r="H237" t="s">
        <v>23</v>
      </c>
      <c r="I237">
        <v>211.06</v>
      </c>
      <c r="J237">
        <v>39.299999999999997</v>
      </c>
      <c r="K237" t="s">
        <v>27</v>
      </c>
      <c r="L237" t="s">
        <v>16</v>
      </c>
    </row>
    <row r="238" spans="1:12" x14ac:dyDescent="0.3">
      <c r="A238">
        <v>28493</v>
      </c>
      <c r="B238" t="s">
        <v>12</v>
      </c>
      <c r="C238">
        <v>57</v>
      </c>
      <c r="D238" t="s">
        <v>15</v>
      </c>
      <c r="E238" t="s">
        <v>15</v>
      </c>
      <c r="F238" t="s">
        <v>16</v>
      </c>
      <c r="G238" t="s">
        <v>17</v>
      </c>
      <c r="H238" t="s">
        <v>22</v>
      </c>
      <c r="I238">
        <v>86.3</v>
      </c>
      <c r="J238">
        <v>31.7</v>
      </c>
      <c r="K238" t="s">
        <v>27</v>
      </c>
      <c r="L238" t="s">
        <v>16</v>
      </c>
    </row>
    <row r="239" spans="1:12" x14ac:dyDescent="0.3">
      <c r="A239">
        <v>36857</v>
      </c>
      <c r="B239" t="s">
        <v>12</v>
      </c>
      <c r="C239">
        <v>77</v>
      </c>
      <c r="D239" t="s">
        <v>15</v>
      </c>
      <c r="E239" t="s">
        <v>15</v>
      </c>
      <c r="F239" t="s">
        <v>16</v>
      </c>
      <c r="G239" t="s">
        <v>18</v>
      </c>
      <c r="H239" t="s">
        <v>23</v>
      </c>
      <c r="I239">
        <v>162.13999999999999</v>
      </c>
      <c r="J239">
        <v>32.6</v>
      </c>
      <c r="K239" t="s">
        <v>24</v>
      </c>
      <c r="L239" t="s">
        <v>16</v>
      </c>
    </row>
    <row r="240" spans="1:12" x14ac:dyDescent="0.3">
      <c r="A240">
        <v>1836</v>
      </c>
      <c r="B240" t="s">
        <v>13</v>
      </c>
      <c r="C240">
        <v>51</v>
      </c>
      <c r="D240" t="s">
        <v>16</v>
      </c>
      <c r="E240" t="s">
        <v>15</v>
      </c>
      <c r="F240" t="s">
        <v>16</v>
      </c>
      <c r="G240" t="s">
        <v>17</v>
      </c>
      <c r="H240" t="s">
        <v>22</v>
      </c>
      <c r="I240">
        <v>88.2</v>
      </c>
      <c r="J240">
        <v>28.4</v>
      </c>
      <c r="K240" t="s">
        <v>25</v>
      </c>
      <c r="L240" t="s">
        <v>16</v>
      </c>
    </row>
    <row r="241" spans="1:12" x14ac:dyDescent="0.3">
      <c r="A241">
        <v>32221</v>
      </c>
      <c r="B241" t="s">
        <v>12</v>
      </c>
      <c r="C241">
        <v>60</v>
      </c>
      <c r="D241" t="s">
        <v>15</v>
      </c>
      <c r="E241" t="s">
        <v>16</v>
      </c>
      <c r="F241" t="s">
        <v>16</v>
      </c>
      <c r="G241" t="s">
        <v>17</v>
      </c>
      <c r="H241" t="s">
        <v>22</v>
      </c>
      <c r="I241">
        <v>91.92</v>
      </c>
      <c r="J241">
        <v>35.9</v>
      </c>
      <c r="K241" t="s">
        <v>26</v>
      </c>
      <c r="L241" t="s">
        <v>16</v>
      </c>
    </row>
    <row r="242" spans="1:12" x14ac:dyDescent="0.3">
      <c r="A242">
        <v>10548</v>
      </c>
      <c r="B242" t="s">
        <v>12</v>
      </c>
      <c r="C242">
        <v>66</v>
      </c>
      <c r="D242" t="s">
        <v>15</v>
      </c>
      <c r="E242" t="s">
        <v>15</v>
      </c>
      <c r="F242" t="s">
        <v>16</v>
      </c>
      <c r="G242" t="s">
        <v>17</v>
      </c>
      <c r="H242" t="s">
        <v>23</v>
      </c>
      <c r="I242">
        <v>76.459999999999994</v>
      </c>
      <c r="J242">
        <v>21.2</v>
      </c>
      <c r="K242" t="s">
        <v>24</v>
      </c>
      <c r="L242" t="s">
        <v>16</v>
      </c>
    </row>
    <row r="243" spans="1:12" x14ac:dyDescent="0.3">
      <c r="A243">
        <v>52282</v>
      </c>
      <c r="B243" t="s">
        <v>12</v>
      </c>
      <c r="C243">
        <v>57</v>
      </c>
      <c r="D243" t="s">
        <v>15</v>
      </c>
      <c r="E243" t="s">
        <v>15</v>
      </c>
      <c r="F243" t="s">
        <v>16</v>
      </c>
      <c r="G243" t="s">
        <v>17</v>
      </c>
      <c r="H243" t="s">
        <v>23</v>
      </c>
      <c r="I243">
        <v>197.28</v>
      </c>
      <c r="J243">
        <v>34.5</v>
      </c>
      <c r="K243" t="s">
        <v>24</v>
      </c>
      <c r="L243" t="s">
        <v>16</v>
      </c>
    </row>
    <row r="244" spans="1:12" x14ac:dyDescent="0.3">
      <c r="A244">
        <v>45535</v>
      </c>
      <c r="B244" t="s">
        <v>12</v>
      </c>
      <c r="C244">
        <v>68</v>
      </c>
      <c r="D244" t="s">
        <v>15</v>
      </c>
      <c r="E244" t="s">
        <v>15</v>
      </c>
      <c r="F244" t="s">
        <v>16</v>
      </c>
      <c r="G244" t="s">
        <v>17</v>
      </c>
      <c r="H244" t="s">
        <v>23</v>
      </c>
      <c r="I244">
        <v>233.94</v>
      </c>
      <c r="J244">
        <v>42.4</v>
      </c>
      <c r="K244" t="s">
        <v>25</v>
      </c>
      <c r="L244" t="s">
        <v>16</v>
      </c>
    </row>
    <row r="245" spans="1:12" x14ac:dyDescent="0.3">
      <c r="A245">
        <v>40460</v>
      </c>
      <c r="B245" t="s">
        <v>13</v>
      </c>
      <c r="C245">
        <v>68</v>
      </c>
      <c r="D245" t="s">
        <v>16</v>
      </c>
      <c r="E245" t="s">
        <v>16</v>
      </c>
      <c r="F245" t="s">
        <v>16</v>
      </c>
      <c r="G245" t="s">
        <v>17</v>
      </c>
      <c r="H245" t="s">
        <v>22</v>
      </c>
      <c r="I245">
        <v>247.51</v>
      </c>
      <c r="J245">
        <v>40.5</v>
      </c>
      <c r="K245" t="s">
        <v>24</v>
      </c>
      <c r="L245" t="s">
        <v>16</v>
      </c>
    </row>
    <row r="246" spans="1:12" x14ac:dyDescent="0.3">
      <c r="A246">
        <v>17739</v>
      </c>
      <c r="B246" t="s">
        <v>12</v>
      </c>
      <c r="C246">
        <v>57</v>
      </c>
      <c r="D246" t="s">
        <v>15</v>
      </c>
      <c r="E246" t="s">
        <v>15</v>
      </c>
      <c r="F246" t="s">
        <v>16</v>
      </c>
      <c r="G246" t="s">
        <v>17</v>
      </c>
      <c r="H246" t="s">
        <v>23</v>
      </c>
      <c r="I246">
        <v>84.96</v>
      </c>
      <c r="J246">
        <v>36.700000000000003</v>
      </c>
      <c r="K246" t="s">
        <v>27</v>
      </c>
      <c r="L246" t="s">
        <v>16</v>
      </c>
    </row>
    <row r="247" spans="1:12" x14ac:dyDescent="0.3">
      <c r="A247">
        <v>49669</v>
      </c>
      <c r="B247" t="s">
        <v>13</v>
      </c>
      <c r="C247">
        <v>14</v>
      </c>
      <c r="D247" t="s">
        <v>15</v>
      </c>
      <c r="E247" t="s">
        <v>15</v>
      </c>
      <c r="F247" t="s">
        <v>15</v>
      </c>
      <c r="G247" t="s">
        <v>20</v>
      </c>
      <c r="H247" t="s">
        <v>23</v>
      </c>
      <c r="I247">
        <v>57.93</v>
      </c>
      <c r="J247">
        <v>30.9</v>
      </c>
      <c r="K247" t="s">
        <v>27</v>
      </c>
      <c r="L247" t="s">
        <v>16</v>
      </c>
    </row>
    <row r="248" spans="1:12" x14ac:dyDescent="0.3">
      <c r="A248">
        <v>27153</v>
      </c>
      <c r="B248" t="s">
        <v>13</v>
      </c>
      <c r="C248">
        <v>75</v>
      </c>
      <c r="D248" t="s">
        <v>15</v>
      </c>
      <c r="E248" t="s">
        <v>15</v>
      </c>
      <c r="F248" t="s">
        <v>16</v>
      </c>
      <c r="G248" t="s">
        <v>18</v>
      </c>
      <c r="H248" t="s">
        <v>23</v>
      </c>
      <c r="I248">
        <v>78.8</v>
      </c>
      <c r="J248">
        <v>29.3</v>
      </c>
      <c r="K248" t="s">
        <v>24</v>
      </c>
      <c r="L248" t="s">
        <v>16</v>
      </c>
    </row>
    <row r="249" spans="1:12" x14ac:dyDescent="0.3">
      <c r="A249">
        <v>34060</v>
      </c>
      <c r="B249" t="s">
        <v>12</v>
      </c>
      <c r="C249">
        <v>71</v>
      </c>
      <c r="D249" t="s">
        <v>16</v>
      </c>
      <c r="E249" t="s">
        <v>15</v>
      </c>
      <c r="F249" t="s">
        <v>16</v>
      </c>
      <c r="G249" t="s">
        <v>18</v>
      </c>
      <c r="H249" t="s">
        <v>23</v>
      </c>
      <c r="I249">
        <v>87.8</v>
      </c>
      <c r="K249" t="s">
        <v>27</v>
      </c>
      <c r="L249" t="s">
        <v>16</v>
      </c>
    </row>
    <row r="250" spans="1:12" x14ac:dyDescent="0.3">
      <c r="A250">
        <v>43424</v>
      </c>
      <c r="B250" t="s">
        <v>13</v>
      </c>
      <c r="C250">
        <v>78</v>
      </c>
      <c r="D250" t="s">
        <v>15</v>
      </c>
      <c r="E250" t="s">
        <v>15</v>
      </c>
      <c r="F250" t="s">
        <v>16</v>
      </c>
      <c r="G250" t="s">
        <v>17</v>
      </c>
      <c r="H250" t="s">
        <v>23</v>
      </c>
      <c r="I250">
        <v>78.81</v>
      </c>
      <c r="J250">
        <v>19.600000000000001</v>
      </c>
      <c r="K250" t="s">
        <v>27</v>
      </c>
      <c r="L250" t="s">
        <v>16</v>
      </c>
    </row>
    <row r="251" spans="1:12" x14ac:dyDescent="0.3">
      <c r="A251">
        <v>30669</v>
      </c>
      <c r="B251" t="s">
        <v>12</v>
      </c>
      <c r="C251">
        <v>3</v>
      </c>
      <c r="D251" t="s">
        <v>15</v>
      </c>
      <c r="E251" t="s">
        <v>15</v>
      </c>
      <c r="F251" t="s">
        <v>15</v>
      </c>
      <c r="G251" t="s">
        <v>20</v>
      </c>
      <c r="H251" t="s">
        <v>23</v>
      </c>
      <c r="I251">
        <v>95.12</v>
      </c>
      <c r="J251">
        <v>18</v>
      </c>
      <c r="K251" t="s">
        <v>27</v>
      </c>
      <c r="L251" t="s">
        <v>15</v>
      </c>
    </row>
    <row r="252" spans="1:12" x14ac:dyDescent="0.3">
      <c r="A252">
        <v>30468</v>
      </c>
      <c r="B252" t="s">
        <v>12</v>
      </c>
      <c r="C252">
        <v>58</v>
      </c>
      <c r="D252" t="s">
        <v>16</v>
      </c>
      <c r="E252" t="s">
        <v>15</v>
      </c>
      <c r="F252" t="s">
        <v>16</v>
      </c>
      <c r="G252" t="s">
        <v>17</v>
      </c>
      <c r="H252" t="s">
        <v>22</v>
      </c>
      <c r="I252">
        <v>87.96</v>
      </c>
      <c r="J252">
        <v>39.200000000000003</v>
      </c>
      <c r="K252" t="s">
        <v>25</v>
      </c>
      <c r="L252" t="s">
        <v>15</v>
      </c>
    </row>
    <row r="253" spans="1:12" x14ac:dyDescent="0.3">
      <c r="A253">
        <v>16523</v>
      </c>
      <c r="B253" t="s">
        <v>13</v>
      </c>
      <c r="C253">
        <v>8</v>
      </c>
      <c r="D253" t="s">
        <v>15</v>
      </c>
      <c r="E253" t="s">
        <v>15</v>
      </c>
      <c r="F253" t="s">
        <v>15</v>
      </c>
      <c r="G253" t="s">
        <v>17</v>
      </c>
      <c r="H253" t="s">
        <v>22</v>
      </c>
      <c r="I253">
        <v>110.89</v>
      </c>
      <c r="J253">
        <v>17.600000000000001</v>
      </c>
      <c r="K253" t="s">
        <v>27</v>
      </c>
      <c r="L253" t="s">
        <v>15</v>
      </c>
    </row>
    <row r="254" spans="1:12" x14ac:dyDescent="0.3">
      <c r="A254">
        <v>56543</v>
      </c>
      <c r="B254" t="s">
        <v>13</v>
      </c>
      <c r="C254">
        <v>70</v>
      </c>
      <c r="D254" t="s">
        <v>15</v>
      </c>
      <c r="E254" t="s">
        <v>15</v>
      </c>
      <c r="F254" t="s">
        <v>16</v>
      </c>
      <c r="G254" t="s">
        <v>17</v>
      </c>
      <c r="H254" t="s">
        <v>23</v>
      </c>
      <c r="I254">
        <v>69.040000000000006</v>
      </c>
      <c r="J254">
        <v>35.9</v>
      </c>
      <c r="K254" t="s">
        <v>24</v>
      </c>
      <c r="L254" t="s">
        <v>15</v>
      </c>
    </row>
    <row r="255" spans="1:12" x14ac:dyDescent="0.3">
      <c r="A255">
        <v>46136</v>
      </c>
      <c r="B255" t="s">
        <v>12</v>
      </c>
      <c r="C255">
        <v>14</v>
      </c>
      <c r="D255" t="s">
        <v>15</v>
      </c>
      <c r="E255" t="s">
        <v>15</v>
      </c>
      <c r="F255" t="s">
        <v>15</v>
      </c>
      <c r="G255" t="s">
        <v>21</v>
      </c>
      <c r="H255" t="s">
        <v>23</v>
      </c>
      <c r="I255">
        <v>161.28</v>
      </c>
      <c r="J255">
        <v>19.100000000000001</v>
      </c>
      <c r="K255" t="s">
        <v>27</v>
      </c>
      <c r="L255" t="s">
        <v>15</v>
      </c>
    </row>
    <row r="256" spans="1:12" x14ac:dyDescent="0.3">
      <c r="A256">
        <v>32257</v>
      </c>
      <c r="B256" t="s">
        <v>13</v>
      </c>
      <c r="C256">
        <v>47</v>
      </c>
      <c r="D256" t="s">
        <v>15</v>
      </c>
      <c r="E256" t="s">
        <v>15</v>
      </c>
      <c r="F256" t="s">
        <v>16</v>
      </c>
      <c r="G256" t="s">
        <v>17</v>
      </c>
      <c r="H256" t="s">
        <v>22</v>
      </c>
      <c r="I256">
        <v>210.95</v>
      </c>
      <c r="J256">
        <v>50.1</v>
      </c>
      <c r="K256" t="s">
        <v>27</v>
      </c>
      <c r="L256" t="s">
        <v>15</v>
      </c>
    </row>
    <row r="257" spans="1:12" x14ac:dyDescent="0.3">
      <c r="A257">
        <v>52800</v>
      </c>
      <c r="B257" t="s">
        <v>13</v>
      </c>
      <c r="C257">
        <v>52</v>
      </c>
      <c r="D257" t="s">
        <v>15</v>
      </c>
      <c r="E257" t="s">
        <v>15</v>
      </c>
      <c r="F257" t="s">
        <v>16</v>
      </c>
      <c r="G257" t="s">
        <v>17</v>
      </c>
      <c r="H257" t="s">
        <v>22</v>
      </c>
      <c r="I257">
        <v>77.59</v>
      </c>
      <c r="J257">
        <v>17.7</v>
      </c>
      <c r="K257" t="s">
        <v>24</v>
      </c>
      <c r="L257" t="s">
        <v>15</v>
      </c>
    </row>
    <row r="258" spans="1:12" x14ac:dyDescent="0.3">
      <c r="A258">
        <v>41413</v>
      </c>
      <c r="B258" t="s">
        <v>13</v>
      </c>
      <c r="C258">
        <v>75</v>
      </c>
      <c r="D258" t="s">
        <v>15</v>
      </c>
      <c r="E258" t="s">
        <v>16</v>
      </c>
      <c r="F258" t="s">
        <v>16</v>
      </c>
      <c r="G258" t="s">
        <v>18</v>
      </c>
      <c r="H258" t="s">
        <v>23</v>
      </c>
      <c r="I258">
        <v>243.53</v>
      </c>
      <c r="J258">
        <v>27</v>
      </c>
      <c r="K258" t="s">
        <v>25</v>
      </c>
      <c r="L258" t="s">
        <v>15</v>
      </c>
    </row>
    <row r="259" spans="1:12" x14ac:dyDescent="0.3">
      <c r="A259">
        <v>15266</v>
      </c>
      <c r="B259" t="s">
        <v>13</v>
      </c>
      <c r="C259">
        <v>32</v>
      </c>
      <c r="D259" t="s">
        <v>15</v>
      </c>
      <c r="E259" t="s">
        <v>15</v>
      </c>
      <c r="F259" t="s">
        <v>16</v>
      </c>
      <c r="G259" t="s">
        <v>17</v>
      </c>
      <c r="H259" t="s">
        <v>23</v>
      </c>
      <c r="I259">
        <v>77.67</v>
      </c>
      <c r="J259">
        <v>32.299999999999997</v>
      </c>
      <c r="K259" t="s">
        <v>26</v>
      </c>
      <c r="L259" t="s">
        <v>15</v>
      </c>
    </row>
    <row r="260" spans="1:12" x14ac:dyDescent="0.3">
      <c r="A260">
        <v>28674</v>
      </c>
      <c r="B260" t="s">
        <v>13</v>
      </c>
      <c r="C260">
        <v>74</v>
      </c>
      <c r="D260" t="s">
        <v>16</v>
      </c>
      <c r="E260" t="s">
        <v>15</v>
      </c>
      <c r="F260" t="s">
        <v>16</v>
      </c>
      <c r="G260" t="s">
        <v>18</v>
      </c>
      <c r="H260" t="s">
        <v>22</v>
      </c>
      <c r="I260">
        <v>205.84</v>
      </c>
      <c r="J260">
        <v>54.6</v>
      </c>
      <c r="K260" t="s">
        <v>25</v>
      </c>
      <c r="L260" t="s">
        <v>15</v>
      </c>
    </row>
    <row r="261" spans="1:12" x14ac:dyDescent="0.3">
      <c r="A261">
        <v>10460</v>
      </c>
      <c r="B261" t="s">
        <v>13</v>
      </c>
      <c r="C261">
        <v>79</v>
      </c>
      <c r="D261" t="s">
        <v>15</v>
      </c>
      <c r="E261" t="s">
        <v>15</v>
      </c>
      <c r="F261" t="s">
        <v>16</v>
      </c>
      <c r="G261" t="s">
        <v>19</v>
      </c>
      <c r="H261" t="s">
        <v>22</v>
      </c>
      <c r="I261">
        <v>77.08</v>
      </c>
      <c r="J261">
        <v>35</v>
      </c>
      <c r="K261" t="s">
        <v>27</v>
      </c>
      <c r="L261" t="s">
        <v>15</v>
      </c>
    </row>
    <row r="262" spans="1:12" x14ac:dyDescent="0.3">
      <c r="A262">
        <v>64908</v>
      </c>
      <c r="B262" t="s">
        <v>12</v>
      </c>
      <c r="C262">
        <v>79</v>
      </c>
      <c r="D262" t="s">
        <v>15</v>
      </c>
      <c r="E262" t="s">
        <v>16</v>
      </c>
      <c r="F262" t="s">
        <v>16</v>
      </c>
      <c r="G262" t="s">
        <v>17</v>
      </c>
      <c r="H262" t="s">
        <v>22</v>
      </c>
      <c r="I262">
        <v>57.08</v>
      </c>
      <c r="J262">
        <v>22</v>
      </c>
      <c r="K262" t="s">
        <v>24</v>
      </c>
      <c r="L262" t="s">
        <v>15</v>
      </c>
    </row>
    <row r="263" spans="1:12" x14ac:dyDescent="0.3">
      <c r="A263">
        <v>63884</v>
      </c>
      <c r="B263" t="s">
        <v>13</v>
      </c>
      <c r="C263">
        <v>37</v>
      </c>
      <c r="D263" t="s">
        <v>15</v>
      </c>
      <c r="E263" t="s">
        <v>15</v>
      </c>
      <c r="F263" t="s">
        <v>16</v>
      </c>
      <c r="G263" t="s">
        <v>17</v>
      </c>
      <c r="H263" t="s">
        <v>23</v>
      </c>
      <c r="I263">
        <v>162.96</v>
      </c>
      <c r="J263">
        <v>39.4</v>
      </c>
      <c r="K263" t="s">
        <v>25</v>
      </c>
      <c r="L263" t="s">
        <v>15</v>
      </c>
    </row>
    <row r="264" spans="1:12" x14ac:dyDescent="0.3">
      <c r="A264">
        <v>37893</v>
      </c>
      <c r="B264" t="s">
        <v>13</v>
      </c>
      <c r="C264">
        <v>37</v>
      </c>
      <c r="D264" t="s">
        <v>15</v>
      </c>
      <c r="E264" t="s">
        <v>15</v>
      </c>
      <c r="F264" t="s">
        <v>16</v>
      </c>
      <c r="G264" t="s">
        <v>17</v>
      </c>
      <c r="H264" t="s">
        <v>23</v>
      </c>
      <c r="I264">
        <v>73.5</v>
      </c>
      <c r="J264">
        <v>26.1</v>
      </c>
      <c r="K264" t="s">
        <v>24</v>
      </c>
      <c r="L264" t="s">
        <v>15</v>
      </c>
    </row>
    <row r="265" spans="1:12" x14ac:dyDescent="0.3">
      <c r="A265">
        <v>67855</v>
      </c>
      <c r="B265" t="s">
        <v>13</v>
      </c>
      <c r="C265">
        <v>40</v>
      </c>
      <c r="D265" t="s">
        <v>15</v>
      </c>
      <c r="E265" t="s">
        <v>15</v>
      </c>
      <c r="F265" t="s">
        <v>16</v>
      </c>
      <c r="G265" t="s">
        <v>17</v>
      </c>
      <c r="H265" t="s">
        <v>23</v>
      </c>
      <c r="I265">
        <v>95.04</v>
      </c>
      <c r="J265">
        <v>42.4</v>
      </c>
      <c r="K265" t="s">
        <v>25</v>
      </c>
      <c r="L265" t="s">
        <v>15</v>
      </c>
    </row>
    <row r="266" spans="1:12" x14ac:dyDescent="0.3">
      <c r="A266">
        <v>25774</v>
      </c>
      <c r="B266" t="s">
        <v>12</v>
      </c>
      <c r="C266">
        <v>35</v>
      </c>
      <c r="D266" t="s">
        <v>15</v>
      </c>
      <c r="E266" t="s">
        <v>15</v>
      </c>
      <c r="F266" t="s">
        <v>15</v>
      </c>
      <c r="G266" t="s">
        <v>17</v>
      </c>
      <c r="H266" t="s">
        <v>23</v>
      </c>
      <c r="I266">
        <v>85.37</v>
      </c>
      <c r="J266">
        <v>33</v>
      </c>
      <c r="K266" t="s">
        <v>25</v>
      </c>
      <c r="L266" t="s">
        <v>15</v>
      </c>
    </row>
    <row r="267" spans="1:12" x14ac:dyDescent="0.3">
      <c r="A267">
        <v>19584</v>
      </c>
      <c r="B267" t="s">
        <v>13</v>
      </c>
      <c r="C267">
        <v>20</v>
      </c>
      <c r="D267" t="s">
        <v>15</v>
      </c>
      <c r="E267" t="s">
        <v>15</v>
      </c>
      <c r="F267" t="s">
        <v>15</v>
      </c>
      <c r="G267" t="s">
        <v>17</v>
      </c>
      <c r="H267" t="s">
        <v>22</v>
      </c>
      <c r="I267">
        <v>84.62</v>
      </c>
      <c r="J267">
        <v>19.7</v>
      </c>
      <c r="K267" t="s">
        <v>26</v>
      </c>
      <c r="L267" t="s">
        <v>15</v>
      </c>
    </row>
    <row r="268" spans="1:12" x14ac:dyDescent="0.3">
      <c r="A268">
        <v>24447</v>
      </c>
      <c r="B268" t="s">
        <v>13</v>
      </c>
      <c r="C268">
        <v>42</v>
      </c>
      <c r="D268" t="s">
        <v>15</v>
      </c>
      <c r="E268" t="s">
        <v>15</v>
      </c>
      <c r="F268" t="s">
        <v>16</v>
      </c>
      <c r="G268" t="s">
        <v>17</v>
      </c>
      <c r="H268" t="s">
        <v>23</v>
      </c>
      <c r="I268">
        <v>82.67</v>
      </c>
      <c r="J268">
        <v>22.5</v>
      </c>
      <c r="K268" t="s">
        <v>25</v>
      </c>
      <c r="L268" t="s">
        <v>15</v>
      </c>
    </row>
    <row r="269" spans="1:12" x14ac:dyDescent="0.3">
      <c r="A269">
        <v>49589</v>
      </c>
      <c r="B269" t="s">
        <v>13</v>
      </c>
      <c r="C269">
        <v>44</v>
      </c>
      <c r="D269" t="s">
        <v>15</v>
      </c>
      <c r="E269" t="s">
        <v>15</v>
      </c>
      <c r="F269" t="s">
        <v>16</v>
      </c>
      <c r="G269" t="s">
        <v>19</v>
      </c>
      <c r="H269" t="s">
        <v>22</v>
      </c>
      <c r="I269">
        <v>57.33</v>
      </c>
      <c r="J269">
        <v>24.6</v>
      </c>
      <c r="K269" t="s">
        <v>26</v>
      </c>
      <c r="L269" t="s">
        <v>15</v>
      </c>
    </row>
    <row r="270" spans="1:12" x14ac:dyDescent="0.3">
      <c r="A270">
        <v>17986</v>
      </c>
      <c r="B270" t="s">
        <v>13</v>
      </c>
      <c r="C270">
        <v>79</v>
      </c>
      <c r="D270" t="s">
        <v>15</v>
      </c>
      <c r="E270" t="s">
        <v>16</v>
      </c>
      <c r="F270" t="s">
        <v>16</v>
      </c>
      <c r="G270" t="s">
        <v>18</v>
      </c>
      <c r="H270" t="s">
        <v>22</v>
      </c>
      <c r="I270">
        <v>67.84</v>
      </c>
      <c r="J270">
        <v>25.2</v>
      </c>
      <c r="K270" t="s">
        <v>26</v>
      </c>
      <c r="L270" t="s">
        <v>15</v>
      </c>
    </row>
    <row r="271" spans="1:12" x14ac:dyDescent="0.3">
      <c r="A271">
        <v>29217</v>
      </c>
      <c r="B271" t="s">
        <v>13</v>
      </c>
      <c r="C271">
        <v>65</v>
      </c>
      <c r="D271" t="s">
        <v>16</v>
      </c>
      <c r="E271" t="s">
        <v>15</v>
      </c>
      <c r="F271" t="s">
        <v>16</v>
      </c>
      <c r="G271" t="s">
        <v>17</v>
      </c>
      <c r="H271" t="s">
        <v>23</v>
      </c>
      <c r="I271">
        <v>75.7</v>
      </c>
      <c r="J271">
        <v>41.8</v>
      </c>
      <c r="K271" t="s">
        <v>27</v>
      </c>
      <c r="L271" t="s">
        <v>15</v>
      </c>
    </row>
    <row r="272" spans="1:12" x14ac:dyDescent="0.3">
      <c r="A272">
        <v>72911</v>
      </c>
      <c r="B272" t="s">
        <v>13</v>
      </c>
      <c r="C272">
        <v>57</v>
      </c>
      <c r="D272" t="s">
        <v>16</v>
      </c>
      <c r="E272" t="s">
        <v>15</v>
      </c>
      <c r="F272" t="s">
        <v>16</v>
      </c>
      <c r="G272" t="s">
        <v>17</v>
      </c>
      <c r="H272" t="s">
        <v>23</v>
      </c>
      <c r="I272">
        <v>129.54</v>
      </c>
      <c r="J272">
        <v>60.9</v>
      </c>
      <c r="K272" t="s">
        <v>26</v>
      </c>
      <c r="L272" t="s">
        <v>15</v>
      </c>
    </row>
    <row r="273" spans="1:12" x14ac:dyDescent="0.3">
      <c r="A273">
        <v>47175</v>
      </c>
      <c r="B273" t="s">
        <v>13</v>
      </c>
      <c r="C273">
        <v>49</v>
      </c>
      <c r="D273" t="s">
        <v>15</v>
      </c>
      <c r="E273" t="s">
        <v>15</v>
      </c>
      <c r="F273" t="s">
        <v>16</v>
      </c>
      <c r="G273" t="s">
        <v>17</v>
      </c>
      <c r="H273" t="s">
        <v>23</v>
      </c>
      <c r="I273">
        <v>60.22</v>
      </c>
      <c r="J273">
        <v>31.5</v>
      </c>
      <c r="K273" t="s">
        <v>26</v>
      </c>
      <c r="L273" t="s">
        <v>15</v>
      </c>
    </row>
    <row r="274" spans="1:12" x14ac:dyDescent="0.3">
      <c r="A274">
        <v>4057</v>
      </c>
      <c r="B274" t="s">
        <v>12</v>
      </c>
      <c r="C274">
        <v>71</v>
      </c>
      <c r="D274" t="s">
        <v>15</v>
      </c>
      <c r="E274" t="s">
        <v>15</v>
      </c>
      <c r="F274" t="s">
        <v>16</v>
      </c>
      <c r="G274" t="s">
        <v>17</v>
      </c>
      <c r="H274" t="s">
        <v>22</v>
      </c>
      <c r="I274">
        <v>198.21</v>
      </c>
      <c r="J274">
        <v>27.3</v>
      </c>
      <c r="K274" t="s">
        <v>24</v>
      </c>
      <c r="L274" t="s">
        <v>15</v>
      </c>
    </row>
    <row r="275" spans="1:12" x14ac:dyDescent="0.3">
      <c r="A275">
        <v>48588</v>
      </c>
      <c r="B275" t="s">
        <v>13</v>
      </c>
      <c r="C275">
        <v>59</v>
      </c>
      <c r="D275" t="s">
        <v>15</v>
      </c>
      <c r="E275" t="s">
        <v>15</v>
      </c>
      <c r="F275" t="s">
        <v>16</v>
      </c>
      <c r="G275" t="s">
        <v>17</v>
      </c>
      <c r="H275" t="s">
        <v>22</v>
      </c>
      <c r="I275">
        <v>109.82</v>
      </c>
      <c r="J275">
        <v>23.7</v>
      </c>
      <c r="K275" t="s">
        <v>25</v>
      </c>
      <c r="L275" t="s">
        <v>15</v>
      </c>
    </row>
    <row r="276" spans="1:12" x14ac:dyDescent="0.3">
      <c r="A276">
        <v>70336</v>
      </c>
      <c r="B276" t="s">
        <v>13</v>
      </c>
      <c r="C276">
        <v>25</v>
      </c>
      <c r="D276" t="s">
        <v>15</v>
      </c>
      <c r="E276" t="s">
        <v>15</v>
      </c>
      <c r="F276" t="s">
        <v>16</v>
      </c>
      <c r="G276" t="s">
        <v>17</v>
      </c>
      <c r="H276" t="s">
        <v>22</v>
      </c>
      <c r="I276">
        <v>60.84</v>
      </c>
      <c r="J276">
        <v>24.5</v>
      </c>
      <c r="K276" t="s">
        <v>25</v>
      </c>
      <c r="L276" t="s">
        <v>15</v>
      </c>
    </row>
    <row r="277" spans="1:12" x14ac:dyDescent="0.3">
      <c r="A277">
        <v>66767</v>
      </c>
      <c r="B277" t="s">
        <v>13</v>
      </c>
      <c r="C277">
        <v>67</v>
      </c>
      <c r="D277" t="s">
        <v>15</v>
      </c>
      <c r="E277" t="s">
        <v>15</v>
      </c>
      <c r="F277" t="s">
        <v>16</v>
      </c>
      <c r="G277" t="s">
        <v>19</v>
      </c>
      <c r="H277" t="s">
        <v>23</v>
      </c>
      <c r="I277">
        <v>94.61</v>
      </c>
      <c r="J277">
        <v>28.4</v>
      </c>
      <c r="K277" t="s">
        <v>26</v>
      </c>
      <c r="L277" t="s">
        <v>15</v>
      </c>
    </row>
    <row r="278" spans="1:12" x14ac:dyDescent="0.3">
      <c r="A278">
        <v>45801</v>
      </c>
      <c r="B278" t="s">
        <v>13</v>
      </c>
      <c r="C278">
        <v>38</v>
      </c>
      <c r="D278" t="s">
        <v>15</v>
      </c>
      <c r="E278" t="s">
        <v>15</v>
      </c>
      <c r="F278" t="s">
        <v>15</v>
      </c>
      <c r="G278" t="s">
        <v>17</v>
      </c>
      <c r="H278" t="s">
        <v>23</v>
      </c>
      <c r="I278">
        <v>97.49</v>
      </c>
      <c r="J278">
        <v>26.9</v>
      </c>
      <c r="K278" t="s">
        <v>25</v>
      </c>
      <c r="L278" t="s">
        <v>15</v>
      </c>
    </row>
    <row r="279" spans="1:12" x14ac:dyDescent="0.3">
      <c r="A279">
        <v>36275</v>
      </c>
      <c r="B279" t="s">
        <v>13</v>
      </c>
      <c r="C279">
        <v>54</v>
      </c>
      <c r="D279" t="s">
        <v>15</v>
      </c>
      <c r="E279" t="s">
        <v>15</v>
      </c>
      <c r="F279" t="s">
        <v>16</v>
      </c>
      <c r="G279" t="s">
        <v>17</v>
      </c>
      <c r="H279" t="s">
        <v>23</v>
      </c>
      <c r="I279">
        <v>206.72</v>
      </c>
      <c r="J279">
        <v>26.7</v>
      </c>
      <c r="K279" t="s">
        <v>25</v>
      </c>
      <c r="L279" t="s">
        <v>15</v>
      </c>
    </row>
    <row r="280" spans="1:12" x14ac:dyDescent="0.3">
      <c r="A280">
        <v>11577</v>
      </c>
      <c r="B280" t="s">
        <v>13</v>
      </c>
      <c r="C280">
        <v>70</v>
      </c>
      <c r="D280" t="s">
        <v>15</v>
      </c>
      <c r="E280" t="s">
        <v>15</v>
      </c>
      <c r="F280" t="s">
        <v>16</v>
      </c>
      <c r="G280" t="s">
        <v>18</v>
      </c>
      <c r="H280" t="s">
        <v>23</v>
      </c>
      <c r="I280">
        <v>214.45</v>
      </c>
      <c r="J280">
        <v>31.2</v>
      </c>
      <c r="K280" t="s">
        <v>25</v>
      </c>
      <c r="L280" t="s">
        <v>15</v>
      </c>
    </row>
    <row r="281" spans="1:12" x14ac:dyDescent="0.3">
      <c r="A281">
        <v>67210</v>
      </c>
      <c r="B281" t="s">
        <v>12</v>
      </c>
      <c r="C281">
        <v>27</v>
      </c>
      <c r="D281" t="s">
        <v>15</v>
      </c>
      <c r="E281" t="s">
        <v>15</v>
      </c>
      <c r="F281" t="s">
        <v>16</v>
      </c>
      <c r="G281" t="s">
        <v>18</v>
      </c>
      <c r="H281" t="s">
        <v>22</v>
      </c>
      <c r="I281">
        <v>82.9</v>
      </c>
      <c r="J281">
        <v>25</v>
      </c>
      <c r="K281" t="s">
        <v>27</v>
      </c>
      <c r="L281" t="s">
        <v>15</v>
      </c>
    </row>
    <row r="282" spans="1:12" x14ac:dyDescent="0.3">
      <c r="A282">
        <v>29908</v>
      </c>
      <c r="B282" t="s">
        <v>13</v>
      </c>
      <c r="C282">
        <v>47</v>
      </c>
      <c r="D282" t="s">
        <v>15</v>
      </c>
      <c r="E282" t="s">
        <v>15</v>
      </c>
      <c r="F282" t="s">
        <v>16</v>
      </c>
      <c r="G282" t="s">
        <v>17</v>
      </c>
      <c r="H282" t="s">
        <v>22</v>
      </c>
      <c r="I282">
        <v>103.26</v>
      </c>
      <c r="J282">
        <v>25.4</v>
      </c>
      <c r="K282" t="s">
        <v>27</v>
      </c>
      <c r="L282" t="s">
        <v>15</v>
      </c>
    </row>
    <row r="283" spans="1:12" x14ac:dyDescent="0.3">
      <c r="A283">
        <v>45222</v>
      </c>
      <c r="B283" t="s">
        <v>12</v>
      </c>
      <c r="C283">
        <v>58</v>
      </c>
      <c r="D283" t="s">
        <v>16</v>
      </c>
      <c r="E283" t="s">
        <v>15</v>
      </c>
      <c r="F283" t="s">
        <v>15</v>
      </c>
      <c r="G283" t="s">
        <v>17</v>
      </c>
      <c r="H283" t="s">
        <v>22</v>
      </c>
      <c r="I283">
        <v>55.78</v>
      </c>
      <c r="J283">
        <v>27.5</v>
      </c>
      <c r="K283" t="s">
        <v>26</v>
      </c>
      <c r="L283" t="s">
        <v>15</v>
      </c>
    </row>
    <row r="284" spans="1:12" x14ac:dyDescent="0.3">
      <c r="A284">
        <v>33759</v>
      </c>
      <c r="B284" t="s">
        <v>13</v>
      </c>
      <c r="C284">
        <v>3</v>
      </c>
      <c r="D284" t="s">
        <v>15</v>
      </c>
      <c r="E284" t="s">
        <v>15</v>
      </c>
      <c r="F284" t="s">
        <v>15</v>
      </c>
      <c r="G284" t="s">
        <v>20</v>
      </c>
      <c r="H284" t="s">
        <v>22</v>
      </c>
      <c r="I284">
        <v>73.739999999999995</v>
      </c>
      <c r="J284">
        <v>16</v>
      </c>
      <c r="K284" t="s">
        <v>27</v>
      </c>
      <c r="L284" t="s">
        <v>15</v>
      </c>
    </row>
    <row r="285" spans="1:12" x14ac:dyDescent="0.3">
      <c r="A285">
        <v>40311</v>
      </c>
      <c r="B285" t="s">
        <v>13</v>
      </c>
      <c r="C285">
        <v>58</v>
      </c>
      <c r="D285" t="s">
        <v>15</v>
      </c>
      <c r="E285" t="s">
        <v>15</v>
      </c>
      <c r="F285" t="s">
        <v>16</v>
      </c>
      <c r="G285" t="s">
        <v>17</v>
      </c>
      <c r="H285" t="s">
        <v>22</v>
      </c>
      <c r="I285">
        <v>149.75</v>
      </c>
      <c r="J285">
        <v>27</v>
      </c>
      <c r="K285" t="s">
        <v>27</v>
      </c>
      <c r="L285" t="s">
        <v>15</v>
      </c>
    </row>
    <row r="286" spans="1:12" x14ac:dyDescent="0.3">
      <c r="A286">
        <v>26325</v>
      </c>
      <c r="B286" t="s">
        <v>12</v>
      </c>
      <c r="C286">
        <v>14</v>
      </c>
      <c r="D286" t="s">
        <v>15</v>
      </c>
      <c r="E286" t="s">
        <v>15</v>
      </c>
      <c r="F286" t="s">
        <v>15</v>
      </c>
      <c r="G286" t="s">
        <v>19</v>
      </c>
      <c r="H286" t="s">
        <v>22</v>
      </c>
      <c r="I286">
        <v>82.34</v>
      </c>
      <c r="J286">
        <v>31.6</v>
      </c>
      <c r="K286" t="s">
        <v>27</v>
      </c>
      <c r="L286" t="s">
        <v>15</v>
      </c>
    </row>
    <row r="287" spans="1:12" x14ac:dyDescent="0.3">
      <c r="A287">
        <v>65460</v>
      </c>
      <c r="B287" t="s">
        <v>13</v>
      </c>
      <c r="C287">
        <v>32</v>
      </c>
      <c r="D287" t="s">
        <v>15</v>
      </c>
      <c r="E287" t="s">
        <v>15</v>
      </c>
      <c r="F287" t="s">
        <v>16</v>
      </c>
      <c r="G287" t="s">
        <v>17</v>
      </c>
      <c r="H287" t="s">
        <v>23</v>
      </c>
      <c r="I287">
        <v>62.6</v>
      </c>
      <c r="J287">
        <v>25.1</v>
      </c>
      <c r="K287" t="s">
        <v>24</v>
      </c>
      <c r="L287" t="s">
        <v>15</v>
      </c>
    </row>
    <row r="288" spans="1:12" x14ac:dyDescent="0.3">
      <c r="A288">
        <v>36811</v>
      </c>
      <c r="B288" t="s">
        <v>13</v>
      </c>
      <c r="C288">
        <v>23</v>
      </c>
      <c r="D288" t="s">
        <v>15</v>
      </c>
      <c r="E288" t="s">
        <v>15</v>
      </c>
      <c r="F288" t="s">
        <v>15</v>
      </c>
      <c r="G288" t="s">
        <v>17</v>
      </c>
      <c r="H288" t="s">
        <v>22</v>
      </c>
      <c r="I288">
        <v>94.09</v>
      </c>
      <c r="J288">
        <v>30.9</v>
      </c>
      <c r="K288" t="s">
        <v>25</v>
      </c>
      <c r="L288" t="s">
        <v>15</v>
      </c>
    </row>
    <row r="289" spans="1:12" x14ac:dyDescent="0.3">
      <c r="A289">
        <v>71750</v>
      </c>
      <c r="B289" t="s">
        <v>13</v>
      </c>
      <c r="C289">
        <v>55</v>
      </c>
      <c r="D289" t="s">
        <v>15</v>
      </c>
      <c r="E289" t="s">
        <v>15</v>
      </c>
      <c r="F289" t="s">
        <v>16</v>
      </c>
      <c r="G289" t="s">
        <v>17</v>
      </c>
      <c r="H289" t="s">
        <v>22</v>
      </c>
      <c r="I289">
        <v>55.42</v>
      </c>
      <c r="J289">
        <v>24.8</v>
      </c>
      <c r="K289" t="s">
        <v>27</v>
      </c>
      <c r="L289" t="s">
        <v>15</v>
      </c>
    </row>
    <row r="290" spans="1:12" x14ac:dyDescent="0.3">
      <c r="A290">
        <v>70970</v>
      </c>
      <c r="B290" t="s">
        <v>13</v>
      </c>
      <c r="C290">
        <v>17</v>
      </c>
      <c r="D290" t="s">
        <v>15</v>
      </c>
      <c r="E290" t="s">
        <v>15</v>
      </c>
      <c r="F290" t="s">
        <v>15</v>
      </c>
      <c r="G290" t="s">
        <v>18</v>
      </c>
      <c r="H290" t="s">
        <v>22</v>
      </c>
      <c r="I290">
        <v>82.18</v>
      </c>
      <c r="J290">
        <v>23.4</v>
      </c>
      <c r="K290" t="s">
        <v>27</v>
      </c>
      <c r="L290" t="s">
        <v>15</v>
      </c>
    </row>
    <row r="291" spans="1:12" x14ac:dyDescent="0.3">
      <c r="A291">
        <v>42203</v>
      </c>
      <c r="B291" t="s">
        <v>12</v>
      </c>
      <c r="C291">
        <v>59</v>
      </c>
      <c r="D291" t="s">
        <v>15</v>
      </c>
      <c r="E291" t="s">
        <v>15</v>
      </c>
      <c r="F291" t="s">
        <v>16</v>
      </c>
      <c r="G291" t="s">
        <v>17</v>
      </c>
      <c r="H291" t="s">
        <v>22</v>
      </c>
      <c r="I291">
        <v>117.92</v>
      </c>
      <c r="J291">
        <v>29.4</v>
      </c>
      <c r="K291" t="s">
        <v>26</v>
      </c>
      <c r="L291" t="s">
        <v>15</v>
      </c>
    </row>
    <row r="292" spans="1:12" x14ac:dyDescent="0.3">
      <c r="A292">
        <v>55680</v>
      </c>
      <c r="B292" t="s">
        <v>12</v>
      </c>
      <c r="C292">
        <v>13</v>
      </c>
      <c r="D292" t="s">
        <v>15</v>
      </c>
      <c r="E292" t="s">
        <v>15</v>
      </c>
      <c r="F292" t="s">
        <v>15</v>
      </c>
      <c r="G292" t="s">
        <v>20</v>
      </c>
      <c r="H292" t="s">
        <v>22</v>
      </c>
      <c r="I292">
        <v>114.84</v>
      </c>
      <c r="J292">
        <v>18.3</v>
      </c>
      <c r="K292" t="s">
        <v>27</v>
      </c>
      <c r="L292" t="s">
        <v>15</v>
      </c>
    </row>
    <row r="293" spans="1:12" x14ac:dyDescent="0.3">
      <c r="A293">
        <v>11014</v>
      </c>
      <c r="B293" t="s">
        <v>12</v>
      </c>
      <c r="C293">
        <v>4</v>
      </c>
      <c r="D293" t="s">
        <v>15</v>
      </c>
      <c r="E293" t="s">
        <v>15</v>
      </c>
      <c r="F293" t="s">
        <v>15</v>
      </c>
      <c r="G293" t="s">
        <v>20</v>
      </c>
      <c r="H293" t="s">
        <v>23</v>
      </c>
      <c r="I293">
        <v>79.17</v>
      </c>
      <c r="J293">
        <v>20</v>
      </c>
      <c r="K293" t="s">
        <v>27</v>
      </c>
      <c r="L293" t="s">
        <v>15</v>
      </c>
    </row>
    <row r="294" spans="1:12" x14ac:dyDescent="0.3">
      <c r="A294">
        <v>44338</v>
      </c>
      <c r="B294" t="s">
        <v>13</v>
      </c>
      <c r="C294">
        <v>16</v>
      </c>
      <c r="D294" t="s">
        <v>15</v>
      </c>
      <c r="E294" t="s">
        <v>15</v>
      </c>
      <c r="F294" t="s">
        <v>15</v>
      </c>
      <c r="G294" t="s">
        <v>20</v>
      </c>
      <c r="H294" t="s">
        <v>23</v>
      </c>
      <c r="I294">
        <v>110.63</v>
      </c>
      <c r="J294">
        <v>19.5</v>
      </c>
      <c r="K294" t="s">
        <v>27</v>
      </c>
      <c r="L294" t="s">
        <v>15</v>
      </c>
    </row>
    <row r="295" spans="1:12" x14ac:dyDescent="0.3">
      <c r="A295">
        <v>20980</v>
      </c>
      <c r="B295" t="s">
        <v>12</v>
      </c>
      <c r="C295">
        <v>67</v>
      </c>
      <c r="D295" t="s">
        <v>15</v>
      </c>
      <c r="E295" t="s">
        <v>15</v>
      </c>
      <c r="F295" t="s">
        <v>16</v>
      </c>
      <c r="G295" t="s">
        <v>17</v>
      </c>
      <c r="H295" t="s">
        <v>22</v>
      </c>
      <c r="I295">
        <v>190.7</v>
      </c>
      <c r="J295">
        <v>36</v>
      </c>
      <c r="K295" t="s">
        <v>24</v>
      </c>
      <c r="L295" t="s">
        <v>15</v>
      </c>
    </row>
    <row r="296" spans="1:12" x14ac:dyDescent="0.3">
      <c r="A296">
        <v>34974</v>
      </c>
      <c r="B296" t="s">
        <v>13</v>
      </c>
      <c r="C296">
        <v>22</v>
      </c>
      <c r="D296" t="s">
        <v>15</v>
      </c>
      <c r="E296" t="s">
        <v>15</v>
      </c>
      <c r="F296" t="s">
        <v>15</v>
      </c>
      <c r="G296" t="s">
        <v>17</v>
      </c>
      <c r="H296" t="s">
        <v>23</v>
      </c>
      <c r="I296">
        <v>79.81</v>
      </c>
      <c r="J296">
        <v>27.7</v>
      </c>
      <c r="K296" t="s">
        <v>27</v>
      </c>
      <c r="L296" t="s">
        <v>15</v>
      </c>
    </row>
    <row r="297" spans="1:12" x14ac:dyDescent="0.3">
      <c r="A297">
        <v>71379</v>
      </c>
      <c r="B297" t="s">
        <v>13</v>
      </c>
      <c r="C297">
        <v>45</v>
      </c>
      <c r="D297" t="s">
        <v>15</v>
      </c>
      <c r="E297" t="s">
        <v>15</v>
      </c>
      <c r="F297" t="s">
        <v>16</v>
      </c>
      <c r="G297" t="s">
        <v>19</v>
      </c>
      <c r="H297" t="s">
        <v>22</v>
      </c>
      <c r="I297">
        <v>113.63</v>
      </c>
      <c r="J297">
        <v>27.5</v>
      </c>
      <c r="K297" t="s">
        <v>26</v>
      </c>
      <c r="L297" t="s">
        <v>15</v>
      </c>
    </row>
    <row r="298" spans="1:12" x14ac:dyDescent="0.3">
      <c r="A298">
        <v>58261</v>
      </c>
      <c r="B298" t="s">
        <v>13</v>
      </c>
      <c r="C298">
        <v>66</v>
      </c>
      <c r="D298" t="s">
        <v>15</v>
      </c>
      <c r="E298" t="s">
        <v>15</v>
      </c>
      <c r="F298" t="s">
        <v>16</v>
      </c>
      <c r="G298" t="s">
        <v>17</v>
      </c>
      <c r="H298" t="s">
        <v>23</v>
      </c>
      <c r="I298">
        <v>141.24</v>
      </c>
      <c r="J298">
        <v>28.5</v>
      </c>
      <c r="K298" t="s">
        <v>25</v>
      </c>
      <c r="L298" t="s">
        <v>15</v>
      </c>
    </row>
    <row r="299" spans="1:12" x14ac:dyDescent="0.3">
      <c r="A299">
        <v>67318</v>
      </c>
      <c r="B299" t="s">
        <v>12</v>
      </c>
      <c r="C299">
        <v>58</v>
      </c>
      <c r="D299" t="s">
        <v>16</v>
      </c>
      <c r="E299" t="s">
        <v>15</v>
      </c>
      <c r="F299" t="s">
        <v>16</v>
      </c>
      <c r="G299" t="s">
        <v>19</v>
      </c>
      <c r="H299" t="s">
        <v>23</v>
      </c>
      <c r="I299">
        <v>56.96</v>
      </c>
      <c r="J299">
        <v>26.8</v>
      </c>
      <c r="K299" t="s">
        <v>26</v>
      </c>
      <c r="L299" t="s">
        <v>15</v>
      </c>
    </row>
    <row r="300" spans="1:12" x14ac:dyDescent="0.3">
      <c r="A300">
        <v>28526</v>
      </c>
      <c r="B300" t="s">
        <v>12</v>
      </c>
      <c r="C300">
        <v>69</v>
      </c>
      <c r="D300" t="s">
        <v>15</v>
      </c>
      <c r="E300" t="s">
        <v>15</v>
      </c>
      <c r="F300" t="s">
        <v>16</v>
      </c>
      <c r="G300" t="s">
        <v>18</v>
      </c>
      <c r="H300" t="s">
        <v>23</v>
      </c>
      <c r="I300">
        <v>203.04</v>
      </c>
      <c r="J300">
        <v>33.6</v>
      </c>
      <c r="K300" t="s">
        <v>25</v>
      </c>
      <c r="L300" t="s">
        <v>15</v>
      </c>
    </row>
    <row r="301" spans="1:12" x14ac:dyDescent="0.3">
      <c r="A301">
        <v>8831</v>
      </c>
      <c r="B301" t="s">
        <v>13</v>
      </c>
      <c r="C301">
        <v>58</v>
      </c>
      <c r="D301" t="s">
        <v>15</v>
      </c>
      <c r="E301" t="s">
        <v>15</v>
      </c>
      <c r="F301" t="s">
        <v>16</v>
      </c>
      <c r="G301" t="s">
        <v>17</v>
      </c>
      <c r="H301" t="s">
        <v>23</v>
      </c>
      <c r="I301">
        <v>94.3</v>
      </c>
      <c r="J301">
        <v>29.1</v>
      </c>
      <c r="K301" t="s">
        <v>27</v>
      </c>
      <c r="L301" t="s">
        <v>15</v>
      </c>
    </row>
    <row r="302" spans="1:12" x14ac:dyDescent="0.3">
      <c r="A302">
        <v>65199</v>
      </c>
      <c r="B302" t="s">
        <v>13</v>
      </c>
      <c r="C302">
        <v>53</v>
      </c>
      <c r="D302" t="s">
        <v>15</v>
      </c>
      <c r="E302" t="s">
        <v>15</v>
      </c>
      <c r="F302" t="s">
        <v>16</v>
      </c>
      <c r="G302" t="s">
        <v>18</v>
      </c>
      <c r="H302" t="s">
        <v>22</v>
      </c>
      <c r="I302">
        <v>81.510000000000005</v>
      </c>
      <c r="J302">
        <v>28.5</v>
      </c>
      <c r="K302" t="s">
        <v>27</v>
      </c>
      <c r="L302" t="s">
        <v>15</v>
      </c>
    </row>
    <row r="303" spans="1:12" x14ac:dyDescent="0.3">
      <c r="A303">
        <v>43454</v>
      </c>
      <c r="B303" t="s">
        <v>13</v>
      </c>
      <c r="C303">
        <v>78</v>
      </c>
      <c r="D303" t="s">
        <v>15</v>
      </c>
      <c r="E303" t="s">
        <v>15</v>
      </c>
      <c r="F303" t="s">
        <v>15</v>
      </c>
      <c r="G303" t="s">
        <v>18</v>
      </c>
      <c r="H303" t="s">
        <v>22</v>
      </c>
      <c r="I303">
        <v>137.74</v>
      </c>
      <c r="J303">
        <v>34.9</v>
      </c>
      <c r="K303" t="s">
        <v>24</v>
      </c>
      <c r="L303" t="s">
        <v>15</v>
      </c>
    </row>
    <row r="304" spans="1:12" x14ac:dyDescent="0.3">
      <c r="A304">
        <v>7282</v>
      </c>
      <c r="B304" t="s">
        <v>12</v>
      </c>
      <c r="C304">
        <v>44</v>
      </c>
      <c r="D304" t="s">
        <v>15</v>
      </c>
      <c r="E304" t="s">
        <v>15</v>
      </c>
      <c r="F304" t="s">
        <v>16</v>
      </c>
      <c r="G304" t="s">
        <v>17</v>
      </c>
      <c r="H304" t="s">
        <v>23</v>
      </c>
      <c r="I304">
        <v>81.84</v>
      </c>
      <c r="J304">
        <v>25.1</v>
      </c>
      <c r="K304" t="s">
        <v>25</v>
      </c>
      <c r="L304" t="s">
        <v>15</v>
      </c>
    </row>
    <row r="305" spans="1:12" x14ac:dyDescent="0.3">
      <c r="A305">
        <v>18518</v>
      </c>
      <c r="B305" t="s">
        <v>12</v>
      </c>
      <c r="C305">
        <v>66</v>
      </c>
      <c r="D305" t="s">
        <v>15</v>
      </c>
      <c r="E305" t="s">
        <v>15</v>
      </c>
      <c r="F305" t="s">
        <v>16</v>
      </c>
      <c r="G305" t="s">
        <v>17</v>
      </c>
      <c r="H305" t="s">
        <v>23</v>
      </c>
      <c r="I305">
        <v>242.3</v>
      </c>
      <c r="J305">
        <v>35.299999999999997</v>
      </c>
      <c r="K305" t="s">
        <v>26</v>
      </c>
      <c r="L305" t="s">
        <v>15</v>
      </c>
    </row>
    <row r="306" spans="1:12" x14ac:dyDescent="0.3">
      <c r="A306">
        <v>41648</v>
      </c>
      <c r="B306" t="s">
        <v>12</v>
      </c>
      <c r="C306">
        <v>27</v>
      </c>
      <c r="D306" t="s">
        <v>15</v>
      </c>
      <c r="E306" t="s">
        <v>15</v>
      </c>
      <c r="F306" t="s">
        <v>16</v>
      </c>
      <c r="G306" t="s">
        <v>17</v>
      </c>
      <c r="H306" t="s">
        <v>23</v>
      </c>
      <c r="I306">
        <v>102.64</v>
      </c>
      <c r="J306">
        <v>26.4</v>
      </c>
      <c r="K306" t="s">
        <v>26</v>
      </c>
      <c r="L306" t="s">
        <v>15</v>
      </c>
    </row>
    <row r="307" spans="1:12" x14ac:dyDescent="0.3">
      <c r="A307">
        <v>49003</v>
      </c>
      <c r="B307" t="s">
        <v>12</v>
      </c>
      <c r="C307">
        <v>43</v>
      </c>
      <c r="D307" t="s">
        <v>15</v>
      </c>
      <c r="E307" t="s">
        <v>15</v>
      </c>
      <c r="F307" t="s">
        <v>16</v>
      </c>
      <c r="G307" t="s">
        <v>17</v>
      </c>
      <c r="H307" t="s">
        <v>22</v>
      </c>
      <c r="I307">
        <v>146.01</v>
      </c>
      <c r="J307">
        <v>31.5</v>
      </c>
      <c r="K307" t="s">
        <v>26</v>
      </c>
      <c r="L307" t="s">
        <v>15</v>
      </c>
    </row>
    <row r="308" spans="1:12" x14ac:dyDescent="0.3">
      <c r="A308">
        <v>16371</v>
      </c>
      <c r="B308" t="s">
        <v>13</v>
      </c>
      <c r="C308">
        <v>13</v>
      </c>
      <c r="D308" t="s">
        <v>15</v>
      </c>
      <c r="E308" t="s">
        <v>15</v>
      </c>
      <c r="F308" t="s">
        <v>15</v>
      </c>
      <c r="G308" t="s">
        <v>20</v>
      </c>
      <c r="H308" t="s">
        <v>22</v>
      </c>
      <c r="I308">
        <v>75.42</v>
      </c>
      <c r="J308">
        <v>40.1</v>
      </c>
      <c r="K308" t="s">
        <v>27</v>
      </c>
      <c r="L308" t="s">
        <v>15</v>
      </c>
    </row>
    <row r="309" spans="1:12" x14ac:dyDescent="0.3">
      <c r="A309">
        <v>42807</v>
      </c>
      <c r="B309" t="s">
        <v>12</v>
      </c>
      <c r="C309">
        <v>51</v>
      </c>
      <c r="D309" t="s">
        <v>15</v>
      </c>
      <c r="E309" t="s">
        <v>15</v>
      </c>
      <c r="F309" t="s">
        <v>16</v>
      </c>
      <c r="G309" t="s">
        <v>19</v>
      </c>
      <c r="H309" t="s">
        <v>22</v>
      </c>
      <c r="I309">
        <v>220.49</v>
      </c>
      <c r="J309">
        <v>43.1</v>
      </c>
      <c r="K309" t="s">
        <v>27</v>
      </c>
      <c r="L309" t="s">
        <v>15</v>
      </c>
    </row>
    <row r="310" spans="1:12" x14ac:dyDescent="0.3">
      <c r="A310">
        <v>40181</v>
      </c>
      <c r="B310" t="s">
        <v>13</v>
      </c>
      <c r="C310">
        <v>30</v>
      </c>
      <c r="D310" t="s">
        <v>15</v>
      </c>
      <c r="E310" t="s">
        <v>15</v>
      </c>
      <c r="F310" t="s">
        <v>16</v>
      </c>
      <c r="G310" t="s">
        <v>17</v>
      </c>
      <c r="H310" t="s">
        <v>22</v>
      </c>
      <c r="I310">
        <v>61.45</v>
      </c>
      <c r="J310">
        <v>36.700000000000003</v>
      </c>
      <c r="K310" t="s">
        <v>26</v>
      </c>
      <c r="L310" t="s">
        <v>15</v>
      </c>
    </row>
    <row r="311" spans="1:12" x14ac:dyDescent="0.3">
      <c r="A311">
        <v>66174</v>
      </c>
      <c r="B311" t="s">
        <v>12</v>
      </c>
      <c r="C311">
        <v>46</v>
      </c>
      <c r="D311" t="s">
        <v>15</v>
      </c>
      <c r="E311" t="s">
        <v>15</v>
      </c>
      <c r="F311" t="s">
        <v>16</v>
      </c>
      <c r="G311" t="s">
        <v>18</v>
      </c>
      <c r="H311" t="s">
        <v>23</v>
      </c>
      <c r="I311">
        <v>88.19</v>
      </c>
      <c r="J311">
        <v>29.3</v>
      </c>
      <c r="K311" t="s">
        <v>24</v>
      </c>
      <c r="L311" t="s">
        <v>15</v>
      </c>
    </row>
    <row r="312" spans="1:12" x14ac:dyDescent="0.3">
      <c r="A312">
        <v>45538</v>
      </c>
      <c r="B312" t="s">
        <v>13</v>
      </c>
      <c r="C312">
        <v>43</v>
      </c>
      <c r="D312" t="s">
        <v>15</v>
      </c>
      <c r="E312" t="s">
        <v>15</v>
      </c>
      <c r="F312" t="s">
        <v>16</v>
      </c>
      <c r="G312" t="s">
        <v>18</v>
      </c>
      <c r="H312" t="s">
        <v>23</v>
      </c>
      <c r="I312">
        <v>115.22</v>
      </c>
      <c r="J312">
        <v>21.2</v>
      </c>
      <c r="K312" t="s">
        <v>27</v>
      </c>
      <c r="L312" t="s">
        <v>15</v>
      </c>
    </row>
    <row r="313" spans="1:12" x14ac:dyDescent="0.3">
      <c r="A313">
        <v>6319</v>
      </c>
      <c r="B313" t="s">
        <v>13</v>
      </c>
      <c r="C313">
        <v>79</v>
      </c>
      <c r="D313" t="s">
        <v>15</v>
      </c>
      <c r="E313" t="s">
        <v>15</v>
      </c>
      <c r="F313" t="s">
        <v>16</v>
      </c>
      <c r="G313" t="s">
        <v>17</v>
      </c>
      <c r="H313" t="s">
        <v>22</v>
      </c>
      <c r="I313">
        <v>97.93</v>
      </c>
      <c r="J313">
        <v>31.2</v>
      </c>
      <c r="K313" t="s">
        <v>27</v>
      </c>
      <c r="L313" t="s">
        <v>15</v>
      </c>
    </row>
    <row r="314" spans="1:12" x14ac:dyDescent="0.3">
      <c r="A314">
        <v>68249</v>
      </c>
      <c r="B314" t="s">
        <v>13</v>
      </c>
      <c r="C314">
        <v>27</v>
      </c>
      <c r="D314" t="s">
        <v>15</v>
      </c>
      <c r="E314" t="s">
        <v>15</v>
      </c>
      <c r="F314" t="s">
        <v>16</v>
      </c>
      <c r="G314" t="s">
        <v>17</v>
      </c>
      <c r="H314" t="s">
        <v>23</v>
      </c>
      <c r="I314">
        <v>85.6</v>
      </c>
      <c r="J314">
        <v>21.4</v>
      </c>
      <c r="K314" t="s">
        <v>27</v>
      </c>
      <c r="L314" t="s">
        <v>15</v>
      </c>
    </row>
    <row r="315" spans="1:12" x14ac:dyDescent="0.3">
      <c r="A315">
        <v>55232</v>
      </c>
      <c r="B315" t="s">
        <v>13</v>
      </c>
      <c r="C315">
        <v>38</v>
      </c>
      <c r="D315" t="s">
        <v>15</v>
      </c>
      <c r="E315" t="s">
        <v>15</v>
      </c>
      <c r="F315" t="s">
        <v>16</v>
      </c>
      <c r="G315" t="s">
        <v>17</v>
      </c>
      <c r="H315" t="s">
        <v>23</v>
      </c>
      <c r="I315">
        <v>79.83</v>
      </c>
      <c r="J315">
        <v>27.9</v>
      </c>
      <c r="K315" t="s">
        <v>26</v>
      </c>
      <c r="L315" t="s">
        <v>15</v>
      </c>
    </row>
    <row r="316" spans="1:12" x14ac:dyDescent="0.3">
      <c r="A316">
        <v>11120</v>
      </c>
      <c r="B316" t="s">
        <v>13</v>
      </c>
      <c r="C316">
        <v>78</v>
      </c>
      <c r="D316" t="s">
        <v>16</v>
      </c>
      <c r="E316" t="s">
        <v>15</v>
      </c>
      <c r="F316" t="s">
        <v>16</v>
      </c>
      <c r="G316" t="s">
        <v>17</v>
      </c>
      <c r="H316" t="s">
        <v>22</v>
      </c>
      <c r="I316">
        <v>218.46</v>
      </c>
      <c r="J316">
        <v>34.299999999999997</v>
      </c>
      <c r="K316" t="s">
        <v>25</v>
      </c>
      <c r="L316" t="s">
        <v>15</v>
      </c>
    </row>
    <row r="317" spans="1:12" x14ac:dyDescent="0.3">
      <c r="A317">
        <v>41940</v>
      </c>
      <c r="B317" t="s">
        <v>12</v>
      </c>
      <c r="C317">
        <v>57</v>
      </c>
      <c r="D317" t="s">
        <v>15</v>
      </c>
      <c r="E317" t="s">
        <v>16</v>
      </c>
      <c r="F317" t="s">
        <v>16</v>
      </c>
      <c r="G317" t="s">
        <v>17</v>
      </c>
      <c r="H317" t="s">
        <v>23</v>
      </c>
      <c r="I317">
        <v>62.2</v>
      </c>
      <c r="J317">
        <v>31</v>
      </c>
      <c r="K317" t="s">
        <v>24</v>
      </c>
      <c r="L317" t="s">
        <v>15</v>
      </c>
    </row>
    <row r="318" spans="1:12" x14ac:dyDescent="0.3">
      <c r="A318">
        <v>72214</v>
      </c>
      <c r="B318" t="s">
        <v>12</v>
      </c>
      <c r="C318">
        <v>61</v>
      </c>
      <c r="D318" t="s">
        <v>15</v>
      </c>
      <c r="E318" t="s">
        <v>15</v>
      </c>
      <c r="F318" t="s">
        <v>16</v>
      </c>
      <c r="G318" t="s">
        <v>18</v>
      </c>
      <c r="H318" t="s">
        <v>22</v>
      </c>
      <c r="I318">
        <v>69.150000000000006</v>
      </c>
      <c r="J318">
        <v>27.7</v>
      </c>
      <c r="K318" t="s">
        <v>24</v>
      </c>
      <c r="L318" t="s">
        <v>15</v>
      </c>
    </row>
    <row r="319" spans="1:12" x14ac:dyDescent="0.3">
      <c r="A319">
        <v>37089</v>
      </c>
      <c r="B319" t="s">
        <v>13</v>
      </c>
      <c r="C319">
        <v>37</v>
      </c>
      <c r="D319" t="s">
        <v>16</v>
      </c>
      <c r="E319" t="s">
        <v>15</v>
      </c>
      <c r="F319" t="s">
        <v>16</v>
      </c>
      <c r="G319" t="s">
        <v>18</v>
      </c>
      <c r="H319" t="s">
        <v>23</v>
      </c>
      <c r="I319">
        <v>127.71</v>
      </c>
      <c r="J319">
        <v>36</v>
      </c>
      <c r="K319" t="s">
        <v>25</v>
      </c>
      <c r="L319" t="s">
        <v>15</v>
      </c>
    </row>
    <row r="320" spans="1:12" x14ac:dyDescent="0.3">
      <c r="A320">
        <v>68614</v>
      </c>
      <c r="B320" t="s">
        <v>13</v>
      </c>
      <c r="C320">
        <v>48</v>
      </c>
      <c r="D320" t="s">
        <v>15</v>
      </c>
      <c r="E320" t="s">
        <v>15</v>
      </c>
      <c r="F320" t="s">
        <v>16</v>
      </c>
      <c r="G320" t="s">
        <v>17</v>
      </c>
      <c r="H320" t="s">
        <v>23</v>
      </c>
      <c r="I320">
        <v>216.7</v>
      </c>
      <c r="J320">
        <v>38.700000000000003</v>
      </c>
      <c r="K320" t="s">
        <v>24</v>
      </c>
      <c r="L320" t="s">
        <v>15</v>
      </c>
    </row>
    <row r="321" spans="1:12" x14ac:dyDescent="0.3">
      <c r="A321">
        <v>1686</v>
      </c>
      <c r="B321" t="s">
        <v>13</v>
      </c>
      <c r="C321">
        <v>29</v>
      </c>
      <c r="D321" t="s">
        <v>15</v>
      </c>
      <c r="E321" t="s">
        <v>15</v>
      </c>
      <c r="F321" t="s">
        <v>15</v>
      </c>
      <c r="G321" t="s">
        <v>17</v>
      </c>
      <c r="H321" t="s">
        <v>22</v>
      </c>
      <c r="I321">
        <v>71.89</v>
      </c>
      <c r="J321">
        <v>27.6</v>
      </c>
      <c r="K321" t="s">
        <v>25</v>
      </c>
      <c r="L321" t="s">
        <v>15</v>
      </c>
    </row>
    <row r="322" spans="1:12" x14ac:dyDescent="0.3">
      <c r="A322">
        <v>22284</v>
      </c>
      <c r="B322" t="s">
        <v>12</v>
      </c>
      <c r="C322">
        <v>22</v>
      </c>
      <c r="D322" t="s">
        <v>15</v>
      </c>
      <c r="E322" t="s">
        <v>15</v>
      </c>
      <c r="F322" t="s">
        <v>15</v>
      </c>
      <c r="G322" t="s">
        <v>17</v>
      </c>
      <c r="H322" t="s">
        <v>23</v>
      </c>
      <c r="I322">
        <v>103.56</v>
      </c>
      <c r="J322">
        <v>25.1</v>
      </c>
      <c r="K322" t="s">
        <v>27</v>
      </c>
      <c r="L322" t="s">
        <v>15</v>
      </c>
    </row>
    <row r="323" spans="1:12" x14ac:dyDescent="0.3">
      <c r="A323">
        <v>39038</v>
      </c>
      <c r="B323" t="s">
        <v>12</v>
      </c>
      <c r="C323">
        <v>11</v>
      </c>
      <c r="D323" t="s">
        <v>15</v>
      </c>
      <c r="E323" t="s">
        <v>15</v>
      </c>
      <c r="F323" t="s">
        <v>15</v>
      </c>
      <c r="G323" t="s">
        <v>20</v>
      </c>
      <c r="H323" t="s">
        <v>23</v>
      </c>
      <c r="I323">
        <v>79.03</v>
      </c>
      <c r="J323">
        <v>16.5</v>
      </c>
      <c r="K323" t="s">
        <v>27</v>
      </c>
      <c r="L323" t="s">
        <v>15</v>
      </c>
    </row>
    <row r="324" spans="1:12" x14ac:dyDescent="0.3">
      <c r="A324">
        <v>21956</v>
      </c>
      <c r="B324" t="s">
        <v>13</v>
      </c>
      <c r="C324">
        <v>22</v>
      </c>
      <c r="D324" t="s">
        <v>15</v>
      </c>
      <c r="E324" t="s">
        <v>15</v>
      </c>
      <c r="F324" t="s">
        <v>15</v>
      </c>
      <c r="G324" t="s">
        <v>17</v>
      </c>
      <c r="H324" t="s">
        <v>22</v>
      </c>
      <c r="I324">
        <v>69.94</v>
      </c>
      <c r="J324">
        <v>22.8</v>
      </c>
      <c r="K324" t="s">
        <v>27</v>
      </c>
      <c r="L324" t="s">
        <v>15</v>
      </c>
    </row>
    <row r="325" spans="1:12" x14ac:dyDescent="0.3">
      <c r="A325">
        <v>52134</v>
      </c>
      <c r="B325" t="s">
        <v>12</v>
      </c>
      <c r="C325">
        <v>53</v>
      </c>
      <c r="D325" t="s">
        <v>15</v>
      </c>
      <c r="E325" t="s">
        <v>15</v>
      </c>
      <c r="F325" t="s">
        <v>16</v>
      </c>
      <c r="G325" t="s">
        <v>17</v>
      </c>
      <c r="H325" t="s">
        <v>23</v>
      </c>
      <c r="I325">
        <v>90.12</v>
      </c>
      <c r="J325">
        <v>35.4</v>
      </c>
      <c r="K325" t="s">
        <v>27</v>
      </c>
      <c r="L325" t="s">
        <v>15</v>
      </c>
    </row>
    <row r="326" spans="1:12" x14ac:dyDescent="0.3">
      <c r="A326">
        <v>30171</v>
      </c>
      <c r="B326" t="s">
        <v>12</v>
      </c>
      <c r="C326">
        <v>27</v>
      </c>
      <c r="D326" t="s">
        <v>15</v>
      </c>
      <c r="E326" t="s">
        <v>15</v>
      </c>
      <c r="F326" t="s">
        <v>15</v>
      </c>
      <c r="G326" t="s">
        <v>19</v>
      </c>
      <c r="H326" t="s">
        <v>22</v>
      </c>
      <c r="I326">
        <v>95.1</v>
      </c>
      <c r="J326">
        <v>24.3</v>
      </c>
      <c r="K326" t="s">
        <v>24</v>
      </c>
      <c r="L326" t="s">
        <v>15</v>
      </c>
    </row>
    <row r="327" spans="1:12" x14ac:dyDescent="0.3">
      <c r="A327">
        <v>4480</v>
      </c>
      <c r="B327" t="s">
        <v>12</v>
      </c>
      <c r="C327">
        <v>76</v>
      </c>
      <c r="D327" t="s">
        <v>15</v>
      </c>
      <c r="E327" t="s">
        <v>15</v>
      </c>
      <c r="F327" t="s">
        <v>16</v>
      </c>
      <c r="G327" t="s">
        <v>17</v>
      </c>
      <c r="H327" t="s">
        <v>23</v>
      </c>
      <c r="I327">
        <v>234.58</v>
      </c>
      <c r="J327">
        <v>34.299999999999997</v>
      </c>
      <c r="K327" t="s">
        <v>24</v>
      </c>
      <c r="L327" t="s">
        <v>15</v>
      </c>
    </row>
    <row r="328" spans="1:12" x14ac:dyDescent="0.3">
      <c r="A328">
        <v>2982</v>
      </c>
      <c r="B328" t="s">
        <v>13</v>
      </c>
      <c r="C328">
        <v>57</v>
      </c>
      <c r="D328" t="s">
        <v>16</v>
      </c>
      <c r="E328" t="s">
        <v>15</v>
      </c>
      <c r="F328" t="s">
        <v>16</v>
      </c>
      <c r="G328" t="s">
        <v>17</v>
      </c>
      <c r="H328" t="s">
        <v>23</v>
      </c>
      <c r="I328">
        <v>235.85</v>
      </c>
      <c r="J328">
        <v>40.1</v>
      </c>
      <c r="K328" t="s">
        <v>25</v>
      </c>
      <c r="L328" t="s">
        <v>15</v>
      </c>
    </row>
    <row r="329" spans="1:12" x14ac:dyDescent="0.3">
      <c r="A329">
        <v>65535</v>
      </c>
      <c r="B329" t="s">
        <v>12</v>
      </c>
      <c r="C329">
        <v>8</v>
      </c>
      <c r="D329" t="s">
        <v>15</v>
      </c>
      <c r="E329" t="s">
        <v>15</v>
      </c>
      <c r="F329" t="s">
        <v>15</v>
      </c>
      <c r="G329" t="s">
        <v>20</v>
      </c>
      <c r="H329" t="s">
        <v>23</v>
      </c>
      <c r="I329">
        <v>78.05</v>
      </c>
      <c r="J329">
        <v>25.7</v>
      </c>
      <c r="K329" t="s">
        <v>27</v>
      </c>
      <c r="L329" t="s">
        <v>15</v>
      </c>
    </row>
    <row r="330" spans="1:12" x14ac:dyDescent="0.3">
      <c r="A330">
        <v>29865</v>
      </c>
      <c r="B330" t="s">
        <v>13</v>
      </c>
      <c r="C330">
        <v>21</v>
      </c>
      <c r="D330" t="s">
        <v>15</v>
      </c>
      <c r="E330" t="s">
        <v>15</v>
      </c>
      <c r="F330" t="s">
        <v>15</v>
      </c>
      <c r="G330" t="s">
        <v>17</v>
      </c>
      <c r="H330" t="s">
        <v>23</v>
      </c>
      <c r="I330">
        <v>89.44</v>
      </c>
      <c r="J330">
        <v>21.9</v>
      </c>
      <c r="K330" t="s">
        <v>26</v>
      </c>
      <c r="L330" t="s">
        <v>15</v>
      </c>
    </row>
    <row r="331" spans="1:12" x14ac:dyDescent="0.3">
      <c r="A331">
        <v>54918</v>
      </c>
      <c r="B331" t="s">
        <v>13</v>
      </c>
      <c r="C331">
        <v>18</v>
      </c>
      <c r="D331" t="s">
        <v>15</v>
      </c>
      <c r="E331" t="s">
        <v>15</v>
      </c>
      <c r="F331" t="s">
        <v>15</v>
      </c>
      <c r="G331" t="s">
        <v>17</v>
      </c>
      <c r="H331" t="s">
        <v>23</v>
      </c>
      <c r="I331">
        <v>111.38</v>
      </c>
      <c r="J331">
        <v>38.4</v>
      </c>
      <c r="K331" t="s">
        <v>26</v>
      </c>
      <c r="L331" t="s">
        <v>15</v>
      </c>
    </row>
    <row r="332" spans="1:12" x14ac:dyDescent="0.3">
      <c r="A332">
        <v>59368</v>
      </c>
      <c r="B332" t="s">
        <v>13</v>
      </c>
      <c r="C332">
        <v>78</v>
      </c>
      <c r="D332" t="s">
        <v>15</v>
      </c>
      <c r="E332" t="s">
        <v>15</v>
      </c>
      <c r="F332" t="s">
        <v>16</v>
      </c>
      <c r="G332" t="s">
        <v>17</v>
      </c>
      <c r="H332" t="s">
        <v>22</v>
      </c>
      <c r="I332">
        <v>243.5</v>
      </c>
      <c r="J332">
        <v>26.1</v>
      </c>
      <c r="K332" t="s">
        <v>25</v>
      </c>
      <c r="L332" t="s">
        <v>15</v>
      </c>
    </row>
    <row r="333" spans="1:12" x14ac:dyDescent="0.3">
      <c r="A333">
        <v>65836</v>
      </c>
      <c r="B333" t="s">
        <v>13</v>
      </c>
      <c r="C333">
        <v>78</v>
      </c>
      <c r="D333" t="s">
        <v>16</v>
      </c>
      <c r="E333" t="s">
        <v>15</v>
      </c>
      <c r="F333" t="s">
        <v>16</v>
      </c>
      <c r="G333" t="s">
        <v>17</v>
      </c>
      <c r="H333" t="s">
        <v>22</v>
      </c>
      <c r="I333">
        <v>182.2</v>
      </c>
      <c r="J333">
        <v>30.5</v>
      </c>
      <c r="K333" t="s">
        <v>24</v>
      </c>
      <c r="L333" t="s">
        <v>15</v>
      </c>
    </row>
    <row r="334" spans="1:12" x14ac:dyDescent="0.3">
      <c r="A334">
        <v>21130</v>
      </c>
      <c r="B334" t="s">
        <v>12</v>
      </c>
      <c r="C334">
        <v>33</v>
      </c>
      <c r="D334" t="s">
        <v>15</v>
      </c>
      <c r="E334" t="s">
        <v>15</v>
      </c>
      <c r="F334" t="s">
        <v>16</v>
      </c>
      <c r="G334" t="s">
        <v>18</v>
      </c>
      <c r="H334" t="s">
        <v>22</v>
      </c>
      <c r="I334">
        <v>229.92</v>
      </c>
      <c r="J334">
        <v>25.9</v>
      </c>
      <c r="K334" t="s">
        <v>26</v>
      </c>
      <c r="L334" t="s">
        <v>15</v>
      </c>
    </row>
    <row r="335" spans="1:12" x14ac:dyDescent="0.3">
      <c r="A335">
        <v>1703</v>
      </c>
      <c r="B335" t="s">
        <v>13</v>
      </c>
      <c r="C335">
        <v>52</v>
      </c>
      <c r="D335" t="s">
        <v>15</v>
      </c>
      <c r="E335" t="s">
        <v>15</v>
      </c>
      <c r="F335" t="s">
        <v>16</v>
      </c>
      <c r="G335" t="s">
        <v>17</v>
      </c>
      <c r="H335" t="s">
        <v>22</v>
      </c>
      <c r="I335">
        <v>82.24</v>
      </c>
      <c r="J335">
        <v>54.7</v>
      </c>
      <c r="K335" t="s">
        <v>24</v>
      </c>
      <c r="L335" t="s">
        <v>15</v>
      </c>
    </row>
    <row r="336" spans="1:12" x14ac:dyDescent="0.3">
      <c r="A336">
        <v>16934</v>
      </c>
      <c r="B336" t="s">
        <v>13</v>
      </c>
      <c r="C336">
        <v>51</v>
      </c>
      <c r="D336" t="s">
        <v>15</v>
      </c>
      <c r="E336" t="s">
        <v>15</v>
      </c>
      <c r="F336" t="s">
        <v>16</v>
      </c>
      <c r="G336" t="s">
        <v>18</v>
      </c>
      <c r="H336" t="s">
        <v>23</v>
      </c>
      <c r="I336">
        <v>89.84</v>
      </c>
      <c r="J336">
        <v>29.9</v>
      </c>
      <c r="K336" t="s">
        <v>27</v>
      </c>
      <c r="L336" t="s">
        <v>15</v>
      </c>
    </row>
    <row r="337" spans="1:12" x14ac:dyDescent="0.3">
      <c r="A337">
        <v>28799</v>
      </c>
      <c r="B337" t="s">
        <v>12</v>
      </c>
      <c r="C337">
        <v>11</v>
      </c>
      <c r="D337" t="s">
        <v>15</v>
      </c>
      <c r="E337" t="s">
        <v>15</v>
      </c>
      <c r="F337" t="s">
        <v>15</v>
      </c>
      <c r="G337" t="s">
        <v>20</v>
      </c>
      <c r="H337" t="s">
        <v>23</v>
      </c>
      <c r="I337">
        <v>90.69</v>
      </c>
      <c r="J337">
        <v>18.600000000000001</v>
      </c>
      <c r="K337" t="s">
        <v>27</v>
      </c>
      <c r="L337" t="s">
        <v>15</v>
      </c>
    </row>
    <row r="338" spans="1:12" x14ac:dyDescent="0.3">
      <c r="A338">
        <v>32689</v>
      </c>
      <c r="B338" t="s">
        <v>13</v>
      </c>
      <c r="C338">
        <v>48</v>
      </c>
      <c r="D338" t="s">
        <v>15</v>
      </c>
      <c r="E338" t="s">
        <v>15</v>
      </c>
      <c r="F338" t="s">
        <v>16</v>
      </c>
      <c r="G338" t="s">
        <v>17</v>
      </c>
      <c r="H338" t="s">
        <v>22</v>
      </c>
      <c r="I338">
        <v>84.38</v>
      </c>
      <c r="J338">
        <v>27.1</v>
      </c>
      <c r="K338" t="s">
        <v>27</v>
      </c>
      <c r="L338" t="s">
        <v>15</v>
      </c>
    </row>
    <row r="339" spans="1:12" x14ac:dyDescent="0.3">
      <c r="A339">
        <v>56357</v>
      </c>
      <c r="B339" t="s">
        <v>13</v>
      </c>
      <c r="C339">
        <v>82</v>
      </c>
      <c r="D339" t="s">
        <v>15</v>
      </c>
      <c r="E339" t="s">
        <v>16</v>
      </c>
      <c r="F339" t="s">
        <v>15</v>
      </c>
      <c r="G339" t="s">
        <v>17</v>
      </c>
      <c r="H339" t="s">
        <v>22</v>
      </c>
      <c r="I339">
        <v>215.6</v>
      </c>
      <c r="J339">
        <v>24.9</v>
      </c>
      <c r="K339" t="s">
        <v>25</v>
      </c>
      <c r="L339" t="s">
        <v>15</v>
      </c>
    </row>
    <row r="340" spans="1:12" x14ac:dyDescent="0.3">
      <c r="A340">
        <v>18051</v>
      </c>
      <c r="B340" t="s">
        <v>13</v>
      </c>
      <c r="C340">
        <v>54</v>
      </c>
      <c r="D340" t="s">
        <v>15</v>
      </c>
      <c r="E340" t="s">
        <v>15</v>
      </c>
      <c r="F340" t="s">
        <v>16</v>
      </c>
      <c r="G340" t="s">
        <v>19</v>
      </c>
      <c r="H340" t="s">
        <v>23</v>
      </c>
      <c r="I340">
        <v>91.61</v>
      </c>
      <c r="J340">
        <v>25.2</v>
      </c>
      <c r="K340" t="s">
        <v>25</v>
      </c>
      <c r="L340" t="s">
        <v>15</v>
      </c>
    </row>
    <row r="341" spans="1:12" x14ac:dyDescent="0.3">
      <c r="A341">
        <v>40840</v>
      </c>
      <c r="B341" t="s">
        <v>13</v>
      </c>
      <c r="C341">
        <v>49</v>
      </c>
      <c r="D341" t="s">
        <v>15</v>
      </c>
      <c r="E341" t="s">
        <v>15</v>
      </c>
      <c r="F341" t="s">
        <v>16</v>
      </c>
      <c r="G341" t="s">
        <v>17</v>
      </c>
      <c r="H341" t="s">
        <v>23</v>
      </c>
      <c r="I341">
        <v>138.16</v>
      </c>
      <c r="J341">
        <v>19.399999999999999</v>
      </c>
      <c r="K341" t="s">
        <v>25</v>
      </c>
      <c r="L341" t="s">
        <v>15</v>
      </c>
    </row>
    <row r="342" spans="1:12" x14ac:dyDescent="0.3">
      <c r="A342">
        <v>10449</v>
      </c>
      <c r="B342" t="s">
        <v>13</v>
      </c>
      <c r="C342">
        <v>24</v>
      </c>
      <c r="D342" t="s">
        <v>15</v>
      </c>
      <c r="E342" t="s">
        <v>15</v>
      </c>
      <c r="F342" t="s">
        <v>16</v>
      </c>
      <c r="G342" t="s">
        <v>17</v>
      </c>
      <c r="H342" t="s">
        <v>22</v>
      </c>
      <c r="I342">
        <v>75.23</v>
      </c>
      <c r="J342">
        <v>29</v>
      </c>
      <c r="K342" t="s">
        <v>25</v>
      </c>
      <c r="L342" t="s">
        <v>15</v>
      </c>
    </row>
    <row r="343" spans="1:12" x14ac:dyDescent="0.3">
      <c r="A343">
        <v>38805</v>
      </c>
      <c r="B343" t="s">
        <v>13</v>
      </c>
      <c r="C343">
        <v>37</v>
      </c>
      <c r="D343" t="s">
        <v>15</v>
      </c>
      <c r="E343" t="s">
        <v>15</v>
      </c>
      <c r="F343" t="s">
        <v>16</v>
      </c>
      <c r="G343" t="s">
        <v>17</v>
      </c>
      <c r="H343" t="s">
        <v>23</v>
      </c>
      <c r="I343">
        <v>75.180000000000007</v>
      </c>
      <c r="J343">
        <v>48.2</v>
      </c>
      <c r="K343" t="s">
        <v>24</v>
      </c>
      <c r="L343" t="s">
        <v>15</v>
      </c>
    </row>
    <row r="344" spans="1:12" x14ac:dyDescent="0.3">
      <c r="A344">
        <v>31091</v>
      </c>
      <c r="B344" t="s">
        <v>12</v>
      </c>
      <c r="C344">
        <v>34</v>
      </c>
      <c r="D344" t="s">
        <v>15</v>
      </c>
      <c r="E344" t="s">
        <v>16</v>
      </c>
      <c r="F344" t="s">
        <v>16</v>
      </c>
      <c r="G344" t="s">
        <v>17</v>
      </c>
      <c r="H344" t="s">
        <v>22</v>
      </c>
      <c r="I344">
        <v>106.23</v>
      </c>
      <c r="K344" t="s">
        <v>24</v>
      </c>
      <c r="L344" t="s">
        <v>15</v>
      </c>
    </row>
    <row r="345" spans="1:12" x14ac:dyDescent="0.3">
      <c r="A345">
        <v>45053</v>
      </c>
      <c r="B345" t="s">
        <v>12</v>
      </c>
      <c r="C345">
        <v>64</v>
      </c>
      <c r="D345" t="s">
        <v>15</v>
      </c>
      <c r="E345" t="s">
        <v>15</v>
      </c>
      <c r="F345" t="s">
        <v>16</v>
      </c>
      <c r="G345" t="s">
        <v>19</v>
      </c>
      <c r="H345" t="s">
        <v>22</v>
      </c>
      <c r="I345">
        <v>239.64</v>
      </c>
      <c r="J345">
        <v>34.6</v>
      </c>
      <c r="K345" t="s">
        <v>24</v>
      </c>
      <c r="L345" t="s">
        <v>15</v>
      </c>
    </row>
    <row r="346" spans="1:12" x14ac:dyDescent="0.3">
      <c r="A346">
        <v>61837</v>
      </c>
      <c r="B346" t="s">
        <v>13</v>
      </c>
      <c r="C346">
        <v>66</v>
      </c>
      <c r="D346" t="s">
        <v>15</v>
      </c>
      <c r="E346" t="s">
        <v>15</v>
      </c>
      <c r="F346" t="s">
        <v>16</v>
      </c>
      <c r="G346" t="s">
        <v>18</v>
      </c>
      <c r="H346" t="s">
        <v>22</v>
      </c>
      <c r="I346">
        <v>58.95</v>
      </c>
      <c r="J346">
        <v>24.6</v>
      </c>
      <c r="K346" t="s">
        <v>25</v>
      </c>
      <c r="L346" t="s">
        <v>15</v>
      </c>
    </row>
    <row r="347" spans="1:12" x14ac:dyDescent="0.3">
      <c r="A347">
        <v>9487</v>
      </c>
      <c r="B347" t="s">
        <v>13</v>
      </c>
      <c r="C347">
        <v>23</v>
      </c>
      <c r="D347" t="s">
        <v>15</v>
      </c>
      <c r="E347" t="s">
        <v>15</v>
      </c>
      <c r="F347" t="s">
        <v>15</v>
      </c>
      <c r="G347" t="s">
        <v>17</v>
      </c>
      <c r="H347" t="s">
        <v>22</v>
      </c>
      <c r="I347">
        <v>99.92</v>
      </c>
      <c r="J347">
        <v>25.8</v>
      </c>
      <c r="K347" t="s">
        <v>25</v>
      </c>
      <c r="L347" t="s">
        <v>15</v>
      </c>
    </row>
    <row r="348" spans="1:12" x14ac:dyDescent="0.3">
      <c r="A348">
        <v>49713</v>
      </c>
      <c r="B348" t="s">
        <v>12</v>
      </c>
      <c r="C348">
        <v>68</v>
      </c>
      <c r="D348" t="s">
        <v>15</v>
      </c>
      <c r="E348" t="s">
        <v>15</v>
      </c>
      <c r="F348" t="s">
        <v>16</v>
      </c>
      <c r="G348" t="s">
        <v>17</v>
      </c>
      <c r="H348" t="s">
        <v>23</v>
      </c>
      <c r="I348">
        <v>116.23</v>
      </c>
      <c r="J348">
        <v>26.1</v>
      </c>
      <c r="K348" t="s">
        <v>25</v>
      </c>
      <c r="L348" t="s">
        <v>15</v>
      </c>
    </row>
    <row r="349" spans="1:12" x14ac:dyDescent="0.3">
      <c r="A349">
        <v>17608</v>
      </c>
      <c r="B349" t="s">
        <v>13</v>
      </c>
      <c r="C349">
        <v>55</v>
      </c>
      <c r="D349" t="s">
        <v>15</v>
      </c>
      <c r="E349" t="s">
        <v>15</v>
      </c>
      <c r="F349" t="s">
        <v>16</v>
      </c>
      <c r="G349" t="s">
        <v>19</v>
      </c>
      <c r="H349" t="s">
        <v>22</v>
      </c>
      <c r="I349">
        <v>118.82</v>
      </c>
      <c r="J349">
        <v>29</v>
      </c>
      <c r="K349" t="s">
        <v>24</v>
      </c>
      <c r="L349" t="s">
        <v>15</v>
      </c>
    </row>
    <row r="350" spans="1:12" x14ac:dyDescent="0.3">
      <c r="A350">
        <v>28102</v>
      </c>
      <c r="B350" t="s">
        <v>13</v>
      </c>
      <c r="C350">
        <v>25</v>
      </c>
      <c r="D350" t="s">
        <v>15</v>
      </c>
      <c r="E350" t="s">
        <v>15</v>
      </c>
      <c r="F350" t="s">
        <v>15</v>
      </c>
      <c r="G350" t="s">
        <v>17</v>
      </c>
      <c r="H350" t="s">
        <v>23</v>
      </c>
      <c r="I350">
        <v>66.3</v>
      </c>
      <c r="J350">
        <v>27.2</v>
      </c>
      <c r="K350" t="s">
        <v>25</v>
      </c>
      <c r="L350" t="s">
        <v>15</v>
      </c>
    </row>
    <row r="351" spans="1:12" x14ac:dyDescent="0.3">
      <c r="A351">
        <v>1506</v>
      </c>
      <c r="B351" t="s">
        <v>13</v>
      </c>
      <c r="C351">
        <v>48</v>
      </c>
      <c r="D351" t="s">
        <v>15</v>
      </c>
      <c r="E351" t="s">
        <v>15</v>
      </c>
      <c r="F351" t="s">
        <v>15</v>
      </c>
      <c r="G351" t="s">
        <v>19</v>
      </c>
      <c r="H351" t="s">
        <v>22</v>
      </c>
      <c r="I351">
        <v>101.41</v>
      </c>
      <c r="J351">
        <v>20.7</v>
      </c>
      <c r="K351" t="s">
        <v>26</v>
      </c>
      <c r="L351" t="s">
        <v>15</v>
      </c>
    </row>
    <row r="352" spans="1:12" x14ac:dyDescent="0.3">
      <c r="A352">
        <v>28333</v>
      </c>
      <c r="B352" t="s">
        <v>13</v>
      </c>
      <c r="C352">
        <v>79</v>
      </c>
      <c r="D352" t="s">
        <v>16</v>
      </c>
      <c r="E352" t="s">
        <v>16</v>
      </c>
      <c r="F352" t="s">
        <v>16</v>
      </c>
      <c r="G352" t="s">
        <v>18</v>
      </c>
      <c r="H352" t="s">
        <v>22</v>
      </c>
      <c r="I352">
        <v>200.28</v>
      </c>
      <c r="J352">
        <v>30</v>
      </c>
      <c r="K352" t="s">
        <v>24</v>
      </c>
      <c r="L352" t="s">
        <v>15</v>
      </c>
    </row>
    <row r="353" spans="1:12" x14ac:dyDescent="0.3">
      <c r="A353">
        <v>62608</v>
      </c>
      <c r="B353" t="s">
        <v>13</v>
      </c>
      <c r="C353">
        <v>47</v>
      </c>
      <c r="D353" t="s">
        <v>15</v>
      </c>
      <c r="E353" t="s">
        <v>15</v>
      </c>
      <c r="F353" t="s">
        <v>16</v>
      </c>
      <c r="G353" t="s">
        <v>17</v>
      </c>
      <c r="H353" t="s">
        <v>22</v>
      </c>
      <c r="I353">
        <v>136.80000000000001</v>
      </c>
      <c r="J353">
        <v>37.299999999999997</v>
      </c>
      <c r="K353" t="s">
        <v>25</v>
      </c>
      <c r="L353" t="s">
        <v>15</v>
      </c>
    </row>
    <row r="354" spans="1:12" x14ac:dyDescent="0.3">
      <c r="A354">
        <v>40670</v>
      </c>
      <c r="B354" t="s">
        <v>13</v>
      </c>
      <c r="C354">
        <v>20</v>
      </c>
      <c r="D354" t="s">
        <v>15</v>
      </c>
      <c r="E354" t="s">
        <v>15</v>
      </c>
      <c r="F354" t="s">
        <v>15</v>
      </c>
      <c r="G354" t="s">
        <v>17</v>
      </c>
      <c r="H354" t="s">
        <v>23</v>
      </c>
      <c r="I354">
        <v>96.57</v>
      </c>
      <c r="J354">
        <v>34.1</v>
      </c>
      <c r="K354" t="s">
        <v>25</v>
      </c>
      <c r="L354" t="s">
        <v>15</v>
      </c>
    </row>
    <row r="355" spans="1:12" x14ac:dyDescent="0.3">
      <c r="A355">
        <v>4630</v>
      </c>
      <c r="B355" t="s">
        <v>13</v>
      </c>
      <c r="C355">
        <v>60</v>
      </c>
      <c r="D355" t="s">
        <v>15</v>
      </c>
      <c r="E355" t="s">
        <v>15</v>
      </c>
      <c r="F355" t="s">
        <v>16</v>
      </c>
      <c r="G355" t="s">
        <v>17</v>
      </c>
      <c r="H355" t="s">
        <v>23</v>
      </c>
      <c r="I355">
        <v>66.42</v>
      </c>
      <c r="J355">
        <v>23.6</v>
      </c>
      <c r="K355" t="s">
        <v>25</v>
      </c>
      <c r="L355" t="s">
        <v>15</v>
      </c>
    </row>
    <row r="356" spans="1:12" x14ac:dyDescent="0.3">
      <c r="A356">
        <v>21284</v>
      </c>
      <c r="B356" t="s">
        <v>13</v>
      </c>
      <c r="C356">
        <v>32</v>
      </c>
      <c r="D356" t="s">
        <v>15</v>
      </c>
      <c r="E356" t="s">
        <v>15</v>
      </c>
      <c r="F356" t="s">
        <v>16</v>
      </c>
      <c r="G356" t="s">
        <v>17</v>
      </c>
      <c r="H356" t="s">
        <v>22</v>
      </c>
      <c r="I356">
        <v>98.09</v>
      </c>
      <c r="J356">
        <v>25.2</v>
      </c>
      <c r="K356" t="s">
        <v>26</v>
      </c>
      <c r="L356" t="s">
        <v>15</v>
      </c>
    </row>
    <row r="357" spans="1:12" x14ac:dyDescent="0.3">
      <c r="A357">
        <v>49421</v>
      </c>
      <c r="B357" t="s">
        <v>13</v>
      </c>
      <c r="C357">
        <v>66</v>
      </c>
      <c r="D357" t="s">
        <v>16</v>
      </c>
      <c r="E357" t="s">
        <v>15</v>
      </c>
      <c r="F357" t="s">
        <v>16</v>
      </c>
      <c r="G357" t="s">
        <v>17</v>
      </c>
      <c r="H357" t="s">
        <v>23</v>
      </c>
      <c r="I357">
        <v>205.23</v>
      </c>
      <c r="J357">
        <v>39.5</v>
      </c>
      <c r="K357" t="s">
        <v>25</v>
      </c>
      <c r="L357" t="s">
        <v>15</v>
      </c>
    </row>
    <row r="358" spans="1:12" x14ac:dyDescent="0.3">
      <c r="A358">
        <v>5973</v>
      </c>
      <c r="B358" t="s">
        <v>12</v>
      </c>
      <c r="C358">
        <v>43</v>
      </c>
      <c r="D358" t="s">
        <v>15</v>
      </c>
      <c r="E358" t="s">
        <v>15</v>
      </c>
      <c r="F358" t="s">
        <v>16</v>
      </c>
      <c r="G358" t="s">
        <v>17</v>
      </c>
      <c r="H358" t="s">
        <v>22</v>
      </c>
      <c r="I358">
        <v>86.78</v>
      </c>
      <c r="J358">
        <v>23.5</v>
      </c>
      <c r="K358" t="s">
        <v>26</v>
      </c>
      <c r="L358" t="s">
        <v>15</v>
      </c>
    </row>
    <row r="359" spans="1:12" x14ac:dyDescent="0.3">
      <c r="A359">
        <v>42996</v>
      </c>
      <c r="B359" t="s">
        <v>13</v>
      </c>
      <c r="C359">
        <v>36</v>
      </c>
      <c r="D359" t="s">
        <v>15</v>
      </c>
      <c r="E359" t="s">
        <v>15</v>
      </c>
      <c r="F359" t="s">
        <v>15</v>
      </c>
      <c r="G359" t="s">
        <v>19</v>
      </c>
      <c r="H359" t="s">
        <v>23</v>
      </c>
      <c r="I359">
        <v>126.82</v>
      </c>
      <c r="J359">
        <v>23.3</v>
      </c>
      <c r="K359" t="s">
        <v>25</v>
      </c>
      <c r="L359" t="s">
        <v>15</v>
      </c>
    </row>
    <row r="360" spans="1:12" x14ac:dyDescent="0.3">
      <c r="A360">
        <v>66333</v>
      </c>
      <c r="B360" t="s">
        <v>12</v>
      </c>
      <c r="C360">
        <v>52</v>
      </c>
      <c r="D360" t="s">
        <v>15</v>
      </c>
      <c r="E360" t="s">
        <v>15</v>
      </c>
      <c r="F360" t="s">
        <v>16</v>
      </c>
      <c r="G360" t="s">
        <v>18</v>
      </c>
      <c r="H360" t="s">
        <v>22</v>
      </c>
      <c r="I360">
        <v>78.400000000000006</v>
      </c>
      <c r="J360">
        <v>64.8</v>
      </c>
      <c r="K360" t="s">
        <v>25</v>
      </c>
      <c r="L360" t="s">
        <v>15</v>
      </c>
    </row>
    <row r="361" spans="1:12" x14ac:dyDescent="0.3">
      <c r="A361">
        <v>46785</v>
      </c>
      <c r="B361" t="s">
        <v>13</v>
      </c>
      <c r="C361">
        <v>29</v>
      </c>
      <c r="D361" t="s">
        <v>15</v>
      </c>
      <c r="E361" t="s">
        <v>15</v>
      </c>
      <c r="F361" t="s">
        <v>16</v>
      </c>
      <c r="G361" t="s">
        <v>17</v>
      </c>
      <c r="H361" t="s">
        <v>22</v>
      </c>
      <c r="I361">
        <v>63.69</v>
      </c>
      <c r="J361">
        <v>28.1</v>
      </c>
      <c r="K361" t="s">
        <v>26</v>
      </c>
      <c r="L361" t="s">
        <v>15</v>
      </c>
    </row>
    <row r="362" spans="1:12" x14ac:dyDescent="0.3">
      <c r="A362">
        <v>54312</v>
      </c>
      <c r="B362" t="s">
        <v>13</v>
      </c>
      <c r="C362">
        <v>76</v>
      </c>
      <c r="D362" t="s">
        <v>16</v>
      </c>
      <c r="E362" t="s">
        <v>15</v>
      </c>
      <c r="F362" t="s">
        <v>16</v>
      </c>
      <c r="G362" t="s">
        <v>18</v>
      </c>
      <c r="H362" t="s">
        <v>22</v>
      </c>
      <c r="I362">
        <v>209.58</v>
      </c>
      <c r="K362" t="s">
        <v>25</v>
      </c>
      <c r="L362" t="s">
        <v>15</v>
      </c>
    </row>
    <row r="363" spans="1:12" x14ac:dyDescent="0.3">
      <c r="A363">
        <v>21408</v>
      </c>
      <c r="B363" t="s">
        <v>13</v>
      </c>
      <c r="C363">
        <v>39</v>
      </c>
      <c r="D363" t="s">
        <v>15</v>
      </c>
      <c r="E363" t="s">
        <v>15</v>
      </c>
      <c r="F363" t="s">
        <v>16</v>
      </c>
      <c r="G363" t="s">
        <v>18</v>
      </c>
      <c r="H363" t="s">
        <v>23</v>
      </c>
      <c r="I363">
        <v>89.86</v>
      </c>
      <c r="J363">
        <v>24.4</v>
      </c>
      <c r="K363" t="s">
        <v>25</v>
      </c>
      <c r="L363" t="s">
        <v>15</v>
      </c>
    </row>
    <row r="364" spans="1:12" x14ac:dyDescent="0.3">
      <c r="A364">
        <v>49916</v>
      </c>
      <c r="B364" t="s">
        <v>12</v>
      </c>
      <c r="C364">
        <v>76</v>
      </c>
      <c r="D364" t="s">
        <v>15</v>
      </c>
      <c r="E364" t="s">
        <v>15</v>
      </c>
      <c r="F364" t="s">
        <v>16</v>
      </c>
      <c r="G364" t="s">
        <v>17</v>
      </c>
      <c r="H364" t="s">
        <v>23</v>
      </c>
      <c r="I364">
        <v>110.99</v>
      </c>
      <c r="J364">
        <v>29.8</v>
      </c>
      <c r="K364" t="s">
        <v>24</v>
      </c>
      <c r="L364" t="s">
        <v>15</v>
      </c>
    </row>
    <row r="365" spans="1:12" x14ac:dyDescent="0.3">
      <c r="A365">
        <v>7559</v>
      </c>
      <c r="B365" t="s">
        <v>13</v>
      </c>
      <c r="C365">
        <v>0.64</v>
      </c>
      <c r="D365" t="s">
        <v>15</v>
      </c>
      <c r="E365" t="s">
        <v>15</v>
      </c>
      <c r="F365" t="s">
        <v>15</v>
      </c>
      <c r="G365" t="s">
        <v>20</v>
      </c>
      <c r="H365" t="s">
        <v>22</v>
      </c>
      <c r="I365">
        <v>83.82</v>
      </c>
      <c r="J365">
        <v>24.9</v>
      </c>
      <c r="K365" t="s">
        <v>27</v>
      </c>
      <c r="L365" t="s">
        <v>15</v>
      </c>
    </row>
    <row r="366" spans="1:12" x14ac:dyDescent="0.3">
      <c r="A366">
        <v>71038</v>
      </c>
      <c r="B366" t="s">
        <v>12</v>
      </c>
      <c r="C366">
        <v>34</v>
      </c>
      <c r="D366" t="s">
        <v>15</v>
      </c>
      <c r="E366" t="s">
        <v>15</v>
      </c>
      <c r="F366" t="s">
        <v>16</v>
      </c>
      <c r="G366" t="s">
        <v>17</v>
      </c>
      <c r="H366" t="s">
        <v>22</v>
      </c>
      <c r="I366">
        <v>137.96</v>
      </c>
      <c r="J366">
        <v>35.1</v>
      </c>
      <c r="K366" t="s">
        <v>27</v>
      </c>
      <c r="L366" t="s">
        <v>15</v>
      </c>
    </row>
    <row r="367" spans="1:12" x14ac:dyDescent="0.3">
      <c r="A367">
        <v>69037</v>
      </c>
      <c r="B367" t="s">
        <v>13</v>
      </c>
      <c r="C367">
        <v>72</v>
      </c>
      <c r="D367" t="s">
        <v>15</v>
      </c>
      <c r="E367" t="s">
        <v>15</v>
      </c>
      <c r="F367" t="s">
        <v>16</v>
      </c>
      <c r="G367" t="s">
        <v>17</v>
      </c>
      <c r="H367" t="s">
        <v>23</v>
      </c>
      <c r="I367">
        <v>210.78</v>
      </c>
      <c r="J367">
        <v>32.299999999999997</v>
      </c>
      <c r="K367" t="s">
        <v>24</v>
      </c>
      <c r="L367" t="s">
        <v>15</v>
      </c>
    </row>
    <row r="368" spans="1:12" x14ac:dyDescent="0.3">
      <c r="A368">
        <v>58617</v>
      </c>
      <c r="B368" t="s">
        <v>13</v>
      </c>
      <c r="C368">
        <v>43</v>
      </c>
      <c r="D368" t="s">
        <v>15</v>
      </c>
      <c r="E368" t="s">
        <v>15</v>
      </c>
      <c r="F368" t="s">
        <v>16</v>
      </c>
      <c r="G368" t="s">
        <v>18</v>
      </c>
      <c r="H368" t="s">
        <v>23</v>
      </c>
      <c r="I368">
        <v>118.89</v>
      </c>
      <c r="J368">
        <v>43.6</v>
      </c>
      <c r="K368" t="s">
        <v>25</v>
      </c>
      <c r="L368" t="s">
        <v>15</v>
      </c>
    </row>
    <row r="369" spans="1:12" x14ac:dyDescent="0.3">
      <c r="A369">
        <v>69064</v>
      </c>
      <c r="B369" t="s">
        <v>13</v>
      </c>
      <c r="C369">
        <v>57</v>
      </c>
      <c r="D369" t="s">
        <v>15</v>
      </c>
      <c r="E369" t="s">
        <v>15</v>
      </c>
      <c r="F369" t="s">
        <v>15</v>
      </c>
      <c r="G369" t="s">
        <v>18</v>
      </c>
      <c r="H369" t="s">
        <v>23</v>
      </c>
      <c r="I369">
        <v>72.55</v>
      </c>
      <c r="J369">
        <v>21</v>
      </c>
      <c r="K369" t="s">
        <v>25</v>
      </c>
      <c r="L369" t="s">
        <v>15</v>
      </c>
    </row>
    <row r="370" spans="1:12" x14ac:dyDescent="0.3">
      <c r="A370">
        <v>9404</v>
      </c>
      <c r="B370" t="s">
        <v>13</v>
      </c>
      <c r="C370">
        <v>44</v>
      </c>
      <c r="D370" t="s">
        <v>15</v>
      </c>
      <c r="E370" t="s">
        <v>15</v>
      </c>
      <c r="F370" t="s">
        <v>16</v>
      </c>
      <c r="G370" t="s">
        <v>17</v>
      </c>
      <c r="H370" t="s">
        <v>23</v>
      </c>
      <c r="I370">
        <v>107.41</v>
      </c>
      <c r="J370">
        <v>47.3</v>
      </c>
      <c r="K370" t="s">
        <v>25</v>
      </c>
      <c r="L370" t="s">
        <v>15</v>
      </c>
    </row>
    <row r="371" spans="1:12" x14ac:dyDescent="0.3">
      <c r="A371">
        <v>8171</v>
      </c>
      <c r="B371" t="s">
        <v>13</v>
      </c>
      <c r="C371">
        <v>4</v>
      </c>
      <c r="D371" t="s">
        <v>15</v>
      </c>
      <c r="E371" t="s">
        <v>15</v>
      </c>
      <c r="F371" t="s">
        <v>15</v>
      </c>
      <c r="G371" t="s">
        <v>20</v>
      </c>
      <c r="H371" t="s">
        <v>23</v>
      </c>
      <c r="I371">
        <v>93.25</v>
      </c>
      <c r="J371">
        <v>16.600000000000001</v>
      </c>
      <c r="K371" t="s">
        <v>27</v>
      </c>
      <c r="L371" t="s">
        <v>15</v>
      </c>
    </row>
    <row r="372" spans="1:12" x14ac:dyDescent="0.3">
      <c r="A372">
        <v>28286</v>
      </c>
      <c r="B372" t="s">
        <v>12</v>
      </c>
      <c r="C372">
        <v>44</v>
      </c>
      <c r="D372" t="s">
        <v>15</v>
      </c>
      <c r="E372" t="s">
        <v>15</v>
      </c>
      <c r="F372" t="s">
        <v>16</v>
      </c>
      <c r="G372" t="s">
        <v>17</v>
      </c>
      <c r="H372" t="s">
        <v>23</v>
      </c>
      <c r="I372">
        <v>74.91</v>
      </c>
      <c r="J372">
        <v>37.5</v>
      </c>
      <c r="K372" t="s">
        <v>25</v>
      </c>
      <c r="L372" t="s">
        <v>15</v>
      </c>
    </row>
    <row r="373" spans="1:12" x14ac:dyDescent="0.3">
      <c r="A373">
        <v>43232</v>
      </c>
      <c r="B373" t="s">
        <v>13</v>
      </c>
      <c r="C373">
        <v>18</v>
      </c>
      <c r="D373" t="s">
        <v>15</v>
      </c>
      <c r="E373" t="s">
        <v>15</v>
      </c>
      <c r="F373" t="s">
        <v>15</v>
      </c>
      <c r="G373" t="s">
        <v>17</v>
      </c>
      <c r="H373" t="s">
        <v>22</v>
      </c>
      <c r="I373">
        <v>80.05</v>
      </c>
      <c r="J373">
        <v>24.2</v>
      </c>
      <c r="K373" t="s">
        <v>25</v>
      </c>
      <c r="L373" t="s">
        <v>15</v>
      </c>
    </row>
    <row r="374" spans="1:12" x14ac:dyDescent="0.3">
      <c r="A374">
        <v>10159</v>
      </c>
      <c r="B374" t="s">
        <v>12</v>
      </c>
      <c r="C374">
        <v>41</v>
      </c>
      <c r="D374" t="s">
        <v>15</v>
      </c>
      <c r="E374" t="s">
        <v>15</v>
      </c>
      <c r="F374" t="s">
        <v>16</v>
      </c>
      <c r="G374" t="s">
        <v>17</v>
      </c>
      <c r="H374" t="s">
        <v>22</v>
      </c>
      <c r="I374">
        <v>99.8</v>
      </c>
      <c r="J374">
        <v>31.6</v>
      </c>
      <c r="K374" t="s">
        <v>25</v>
      </c>
      <c r="L374" t="s">
        <v>15</v>
      </c>
    </row>
    <row r="375" spans="1:12" x14ac:dyDescent="0.3">
      <c r="A375">
        <v>34402</v>
      </c>
      <c r="B375" t="s">
        <v>13</v>
      </c>
      <c r="C375">
        <v>23</v>
      </c>
      <c r="D375" t="s">
        <v>15</v>
      </c>
      <c r="E375" t="s">
        <v>15</v>
      </c>
      <c r="F375" t="s">
        <v>16</v>
      </c>
      <c r="G375" t="s">
        <v>17</v>
      </c>
      <c r="H375" t="s">
        <v>23</v>
      </c>
      <c r="I375">
        <v>91.97</v>
      </c>
      <c r="J375">
        <v>21.6</v>
      </c>
      <c r="K375" t="s">
        <v>24</v>
      </c>
      <c r="L375" t="s">
        <v>15</v>
      </c>
    </row>
    <row r="376" spans="1:12" x14ac:dyDescent="0.3">
      <c r="A376">
        <v>58282</v>
      </c>
      <c r="B376" t="s">
        <v>13</v>
      </c>
      <c r="C376">
        <v>53</v>
      </c>
      <c r="D376" t="s">
        <v>15</v>
      </c>
      <c r="E376" t="s">
        <v>15</v>
      </c>
      <c r="F376" t="s">
        <v>16</v>
      </c>
      <c r="G376" t="s">
        <v>19</v>
      </c>
      <c r="H376" t="s">
        <v>23</v>
      </c>
      <c r="I376">
        <v>64.400000000000006</v>
      </c>
      <c r="J376">
        <v>31</v>
      </c>
      <c r="K376" t="s">
        <v>26</v>
      </c>
      <c r="L376" t="s">
        <v>15</v>
      </c>
    </row>
    <row r="377" spans="1:12" x14ac:dyDescent="0.3">
      <c r="A377">
        <v>64489</v>
      </c>
      <c r="B377" t="s">
        <v>12</v>
      </c>
      <c r="C377">
        <v>56</v>
      </c>
      <c r="D377" t="s">
        <v>15</v>
      </c>
      <c r="E377" t="s">
        <v>15</v>
      </c>
      <c r="F377" t="s">
        <v>16</v>
      </c>
      <c r="G377" t="s">
        <v>19</v>
      </c>
      <c r="H377" t="s">
        <v>23</v>
      </c>
      <c r="I377">
        <v>73.02</v>
      </c>
      <c r="J377">
        <v>31.1</v>
      </c>
      <c r="K377" t="s">
        <v>25</v>
      </c>
      <c r="L377" t="s">
        <v>15</v>
      </c>
    </row>
    <row r="378" spans="1:12" x14ac:dyDescent="0.3">
      <c r="A378">
        <v>22706</v>
      </c>
      <c r="B378" t="s">
        <v>13</v>
      </c>
      <c r="C378">
        <v>0.88</v>
      </c>
      <c r="D378" t="s">
        <v>15</v>
      </c>
      <c r="E378" t="s">
        <v>15</v>
      </c>
      <c r="F378" t="s">
        <v>15</v>
      </c>
      <c r="G378" t="s">
        <v>20</v>
      </c>
      <c r="H378" t="s">
        <v>23</v>
      </c>
      <c r="I378">
        <v>88.11</v>
      </c>
      <c r="J378">
        <v>15.5</v>
      </c>
      <c r="K378" t="s">
        <v>27</v>
      </c>
      <c r="L378" t="s">
        <v>15</v>
      </c>
    </row>
    <row r="379" spans="1:12" x14ac:dyDescent="0.3">
      <c r="A379">
        <v>71539</v>
      </c>
      <c r="B379" t="s">
        <v>12</v>
      </c>
      <c r="C379">
        <v>25</v>
      </c>
      <c r="D379" t="s">
        <v>15</v>
      </c>
      <c r="E379" t="s">
        <v>15</v>
      </c>
      <c r="F379" t="s">
        <v>15</v>
      </c>
      <c r="G379" t="s">
        <v>17</v>
      </c>
      <c r="H379" t="s">
        <v>22</v>
      </c>
      <c r="I379">
        <v>138.29</v>
      </c>
      <c r="J379">
        <v>27.3</v>
      </c>
      <c r="K379" t="s">
        <v>27</v>
      </c>
      <c r="L379" t="s">
        <v>15</v>
      </c>
    </row>
    <row r="380" spans="1:12" x14ac:dyDescent="0.3">
      <c r="A380">
        <v>28637</v>
      </c>
      <c r="B380" t="s">
        <v>13</v>
      </c>
      <c r="C380">
        <v>14</v>
      </c>
      <c r="D380" t="s">
        <v>15</v>
      </c>
      <c r="E380" t="s">
        <v>15</v>
      </c>
      <c r="F380" t="s">
        <v>15</v>
      </c>
      <c r="G380" t="s">
        <v>20</v>
      </c>
      <c r="H380" t="s">
        <v>23</v>
      </c>
      <c r="I380">
        <v>72.36</v>
      </c>
      <c r="J380">
        <v>20.5</v>
      </c>
      <c r="K380" t="s">
        <v>27</v>
      </c>
      <c r="L380" t="s">
        <v>15</v>
      </c>
    </row>
    <row r="381" spans="1:12" x14ac:dyDescent="0.3">
      <c r="A381">
        <v>64553</v>
      </c>
      <c r="B381" t="s">
        <v>13</v>
      </c>
      <c r="C381">
        <v>53</v>
      </c>
      <c r="D381" t="s">
        <v>15</v>
      </c>
      <c r="E381" t="s">
        <v>15</v>
      </c>
      <c r="F381" t="s">
        <v>16</v>
      </c>
      <c r="G381" t="s">
        <v>17</v>
      </c>
      <c r="H381" t="s">
        <v>23</v>
      </c>
      <c r="I381">
        <v>68.760000000000005</v>
      </c>
      <c r="J381">
        <v>35.6</v>
      </c>
      <c r="K381" t="s">
        <v>24</v>
      </c>
      <c r="L381" t="s">
        <v>15</v>
      </c>
    </row>
    <row r="382" spans="1:12" x14ac:dyDescent="0.3">
      <c r="A382">
        <v>31741</v>
      </c>
      <c r="B382" t="s">
        <v>12</v>
      </c>
      <c r="C382">
        <v>4</v>
      </c>
      <c r="D382" t="s">
        <v>15</v>
      </c>
      <c r="E382" t="s">
        <v>15</v>
      </c>
      <c r="F382" t="s">
        <v>15</v>
      </c>
      <c r="G382" t="s">
        <v>20</v>
      </c>
      <c r="H382" t="s">
        <v>23</v>
      </c>
      <c r="I382">
        <v>106.22</v>
      </c>
      <c r="J382">
        <v>16.7</v>
      </c>
      <c r="K382" t="s">
        <v>27</v>
      </c>
      <c r="L382" t="s">
        <v>15</v>
      </c>
    </row>
    <row r="383" spans="1:12" x14ac:dyDescent="0.3">
      <c r="A383">
        <v>69936</v>
      </c>
      <c r="B383" t="s">
        <v>13</v>
      </c>
      <c r="C383">
        <v>39</v>
      </c>
      <c r="D383" t="s">
        <v>15</v>
      </c>
      <c r="E383" t="s">
        <v>15</v>
      </c>
      <c r="F383" t="s">
        <v>16</v>
      </c>
      <c r="G383" t="s">
        <v>17</v>
      </c>
      <c r="H383" t="s">
        <v>22</v>
      </c>
      <c r="I383">
        <v>101.52</v>
      </c>
      <c r="J383">
        <v>41.8</v>
      </c>
      <c r="K383" t="s">
        <v>25</v>
      </c>
      <c r="L383" t="s">
        <v>15</v>
      </c>
    </row>
    <row r="384" spans="1:12" x14ac:dyDescent="0.3">
      <c r="A384">
        <v>46527</v>
      </c>
      <c r="B384" t="s">
        <v>12</v>
      </c>
      <c r="C384">
        <v>53</v>
      </c>
      <c r="D384" t="s">
        <v>16</v>
      </c>
      <c r="E384" t="s">
        <v>16</v>
      </c>
      <c r="F384" t="s">
        <v>16</v>
      </c>
      <c r="G384" t="s">
        <v>19</v>
      </c>
      <c r="H384" t="s">
        <v>23</v>
      </c>
      <c r="I384">
        <v>109.51</v>
      </c>
      <c r="J384">
        <v>41.9</v>
      </c>
      <c r="K384" t="s">
        <v>25</v>
      </c>
      <c r="L384" t="s">
        <v>15</v>
      </c>
    </row>
    <row r="385" spans="1:12" x14ac:dyDescent="0.3">
      <c r="A385">
        <v>22537</v>
      </c>
      <c r="B385" t="s">
        <v>12</v>
      </c>
      <c r="C385">
        <v>5</v>
      </c>
      <c r="D385" t="s">
        <v>15</v>
      </c>
      <c r="E385" t="s">
        <v>15</v>
      </c>
      <c r="F385" t="s">
        <v>15</v>
      </c>
      <c r="G385" t="s">
        <v>20</v>
      </c>
      <c r="H385" t="s">
        <v>23</v>
      </c>
      <c r="I385">
        <v>85.84</v>
      </c>
      <c r="J385">
        <v>16.399999999999999</v>
      </c>
      <c r="K385" t="s">
        <v>27</v>
      </c>
      <c r="L385" t="s">
        <v>15</v>
      </c>
    </row>
    <row r="386" spans="1:12" x14ac:dyDescent="0.3">
      <c r="A386">
        <v>50611</v>
      </c>
      <c r="B386" t="s">
        <v>12</v>
      </c>
      <c r="C386">
        <v>4</v>
      </c>
      <c r="D386" t="s">
        <v>15</v>
      </c>
      <c r="E386" t="s">
        <v>15</v>
      </c>
      <c r="F386" t="s">
        <v>15</v>
      </c>
      <c r="G386" t="s">
        <v>20</v>
      </c>
      <c r="H386" t="s">
        <v>23</v>
      </c>
      <c r="I386">
        <v>110.15</v>
      </c>
      <c r="J386">
        <v>17.100000000000001</v>
      </c>
      <c r="K386" t="s">
        <v>27</v>
      </c>
      <c r="L386" t="s">
        <v>15</v>
      </c>
    </row>
    <row r="387" spans="1:12" x14ac:dyDescent="0.3">
      <c r="A387">
        <v>13547</v>
      </c>
      <c r="B387" t="s">
        <v>13</v>
      </c>
      <c r="C387">
        <v>37</v>
      </c>
      <c r="D387" t="s">
        <v>15</v>
      </c>
      <c r="E387" t="s">
        <v>15</v>
      </c>
      <c r="F387" t="s">
        <v>16</v>
      </c>
      <c r="G387" t="s">
        <v>17</v>
      </c>
      <c r="H387" t="s">
        <v>22</v>
      </c>
      <c r="I387">
        <v>91.72</v>
      </c>
      <c r="J387">
        <v>29.2</v>
      </c>
      <c r="K387" t="s">
        <v>25</v>
      </c>
      <c r="L387" t="s">
        <v>15</v>
      </c>
    </row>
    <row r="388" spans="1:12" x14ac:dyDescent="0.3">
      <c r="A388">
        <v>63732</v>
      </c>
      <c r="B388" t="s">
        <v>12</v>
      </c>
      <c r="C388">
        <v>70</v>
      </c>
      <c r="D388" t="s">
        <v>16</v>
      </c>
      <c r="E388" t="s">
        <v>15</v>
      </c>
      <c r="F388" t="s">
        <v>16</v>
      </c>
      <c r="G388" t="s">
        <v>18</v>
      </c>
      <c r="H388" t="s">
        <v>22</v>
      </c>
      <c r="I388">
        <v>251.6</v>
      </c>
      <c r="J388">
        <v>27.1</v>
      </c>
      <c r="K388" t="s">
        <v>25</v>
      </c>
      <c r="L388" t="s">
        <v>15</v>
      </c>
    </row>
    <row r="389" spans="1:12" x14ac:dyDescent="0.3">
      <c r="A389">
        <v>9608</v>
      </c>
      <c r="B389" t="s">
        <v>12</v>
      </c>
      <c r="C389">
        <v>24</v>
      </c>
      <c r="D389" t="s">
        <v>15</v>
      </c>
      <c r="E389" t="s">
        <v>15</v>
      </c>
      <c r="F389" t="s">
        <v>15</v>
      </c>
      <c r="G389" t="s">
        <v>17</v>
      </c>
      <c r="H389" t="s">
        <v>22</v>
      </c>
      <c r="I389">
        <v>123.1</v>
      </c>
      <c r="J389">
        <v>37.9</v>
      </c>
      <c r="K389" t="s">
        <v>25</v>
      </c>
      <c r="L389" t="s">
        <v>15</v>
      </c>
    </row>
    <row r="390" spans="1:12" x14ac:dyDescent="0.3">
      <c r="A390">
        <v>10504</v>
      </c>
      <c r="B390" t="s">
        <v>12</v>
      </c>
      <c r="C390">
        <v>55</v>
      </c>
      <c r="D390" t="s">
        <v>15</v>
      </c>
      <c r="E390" t="s">
        <v>15</v>
      </c>
      <c r="F390" t="s">
        <v>16</v>
      </c>
      <c r="G390" t="s">
        <v>19</v>
      </c>
      <c r="H390" t="s">
        <v>23</v>
      </c>
      <c r="I390">
        <v>97.4</v>
      </c>
      <c r="J390">
        <v>44.6</v>
      </c>
      <c r="K390" t="s">
        <v>24</v>
      </c>
      <c r="L390" t="s">
        <v>15</v>
      </c>
    </row>
    <row r="391" spans="1:12" x14ac:dyDescent="0.3">
      <c r="A391">
        <v>37090</v>
      </c>
      <c r="B391" t="s">
        <v>13</v>
      </c>
      <c r="C391">
        <v>70</v>
      </c>
      <c r="D391" t="s">
        <v>15</v>
      </c>
      <c r="E391" t="s">
        <v>15</v>
      </c>
      <c r="F391" t="s">
        <v>16</v>
      </c>
      <c r="G391" t="s">
        <v>17</v>
      </c>
      <c r="H391" t="s">
        <v>23</v>
      </c>
      <c r="I391">
        <v>68.34</v>
      </c>
      <c r="J391">
        <v>22.8</v>
      </c>
      <c r="K391" t="s">
        <v>24</v>
      </c>
      <c r="L391" t="s">
        <v>15</v>
      </c>
    </row>
    <row r="392" spans="1:12" x14ac:dyDescent="0.3">
      <c r="A392">
        <v>60148</v>
      </c>
      <c r="B392" t="s">
        <v>12</v>
      </c>
      <c r="C392">
        <v>34</v>
      </c>
      <c r="D392" t="s">
        <v>15</v>
      </c>
      <c r="E392" t="s">
        <v>15</v>
      </c>
      <c r="F392" t="s">
        <v>16</v>
      </c>
      <c r="G392" t="s">
        <v>17</v>
      </c>
      <c r="H392" t="s">
        <v>22</v>
      </c>
      <c r="I392">
        <v>80.81</v>
      </c>
      <c r="J392">
        <v>33.200000000000003</v>
      </c>
      <c r="K392" t="s">
        <v>25</v>
      </c>
      <c r="L392" t="s">
        <v>15</v>
      </c>
    </row>
    <row r="393" spans="1:12" x14ac:dyDescent="0.3">
      <c r="A393">
        <v>9637</v>
      </c>
      <c r="B393" t="s">
        <v>12</v>
      </c>
      <c r="C393">
        <v>26</v>
      </c>
      <c r="D393" t="s">
        <v>15</v>
      </c>
      <c r="E393" t="s">
        <v>15</v>
      </c>
      <c r="F393" t="s">
        <v>16</v>
      </c>
      <c r="G393" t="s">
        <v>17</v>
      </c>
      <c r="H393" t="s">
        <v>23</v>
      </c>
      <c r="I393">
        <v>120.31</v>
      </c>
      <c r="J393">
        <v>22.3</v>
      </c>
      <c r="K393" t="s">
        <v>26</v>
      </c>
      <c r="L393" t="s">
        <v>15</v>
      </c>
    </row>
    <row r="394" spans="1:12" x14ac:dyDescent="0.3">
      <c r="A394">
        <v>44862</v>
      </c>
      <c r="B394" t="s">
        <v>13</v>
      </c>
      <c r="C394">
        <v>39</v>
      </c>
      <c r="D394" t="s">
        <v>15</v>
      </c>
      <c r="E394" t="s">
        <v>15</v>
      </c>
      <c r="F394" t="s">
        <v>16</v>
      </c>
      <c r="G394" t="s">
        <v>17</v>
      </c>
      <c r="H394" t="s">
        <v>23</v>
      </c>
      <c r="I394">
        <v>83.51</v>
      </c>
      <c r="J394">
        <v>26.4</v>
      </c>
      <c r="K394" t="s">
        <v>25</v>
      </c>
      <c r="L394" t="s">
        <v>15</v>
      </c>
    </row>
    <row r="395" spans="1:12" x14ac:dyDescent="0.3">
      <c r="A395">
        <v>52173</v>
      </c>
      <c r="B395" t="s">
        <v>12</v>
      </c>
      <c r="C395">
        <v>38</v>
      </c>
      <c r="D395" t="s">
        <v>15</v>
      </c>
      <c r="E395" t="s">
        <v>15</v>
      </c>
      <c r="F395" t="s">
        <v>15</v>
      </c>
      <c r="G395" t="s">
        <v>18</v>
      </c>
      <c r="H395" t="s">
        <v>22</v>
      </c>
      <c r="I395">
        <v>74.09</v>
      </c>
      <c r="J395">
        <v>39.6</v>
      </c>
      <c r="K395" t="s">
        <v>25</v>
      </c>
      <c r="L395" t="s">
        <v>15</v>
      </c>
    </row>
    <row r="396" spans="1:12" x14ac:dyDescent="0.3">
      <c r="A396">
        <v>5708</v>
      </c>
      <c r="B396" t="s">
        <v>13</v>
      </c>
      <c r="C396">
        <v>20</v>
      </c>
      <c r="D396" t="s">
        <v>15</v>
      </c>
      <c r="E396" t="s">
        <v>15</v>
      </c>
      <c r="F396" t="s">
        <v>15</v>
      </c>
      <c r="G396" t="s">
        <v>17</v>
      </c>
      <c r="H396" t="s">
        <v>22</v>
      </c>
      <c r="I396">
        <v>91.6</v>
      </c>
      <c r="J396">
        <v>28.1</v>
      </c>
      <c r="K396" t="s">
        <v>25</v>
      </c>
      <c r="L396" t="s">
        <v>15</v>
      </c>
    </row>
    <row r="397" spans="1:12" x14ac:dyDescent="0.3">
      <c r="A397">
        <v>23462</v>
      </c>
      <c r="B397" t="s">
        <v>13</v>
      </c>
      <c r="C397">
        <v>17</v>
      </c>
      <c r="D397" t="s">
        <v>15</v>
      </c>
      <c r="E397" t="s">
        <v>15</v>
      </c>
      <c r="F397" t="s">
        <v>15</v>
      </c>
      <c r="G397" t="s">
        <v>17</v>
      </c>
      <c r="H397" t="s">
        <v>22</v>
      </c>
      <c r="I397">
        <v>87.52</v>
      </c>
      <c r="J397">
        <v>39.200000000000003</v>
      </c>
      <c r="K397" t="s">
        <v>25</v>
      </c>
      <c r="L397" t="s">
        <v>15</v>
      </c>
    </row>
    <row r="398" spans="1:12" x14ac:dyDescent="0.3">
      <c r="A398">
        <v>2374</v>
      </c>
      <c r="B398" t="s">
        <v>12</v>
      </c>
      <c r="C398">
        <v>60</v>
      </c>
      <c r="D398" t="s">
        <v>16</v>
      </c>
      <c r="E398" t="s">
        <v>15</v>
      </c>
      <c r="F398" t="s">
        <v>16</v>
      </c>
      <c r="G398" t="s">
        <v>17</v>
      </c>
      <c r="H398" t="s">
        <v>23</v>
      </c>
      <c r="I398">
        <v>213.37</v>
      </c>
      <c r="J398">
        <v>36</v>
      </c>
      <c r="K398" t="s">
        <v>25</v>
      </c>
      <c r="L398" t="s">
        <v>15</v>
      </c>
    </row>
    <row r="399" spans="1:12" x14ac:dyDescent="0.3">
      <c r="A399">
        <v>11091</v>
      </c>
      <c r="B399" t="s">
        <v>13</v>
      </c>
      <c r="C399">
        <v>75</v>
      </c>
      <c r="D399" t="s">
        <v>15</v>
      </c>
      <c r="E399" t="s">
        <v>15</v>
      </c>
      <c r="F399" t="s">
        <v>16</v>
      </c>
      <c r="G399" t="s">
        <v>18</v>
      </c>
      <c r="H399" t="s">
        <v>23</v>
      </c>
      <c r="I399">
        <v>75.39</v>
      </c>
      <c r="J399">
        <v>37.799999999999997</v>
      </c>
      <c r="K399" t="s">
        <v>25</v>
      </c>
      <c r="L399" t="s">
        <v>15</v>
      </c>
    </row>
    <row r="400" spans="1:12" x14ac:dyDescent="0.3">
      <c r="A400">
        <v>70374</v>
      </c>
      <c r="B400" t="s">
        <v>13</v>
      </c>
      <c r="C400">
        <v>31</v>
      </c>
      <c r="D400" t="s">
        <v>15</v>
      </c>
      <c r="E400" t="s">
        <v>15</v>
      </c>
      <c r="F400" t="s">
        <v>16</v>
      </c>
      <c r="G400" t="s">
        <v>17</v>
      </c>
      <c r="H400" t="s">
        <v>23</v>
      </c>
      <c r="I400">
        <v>122.41</v>
      </c>
      <c r="J400">
        <v>40.299999999999997</v>
      </c>
      <c r="K400" t="s">
        <v>26</v>
      </c>
      <c r="L400" t="s">
        <v>15</v>
      </c>
    </row>
    <row r="401" spans="1:12" x14ac:dyDescent="0.3">
      <c r="A401">
        <v>15528</v>
      </c>
      <c r="B401" t="s">
        <v>12</v>
      </c>
      <c r="C401">
        <v>58</v>
      </c>
      <c r="D401" t="s">
        <v>16</v>
      </c>
      <c r="E401" t="s">
        <v>15</v>
      </c>
      <c r="F401" t="s">
        <v>16</v>
      </c>
      <c r="G401" t="s">
        <v>17</v>
      </c>
      <c r="H401" t="s">
        <v>23</v>
      </c>
      <c r="I401">
        <v>223.36</v>
      </c>
      <c r="J401">
        <v>41.5</v>
      </c>
      <c r="K401" t="s">
        <v>24</v>
      </c>
      <c r="L401" t="s">
        <v>15</v>
      </c>
    </row>
    <row r="402" spans="1:12" x14ac:dyDescent="0.3">
      <c r="A402">
        <v>65357</v>
      </c>
      <c r="B402" t="s">
        <v>13</v>
      </c>
      <c r="C402">
        <v>5</v>
      </c>
      <c r="D402" t="s">
        <v>15</v>
      </c>
      <c r="E402" t="s">
        <v>15</v>
      </c>
      <c r="F402" t="s">
        <v>15</v>
      </c>
      <c r="G402" t="s">
        <v>20</v>
      </c>
      <c r="H402" t="s">
        <v>23</v>
      </c>
      <c r="I402">
        <v>84.59</v>
      </c>
      <c r="J402">
        <v>17.7</v>
      </c>
      <c r="K402" t="s">
        <v>27</v>
      </c>
      <c r="L402" t="s">
        <v>15</v>
      </c>
    </row>
    <row r="403" spans="1:12" x14ac:dyDescent="0.3">
      <c r="A403">
        <v>49465</v>
      </c>
      <c r="B403" t="s">
        <v>13</v>
      </c>
      <c r="C403">
        <v>13</v>
      </c>
      <c r="D403" t="s">
        <v>15</v>
      </c>
      <c r="E403" t="s">
        <v>15</v>
      </c>
      <c r="F403" t="s">
        <v>15</v>
      </c>
      <c r="G403" t="s">
        <v>20</v>
      </c>
      <c r="H403" t="s">
        <v>22</v>
      </c>
      <c r="I403">
        <v>70.16</v>
      </c>
      <c r="J403">
        <v>21.2</v>
      </c>
      <c r="K403" t="s">
        <v>25</v>
      </c>
      <c r="L403" t="s">
        <v>15</v>
      </c>
    </row>
    <row r="404" spans="1:12" x14ac:dyDescent="0.3">
      <c r="A404">
        <v>31143</v>
      </c>
      <c r="B404" t="s">
        <v>13</v>
      </c>
      <c r="C404">
        <v>22</v>
      </c>
      <c r="D404" t="s">
        <v>15</v>
      </c>
      <c r="E404" t="s">
        <v>15</v>
      </c>
      <c r="F404" t="s">
        <v>15</v>
      </c>
      <c r="G404" t="s">
        <v>17</v>
      </c>
      <c r="H404" t="s">
        <v>23</v>
      </c>
      <c r="I404">
        <v>107.52</v>
      </c>
      <c r="J404">
        <v>41.6</v>
      </c>
      <c r="K404" t="s">
        <v>27</v>
      </c>
      <c r="L404" t="s">
        <v>15</v>
      </c>
    </row>
    <row r="405" spans="1:12" x14ac:dyDescent="0.3">
      <c r="A405">
        <v>66972</v>
      </c>
      <c r="B405" t="s">
        <v>13</v>
      </c>
      <c r="C405">
        <v>52</v>
      </c>
      <c r="D405" t="s">
        <v>15</v>
      </c>
      <c r="E405" t="s">
        <v>15</v>
      </c>
      <c r="F405" t="s">
        <v>16</v>
      </c>
      <c r="G405" t="s">
        <v>19</v>
      </c>
      <c r="H405" t="s">
        <v>22</v>
      </c>
      <c r="I405">
        <v>80.88</v>
      </c>
      <c r="J405">
        <v>23.8</v>
      </c>
      <c r="K405" t="s">
        <v>26</v>
      </c>
      <c r="L405" t="s">
        <v>15</v>
      </c>
    </row>
    <row r="406" spans="1:12" x14ac:dyDescent="0.3">
      <c r="A406">
        <v>55810</v>
      </c>
      <c r="B406" t="s">
        <v>13</v>
      </c>
      <c r="C406">
        <v>61</v>
      </c>
      <c r="D406" t="s">
        <v>15</v>
      </c>
      <c r="E406" t="s">
        <v>15</v>
      </c>
      <c r="F406" t="s">
        <v>16</v>
      </c>
      <c r="G406" t="s">
        <v>18</v>
      </c>
      <c r="H406" t="s">
        <v>23</v>
      </c>
      <c r="I406">
        <v>93.48</v>
      </c>
      <c r="J406">
        <v>23.7</v>
      </c>
      <c r="K406" t="s">
        <v>27</v>
      </c>
      <c r="L406" t="s">
        <v>15</v>
      </c>
    </row>
    <row r="407" spans="1:12" x14ac:dyDescent="0.3">
      <c r="A407">
        <v>37031</v>
      </c>
      <c r="B407" t="s">
        <v>13</v>
      </c>
      <c r="C407">
        <v>78</v>
      </c>
      <c r="D407" t="s">
        <v>15</v>
      </c>
      <c r="E407" t="s">
        <v>16</v>
      </c>
      <c r="F407" t="s">
        <v>16</v>
      </c>
      <c r="G407" t="s">
        <v>19</v>
      </c>
      <c r="H407" t="s">
        <v>22</v>
      </c>
      <c r="I407">
        <v>70.209999999999994</v>
      </c>
      <c r="J407">
        <v>24.8</v>
      </c>
      <c r="K407" t="s">
        <v>25</v>
      </c>
      <c r="L407" t="s">
        <v>15</v>
      </c>
    </row>
    <row r="408" spans="1:12" x14ac:dyDescent="0.3">
      <c r="A408">
        <v>34608</v>
      </c>
      <c r="B408" t="s">
        <v>12</v>
      </c>
      <c r="C408">
        <v>57</v>
      </c>
      <c r="D408" t="s">
        <v>15</v>
      </c>
      <c r="E408" t="s">
        <v>15</v>
      </c>
      <c r="F408" t="s">
        <v>16</v>
      </c>
      <c r="G408" t="s">
        <v>17</v>
      </c>
      <c r="H408" t="s">
        <v>23</v>
      </c>
      <c r="I408">
        <v>86.67</v>
      </c>
      <c r="J408">
        <v>39</v>
      </c>
      <c r="K408" t="s">
        <v>27</v>
      </c>
      <c r="L408" t="s">
        <v>15</v>
      </c>
    </row>
    <row r="409" spans="1:12" x14ac:dyDescent="0.3">
      <c r="A409">
        <v>36007</v>
      </c>
      <c r="B409" t="s">
        <v>13</v>
      </c>
      <c r="C409">
        <v>21</v>
      </c>
      <c r="D409" t="s">
        <v>15</v>
      </c>
      <c r="E409" t="s">
        <v>15</v>
      </c>
      <c r="F409" t="s">
        <v>16</v>
      </c>
      <c r="G409" t="s">
        <v>17</v>
      </c>
      <c r="H409" t="s">
        <v>23</v>
      </c>
      <c r="I409">
        <v>101.37</v>
      </c>
      <c r="J409">
        <v>37.9</v>
      </c>
      <c r="K409" t="s">
        <v>25</v>
      </c>
      <c r="L409" t="s">
        <v>15</v>
      </c>
    </row>
    <row r="410" spans="1:12" x14ac:dyDescent="0.3">
      <c r="A410">
        <v>14123</v>
      </c>
      <c r="B410" t="s">
        <v>13</v>
      </c>
      <c r="C410">
        <v>22</v>
      </c>
      <c r="D410" t="s">
        <v>15</v>
      </c>
      <c r="E410" t="s">
        <v>15</v>
      </c>
      <c r="F410" t="s">
        <v>16</v>
      </c>
      <c r="G410" t="s">
        <v>17</v>
      </c>
      <c r="H410" t="s">
        <v>23</v>
      </c>
      <c r="I410">
        <v>105.22</v>
      </c>
      <c r="J410">
        <v>31.1</v>
      </c>
      <c r="K410" t="s">
        <v>25</v>
      </c>
      <c r="L410" t="s">
        <v>15</v>
      </c>
    </row>
    <row r="411" spans="1:12" x14ac:dyDescent="0.3">
      <c r="A411">
        <v>48298</v>
      </c>
      <c r="B411" t="s">
        <v>13</v>
      </c>
      <c r="C411">
        <v>80</v>
      </c>
      <c r="D411" t="s">
        <v>15</v>
      </c>
      <c r="E411" t="s">
        <v>15</v>
      </c>
      <c r="F411" t="s">
        <v>16</v>
      </c>
      <c r="G411" t="s">
        <v>17</v>
      </c>
      <c r="H411" t="s">
        <v>23</v>
      </c>
      <c r="I411">
        <v>70.31</v>
      </c>
      <c r="J411">
        <v>23.2</v>
      </c>
      <c r="K411" t="s">
        <v>27</v>
      </c>
      <c r="L411" t="s">
        <v>15</v>
      </c>
    </row>
    <row r="412" spans="1:12" x14ac:dyDescent="0.3">
      <c r="A412">
        <v>54975</v>
      </c>
      <c r="B412" t="s">
        <v>12</v>
      </c>
      <c r="C412">
        <v>7</v>
      </c>
      <c r="D412" t="s">
        <v>15</v>
      </c>
      <c r="E412" t="s">
        <v>15</v>
      </c>
      <c r="F412" t="s">
        <v>15</v>
      </c>
      <c r="G412" t="s">
        <v>18</v>
      </c>
      <c r="H412" t="s">
        <v>23</v>
      </c>
      <c r="I412">
        <v>64.06</v>
      </c>
      <c r="J412">
        <v>18.899999999999999</v>
      </c>
      <c r="K412" t="s">
        <v>27</v>
      </c>
      <c r="L412" t="s">
        <v>15</v>
      </c>
    </row>
    <row r="413" spans="1:12" x14ac:dyDescent="0.3">
      <c r="A413">
        <v>27213</v>
      </c>
      <c r="B413" t="s">
        <v>12</v>
      </c>
      <c r="C413">
        <v>64</v>
      </c>
      <c r="D413" t="s">
        <v>16</v>
      </c>
      <c r="E413" t="s">
        <v>15</v>
      </c>
      <c r="F413" t="s">
        <v>16</v>
      </c>
      <c r="G413" t="s">
        <v>18</v>
      </c>
      <c r="H413" t="s">
        <v>23</v>
      </c>
      <c r="I413">
        <v>178.29</v>
      </c>
      <c r="J413">
        <v>36.1</v>
      </c>
      <c r="K413" t="s">
        <v>25</v>
      </c>
      <c r="L413" t="s">
        <v>15</v>
      </c>
    </row>
    <row r="414" spans="1:12" x14ac:dyDescent="0.3">
      <c r="A414">
        <v>44749</v>
      </c>
      <c r="B414" t="s">
        <v>13</v>
      </c>
      <c r="C414">
        <v>64</v>
      </c>
      <c r="D414" t="s">
        <v>15</v>
      </c>
      <c r="E414" t="s">
        <v>15</v>
      </c>
      <c r="F414" t="s">
        <v>15</v>
      </c>
      <c r="G414" t="s">
        <v>19</v>
      </c>
      <c r="H414" t="s">
        <v>23</v>
      </c>
      <c r="I414">
        <v>81.599999999999994</v>
      </c>
      <c r="J414">
        <v>36.299999999999997</v>
      </c>
      <c r="K414" t="s">
        <v>26</v>
      </c>
      <c r="L414" t="s">
        <v>15</v>
      </c>
    </row>
    <row r="415" spans="1:12" x14ac:dyDescent="0.3">
      <c r="A415">
        <v>46468</v>
      </c>
      <c r="B415" t="s">
        <v>13</v>
      </c>
      <c r="C415">
        <v>38</v>
      </c>
      <c r="D415" t="s">
        <v>15</v>
      </c>
      <c r="E415" t="s">
        <v>15</v>
      </c>
      <c r="F415" t="s">
        <v>16</v>
      </c>
      <c r="G415" t="s">
        <v>18</v>
      </c>
      <c r="H415" t="s">
        <v>22</v>
      </c>
      <c r="I415">
        <v>147.47999999999999</v>
      </c>
      <c r="J415">
        <v>40.5</v>
      </c>
      <c r="K415" t="s">
        <v>27</v>
      </c>
      <c r="L415" t="s">
        <v>15</v>
      </c>
    </row>
    <row r="416" spans="1:12" x14ac:dyDescent="0.3">
      <c r="A416">
        <v>10913</v>
      </c>
      <c r="B416" t="s">
        <v>12</v>
      </c>
      <c r="C416">
        <v>12</v>
      </c>
      <c r="D416" t="s">
        <v>15</v>
      </c>
      <c r="E416" t="s">
        <v>15</v>
      </c>
      <c r="F416" t="s">
        <v>15</v>
      </c>
      <c r="G416" t="s">
        <v>20</v>
      </c>
      <c r="H416" t="s">
        <v>22</v>
      </c>
      <c r="I416">
        <v>86.86</v>
      </c>
      <c r="J416">
        <v>25.4</v>
      </c>
      <c r="K416" t="s">
        <v>25</v>
      </c>
      <c r="L416" t="s">
        <v>15</v>
      </c>
    </row>
    <row r="417" spans="1:12" x14ac:dyDescent="0.3">
      <c r="A417">
        <v>51983</v>
      </c>
      <c r="B417" t="s">
        <v>13</v>
      </c>
      <c r="C417">
        <v>33</v>
      </c>
      <c r="D417" t="s">
        <v>15</v>
      </c>
      <c r="E417" t="s">
        <v>15</v>
      </c>
      <c r="F417" t="s">
        <v>16</v>
      </c>
      <c r="G417" t="s">
        <v>17</v>
      </c>
      <c r="H417" t="s">
        <v>23</v>
      </c>
      <c r="I417">
        <v>71.16</v>
      </c>
      <c r="J417">
        <v>46.5</v>
      </c>
      <c r="K417" t="s">
        <v>26</v>
      </c>
      <c r="L417" t="s">
        <v>15</v>
      </c>
    </row>
    <row r="418" spans="1:12" x14ac:dyDescent="0.3">
      <c r="A418">
        <v>27029</v>
      </c>
      <c r="B418" t="s">
        <v>13</v>
      </c>
      <c r="C418">
        <v>3</v>
      </c>
      <c r="D418" t="s">
        <v>15</v>
      </c>
      <c r="E418" t="s">
        <v>15</v>
      </c>
      <c r="F418" t="s">
        <v>15</v>
      </c>
      <c r="G418" t="s">
        <v>20</v>
      </c>
      <c r="H418" t="s">
        <v>22</v>
      </c>
      <c r="I418">
        <v>73.2</v>
      </c>
      <c r="J418">
        <v>16.8</v>
      </c>
      <c r="K418" t="s">
        <v>27</v>
      </c>
      <c r="L418" t="s">
        <v>15</v>
      </c>
    </row>
    <row r="419" spans="1:12" x14ac:dyDescent="0.3">
      <c r="A419">
        <v>22320</v>
      </c>
      <c r="B419" t="s">
        <v>13</v>
      </c>
      <c r="C419">
        <v>37</v>
      </c>
      <c r="D419" t="s">
        <v>15</v>
      </c>
      <c r="E419" t="s">
        <v>15</v>
      </c>
      <c r="F419" t="s">
        <v>16</v>
      </c>
      <c r="G419" t="s">
        <v>17</v>
      </c>
      <c r="H419" t="s">
        <v>22</v>
      </c>
      <c r="I419">
        <v>203.81</v>
      </c>
      <c r="J419">
        <v>46.6</v>
      </c>
      <c r="K419" t="s">
        <v>25</v>
      </c>
      <c r="L419" t="s">
        <v>15</v>
      </c>
    </row>
    <row r="420" spans="1:12" x14ac:dyDescent="0.3">
      <c r="A420">
        <v>45719</v>
      </c>
      <c r="B420" t="s">
        <v>13</v>
      </c>
      <c r="C420">
        <v>22</v>
      </c>
      <c r="D420" t="s">
        <v>15</v>
      </c>
      <c r="E420" t="s">
        <v>15</v>
      </c>
      <c r="F420" t="s">
        <v>15</v>
      </c>
      <c r="G420" t="s">
        <v>17</v>
      </c>
      <c r="H420" t="s">
        <v>23</v>
      </c>
      <c r="I420">
        <v>82</v>
      </c>
      <c r="J420">
        <v>26.4</v>
      </c>
      <c r="K420" t="s">
        <v>25</v>
      </c>
      <c r="L420" t="s">
        <v>15</v>
      </c>
    </row>
    <row r="421" spans="1:12" x14ac:dyDescent="0.3">
      <c r="A421">
        <v>129</v>
      </c>
      <c r="B421" t="s">
        <v>13</v>
      </c>
      <c r="C421">
        <v>24</v>
      </c>
      <c r="D421" t="s">
        <v>15</v>
      </c>
      <c r="E421" t="s">
        <v>15</v>
      </c>
      <c r="F421" t="s">
        <v>15</v>
      </c>
      <c r="G421" t="s">
        <v>17</v>
      </c>
      <c r="H421" t="s">
        <v>22</v>
      </c>
      <c r="I421">
        <v>97.55</v>
      </c>
      <c r="J421">
        <v>26.2</v>
      </c>
      <c r="K421" t="s">
        <v>25</v>
      </c>
      <c r="L421" t="s">
        <v>15</v>
      </c>
    </row>
    <row r="422" spans="1:12" x14ac:dyDescent="0.3">
      <c r="A422">
        <v>20351</v>
      </c>
      <c r="B422" t="s">
        <v>12</v>
      </c>
      <c r="C422">
        <v>75</v>
      </c>
      <c r="D422" t="s">
        <v>15</v>
      </c>
      <c r="E422" t="s">
        <v>15</v>
      </c>
      <c r="F422" t="s">
        <v>16</v>
      </c>
      <c r="G422" t="s">
        <v>19</v>
      </c>
      <c r="H422" t="s">
        <v>22</v>
      </c>
      <c r="I422">
        <v>94.29</v>
      </c>
      <c r="J422">
        <v>35.200000000000003</v>
      </c>
      <c r="K422" t="s">
        <v>27</v>
      </c>
      <c r="L422" t="s">
        <v>15</v>
      </c>
    </row>
    <row r="423" spans="1:12" x14ac:dyDescent="0.3">
      <c r="A423">
        <v>530</v>
      </c>
      <c r="B423" t="s">
        <v>13</v>
      </c>
      <c r="C423">
        <v>12</v>
      </c>
      <c r="D423" t="s">
        <v>15</v>
      </c>
      <c r="E423" t="s">
        <v>15</v>
      </c>
      <c r="F423" t="s">
        <v>15</v>
      </c>
      <c r="G423" t="s">
        <v>20</v>
      </c>
      <c r="H423" t="s">
        <v>23</v>
      </c>
      <c r="I423">
        <v>75.22</v>
      </c>
      <c r="J423">
        <v>20.9</v>
      </c>
      <c r="K423" t="s">
        <v>27</v>
      </c>
      <c r="L423" t="s">
        <v>15</v>
      </c>
    </row>
    <row r="424" spans="1:12" x14ac:dyDescent="0.3">
      <c r="A424">
        <v>55351</v>
      </c>
      <c r="B424" t="s">
        <v>12</v>
      </c>
      <c r="C424">
        <v>63</v>
      </c>
      <c r="D424" t="s">
        <v>15</v>
      </c>
      <c r="E424" t="s">
        <v>15</v>
      </c>
      <c r="F424" t="s">
        <v>16</v>
      </c>
      <c r="G424" t="s">
        <v>17</v>
      </c>
      <c r="H424" t="s">
        <v>22</v>
      </c>
      <c r="I424">
        <v>90.07</v>
      </c>
      <c r="J424">
        <v>36.799999999999997</v>
      </c>
      <c r="K424" t="s">
        <v>27</v>
      </c>
      <c r="L424" t="s">
        <v>15</v>
      </c>
    </row>
    <row r="425" spans="1:12" x14ac:dyDescent="0.3">
      <c r="A425">
        <v>67431</v>
      </c>
      <c r="B425" t="s">
        <v>13</v>
      </c>
      <c r="C425">
        <v>52</v>
      </c>
      <c r="D425" t="s">
        <v>15</v>
      </c>
      <c r="E425" t="s">
        <v>15</v>
      </c>
      <c r="F425" t="s">
        <v>16</v>
      </c>
      <c r="G425" t="s">
        <v>17</v>
      </c>
      <c r="H425" t="s">
        <v>22</v>
      </c>
      <c r="I425">
        <v>73.73</v>
      </c>
      <c r="J425">
        <v>34.4</v>
      </c>
      <c r="K425" t="s">
        <v>24</v>
      </c>
      <c r="L425" t="s">
        <v>15</v>
      </c>
    </row>
    <row r="426" spans="1:12" x14ac:dyDescent="0.3">
      <c r="A426">
        <v>20546</v>
      </c>
      <c r="B426" t="s">
        <v>13</v>
      </c>
      <c r="C426">
        <v>68</v>
      </c>
      <c r="D426" t="s">
        <v>15</v>
      </c>
      <c r="E426" t="s">
        <v>15</v>
      </c>
      <c r="F426" t="s">
        <v>16</v>
      </c>
      <c r="G426" t="s">
        <v>17</v>
      </c>
      <c r="H426" t="s">
        <v>22</v>
      </c>
      <c r="I426">
        <v>79.58</v>
      </c>
      <c r="J426">
        <v>22.2</v>
      </c>
      <c r="K426" t="s">
        <v>25</v>
      </c>
      <c r="L426" t="s">
        <v>15</v>
      </c>
    </row>
    <row r="427" spans="1:12" x14ac:dyDescent="0.3">
      <c r="A427">
        <v>6107</v>
      </c>
      <c r="B427" t="s">
        <v>13</v>
      </c>
      <c r="C427">
        <v>5</v>
      </c>
      <c r="D427" t="s">
        <v>15</v>
      </c>
      <c r="E427" t="s">
        <v>15</v>
      </c>
      <c r="F427" t="s">
        <v>15</v>
      </c>
      <c r="G427" t="s">
        <v>20</v>
      </c>
      <c r="H427" t="s">
        <v>22</v>
      </c>
      <c r="I427">
        <v>77.88</v>
      </c>
      <c r="J427">
        <v>13.8</v>
      </c>
      <c r="K427" t="s">
        <v>27</v>
      </c>
      <c r="L427" t="s">
        <v>15</v>
      </c>
    </row>
    <row r="428" spans="1:12" x14ac:dyDescent="0.3">
      <c r="A428">
        <v>50305</v>
      </c>
      <c r="B428" t="s">
        <v>13</v>
      </c>
      <c r="C428">
        <v>56</v>
      </c>
      <c r="D428" t="s">
        <v>16</v>
      </c>
      <c r="E428" t="s">
        <v>15</v>
      </c>
      <c r="F428" t="s">
        <v>16</v>
      </c>
      <c r="G428" t="s">
        <v>17</v>
      </c>
      <c r="H428" t="s">
        <v>23</v>
      </c>
      <c r="I428">
        <v>205.26</v>
      </c>
      <c r="J428">
        <v>40.299999999999997</v>
      </c>
      <c r="K428" t="s">
        <v>25</v>
      </c>
      <c r="L428" t="s">
        <v>15</v>
      </c>
    </row>
    <row r="429" spans="1:12" x14ac:dyDescent="0.3">
      <c r="A429">
        <v>52342</v>
      </c>
      <c r="B429" t="s">
        <v>13</v>
      </c>
      <c r="C429">
        <v>43</v>
      </c>
      <c r="D429" t="s">
        <v>15</v>
      </c>
      <c r="E429" t="s">
        <v>15</v>
      </c>
      <c r="F429" t="s">
        <v>16</v>
      </c>
      <c r="G429" t="s">
        <v>17</v>
      </c>
      <c r="H429" t="s">
        <v>23</v>
      </c>
      <c r="I429">
        <v>58.63</v>
      </c>
      <c r="J429">
        <v>28.4</v>
      </c>
      <c r="K429" t="s">
        <v>26</v>
      </c>
      <c r="L429" t="s">
        <v>15</v>
      </c>
    </row>
    <row r="430" spans="1:12" x14ac:dyDescent="0.3">
      <c r="A430">
        <v>59906</v>
      </c>
      <c r="B430" t="s">
        <v>13</v>
      </c>
      <c r="C430">
        <v>40</v>
      </c>
      <c r="D430" t="s">
        <v>15</v>
      </c>
      <c r="E430" t="s">
        <v>15</v>
      </c>
      <c r="F430" t="s">
        <v>16</v>
      </c>
      <c r="G430" t="s">
        <v>17</v>
      </c>
      <c r="H430" t="s">
        <v>23</v>
      </c>
      <c r="I430">
        <v>139.9</v>
      </c>
      <c r="J430">
        <v>31.7</v>
      </c>
      <c r="K430" t="s">
        <v>26</v>
      </c>
      <c r="L430" t="s">
        <v>15</v>
      </c>
    </row>
    <row r="431" spans="1:12" x14ac:dyDescent="0.3">
      <c r="A431">
        <v>59729</v>
      </c>
      <c r="B431" t="s">
        <v>12</v>
      </c>
      <c r="C431">
        <v>53</v>
      </c>
      <c r="D431" t="s">
        <v>15</v>
      </c>
      <c r="E431" t="s">
        <v>15</v>
      </c>
      <c r="F431" t="s">
        <v>16</v>
      </c>
      <c r="G431" t="s">
        <v>17</v>
      </c>
      <c r="H431" t="s">
        <v>22</v>
      </c>
      <c r="I431">
        <v>211.03</v>
      </c>
      <c r="J431">
        <v>34.200000000000003</v>
      </c>
      <c r="K431" t="s">
        <v>24</v>
      </c>
      <c r="L431" t="s">
        <v>15</v>
      </c>
    </row>
    <row r="432" spans="1:12" x14ac:dyDescent="0.3">
      <c r="A432">
        <v>53144</v>
      </c>
      <c r="B432" t="s">
        <v>13</v>
      </c>
      <c r="C432">
        <v>52</v>
      </c>
      <c r="D432" t="s">
        <v>15</v>
      </c>
      <c r="E432" t="s">
        <v>16</v>
      </c>
      <c r="F432" t="s">
        <v>16</v>
      </c>
      <c r="G432" t="s">
        <v>17</v>
      </c>
      <c r="H432" t="s">
        <v>22</v>
      </c>
      <c r="I432">
        <v>72.790000000000006</v>
      </c>
      <c r="J432">
        <v>54.7</v>
      </c>
      <c r="K432" t="s">
        <v>25</v>
      </c>
      <c r="L432" t="s">
        <v>15</v>
      </c>
    </row>
    <row r="433" spans="1:12" x14ac:dyDescent="0.3">
      <c r="A433">
        <v>3655</v>
      </c>
      <c r="B433" t="s">
        <v>12</v>
      </c>
      <c r="C433">
        <v>31</v>
      </c>
      <c r="D433" t="s">
        <v>15</v>
      </c>
      <c r="E433" t="s">
        <v>15</v>
      </c>
      <c r="F433" t="s">
        <v>16</v>
      </c>
      <c r="G433" t="s">
        <v>19</v>
      </c>
      <c r="H433" t="s">
        <v>23</v>
      </c>
      <c r="I433">
        <v>91.65</v>
      </c>
      <c r="J433">
        <v>24.6</v>
      </c>
      <c r="K433" t="s">
        <v>24</v>
      </c>
      <c r="L433" t="s">
        <v>15</v>
      </c>
    </row>
    <row r="434" spans="1:12" x14ac:dyDescent="0.3">
      <c r="A434">
        <v>11999</v>
      </c>
      <c r="B434" t="s">
        <v>13</v>
      </c>
      <c r="C434">
        <v>63</v>
      </c>
      <c r="D434" t="s">
        <v>15</v>
      </c>
      <c r="E434" t="s">
        <v>15</v>
      </c>
      <c r="F434" t="s">
        <v>16</v>
      </c>
      <c r="G434" t="s">
        <v>19</v>
      </c>
      <c r="H434" t="s">
        <v>23</v>
      </c>
      <c r="I434">
        <v>79.92</v>
      </c>
      <c r="K434" t="s">
        <v>26</v>
      </c>
      <c r="L434" t="s">
        <v>15</v>
      </c>
    </row>
    <row r="435" spans="1:12" x14ac:dyDescent="0.3">
      <c r="A435">
        <v>12985</v>
      </c>
      <c r="B435" t="s">
        <v>13</v>
      </c>
      <c r="C435">
        <v>69</v>
      </c>
      <c r="D435" t="s">
        <v>15</v>
      </c>
      <c r="E435" t="s">
        <v>15</v>
      </c>
      <c r="F435" t="s">
        <v>16</v>
      </c>
      <c r="G435" t="s">
        <v>18</v>
      </c>
      <c r="H435" t="s">
        <v>23</v>
      </c>
      <c r="I435">
        <v>225.47</v>
      </c>
      <c r="J435">
        <v>36.9</v>
      </c>
      <c r="K435" t="s">
        <v>25</v>
      </c>
      <c r="L435" t="s">
        <v>15</v>
      </c>
    </row>
    <row r="436" spans="1:12" x14ac:dyDescent="0.3">
      <c r="A436">
        <v>38119</v>
      </c>
      <c r="B436" t="s">
        <v>12</v>
      </c>
      <c r="C436">
        <v>64</v>
      </c>
      <c r="D436" t="s">
        <v>15</v>
      </c>
      <c r="E436" t="s">
        <v>15</v>
      </c>
      <c r="F436" t="s">
        <v>16</v>
      </c>
      <c r="G436" t="s">
        <v>19</v>
      </c>
      <c r="H436" t="s">
        <v>22</v>
      </c>
      <c r="I436">
        <v>94.48</v>
      </c>
      <c r="J436">
        <v>31.1</v>
      </c>
      <c r="K436" t="s">
        <v>25</v>
      </c>
      <c r="L436" t="s">
        <v>15</v>
      </c>
    </row>
    <row r="437" spans="1:12" x14ac:dyDescent="0.3">
      <c r="A437">
        <v>3355</v>
      </c>
      <c r="B437" t="s">
        <v>13</v>
      </c>
      <c r="C437">
        <v>64</v>
      </c>
      <c r="D437" t="s">
        <v>15</v>
      </c>
      <c r="E437" t="s">
        <v>15</v>
      </c>
      <c r="F437" t="s">
        <v>16</v>
      </c>
      <c r="G437" t="s">
        <v>17</v>
      </c>
      <c r="H437" t="s">
        <v>22</v>
      </c>
      <c r="I437">
        <v>82.34</v>
      </c>
      <c r="J437">
        <v>31.9</v>
      </c>
      <c r="K437" t="s">
        <v>25</v>
      </c>
      <c r="L437" t="s">
        <v>15</v>
      </c>
    </row>
    <row r="438" spans="1:12" x14ac:dyDescent="0.3">
      <c r="A438">
        <v>22091</v>
      </c>
      <c r="B438" t="s">
        <v>13</v>
      </c>
      <c r="C438">
        <v>62</v>
      </c>
      <c r="D438" t="s">
        <v>15</v>
      </c>
      <c r="E438" t="s">
        <v>15</v>
      </c>
      <c r="F438" t="s">
        <v>16</v>
      </c>
      <c r="G438" t="s">
        <v>18</v>
      </c>
      <c r="H438" t="s">
        <v>22</v>
      </c>
      <c r="I438">
        <v>180.63</v>
      </c>
      <c r="J438">
        <v>31.8</v>
      </c>
      <c r="K438" t="s">
        <v>24</v>
      </c>
      <c r="L438" t="s">
        <v>15</v>
      </c>
    </row>
    <row r="439" spans="1:12" x14ac:dyDescent="0.3">
      <c r="A439">
        <v>5010</v>
      </c>
      <c r="B439" t="s">
        <v>13</v>
      </c>
      <c r="C439">
        <v>2</v>
      </c>
      <c r="D439" t="s">
        <v>15</v>
      </c>
      <c r="E439" t="s">
        <v>15</v>
      </c>
      <c r="F439" t="s">
        <v>15</v>
      </c>
      <c r="G439" t="s">
        <v>20</v>
      </c>
      <c r="H439" t="s">
        <v>23</v>
      </c>
      <c r="I439">
        <v>92.48</v>
      </c>
      <c r="J439">
        <v>18</v>
      </c>
      <c r="K439" t="s">
        <v>27</v>
      </c>
      <c r="L439" t="s">
        <v>15</v>
      </c>
    </row>
    <row r="440" spans="1:12" x14ac:dyDescent="0.3">
      <c r="A440">
        <v>67177</v>
      </c>
      <c r="B440" t="s">
        <v>12</v>
      </c>
      <c r="C440">
        <v>53</v>
      </c>
      <c r="D440" t="s">
        <v>15</v>
      </c>
      <c r="E440" t="s">
        <v>15</v>
      </c>
      <c r="F440" t="s">
        <v>16</v>
      </c>
      <c r="G440" t="s">
        <v>17</v>
      </c>
      <c r="H440" t="s">
        <v>23</v>
      </c>
      <c r="I440">
        <v>116.66</v>
      </c>
      <c r="J440">
        <v>28.5</v>
      </c>
      <c r="K440" t="s">
        <v>24</v>
      </c>
      <c r="L440" t="s">
        <v>15</v>
      </c>
    </row>
    <row r="441" spans="1:12" x14ac:dyDescent="0.3">
      <c r="A441">
        <v>58600</v>
      </c>
      <c r="B441" t="s">
        <v>12</v>
      </c>
      <c r="C441">
        <v>65</v>
      </c>
      <c r="D441" t="s">
        <v>16</v>
      </c>
      <c r="E441" t="s">
        <v>15</v>
      </c>
      <c r="F441" t="s">
        <v>16</v>
      </c>
      <c r="G441" t="s">
        <v>17</v>
      </c>
      <c r="H441" t="s">
        <v>22</v>
      </c>
      <c r="I441">
        <v>112.09</v>
      </c>
      <c r="J441">
        <v>29.5</v>
      </c>
      <c r="K441" t="s">
        <v>25</v>
      </c>
      <c r="L441" t="s">
        <v>15</v>
      </c>
    </row>
    <row r="442" spans="1:12" x14ac:dyDescent="0.3">
      <c r="A442">
        <v>56681</v>
      </c>
      <c r="B442" t="s">
        <v>13</v>
      </c>
      <c r="C442">
        <v>22</v>
      </c>
      <c r="D442" t="s">
        <v>15</v>
      </c>
      <c r="E442" t="s">
        <v>15</v>
      </c>
      <c r="F442" t="s">
        <v>15</v>
      </c>
      <c r="G442" t="s">
        <v>17</v>
      </c>
      <c r="H442" t="s">
        <v>22</v>
      </c>
      <c r="I442">
        <v>130.34</v>
      </c>
      <c r="J442">
        <v>22</v>
      </c>
      <c r="K442" t="s">
        <v>25</v>
      </c>
      <c r="L442" t="s">
        <v>15</v>
      </c>
    </row>
    <row r="443" spans="1:12" x14ac:dyDescent="0.3">
      <c r="A443">
        <v>56716</v>
      </c>
      <c r="B443" t="s">
        <v>13</v>
      </c>
      <c r="C443">
        <v>26</v>
      </c>
      <c r="D443" t="s">
        <v>15</v>
      </c>
      <c r="E443" t="s">
        <v>15</v>
      </c>
      <c r="F443" t="s">
        <v>15</v>
      </c>
      <c r="G443" t="s">
        <v>17</v>
      </c>
      <c r="H443" t="s">
        <v>22</v>
      </c>
      <c r="I443">
        <v>82.59</v>
      </c>
      <c r="J443">
        <v>29.4</v>
      </c>
      <c r="K443" t="s">
        <v>25</v>
      </c>
      <c r="L443" t="s">
        <v>15</v>
      </c>
    </row>
    <row r="444" spans="1:12" x14ac:dyDescent="0.3">
      <c r="A444">
        <v>65946</v>
      </c>
      <c r="B444" t="s">
        <v>12</v>
      </c>
      <c r="C444">
        <v>53</v>
      </c>
      <c r="D444" t="s">
        <v>15</v>
      </c>
      <c r="E444" t="s">
        <v>15</v>
      </c>
      <c r="F444" t="s">
        <v>16</v>
      </c>
      <c r="G444" t="s">
        <v>17</v>
      </c>
      <c r="H444" t="s">
        <v>23</v>
      </c>
      <c r="I444">
        <v>123.87</v>
      </c>
      <c r="J444">
        <v>28.8</v>
      </c>
      <c r="K444" t="s">
        <v>27</v>
      </c>
      <c r="L444" t="s">
        <v>15</v>
      </c>
    </row>
    <row r="445" spans="1:12" x14ac:dyDescent="0.3">
      <c r="A445">
        <v>61350</v>
      </c>
      <c r="B445" t="s">
        <v>12</v>
      </c>
      <c r="C445">
        <v>20</v>
      </c>
      <c r="D445" t="s">
        <v>15</v>
      </c>
      <c r="E445" t="s">
        <v>15</v>
      </c>
      <c r="F445" t="s">
        <v>15</v>
      </c>
      <c r="G445" t="s">
        <v>19</v>
      </c>
      <c r="H445" t="s">
        <v>23</v>
      </c>
      <c r="I445">
        <v>98.7</v>
      </c>
      <c r="J445">
        <v>26.2</v>
      </c>
      <c r="K445" t="s">
        <v>27</v>
      </c>
      <c r="L445" t="s">
        <v>15</v>
      </c>
    </row>
    <row r="446" spans="1:12" x14ac:dyDescent="0.3">
      <c r="A446">
        <v>17291</v>
      </c>
      <c r="B446" t="s">
        <v>13</v>
      </c>
      <c r="C446">
        <v>63</v>
      </c>
      <c r="D446" t="s">
        <v>16</v>
      </c>
      <c r="E446" t="s">
        <v>15</v>
      </c>
      <c r="F446" t="s">
        <v>16</v>
      </c>
      <c r="G446" t="s">
        <v>18</v>
      </c>
      <c r="H446" t="s">
        <v>23</v>
      </c>
      <c r="I446">
        <v>227.1</v>
      </c>
      <c r="J446">
        <v>26.9</v>
      </c>
      <c r="K446" t="s">
        <v>27</v>
      </c>
      <c r="L446" t="s">
        <v>15</v>
      </c>
    </row>
    <row r="447" spans="1:12" x14ac:dyDescent="0.3">
      <c r="A447">
        <v>61465</v>
      </c>
      <c r="B447" t="s">
        <v>12</v>
      </c>
      <c r="C447">
        <v>13</v>
      </c>
      <c r="D447" t="s">
        <v>15</v>
      </c>
      <c r="E447" t="s">
        <v>15</v>
      </c>
      <c r="F447" t="s">
        <v>15</v>
      </c>
      <c r="G447" t="s">
        <v>20</v>
      </c>
      <c r="H447" t="s">
        <v>23</v>
      </c>
      <c r="I447">
        <v>55.39</v>
      </c>
      <c r="J447">
        <v>23.2</v>
      </c>
      <c r="K447" t="s">
        <v>27</v>
      </c>
      <c r="L447" t="s">
        <v>15</v>
      </c>
    </row>
    <row r="448" spans="1:12" x14ac:dyDescent="0.3">
      <c r="A448">
        <v>18108</v>
      </c>
      <c r="B448" t="s">
        <v>12</v>
      </c>
      <c r="C448">
        <v>21</v>
      </c>
      <c r="D448" t="s">
        <v>15</v>
      </c>
      <c r="E448" t="s">
        <v>15</v>
      </c>
      <c r="F448" t="s">
        <v>15</v>
      </c>
      <c r="G448" t="s">
        <v>19</v>
      </c>
      <c r="H448" t="s">
        <v>22</v>
      </c>
      <c r="I448">
        <v>66.069999999999993</v>
      </c>
      <c r="J448">
        <v>27.9</v>
      </c>
      <c r="K448" t="s">
        <v>27</v>
      </c>
      <c r="L448" t="s">
        <v>15</v>
      </c>
    </row>
    <row r="449" spans="1:12" x14ac:dyDescent="0.3">
      <c r="A449">
        <v>48368</v>
      </c>
      <c r="B449" t="s">
        <v>13</v>
      </c>
      <c r="C449">
        <v>65</v>
      </c>
      <c r="D449" t="s">
        <v>15</v>
      </c>
      <c r="E449" t="s">
        <v>15</v>
      </c>
      <c r="F449" t="s">
        <v>16</v>
      </c>
      <c r="G449" t="s">
        <v>18</v>
      </c>
      <c r="H449" t="s">
        <v>23</v>
      </c>
      <c r="I449">
        <v>104.21</v>
      </c>
      <c r="J449">
        <v>36.799999999999997</v>
      </c>
      <c r="K449" t="s">
        <v>25</v>
      </c>
      <c r="L449" t="s">
        <v>15</v>
      </c>
    </row>
    <row r="450" spans="1:12" x14ac:dyDescent="0.3">
      <c r="A450">
        <v>36471</v>
      </c>
      <c r="B450" t="s">
        <v>12</v>
      </c>
      <c r="C450">
        <v>65</v>
      </c>
      <c r="D450" t="s">
        <v>15</v>
      </c>
      <c r="E450" t="s">
        <v>15</v>
      </c>
      <c r="F450" t="s">
        <v>16</v>
      </c>
      <c r="G450" t="s">
        <v>17</v>
      </c>
      <c r="H450" t="s">
        <v>22</v>
      </c>
      <c r="I450">
        <v>145.15</v>
      </c>
      <c r="J450">
        <v>28.9</v>
      </c>
      <c r="K450" t="s">
        <v>27</v>
      </c>
      <c r="L450" t="s">
        <v>15</v>
      </c>
    </row>
    <row r="451" spans="1:12" x14ac:dyDescent="0.3">
      <c r="A451">
        <v>15689</v>
      </c>
      <c r="B451" t="s">
        <v>12</v>
      </c>
      <c r="C451">
        <v>42</v>
      </c>
      <c r="D451" t="s">
        <v>15</v>
      </c>
      <c r="E451" t="s">
        <v>15</v>
      </c>
      <c r="F451" t="s">
        <v>16</v>
      </c>
      <c r="G451" t="s">
        <v>19</v>
      </c>
      <c r="H451" t="s">
        <v>22</v>
      </c>
      <c r="I451">
        <v>68.19</v>
      </c>
      <c r="J451">
        <v>31</v>
      </c>
      <c r="K451" t="s">
        <v>25</v>
      </c>
      <c r="L451" t="s">
        <v>15</v>
      </c>
    </row>
    <row r="452" spans="1:12" x14ac:dyDescent="0.3">
      <c r="A452">
        <v>8233</v>
      </c>
      <c r="B452" t="s">
        <v>12</v>
      </c>
      <c r="C452">
        <v>72</v>
      </c>
      <c r="D452" t="s">
        <v>15</v>
      </c>
      <c r="E452" t="s">
        <v>16</v>
      </c>
      <c r="F452" t="s">
        <v>16</v>
      </c>
      <c r="G452" t="s">
        <v>18</v>
      </c>
      <c r="H452" t="s">
        <v>23</v>
      </c>
      <c r="I452">
        <v>97.53</v>
      </c>
      <c r="J452">
        <v>29.4</v>
      </c>
      <c r="K452" t="s">
        <v>26</v>
      </c>
      <c r="L452" t="s">
        <v>15</v>
      </c>
    </row>
    <row r="453" spans="1:12" x14ac:dyDescent="0.3">
      <c r="A453">
        <v>46436</v>
      </c>
      <c r="B453" t="s">
        <v>12</v>
      </c>
      <c r="C453">
        <v>13</v>
      </c>
      <c r="D453" t="s">
        <v>15</v>
      </c>
      <c r="E453" t="s">
        <v>15</v>
      </c>
      <c r="F453" t="s">
        <v>15</v>
      </c>
      <c r="G453" t="s">
        <v>20</v>
      </c>
      <c r="H453" t="s">
        <v>22</v>
      </c>
      <c r="I453">
        <v>122.31</v>
      </c>
      <c r="J453">
        <v>15.3</v>
      </c>
      <c r="K453" t="s">
        <v>25</v>
      </c>
      <c r="L453" t="s">
        <v>15</v>
      </c>
    </row>
    <row r="454" spans="1:12" x14ac:dyDescent="0.3">
      <c r="A454">
        <v>23221</v>
      </c>
      <c r="B454" t="s">
        <v>12</v>
      </c>
      <c r="C454">
        <v>29</v>
      </c>
      <c r="D454" t="s">
        <v>15</v>
      </c>
      <c r="E454" t="s">
        <v>15</v>
      </c>
      <c r="F454" t="s">
        <v>15</v>
      </c>
      <c r="G454" t="s">
        <v>17</v>
      </c>
      <c r="H454" t="s">
        <v>22</v>
      </c>
      <c r="I454">
        <v>83.51</v>
      </c>
      <c r="J454">
        <v>37.1</v>
      </c>
      <c r="K454" t="s">
        <v>25</v>
      </c>
      <c r="L454" t="s">
        <v>15</v>
      </c>
    </row>
    <row r="455" spans="1:12" x14ac:dyDescent="0.3">
      <c r="A455">
        <v>31830</v>
      </c>
      <c r="B455" t="s">
        <v>12</v>
      </c>
      <c r="C455">
        <v>59</v>
      </c>
      <c r="D455" t="s">
        <v>15</v>
      </c>
      <c r="E455" t="s">
        <v>15</v>
      </c>
      <c r="F455" t="s">
        <v>16</v>
      </c>
      <c r="G455" t="s">
        <v>18</v>
      </c>
      <c r="H455" t="s">
        <v>22</v>
      </c>
      <c r="I455">
        <v>86.46</v>
      </c>
      <c r="J455">
        <v>30.5</v>
      </c>
      <c r="K455" t="s">
        <v>27</v>
      </c>
      <c r="L455" t="s">
        <v>15</v>
      </c>
    </row>
    <row r="456" spans="1:12" x14ac:dyDescent="0.3">
      <c r="A456">
        <v>15296</v>
      </c>
      <c r="B456" t="s">
        <v>13</v>
      </c>
      <c r="C456">
        <v>42</v>
      </c>
      <c r="D456" t="s">
        <v>15</v>
      </c>
      <c r="E456" t="s">
        <v>15</v>
      </c>
      <c r="F456" t="s">
        <v>16</v>
      </c>
      <c r="G456" t="s">
        <v>17</v>
      </c>
      <c r="H456" t="s">
        <v>23</v>
      </c>
      <c r="I456">
        <v>112.06</v>
      </c>
      <c r="J456">
        <v>38.200000000000003</v>
      </c>
      <c r="K456" t="s">
        <v>25</v>
      </c>
      <c r="L456" t="s">
        <v>15</v>
      </c>
    </row>
    <row r="457" spans="1:12" x14ac:dyDescent="0.3">
      <c r="A457">
        <v>7351</v>
      </c>
      <c r="B457" t="s">
        <v>12</v>
      </c>
      <c r="C457">
        <v>13</v>
      </c>
      <c r="D457" t="s">
        <v>15</v>
      </c>
      <c r="E457" t="s">
        <v>15</v>
      </c>
      <c r="F457" t="s">
        <v>15</v>
      </c>
      <c r="G457" t="s">
        <v>17</v>
      </c>
      <c r="H457" t="s">
        <v>22</v>
      </c>
      <c r="I457">
        <v>92.14</v>
      </c>
      <c r="J457">
        <v>23.2</v>
      </c>
      <c r="K457" t="s">
        <v>25</v>
      </c>
      <c r="L457" t="s">
        <v>15</v>
      </c>
    </row>
    <row r="458" spans="1:12" x14ac:dyDescent="0.3">
      <c r="A458">
        <v>66196</v>
      </c>
      <c r="B458" t="s">
        <v>12</v>
      </c>
      <c r="C458">
        <v>75</v>
      </c>
      <c r="D458" t="s">
        <v>15</v>
      </c>
      <c r="E458" t="s">
        <v>16</v>
      </c>
      <c r="F458" t="s">
        <v>15</v>
      </c>
      <c r="G458" t="s">
        <v>17</v>
      </c>
      <c r="H458" t="s">
        <v>23</v>
      </c>
      <c r="I458">
        <v>201.76</v>
      </c>
      <c r="J458">
        <v>30.2</v>
      </c>
      <c r="K458" t="s">
        <v>24</v>
      </c>
      <c r="L458" t="s">
        <v>15</v>
      </c>
    </row>
    <row r="459" spans="1:12" x14ac:dyDescent="0.3">
      <c r="A459">
        <v>17718</v>
      </c>
      <c r="B459" t="s">
        <v>13</v>
      </c>
      <c r="C459">
        <v>33</v>
      </c>
      <c r="D459" t="s">
        <v>16</v>
      </c>
      <c r="E459" t="s">
        <v>15</v>
      </c>
      <c r="F459" t="s">
        <v>16</v>
      </c>
      <c r="G459" t="s">
        <v>17</v>
      </c>
      <c r="H459" t="s">
        <v>22</v>
      </c>
      <c r="I459">
        <v>74.44</v>
      </c>
      <c r="J459">
        <v>45.2</v>
      </c>
      <c r="K459" t="s">
        <v>26</v>
      </c>
      <c r="L459" t="s">
        <v>15</v>
      </c>
    </row>
    <row r="460" spans="1:12" x14ac:dyDescent="0.3">
      <c r="A460">
        <v>31164</v>
      </c>
      <c r="B460" t="s">
        <v>13</v>
      </c>
      <c r="C460">
        <v>43</v>
      </c>
      <c r="D460" t="s">
        <v>15</v>
      </c>
      <c r="E460" t="s">
        <v>15</v>
      </c>
      <c r="F460" t="s">
        <v>16</v>
      </c>
      <c r="G460" t="s">
        <v>17</v>
      </c>
      <c r="H460" t="s">
        <v>23</v>
      </c>
      <c r="I460">
        <v>95.93</v>
      </c>
      <c r="J460">
        <v>21.8</v>
      </c>
      <c r="K460" t="s">
        <v>27</v>
      </c>
      <c r="L460" t="s">
        <v>15</v>
      </c>
    </row>
    <row r="461" spans="1:12" x14ac:dyDescent="0.3">
      <c r="A461">
        <v>48272</v>
      </c>
      <c r="B461" t="s">
        <v>13</v>
      </c>
      <c r="C461">
        <v>11</v>
      </c>
      <c r="D461" t="s">
        <v>15</v>
      </c>
      <c r="E461" t="s">
        <v>15</v>
      </c>
      <c r="F461" t="s">
        <v>15</v>
      </c>
      <c r="G461" t="s">
        <v>20</v>
      </c>
      <c r="H461" t="s">
        <v>23</v>
      </c>
      <c r="I461">
        <v>87.51</v>
      </c>
      <c r="J461">
        <v>24.4</v>
      </c>
      <c r="K461" t="s">
        <v>27</v>
      </c>
      <c r="L461" t="s">
        <v>15</v>
      </c>
    </row>
    <row r="462" spans="1:12" x14ac:dyDescent="0.3">
      <c r="A462">
        <v>2893</v>
      </c>
      <c r="B462" t="s">
        <v>13</v>
      </c>
      <c r="C462">
        <v>7</v>
      </c>
      <c r="D462" t="s">
        <v>15</v>
      </c>
      <c r="E462" t="s">
        <v>15</v>
      </c>
      <c r="F462" t="s">
        <v>15</v>
      </c>
      <c r="G462" t="s">
        <v>20</v>
      </c>
      <c r="H462" t="s">
        <v>23</v>
      </c>
      <c r="I462">
        <v>72.349999999999994</v>
      </c>
      <c r="J462">
        <v>17</v>
      </c>
      <c r="K462" t="s">
        <v>27</v>
      </c>
      <c r="L462" t="s">
        <v>15</v>
      </c>
    </row>
    <row r="463" spans="1:12" x14ac:dyDescent="0.3">
      <c r="A463">
        <v>34376</v>
      </c>
      <c r="B463" t="s">
        <v>13</v>
      </c>
      <c r="C463">
        <v>16</v>
      </c>
      <c r="D463" t="s">
        <v>15</v>
      </c>
      <c r="E463" t="s">
        <v>15</v>
      </c>
      <c r="F463" t="s">
        <v>15</v>
      </c>
      <c r="G463" t="s">
        <v>20</v>
      </c>
      <c r="H463" t="s">
        <v>23</v>
      </c>
      <c r="I463">
        <v>113.47</v>
      </c>
      <c r="J463">
        <v>19.5</v>
      </c>
      <c r="K463" t="s">
        <v>27</v>
      </c>
      <c r="L463" t="s">
        <v>15</v>
      </c>
    </row>
    <row r="464" spans="1:12" x14ac:dyDescent="0.3">
      <c r="A464">
        <v>18498</v>
      </c>
      <c r="B464" t="s">
        <v>13</v>
      </c>
      <c r="C464">
        <v>44</v>
      </c>
      <c r="D464" t="s">
        <v>15</v>
      </c>
      <c r="E464" t="s">
        <v>15</v>
      </c>
      <c r="F464" t="s">
        <v>15</v>
      </c>
      <c r="G464" t="s">
        <v>17</v>
      </c>
      <c r="H464" t="s">
        <v>23</v>
      </c>
      <c r="I464">
        <v>103.78</v>
      </c>
      <c r="J464">
        <v>49.8</v>
      </c>
      <c r="K464" t="s">
        <v>24</v>
      </c>
      <c r="L464" t="s">
        <v>15</v>
      </c>
    </row>
    <row r="465" spans="1:12" x14ac:dyDescent="0.3">
      <c r="A465">
        <v>56735</v>
      </c>
      <c r="B465" t="s">
        <v>13</v>
      </c>
      <c r="C465">
        <v>78</v>
      </c>
      <c r="D465" t="s">
        <v>15</v>
      </c>
      <c r="E465" t="s">
        <v>15</v>
      </c>
      <c r="F465" t="s">
        <v>16</v>
      </c>
      <c r="G465" t="s">
        <v>18</v>
      </c>
      <c r="H465" t="s">
        <v>23</v>
      </c>
      <c r="I465">
        <v>115.43</v>
      </c>
      <c r="J465">
        <v>27.8</v>
      </c>
      <c r="K465" t="s">
        <v>25</v>
      </c>
      <c r="L465" t="s">
        <v>15</v>
      </c>
    </row>
    <row r="466" spans="1:12" x14ac:dyDescent="0.3">
      <c r="A466">
        <v>8595</v>
      </c>
      <c r="B466" t="s">
        <v>12</v>
      </c>
      <c r="C466">
        <v>25</v>
      </c>
      <c r="D466" t="s">
        <v>15</v>
      </c>
      <c r="E466" t="s">
        <v>15</v>
      </c>
      <c r="F466" t="s">
        <v>16</v>
      </c>
      <c r="G466" t="s">
        <v>17</v>
      </c>
      <c r="H466" t="s">
        <v>23</v>
      </c>
      <c r="I466">
        <v>95.59</v>
      </c>
      <c r="J466">
        <v>25.1</v>
      </c>
      <c r="K466" t="s">
        <v>25</v>
      </c>
      <c r="L466" t="s">
        <v>15</v>
      </c>
    </row>
    <row r="467" spans="1:12" x14ac:dyDescent="0.3">
      <c r="A467">
        <v>621</v>
      </c>
      <c r="B467" t="s">
        <v>12</v>
      </c>
      <c r="C467">
        <v>69</v>
      </c>
      <c r="D467" t="s">
        <v>15</v>
      </c>
      <c r="E467" t="s">
        <v>15</v>
      </c>
      <c r="F467" t="s">
        <v>16</v>
      </c>
      <c r="G467" t="s">
        <v>17</v>
      </c>
      <c r="H467" t="s">
        <v>23</v>
      </c>
      <c r="I467">
        <v>101.52</v>
      </c>
      <c r="J467">
        <v>26.8</v>
      </c>
      <c r="K467" t="s">
        <v>26</v>
      </c>
      <c r="L467" t="s">
        <v>15</v>
      </c>
    </row>
    <row r="468" spans="1:12" x14ac:dyDescent="0.3">
      <c r="A468">
        <v>1307</v>
      </c>
      <c r="B468" t="s">
        <v>13</v>
      </c>
      <c r="C468">
        <v>61</v>
      </c>
      <c r="D468" t="s">
        <v>16</v>
      </c>
      <c r="E468" t="s">
        <v>15</v>
      </c>
      <c r="F468" t="s">
        <v>16</v>
      </c>
      <c r="G468" t="s">
        <v>17</v>
      </c>
      <c r="H468" t="s">
        <v>23</v>
      </c>
      <c r="I468">
        <v>170.05</v>
      </c>
      <c r="J468">
        <v>60.2</v>
      </c>
      <c r="K468" t="s">
        <v>26</v>
      </c>
      <c r="L468" t="s">
        <v>15</v>
      </c>
    </row>
    <row r="469" spans="1:12" x14ac:dyDescent="0.3">
      <c r="A469">
        <v>35846</v>
      </c>
      <c r="B469" t="s">
        <v>13</v>
      </c>
      <c r="C469">
        <v>43</v>
      </c>
      <c r="D469" t="s">
        <v>16</v>
      </c>
      <c r="E469" t="s">
        <v>15</v>
      </c>
      <c r="F469" t="s">
        <v>15</v>
      </c>
      <c r="G469" t="s">
        <v>18</v>
      </c>
      <c r="H469" t="s">
        <v>23</v>
      </c>
      <c r="I469">
        <v>217.3</v>
      </c>
      <c r="J469">
        <v>27.5</v>
      </c>
      <c r="K469" t="s">
        <v>25</v>
      </c>
      <c r="L469" t="s">
        <v>15</v>
      </c>
    </row>
    <row r="470" spans="1:12" x14ac:dyDescent="0.3">
      <c r="A470">
        <v>28645</v>
      </c>
      <c r="B470" t="s">
        <v>13</v>
      </c>
      <c r="C470">
        <v>38</v>
      </c>
      <c r="D470" t="s">
        <v>16</v>
      </c>
      <c r="E470" t="s">
        <v>15</v>
      </c>
      <c r="F470" t="s">
        <v>16</v>
      </c>
      <c r="G470" t="s">
        <v>17</v>
      </c>
      <c r="H470" t="s">
        <v>22</v>
      </c>
      <c r="I470">
        <v>196.01</v>
      </c>
      <c r="J470">
        <v>28.1</v>
      </c>
      <c r="K470" t="s">
        <v>25</v>
      </c>
      <c r="L470" t="s">
        <v>15</v>
      </c>
    </row>
    <row r="471" spans="1:12" x14ac:dyDescent="0.3">
      <c r="A471">
        <v>5835</v>
      </c>
      <c r="B471" t="s">
        <v>12</v>
      </c>
      <c r="C471">
        <v>68</v>
      </c>
      <c r="D471" t="s">
        <v>15</v>
      </c>
      <c r="E471" t="s">
        <v>15</v>
      </c>
      <c r="F471" t="s">
        <v>16</v>
      </c>
      <c r="G471" t="s">
        <v>17</v>
      </c>
      <c r="H471" t="s">
        <v>22</v>
      </c>
      <c r="I471">
        <v>92.21</v>
      </c>
      <c r="J471">
        <v>27.3</v>
      </c>
      <c r="K471" t="s">
        <v>27</v>
      </c>
      <c r="L471" t="s">
        <v>15</v>
      </c>
    </row>
    <row r="472" spans="1:12" x14ac:dyDescent="0.3">
      <c r="A472">
        <v>46474</v>
      </c>
      <c r="B472" t="s">
        <v>12</v>
      </c>
      <c r="C472">
        <v>26</v>
      </c>
      <c r="D472" t="s">
        <v>15</v>
      </c>
      <c r="E472" t="s">
        <v>15</v>
      </c>
      <c r="F472" t="s">
        <v>16</v>
      </c>
      <c r="G472" t="s">
        <v>17</v>
      </c>
      <c r="H472" t="s">
        <v>23</v>
      </c>
      <c r="I472">
        <v>100.09</v>
      </c>
      <c r="J472">
        <v>27.4</v>
      </c>
      <c r="K472" t="s">
        <v>25</v>
      </c>
      <c r="L472" t="s">
        <v>15</v>
      </c>
    </row>
    <row r="473" spans="1:12" x14ac:dyDescent="0.3">
      <c r="A473">
        <v>69687</v>
      </c>
      <c r="B473" t="s">
        <v>13</v>
      </c>
      <c r="C473">
        <v>18</v>
      </c>
      <c r="D473" t="s">
        <v>15</v>
      </c>
      <c r="E473" t="s">
        <v>15</v>
      </c>
      <c r="F473" t="s">
        <v>15</v>
      </c>
      <c r="G473" t="s">
        <v>18</v>
      </c>
      <c r="H473" t="s">
        <v>23</v>
      </c>
      <c r="I473">
        <v>93.88</v>
      </c>
      <c r="J473">
        <v>22.2</v>
      </c>
      <c r="K473" t="s">
        <v>25</v>
      </c>
      <c r="L473" t="s">
        <v>15</v>
      </c>
    </row>
    <row r="474" spans="1:12" x14ac:dyDescent="0.3">
      <c r="A474">
        <v>2953</v>
      </c>
      <c r="B474" t="s">
        <v>13</v>
      </c>
      <c r="C474">
        <v>43</v>
      </c>
      <c r="D474" t="s">
        <v>15</v>
      </c>
      <c r="E474" t="s">
        <v>15</v>
      </c>
      <c r="F474" t="s">
        <v>16</v>
      </c>
      <c r="G474" t="s">
        <v>17</v>
      </c>
      <c r="H474" t="s">
        <v>23</v>
      </c>
      <c r="I474">
        <v>75.05</v>
      </c>
      <c r="J474">
        <v>22.9</v>
      </c>
      <c r="K474" t="s">
        <v>26</v>
      </c>
      <c r="L474" t="s">
        <v>15</v>
      </c>
    </row>
    <row r="475" spans="1:12" x14ac:dyDescent="0.3">
      <c r="A475">
        <v>11838</v>
      </c>
      <c r="B475" t="s">
        <v>13</v>
      </c>
      <c r="C475">
        <v>43</v>
      </c>
      <c r="D475" t="s">
        <v>15</v>
      </c>
      <c r="E475" t="s">
        <v>15</v>
      </c>
      <c r="F475" t="s">
        <v>16</v>
      </c>
      <c r="G475" t="s">
        <v>19</v>
      </c>
      <c r="H475" t="s">
        <v>23</v>
      </c>
      <c r="I475">
        <v>70.08</v>
      </c>
      <c r="J475">
        <v>26.6</v>
      </c>
      <c r="K475" t="s">
        <v>25</v>
      </c>
      <c r="L475" t="s">
        <v>15</v>
      </c>
    </row>
    <row r="476" spans="1:12" x14ac:dyDescent="0.3">
      <c r="A476">
        <v>9179</v>
      </c>
      <c r="B476" t="s">
        <v>13</v>
      </c>
      <c r="C476">
        <v>32</v>
      </c>
      <c r="D476" t="s">
        <v>15</v>
      </c>
      <c r="E476" t="s">
        <v>15</v>
      </c>
      <c r="F476" t="s">
        <v>15</v>
      </c>
      <c r="G476" t="s">
        <v>17</v>
      </c>
      <c r="H476" t="s">
        <v>22</v>
      </c>
      <c r="I476">
        <v>74.2</v>
      </c>
      <c r="J476">
        <v>23</v>
      </c>
      <c r="K476" t="s">
        <v>26</v>
      </c>
      <c r="L476" t="s">
        <v>15</v>
      </c>
    </row>
    <row r="477" spans="1:12" x14ac:dyDescent="0.3">
      <c r="A477">
        <v>38165</v>
      </c>
      <c r="B477" t="s">
        <v>13</v>
      </c>
      <c r="C477">
        <v>81</v>
      </c>
      <c r="D477" t="s">
        <v>15</v>
      </c>
      <c r="E477" t="s">
        <v>15</v>
      </c>
      <c r="F477" t="s">
        <v>15</v>
      </c>
      <c r="G477" t="s">
        <v>17</v>
      </c>
      <c r="H477" t="s">
        <v>23</v>
      </c>
      <c r="I477">
        <v>69.010000000000005</v>
      </c>
      <c r="J477">
        <v>32.6</v>
      </c>
      <c r="K477" t="s">
        <v>25</v>
      </c>
      <c r="L477" t="s">
        <v>15</v>
      </c>
    </row>
    <row r="478" spans="1:12" x14ac:dyDescent="0.3">
      <c r="A478">
        <v>63050</v>
      </c>
      <c r="B478" t="s">
        <v>12</v>
      </c>
      <c r="C478">
        <v>25</v>
      </c>
      <c r="D478" t="s">
        <v>15</v>
      </c>
      <c r="E478" t="s">
        <v>15</v>
      </c>
      <c r="F478" t="s">
        <v>15</v>
      </c>
      <c r="G478" t="s">
        <v>17</v>
      </c>
      <c r="H478" t="s">
        <v>23</v>
      </c>
      <c r="I478">
        <v>96.17</v>
      </c>
      <c r="J478">
        <v>22.1</v>
      </c>
      <c r="K478" t="s">
        <v>27</v>
      </c>
      <c r="L478" t="s">
        <v>15</v>
      </c>
    </row>
    <row r="479" spans="1:12" x14ac:dyDescent="0.3">
      <c r="A479">
        <v>22470</v>
      </c>
      <c r="B479" t="s">
        <v>12</v>
      </c>
      <c r="C479">
        <v>61</v>
      </c>
      <c r="D479" t="s">
        <v>15</v>
      </c>
      <c r="E479" t="s">
        <v>15</v>
      </c>
      <c r="F479" t="s">
        <v>16</v>
      </c>
      <c r="G479" t="s">
        <v>19</v>
      </c>
      <c r="H479" t="s">
        <v>22</v>
      </c>
      <c r="I479">
        <v>184.15</v>
      </c>
      <c r="K479" t="s">
        <v>27</v>
      </c>
      <c r="L479" t="s">
        <v>15</v>
      </c>
    </row>
    <row r="480" spans="1:12" x14ac:dyDescent="0.3">
      <c r="A480">
        <v>71585</v>
      </c>
      <c r="B480" t="s">
        <v>13</v>
      </c>
      <c r="C480">
        <v>66</v>
      </c>
      <c r="D480" t="s">
        <v>15</v>
      </c>
      <c r="E480" t="s">
        <v>15</v>
      </c>
      <c r="F480" t="s">
        <v>16</v>
      </c>
      <c r="G480" t="s">
        <v>19</v>
      </c>
      <c r="H480" t="s">
        <v>22</v>
      </c>
      <c r="I480">
        <v>87.24</v>
      </c>
      <c r="J480">
        <v>22.5</v>
      </c>
      <c r="K480" t="s">
        <v>24</v>
      </c>
      <c r="L480" t="s">
        <v>15</v>
      </c>
    </row>
    <row r="481" spans="1:12" x14ac:dyDescent="0.3">
      <c r="A481">
        <v>15649</v>
      </c>
      <c r="B481" t="s">
        <v>12</v>
      </c>
      <c r="C481">
        <v>54</v>
      </c>
      <c r="D481" t="s">
        <v>16</v>
      </c>
      <c r="E481" t="s">
        <v>15</v>
      </c>
      <c r="F481" t="s">
        <v>16</v>
      </c>
      <c r="G481" t="s">
        <v>17</v>
      </c>
      <c r="H481" t="s">
        <v>23</v>
      </c>
      <c r="I481">
        <v>198.69</v>
      </c>
      <c r="K481" t="s">
        <v>26</v>
      </c>
      <c r="L481" t="s">
        <v>15</v>
      </c>
    </row>
    <row r="482" spans="1:12" x14ac:dyDescent="0.3">
      <c r="A482">
        <v>11974</v>
      </c>
      <c r="B482" t="s">
        <v>12</v>
      </c>
      <c r="C482">
        <v>11</v>
      </c>
      <c r="D482" t="s">
        <v>15</v>
      </c>
      <c r="E482" t="s">
        <v>15</v>
      </c>
      <c r="F482" t="s">
        <v>15</v>
      </c>
      <c r="G482" t="s">
        <v>20</v>
      </c>
      <c r="H482" t="s">
        <v>22</v>
      </c>
      <c r="I482">
        <v>82.58</v>
      </c>
      <c r="J482">
        <v>25.5</v>
      </c>
      <c r="K482" t="s">
        <v>27</v>
      </c>
      <c r="L482" t="s">
        <v>15</v>
      </c>
    </row>
    <row r="483" spans="1:12" x14ac:dyDescent="0.3">
      <c r="A483">
        <v>3009</v>
      </c>
      <c r="B483" t="s">
        <v>13</v>
      </c>
      <c r="C483">
        <v>53</v>
      </c>
      <c r="D483" t="s">
        <v>15</v>
      </c>
      <c r="E483" t="s">
        <v>15</v>
      </c>
      <c r="F483" t="s">
        <v>16</v>
      </c>
      <c r="G483" t="s">
        <v>18</v>
      </c>
      <c r="H483" t="s">
        <v>23</v>
      </c>
      <c r="I483">
        <v>96.88</v>
      </c>
      <c r="J483">
        <v>31.4</v>
      </c>
      <c r="K483" t="s">
        <v>27</v>
      </c>
      <c r="L483" t="s">
        <v>15</v>
      </c>
    </row>
    <row r="484" spans="1:12" x14ac:dyDescent="0.3">
      <c r="A484">
        <v>32361</v>
      </c>
      <c r="B484" t="s">
        <v>13</v>
      </c>
      <c r="C484">
        <v>78</v>
      </c>
      <c r="D484" t="s">
        <v>15</v>
      </c>
      <c r="E484" t="s">
        <v>16</v>
      </c>
      <c r="F484" t="s">
        <v>16</v>
      </c>
      <c r="G484" t="s">
        <v>18</v>
      </c>
      <c r="H484" t="s">
        <v>22</v>
      </c>
      <c r="I484">
        <v>73.319999999999993</v>
      </c>
      <c r="J484">
        <v>26</v>
      </c>
      <c r="K484" t="s">
        <v>27</v>
      </c>
      <c r="L484" t="s">
        <v>15</v>
      </c>
    </row>
    <row r="485" spans="1:12" x14ac:dyDescent="0.3">
      <c r="A485">
        <v>41523</v>
      </c>
      <c r="B485" t="s">
        <v>12</v>
      </c>
      <c r="C485">
        <v>9</v>
      </c>
      <c r="D485" t="s">
        <v>15</v>
      </c>
      <c r="E485" t="s">
        <v>15</v>
      </c>
      <c r="F485" t="s">
        <v>15</v>
      </c>
      <c r="G485" t="s">
        <v>20</v>
      </c>
      <c r="H485" t="s">
        <v>23</v>
      </c>
      <c r="I485">
        <v>94.59</v>
      </c>
      <c r="J485">
        <v>20</v>
      </c>
      <c r="K485" t="s">
        <v>27</v>
      </c>
      <c r="L485" t="s">
        <v>15</v>
      </c>
    </row>
    <row r="486" spans="1:12" x14ac:dyDescent="0.3">
      <c r="A486">
        <v>53910</v>
      </c>
      <c r="B486" t="s">
        <v>13</v>
      </c>
      <c r="C486">
        <v>48</v>
      </c>
      <c r="D486" t="s">
        <v>15</v>
      </c>
      <c r="E486" t="s">
        <v>15</v>
      </c>
      <c r="F486" t="s">
        <v>16</v>
      </c>
      <c r="G486" t="s">
        <v>18</v>
      </c>
      <c r="H486" t="s">
        <v>23</v>
      </c>
      <c r="I486">
        <v>132.08000000000001</v>
      </c>
      <c r="J486">
        <v>31.6</v>
      </c>
      <c r="K486" t="s">
        <v>26</v>
      </c>
      <c r="L486" t="s">
        <v>15</v>
      </c>
    </row>
    <row r="487" spans="1:12" x14ac:dyDescent="0.3">
      <c r="A487">
        <v>67548</v>
      </c>
      <c r="B487" t="s">
        <v>13</v>
      </c>
      <c r="C487">
        <v>31</v>
      </c>
      <c r="D487" t="s">
        <v>15</v>
      </c>
      <c r="E487" t="s">
        <v>15</v>
      </c>
      <c r="F487" t="s">
        <v>16</v>
      </c>
      <c r="G487" t="s">
        <v>17</v>
      </c>
      <c r="H487" t="s">
        <v>22</v>
      </c>
      <c r="I487">
        <v>98.99</v>
      </c>
      <c r="J487">
        <v>31.2</v>
      </c>
      <c r="K487" t="s">
        <v>25</v>
      </c>
      <c r="L487" t="s">
        <v>15</v>
      </c>
    </row>
    <row r="488" spans="1:12" x14ac:dyDescent="0.3">
      <c r="A488">
        <v>50441</v>
      </c>
      <c r="B488" t="s">
        <v>12</v>
      </c>
      <c r="C488">
        <v>20</v>
      </c>
      <c r="D488" t="s">
        <v>15</v>
      </c>
      <c r="E488" t="s">
        <v>15</v>
      </c>
      <c r="F488" t="s">
        <v>15</v>
      </c>
      <c r="G488" t="s">
        <v>17</v>
      </c>
      <c r="H488" t="s">
        <v>23</v>
      </c>
      <c r="I488">
        <v>104.48</v>
      </c>
      <c r="J488">
        <v>21.7</v>
      </c>
      <c r="K488" t="s">
        <v>25</v>
      </c>
      <c r="L488" t="s">
        <v>15</v>
      </c>
    </row>
    <row r="489" spans="1:12" x14ac:dyDescent="0.3">
      <c r="A489">
        <v>16927</v>
      </c>
      <c r="B489" t="s">
        <v>12</v>
      </c>
      <c r="C489">
        <v>21</v>
      </c>
      <c r="D489" t="s">
        <v>15</v>
      </c>
      <c r="E489" t="s">
        <v>15</v>
      </c>
      <c r="F489" t="s">
        <v>16</v>
      </c>
      <c r="G489" t="s">
        <v>17</v>
      </c>
      <c r="H489" t="s">
        <v>23</v>
      </c>
      <c r="I489">
        <v>98.01</v>
      </c>
      <c r="J489">
        <v>24.2</v>
      </c>
      <c r="K489" t="s">
        <v>27</v>
      </c>
      <c r="L489" t="s">
        <v>15</v>
      </c>
    </row>
    <row r="490" spans="1:12" x14ac:dyDescent="0.3">
      <c r="A490">
        <v>28265</v>
      </c>
      <c r="B490" t="s">
        <v>13</v>
      </c>
      <c r="C490">
        <v>42</v>
      </c>
      <c r="D490" t="s">
        <v>15</v>
      </c>
      <c r="E490" t="s">
        <v>15</v>
      </c>
      <c r="F490" t="s">
        <v>16</v>
      </c>
      <c r="G490" t="s">
        <v>18</v>
      </c>
      <c r="H490" t="s">
        <v>23</v>
      </c>
      <c r="I490">
        <v>79.14</v>
      </c>
      <c r="J490">
        <v>25</v>
      </c>
      <c r="K490" t="s">
        <v>24</v>
      </c>
      <c r="L490" t="s">
        <v>15</v>
      </c>
    </row>
    <row r="491" spans="1:12" x14ac:dyDescent="0.3">
      <c r="A491">
        <v>33404</v>
      </c>
      <c r="B491" t="s">
        <v>12</v>
      </c>
      <c r="C491">
        <v>35</v>
      </c>
      <c r="D491" t="s">
        <v>15</v>
      </c>
      <c r="E491" t="s">
        <v>15</v>
      </c>
      <c r="F491" t="s">
        <v>16</v>
      </c>
      <c r="G491" t="s">
        <v>17</v>
      </c>
      <c r="H491" t="s">
        <v>22</v>
      </c>
      <c r="I491">
        <v>89.32</v>
      </c>
      <c r="J491">
        <v>36.700000000000003</v>
      </c>
      <c r="K491" t="s">
        <v>27</v>
      </c>
      <c r="L491" t="s">
        <v>15</v>
      </c>
    </row>
    <row r="492" spans="1:12" x14ac:dyDescent="0.3">
      <c r="A492">
        <v>50965</v>
      </c>
      <c r="B492" t="s">
        <v>12</v>
      </c>
      <c r="C492">
        <v>53</v>
      </c>
      <c r="D492" t="s">
        <v>15</v>
      </c>
      <c r="E492" t="s">
        <v>15</v>
      </c>
      <c r="F492" t="s">
        <v>15</v>
      </c>
      <c r="G492" t="s">
        <v>17</v>
      </c>
      <c r="H492" t="s">
        <v>23</v>
      </c>
      <c r="I492">
        <v>65.239999999999995</v>
      </c>
      <c r="J492">
        <v>28.9</v>
      </c>
      <c r="K492" t="s">
        <v>27</v>
      </c>
      <c r="L492" t="s">
        <v>15</v>
      </c>
    </row>
    <row r="493" spans="1:12" x14ac:dyDescent="0.3">
      <c r="A493">
        <v>21077</v>
      </c>
      <c r="B493" t="s">
        <v>12</v>
      </c>
      <c r="C493">
        <v>60</v>
      </c>
      <c r="D493" t="s">
        <v>15</v>
      </c>
      <c r="E493" t="s">
        <v>15</v>
      </c>
      <c r="F493" t="s">
        <v>16</v>
      </c>
      <c r="G493" t="s">
        <v>17</v>
      </c>
      <c r="H493" t="s">
        <v>23</v>
      </c>
      <c r="I493">
        <v>80.98</v>
      </c>
      <c r="J493">
        <v>29.7</v>
      </c>
      <c r="K493" t="s">
        <v>24</v>
      </c>
      <c r="L493" t="s">
        <v>15</v>
      </c>
    </row>
    <row r="494" spans="1:12" x14ac:dyDescent="0.3">
      <c r="A494">
        <v>12982</v>
      </c>
      <c r="B494" t="s">
        <v>12</v>
      </c>
      <c r="C494">
        <v>74</v>
      </c>
      <c r="D494" t="s">
        <v>15</v>
      </c>
      <c r="E494" t="s">
        <v>15</v>
      </c>
      <c r="F494" t="s">
        <v>16</v>
      </c>
      <c r="G494" t="s">
        <v>18</v>
      </c>
      <c r="H494" t="s">
        <v>22</v>
      </c>
      <c r="I494">
        <v>186.17</v>
      </c>
      <c r="J494">
        <v>44.3</v>
      </c>
      <c r="K494" t="s">
        <v>27</v>
      </c>
      <c r="L494" t="s">
        <v>15</v>
      </c>
    </row>
    <row r="495" spans="1:12" x14ac:dyDescent="0.3">
      <c r="A495">
        <v>66570</v>
      </c>
      <c r="B495" t="s">
        <v>13</v>
      </c>
      <c r="C495">
        <v>23</v>
      </c>
      <c r="D495" t="s">
        <v>15</v>
      </c>
      <c r="E495" t="s">
        <v>15</v>
      </c>
      <c r="F495" t="s">
        <v>15</v>
      </c>
      <c r="G495" t="s">
        <v>17</v>
      </c>
      <c r="H495" t="s">
        <v>23</v>
      </c>
      <c r="I495">
        <v>69.239999999999995</v>
      </c>
      <c r="J495">
        <v>51</v>
      </c>
      <c r="K495" t="s">
        <v>25</v>
      </c>
      <c r="L495" t="s">
        <v>15</v>
      </c>
    </row>
    <row r="496" spans="1:12" x14ac:dyDescent="0.3">
      <c r="A496">
        <v>29158</v>
      </c>
      <c r="B496" t="s">
        <v>13</v>
      </c>
      <c r="C496">
        <v>55</v>
      </c>
      <c r="D496" t="s">
        <v>15</v>
      </c>
      <c r="E496" t="s">
        <v>15</v>
      </c>
      <c r="F496" t="s">
        <v>16</v>
      </c>
      <c r="G496" t="s">
        <v>17</v>
      </c>
      <c r="H496" t="s">
        <v>23</v>
      </c>
      <c r="I496">
        <v>111.19</v>
      </c>
      <c r="J496">
        <v>39.700000000000003</v>
      </c>
      <c r="K496" t="s">
        <v>24</v>
      </c>
      <c r="L496" t="s">
        <v>15</v>
      </c>
    </row>
    <row r="497" spans="1:12" x14ac:dyDescent="0.3">
      <c r="A497">
        <v>34299</v>
      </c>
      <c r="B497" t="s">
        <v>13</v>
      </c>
      <c r="C497">
        <v>71</v>
      </c>
      <c r="D497" t="s">
        <v>15</v>
      </c>
      <c r="E497" t="s">
        <v>15</v>
      </c>
      <c r="F497" t="s">
        <v>16</v>
      </c>
      <c r="G497" t="s">
        <v>17</v>
      </c>
      <c r="H497" t="s">
        <v>22</v>
      </c>
      <c r="I497">
        <v>93.28</v>
      </c>
      <c r="J497">
        <v>34.700000000000003</v>
      </c>
      <c r="K497" t="s">
        <v>25</v>
      </c>
      <c r="L497" t="s">
        <v>15</v>
      </c>
    </row>
    <row r="498" spans="1:12" x14ac:dyDescent="0.3">
      <c r="A498">
        <v>54375</v>
      </c>
      <c r="B498" t="s">
        <v>12</v>
      </c>
      <c r="C498">
        <v>5</v>
      </c>
      <c r="D498" t="s">
        <v>15</v>
      </c>
      <c r="E498" t="s">
        <v>15</v>
      </c>
      <c r="F498" t="s">
        <v>15</v>
      </c>
      <c r="G498" t="s">
        <v>20</v>
      </c>
      <c r="H498" t="s">
        <v>23</v>
      </c>
      <c r="I498">
        <v>122.19</v>
      </c>
      <c r="J498">
        <v>35</v>
      </c>
      <c r="K498" t="s">
        <v>27</v>
      </c>
      <c r="L498" t="s">
        <v>15</v>
      </c>
    </row>
    <row r="499" spans="1:12" x14ac:dyDescent="0.3">
      <c r="A499">
        <v>37832</v>
      </c>
      <c r="B499" t="s">
        <v>13</v>
      </c>
      <c r="C499">
        <v>14</v>
      </c>
      <c r="D499" t="s">
        <v>15</v>
      </c>
      <c r="E499" t="s">
        <v>15</v>
      </c>
      <c r="F499" t="s">
        <v>15</v>
      </c>
      <c r="G499" t="s">
        <v>20</v>
      </c>
      <c r="H499" t="s">
        <v>23</v>
      </c>
      <c r="I499">
        <v>129.53</v>
      </c>
      <c r="J499">
        <v>21.3</v>
      </c>
      <c r="K499" t="s">
        <v>25</v>
      </c>
      <c r="L499" t="s">
        <v>15</v>
      </c>
    </row>
    <row r="500" spans="1:12" x14ac:dyDescent="0.3">
      <c r="A500">
        <v>21058</v>
      </c>
      <c r="B500" t="s">
        <v>13</v>
      </c>
      <c r="C500">
        <v>15</v>
      </c>
      <c r="D500" t="s">
        <v>15</v>
      </c>
      <c r="E500" t="s">
        <v>15</v>
      </c>
      <c r="F500" t="s">
        <v>15</v>
      </c>
      <c r="G500" t="s">
        <v>20</v>
      </c>
      <c r="H500" t="s">
        <v>23</v>
      </c>
      <c r="I500">
        <v>114.53</v>
      </c>
      <c r="J500">
        <v>29.1</v>
      </c>
      <c r="K500" t="s">
        <v>27</v>
      </c>
      <c r="L500" t="s">
        <v>15</v>
      </c>
    </row>
    <row r="501" spans="1:12" x14ac:dyDescent="0.3">
      <c r="A501">
        <v>7696</v>
      </c>
      <c r="B501" t="s">
        <v>13</v>
      </c>
      <c r="C501">
        <v>66</v>
      </c>
      <c r="D501" t="s">
        <v>15</v>
      </c>
      <c r="E501" t="s">
        <v>15</v>
      </c>
      <c r="F501" t="s">
        <v>15</v>
      </c>
      <c r="G501" t="s">
        <v>17</v>
      </c>
      <c r="H501" t="s">
        <v>22</v>
      </c>
      <c r="I501">
        <v>93.73</v>
      </c>
      <c r="J501">
        <v>23.9</v>
      </c>
      <c r="K501" t="s">
        <v>26</v>
      </c>
      <c r="L501" t="s">
        <v>15</v>
      </c>
    </row>
    <row r="502" spans="1:12" x14ac:dyDescent="0.3">
      <c r="A502">
        <v>34668</v>
      </c>
      <c r="B502" t="s">
        <v>13</v>
      </c>
      <c r="C502">
        <v>56</v>
      </c>
      <c r="D502" t="s">
        <v>15</v>
      </c>
      <c r="E502" t="s">
        <v>15</v>
      </c>
      <c r="F502" t="s">
        <v>16</v>
      </c>
      <c r="G502" t="s">
        <v>17</v>
      </c>
      <c r="H502" t="s">
        <v>22</v>
      </c>
      <c r="I502">
        <v>77.489999999999995</v>
      </c>
      <c r="J502">
        <v>36</v>
      </c>
      <c r="K502" t="s">
        <v>24</v>
      </c>
      <c r="L502" t="s">
        <v>15</v>
      </c>
    </row>
    <row r="503" spans="1:12" x14ac:dyDescent="0.3">
      <c r="A503">
        <v>68483</v>
      </c>
      <c r="B503" t="s">
        <v>13</v>
      </c>
      <c r="C503">
        <v>60</v>
      </c>
      <c r="D503" t="s">
        <v>15</v>
      </c>
      <c r="E503" t="s">
        <v>15</v>
      </c>
      <c r="F503" t="s">
        <v>16</v>
      </c>
      <c r="G503" t="s">
        <v>17</v>
      </c>
      <c r="H503" t="s">
        <v>22</v>
      </c>
      <c r="I503">
        <v>65.38</v>
      </c>
      <c r="J503">
        <v>41.2</v>
      </c>
      <c r="K503" t="s">
        <v>24</v>
      </c>
      <c r="L503" t="s">
        <v>15</v>
      </c>
    </row>
    <row r="504" spans="1:12" x14ac:dyDescent="0.3">
      <c r="A504">
        <v>6072</v>
      </c>
      <c r="B504" t="s">
        <v>13</v>
      </c>
      <c r="C504">
        <v>57</v>
      </c>
      <c r="D504" t="s">
        <v>15</v>
      </c>
      <c r="E504" t="s">
        <v>15</v>
      </c>
      <c r="F504" t="s">
        <v>16</v>
      </c>
      <c r="G504" t="s">
        <v>17</v>
      </c>
      <c r="H504" t="s">
        <v>22</v>
      </c>
      <c r="I504">
        <v>94.18</v>
      </c>
      <c r="J504">
        <v>27.1</v>
      </c>
      <c r="K504" t="s">
        <v>25</v>
      </c>
      <c r="L504" t="s">
        <v>15</v>
      </c>
    </row>
    <row r="505" spans="1:12" x14ac:dyDescent="0.3">
      <c r="A505">
        <v>51112</v>
      </c>
      <c r="B505" t="s">
        <v>12</v>
      </c>
      <c r="C505">
        <v>29</v>
      </c>
      <c r="D505" t="s">
        <v>15</v>
      </c>
      <c r="E505" t="s">
        <v>15</v>
      </c>
      <c r="F505" t="s">
        <v>16</v>
      </c>
      <c r="G505" t="s">
        <v>18</v>
      </c>
      <c r="H505" t="s">
        <v>22</v>
      </c>
      <c r="I505">
        <v>118.7</v>
      </c>
      <c r="J505">
        <v>33.200000000000003</v>
      </c>
      <c r="K505" t="s">
        <v>27</v>
      </c>
      <c r="L505" t="s">
        <v>15</v>
      </c>
    </row>
    <row r="506" spans="1:12" x14ac:dyDescent="0.3">
      <c r="A506">
        <v>69673</v>
      </c>
      <c r="B506" t="s">
        <v>13</v>
      </c>
      <c r="C506">
        <v>76</v>
      </c>
      <c r="D506" t="s">
        <v>15</v>
      </c>
      <c r="E506" t="s">
        <v>15</v>
      </c>
      <c r="F506" t="s">
        <v>16</v>
      </c>
      <c r="G506" t="s">
        <v>19</v>
      </c>
      <c r="H506" t="s">
        <v>22</v>
      </c>
      <c r="I506">
        <v>96.29</v>
      </c>
      <c r="J506">
        <v>25.4</v>
      </c>
      <c r="K506" t="s">
        <v>26</v>
      </c>
      <c r="L506" t="s">
        <v>15</v>
      </c>
    </row>
    <row r="507" spans="1:12" x14ac:dyDescent="0.3">
      <c r="A507">
        <v>71238</v>
      </c>
      <c r="B507" t="s">
        <v>12</v>
      </c>
      <c r="C507">
        <v>52</v>
      </c>
      <c r="D507" t="s">
        <v>16</v>
      </c>
      <c r="E507" t="s">
        <v>15</v>
      </c>
      <c r="F507" t="s">
        <v>16</v>
      </c>
      <c r="G507" t="s">
        <v>17</v>
      </c>
      <c r="H507" t="s">
        <v>23</v>
      </c>
      <c r="I507">
        <v>74.64</v>
      </c>
      <c r="J507">
        <v>30.7</v>
      </c>
      <c r="K507" t="s">
        <v>26</v>
      </c>
      <c r="L507" t="s">
        <v>15</v>
      </c>
    </row>
    <row r="508" spans="1:12" x14ac:dyDescent="0.3">
      <c r="A508">
        <v>63958</v>
      </c>
      <c r="B508" t="s">
        <v>13</v>
      </c>
      <c r="C508">
        <v>42</v>
      </c>
      <c r="D508" t="s">
        <v>15</v>
      </c>
      <c r="E508" t="s">
        <v>15</v>
      </c>
      <c r="F508" t="s">
        <v>16</v>
      </c>
      <c r="G508" t="s">
        <v>17</v>
      </c>
      <c r="H508" t="s">
        <v>22</v>
      </c>
      <c r="I508">
        <v>96.99</v>
      </c>
      <c r="J508">
        <v>34.799999999999997</v>
      </c>
      <c r="K508" t="s">
        <v>24</v>
      </c>
      <c r="L508" t="s">
        <v>15</v>
      </c>
    </row>
    <row r="509" spans="1:12" x14ac:dyDescent="0.3">
      <c r="A509">
        <v>34511</v>
      </c>
      <c r="B509" t="s">
        <v>13</v>
      </c>
      <c r="C509">
        <v>71</v>
      </c>
      <c r="D509" t="s">
        <v>15</v>
      </c>
      <c r="E509" t="s">
        <v>15</v>
      </c>
      <c r="F509" t="s">
        <v>16</v>
      </c>
      <c r="G509" t="s">
        <v>17</v>
      </c>
      <c r="H509" t="s">
        <v>23</v>
      </c>
      <c r="I509">
        <v>100.61</v>
      </c>
      <c r="J509">
        <v>19.2</v>
      </c>
      <c r="K509" t="s">
        <v>27</v>
      </c>
      <c r="L509" t="s">
        <v>15</v>
      </c>
    </row>
    <row r="510" spans="1:12" x14ac:dyDescent="0.3">
      <c r="A510">
        <v>24892</v>
      </c>
      <c r="B510" t="s">
        <v>12</v>
      </c>
      <c r="C510">
        <v>64</v>
      </c>
      <c r="D510" t="s">
        <v>15</v>
      </c>
      <c r="E510" t="s">
        <v>15</v>
      </c>
      <c r="F510" t="s">
        <v>16</v>
      </c>
      <c r="G510" t="s">
        <v>17</v>
      </c>
      <c r="H510" t="s">
        <v>23</v>
      </c>
      <c r="I510">
        <v>97.08</v>
      </c>
      <c r="J510">
        <v>31.7</v>
      </c>
      <c r="K510" t="s">
        <v>27</v>
      </c>
      <c r="L510" t="s">
        <v>15</v>
      </c>
    </row>
    <row r="511" spans="1:12" x14ac:dyDescent="0.3">
      <c r="A511">
        <v>29496</v>
      </c>
      <c r="B511" t="s">
        <v>13</v>
      </c>
      <c r="C511">
        <v>39</v>
      </c>
      <c r="D511" t="s">
        <v>15</v>
      </c>
      <c r="E511" t="s">
        <v>15</v>
      </c>
      <c r="F511" t="s">
        <v>16</v>
      </c>
      <c r="G511" t="s">
        <v>17</v>
      </c>
      <c r="H511" t="s">
        <v>23</v>
      </c>
      <c r="I511">
        <v>84.79</v>
      </c>
      <c r="J511">
        <v>35.700000000000003</v>
      </c>
      <c r="K511" t="s">
        <v>25</v>
      </c>
      <c r="L511" t="s">
        <v>15</v>
      </c>
    </row>
    <row r="512" spans="1:12" x14ac:dyDescent="0.3">
      <c r="A512">
        <v>19939</v>
      </c>
      <c r="B512" t="s">
        <v>13</v>
      </c>
      <c r="C512">
        <v>46</v>
      </c>
      <c r="D512" t="s">
        <v>15</v>
      </c>
      <c r="E512" t="s">
        <v>15</v>
      </c>
      <c r="F512" t="s">
        <v>16</v>
      </c>
      <c r="G512" t="s">
        <v>17</v>
      </c>
      <c r="H512" t="s">
        <v>23</v>
      </c>
      <c r="I512">
        <v>78.75</v>
      </c>
      <c r="J512">
        <v>37.799999999999997</v>
      </c>
      <c r="K512" t="s">
        <v>24</v>
      </c>
      <c r="L512" t="s">
        <v>15</v>
      </c>
    </row>
    <row r="513" spans="1:12" x14ac:dyDescent="0.3">
      <c r="A513">
        <v>27832</v>
      </c>
      <c r="B513" t="s">
        <v>13</v>
      </c>
      <c r="C513">
        <v>51</v>
      </c>
      <c r="D513" t="s">
        <v>15</v>
      </c>
      <c r="E513" t="s">
        <v>15</v>
      </c>
      <c r="F513" t="s">
        <v>16</v>
      </c>
      <c r="G513" t="s">
        <v>17</v>
      </c>
      <c r="H513" t="s">
        <v>23</v>
      </c>
      <c r="I513">
        <v>82.93</v>
      </c>
      <c r="J513">
        <v>29.7</v>
      </c>
      <c r="K513" t="s">
        <v>26</v>
      </c>
      <c r="L513" t="s">
        <v>15</v>
      </c>
    </row>
    <row r="514" spans="1:12" x14ac:dyDescent="0.3">
      <c r="A514">
        <v>27757</v>
      </c>
      <c r="B514" t="s">
        <v>12</v>
      </c>
      <c r="C514">
        <v>31</v>
      </c>
      <c r="D514" t="s">
        <v>15</v>
      </c>
      <c r="E514" t="s">
        <v>15</v>
      </c>
      <c r="F514" t="s">
        <v>16</v>
      </c>
      <c r="G514" t="s">
        <v>17</v>
      </c>
      <c r="H514" t="s">
        <v>22</v>
      </c>
      <c r="I514">
        <v>88.78</v>
      </c>
      <c r="J514">
        <v>35.799999999999997</v>
      </c>
      <c r="K514" t="s">
        <v>26</v>
      </c>
      <c r="L514" t="s">
        <v>15</v>
      </c>
    </row>
    <row r="515" spans="1:12" x14ac:dyDescent="0.3">
      <c r="A515">
        <v>31279</v>
      </c>
      <c r="B515" t="s">
        <v>12</v>
      </c>
      <c r="C515">
        <v>22</v>
      </c>
      <c r="D515" t="s">
        <v>15</v>
      </c>
      <c r="E515" t="s">
        <v>15</v>
      </c>
      <c r="F515" t="s">
        <v>15</v>
      </c>
      <c r="G515" t="s">
        <v>17</v>
      </c>
      <c r="H515" t="s">
        <v>22</v>
      </c>
      <c r="I515">
        <v>122.1</v>
      </c>
      <c r="J515">
        <v>23.6</v>
      </c>
      <c r="K515" t="s">
        <v>26</v>
      </c>
      <c r="L515" t="s">
        <v>15</v>
      </c>
    </row>
    <row r="516" spans="1:12" x14ac:dyDescent="0.3">
      <c r="A516">
        <v>25099</v>
      </c>
      <c r="B516" t="s">
        <v>12</v>
      </c>
      <c r="C516">
        <v>41</v>
      </c>
      <c r="D516" t="s">
        <v>15</v>
      </c>
      <c r="E516" t="s">
        <v>15</v>
      </c>
      <c r="F516" t="s">
        <v>15</v>
      </c>
      <c r="G516" t="s">
        <v>19</v>
      </c>
      <c r="H516" t="s">
        <v>23</v>
      </c>
      <c r="I516">
        <v>74.81</v>
      </c>
      <c r="J516">
        <v>39.700000000000003</v>
      </c>
      <c r="K516" t="s">
        <v>26</v>
      </c>
      <c r="L516" t="s">
        <v>15</v>
      </c>
    </row>
    <row r="517" spans="1:12" x14ac:dyDescent="0.3">
      <c r="A517">
        <v>67733</v>
      </c>
      <c r="B517" t="s">
        <v>13</v>
      </c>
      <c r="C517">
        <v>28</v>
      </c>
      <c r="D517" t="s">
        <v>15</v>
      </c>
      <c r="E517" t="s">
        <v>15</v>
      </c>
      <c r="F517" t="s">
        <v>16</v>
      </c>
      <c r="G517" t="s">
        <v>17</v>
      </c>
      <c r="H517" t="s">
        <v>22</v>
      </c>
      <c r="I517">
        <v>183.45</v>
      </c>
      <c r="J517">
        <v>40.5</v>
      </c>
      <c r="K517" t="s">
        <v>26</v>
      </c>
      <c r="L517" t="s">
        <v>15</v>
      </c>
    </row>
    <row r="518" spans="1:12" x14ac:dyDescent="0.3">
      <c r="A518">
        <v>9201</v>
      </c>
      <c r="B518" t="s">
        <v>13</v>
      </c>
      <c r="C518">
        <v>44</v>
      </c>
      <c r="D518" t="s">
        <v>15</v>
      </c>
      <c r="E518" t="s">
        <v>15</v>
      </c>
      <c r="F518" t="s">
        <v>16</v>
      </c>
      <c r="G518" t="s">
        <v>18</v>
      </c>
      <c r="H518" t="s">
        <v>22</v>
      </c>
      <c r="I518">
        <v>114.94</v>
      </c>
      <c r="J518">
        <v>21.4</v>
      </c>
      <c r="K518" t="s">
        <v>25</v>
      </c>
      <c r="L518" t="s">
        <v>15</v>
      </c>
    </row>
    <row r="519" spans="1:12" x14ac:dyDescent="0.3">
      <c r="A519">
        <v>33123</v>
      </c>
      <c r="B519" t="s">
        <v>13</v>
      </c>
      <c r="C519">
        <v>68</v>
      </c>
      <c r="D519" t="s">
        <v>15</v>
      </c>
      <c r="E519" t="s">
        <v>15</v>
      </c>
      <c r="F519" t="s">
        <v>16</v>
      </c>
      <c r="G519" t="s">
        <v>18</v>
      </c>
      <c r="H519" t="s">
        <v>23</v>
      </c>
      <c r="I519">
        <v>104.38</v>
      </c>
      <c r="J519">
        <v>40.799999999999997</v>
      </c>
      <c r="K519" t="s">
        <v>24</v>
      </c>
      <c r="L519" t="s">
        <v>15</v>
      </c>
    </row>
    <row r="520" spans="1:12" x14ac:dyDescent="0.3">
      <c r="A520">
        <v>21713</v>
      </c>
      <c r="B520" t="s">
        <v>12</v>
      </c>
      <c r="C520">
        <v>49</v>
      </c>
      <c r="D520" t="s">
        <v>15</v>
      </c>
      <c r="E520" t="s">
        <v>15</v>
      </c>
      <c r="F520" t="s">
        <v>16</v>
      </c>
      <c r="G520" t="s">
        <v>17</v>
      </c>
      <c r="H520" t="s">
        <v>22</v>
      </c>
      <c r="I520">
        <v>102.91</v>
      </c>
      <c r="J520">
        <v>24.7</v>
      </c>
      <c r="K520" t="s">
        <v>27</v>
      </c>
      <c r="L520" t="s">
        <v>15</v>
      </c>
    </row>
    <row r="521" spans="1:12" x14ac:dyDescent="0.3">
      <c r="A521">
        <v>22622</v>
      </c>
      <c r="B521" t="s">
        <v>12</v>
      </c>
      <c r="C521">
        <v>10</v>
      </c>
      <c r="D521" t="s">
        <v>15</v>
      </c>
      <c r="E521" t="s">
        <v>15</v>
      </c>
      <c r="F521" t="s">
        <v>15</v>
      </c>
      <c r="G521" t="s">
        <v>20</v>
      </c>
      <c r="H521" t="s">
        <v>23</v>
      </c>
      <c r="I521">
        <v>108.79</v>
      </c>
      <c r="J521">
        <v>21</v>
      </c>
      <c r="K521" t="s">
        <v>27</v>
      </c>
      <c r="L521" t="s">
        <v>15</v>
      </c>
    </row>
    <row r="522" spans="1:12" x14ac:dyDescent="0.3">
      <c r="A522">
        <v>6726</v>
      </c>
      <c r="B522" t="s">
        <v>13</v>
      </c>
      <c r="C522">
        <v>31</v>
      </c>
      <c r="D522" t="s">
        <v>15</v>
      </c>
      <c r="E522" t="s">
        <v>15</v>
      </c>
      <c r="F522" t="s">
        <v>16</v>
      </c>
      <c r="G522" t="s">
        <v>17</v>
      </c>
      <c r="H522" t="s">
        <v>22</v>
      </c>
      <c r="I522">
        <v>73.31</v>
      </c>
      <c r="J522">
        <v>45</v>
      </c>
      <c r="K522" t="s">
        <v>25</v>
      </c>
      <c r="L522" t="s">
        <v>15</v>
      </c>
    </row>
    <row r="523" spans="1:12" x14ac:dyDescent="0.3">
      <c r="A523">
        <v>17242</v>
      </c>
      <c r="B523" t="s">
        <v>12</v>
      </c>
      <c r="C523">
        <v>67</v>
      </c>
      <c r="D523" t="s">
        <v>15</v>
      </c>
      <c r="E523" t="s">
        <v>15</v>
      </c>
      <c r="F523" t="s">
        <v>16</v>
      </c>
      <c r="G523" t="s">
        <v>18</v>
      </c>
      <c r="H523" t="s">
        <v>22</v>
      </c>
      <c r="I523">
        <v>68.52</v>
      </c>
      <c r="J523">
        <v>26.2</v>
      </c>
      <c r="K523" t="s">
        <v>25</v>
      </c>
      <c r="L523" t="s">
        <v>15</v>
      </c>
    </row>
    <row r="524" spans="1:12" x14ac:dyDescent="0.3">
      <c r="A524">
        <v>16380</v>
      </c>
      <c r="B524" t="s">
        <v>12</v>
      </c>
      <c r="C524">
        <v>40</v>
      </c>
      <c r="D524" t="s">
        <v>15</v>
      </c>
      <c r="E524" t="s">
        <v>15</v>
      </c>
      <c r="F524" t="s">
        <v>16</v>
      </c>
      <c r="G524" t="s">
        <v>17</v>
      </c>
      <c r="H524" t="s">
        <v>23</v>
      </c>
      <c r="I524">
        <v>89.77</v>
      </c>
      <c r="K524" t="s">
        <v>26</v>
      </c>
      <c r="L524" t="s">
        <v>15</v>
      </c>
    </row>
    <row r="525" spans="1:12" x14ac:dyDescent="0.3">
      <c r="A525">
        <v>9729</v>
      </c>
      <c r="B525" t="s">
        <v>12</v>
      </c>
      <c r="C525">
        <v>70</v>
      </c>
      <c r="D525" t="s">
        <v>15</v>
      </c>
      <c r="E525" t="s">
        <v>15</v>
      </c>
      <c r="F525" t="s">
        <v>16</v>
      </c>
      <c r="G525" t="s">
        <v>17</v>
      </c>
      <c r="H525" t="s">
        <v>22</v>
      </c>
      <c r="I525">
        <v>102.64</v>
      </c>
      <c r="J525">
        <v>28.3</v>
      </c>
      <c r="K525" t="s">
        <v>25</v>
      </c>
      <c r="L525" t="s">
        <v>15</v>
      </c>
    </row>
    <row r="526" spans="1:12" x14ac:dyDescent="0.3">
      <c r="A526">
        <v>56974</v>
      </c>
      <c r="B526" t="s">
        <v>13</v>
      </c>
      <c r="C526">
        <v>38</v>
      </c>
      <c r="D526" t="s">
        <v>15</v>
      </c>
      <c r="E526" t="s">
        <v>15</v>
      </c>
      <c r="F526" t="s">
        <v>16</v>
      </c>
      <c r="G526" t="s">
        <v>19</v>
      </c>
      <c r="H526" t="s">
        <v>22</v>
      </c>
      <c r="I526">
        <v>70.92</v>
      </c>
      <c r="J526">
        <v>41.6</v>
      </c>
      <c r="K526" t="s">
        <v>25</v>
      </c>
      <c r="L526" t="s">
        <v>15</v>
      </c>
    </row>
    <row r="527" spans="1:12" x14ac:dyDescent="0.3">
      <c r="A527">
        <v>29933</v>
      </c>
      <c r="B527" t="s">
        <v>13</v>
      </c>
      <c r="C527">
        <v>5</v>
      </c>
      <c r="D527" t="s">
        <v>15</v>
      </c>
      <c r="E527" t="s">
        <v>15</v>
      </c>
      <c r="F527" t="s">
        <v>15</v>
      </c>
      <c r="G527" t="s">
        <v>20</v>
      </c>
      <c r="H527" t="s">
        <v>23</v>
      </c>
      <c r="I527">
        <v>86.11</v>
      </c>
      <c r="J527">
        <v>19</v>
      </c>
      <c r="K527" t="s">
        <v>27</v>
      </c>
      <c r="L527" t="s">
        <v>15</v>
      </c>
    </row>
    <row r="528" spans="1:12" x14ac:dyDescent="0.3">
      <c r="A528">
        <v>65574</v>
      </c>
      <c r="B528" t="s">
        <v>13</v>
      </c>
      <c r="C528">
        <v>54</v>
      </c>
      <c r="D528" t="s">
        <v>15</v>
      </c>
      <c r="E528" t="s">
        <v>15</v>
      </c>
      <c r="F528" t="s">
        <v>16</v>
      </c>
      <c r="G528" t="s">
        <v>17</v>
      </c>
      <c r="H528" t="s">
        <v>22</v>
      </c>
      <c r="I528">
        <v>129.16</v>
      </c>
      <c r="J528">
        <v>32.4</v>
      </c>
      <c r="K528" t="s">
        <v>25</v>
      </c>
      <c r="L528" t="s">
        <v>15</v>
      </c>
    </row>
    <row r="529" spans="1:12" x14ac:dyDescent="0.3">
      <c r="A529">
        <v>17019</v>
      </c>
      <c r="B529" t="s">
        <v>13</v>
      </c>
      <c r="C529">
        <v>30</v>
      </c>
      <c r="D529" t="s">
        <v>15</v>
      </c>
      <c r="E529" t="s">
        <v>15</v>
      </c>
      <c r="F529" t="s">
        <v>16</v>
      </c>
      <c r="G529" t="s">
        <v>19</v>
      </c>
      <c r="H529" t="s">
        <v>22</v>
      </c>
      <c r="I529">
        <v>113.85</v>
      </c>
      <c r="J529">
        <v>34</v>
      </c>
      <c r="K529" t="s">
        <v>25</v>
      </c>
      <c r="L529" t="s">
        <v>15</v>
      </c>
    </row>
    <row r="530" spans="1:12" x14ac:dyDescent="0.3">
      <c r="A530">
        <v>41800</v>
      </c>
      <c r="B530" t="s">
        <v>13</v>
      </c>
      <c r="C530">
        <v>23</v>
      </c>
      <c r="D530" t="s">
        <v>15</v>
      </c>
      <c r="E530" t="s">
        <v>15</v>
      </c>
      <c r="F530" t="s">
        <v>16</v>
      </c>
      <c r="G530" t="s">
        <v>17</v>
      </c>
      <c r="H530" t="s">
        <v>23</v>
      </c>
      <c r="I530">
        <v>79.349999999999994</v>
      </c>
      <c r="J530">
        <v>39.4</v>
      </c>
      <c r="K530" t="s">
        <v>24</v>
      </c>
      <c r="L530" t="s">
        <v>15</v>
      </c>
    </row>
    <row r="531" spans="1:12" x14ac:dyDescent="0.3">
      <c r="A531">
        <v>7621</v>
      </c>
      <c r="B531" t="s">
        <v>13</v>
      </c>
      <c r="C531">
        <v>31</v>
      </c>
      <c r="D531" t="s">
        <v>15</v>
      </c>
      <c r="E531" t="s">
        <v>15</v>
      </c>
      <c r="F531" t="s">
        <v>16</v>
      </c>
      <c r="G531" t="s">
        <v>17</v>
      </c>
      <c r="H531" t="s">
        <v>23</v>
      </c>
      <c r="I531">
        <v>80.790000000000006</v>
      </c>
      <c r="J531">
        <v>28.7</v>
      </c>
      <c r="K531" t="s">
        <v>27</v>
      </c>
      <c r="L531" t="s">
        <v>15</v>
      </c>
    </row>
    <row r="532" spans="1:12" x14ac:dyDescent="0.3">
      <c r="A532">
        <v>6855</v>
      </c>
      <c r="B532" t="s">
        <v>12</v>
      </c>
      <c r="C532">
        <v>72</v>
      </c>
      <c r="D532" t="s">
        <v>16</v>
      </c>
      <c r="E532" t="s">
        <v>15</v>
      </c>
      <c r="F532" t="s">
        <v>16</v>
      </c>
      <c r="G532" t="s">
        <v>18</v>
      </c>
      <c r="H532" t="s">
        <v>22</v>
      </c>
      <c r="I532">
        <v>114.01</v>
      </c>
      <c r="J532">
        <v>31.8</v>
      </c>
      <c r="K532" t="s">
        <v>24</v>
      </c>
      <c r="L532" t="s">
        <v>15</v>
      </c>
    </row>
    <row r="533" spans="1:12" x14ac:dyDescent="0.3">
      <c r="A533">
        <v>5374</v>
      </c>
      <c r="B533" t="s">
        <v>12</v>
      </c>
      <c r="C533">
        <v>23</v>
      </c>
      <c r="D533" t="s">
        <v>15</v>
      </c>
      <c r="E533" t="s">
        <v>15</v>
      </c>
      <c r="F533" t="s">
        <v>15</v>
      </c>
      <c r="G533" t="s">
        <v>17</v>
      </c>
      <c r="H533" t="s">
        <v>23</v>
      </c>
      <c r="I533">
        <v>93.74</v>
      </c>
      <c r="J533">
        <v>31.2</v>
      </c>
      <c r="K533" t="s">
        <v>25</v>
      </c>
      <c r="L533" t="s">
        <v>15</v>
      </c>
    </row>
    <row r="534" spans="1:12" x14ac:dyDescent="0.3">
      <c r="A534">
        <v>31564</v>
      </c>
      <c r="B534" t="s">
        <v>13</v>
      </c>
      <c r="C534">
        <v>25</v>
      </c>
      <c r="D534" t="s">
        <v>15</v>
      </c>
      <c r="E534" t="s">
        <v>15</v>
      </c>
      <c r="F534" t="s">
        <v>16</v>
      </c>
      <c r="G534" t="s">
        <v>17</v>
      </c>
      <c r="H534" t="s">
        <v>23</v>
      </c>
      <c r="I534">
        <v>90.65</v>
      </c>
      <c r="J534">
        <v>20.9</v>
      </c>
      <c r="K534" t="s">
        <v>27</v>
      </c>
      <c r="L534" t="s">
        <v>15</v>
      </c>
    </row>
    <row r="535" spans="1:12" x14ac:dyDescent="0.3">
      <c r="A535">
        <v>26028</v>
      </c>
      <c r="B535" t="s">
        <v>12</v>
      </c>
      <c r="C535">
        <v>51</v>
      </c>
      <c r="D535" t="s">
        <v>15</v>
      </c>
      <c r="E535" t="s">
        <v>15</v>
      </c>
      <c r="F535" t="s">
        <v>16</v>
      </c>
      <c r="G535" t="s">
        <v>17</v>
      </c>
      <c r="H535" t="s">
        <v>22</v>
      </c>
      <c r="I535">
        <v>98.41</v>
      </c>
      <c r="J535">
        <v>32.1</v>
      </c>
      <c r="K535" t="s">
        <v>25</v>
      </c>
      <c r="L535" t="s">
        <v>15</v>
      </c>
    </row>
    <row r="536" spans="1:12" x14ac:dyDescent="0.3">
      <c r="A536">
        <v>71808</v>
      </c>
      <c r="B536" t="s">
        <v>13</v>
      </c>
      <c r="C536">
        <v>20</v>
      </c>
      <c r="D536" t="s">
        <v>15</v>
      </c>
      <c r="E536" t="s">
        <v>15</v>
      </c>
      <c r="F536" t="s">
        <v>15</v>
      </c>
      <c r="G536" t="s">
        <v>17</v>
      </c>
      <c r="H536" t="s">
        <v>22</v>
      </c>
      <c r="I536">
        <v>127.18</v>
      </c>
      <c r="J536">
        <v>31</v>
      </c>
      <c r="K536" t="s">
        <v>27</v>
      </c>
      <c r="L536" t="s">
        <v>15</v>
      </c>
    </row>
    <row r="537" spans="1:12" x14ac:dyDescent="0.3">
      <c r="A537">
        <v>56998</v>
      </c>
      <c r="B537" t="s">
        <v>13</v>
      </c>
      <c r="C537">
        <v>12</v>
      </c>
      <c r="D537" t="s">
        <v>15</v>
      </c>
      <c r="E537" t="s">
        <v>15</v>
      </c>
      <c r="F537" t="s">
        <v>15</v>
      </c>
      <c r="G537" t="s">
        <v>20</v>
      </c>
      <c r="H537" t="s">
        <v>22</v>
      </c>
      <c r="I537">
        <v>138.06</v>
      </c>
      <c r="J537">
        <v>23.1</v>
      </c>
      <c r="K537" t="s">
        <v>27</v>
      </c>
      <c r="L537" t="s">
        <v>15</v>
      </c>
    </row>
    <row r="538" spans="1:12" x14ac:dyDescent="0.3">
      <c r="A538">
        <v>14712</v>
      </c>
      <c r="B538" t="s">
        <v>12</v>
      </c>
      <c r="C538">
        <v>57</v>
      </c>
      <c r="D538" t="s">
        <v>15</v>
      </c>
      <c r="E538" t="s">
        <v>15</v>
      </c>
      <c r="F538" t="s">
        <v>16</v>
      </c>
      <c r="G538" t="s">
        <v>17</v>
      </c>
      <c r="H538" t="s">
        <v>22</v>
      </c>
      <c r="I538">
        <v>89.44</v>
      </c>
      <c r="J538">
        <v>26.7</v>
      </c>
      <c r="K538" t="s">
        <v>25</v>
      </c>
      <c r="L538" t="s">
        <v>15</v>
      </c>
    </row>
    <row r="539" spans="1:12" x14ac:dyDescent="0.3">
      <c r="A539">
        <v>23094</v>
      </c>
      <c r="B539" t="s">
        <v>12</v>
      </c>
      <c r="C539">
        <v>65</v>
      </c>
      <c r="D539" t="s">
        <v>15</v>
      </c>
      <c r="E539" t="s">
        <v>15</v>
      </c>
      <c r="F539" t="s">
        <v>16</v>
      </c>
      <c r="G539" t="s">
        <v>18</v>
      </c>
      <c r="H539" t="s">
        <v>22</v>
      </c>
      <c r="I539">
        <v>105.61</v>
      </c>
      <c r="J539">
        <v>27.9</v>
      </c>
      <c r="K539" t="s">
        <v>27</v>
      </c>
      <c r="L539" t="s">
        <v>15</v>
      </c>
    </row>
    <row r="540" spans="1:12" x14ac:dyDescent="0.3">
      <c r="A540">
        <v>43134</v>
      </c>
      <c r="B540" t="s">
        <v>13</v>
      </c>
      <c r="C540">
        <v>16</v>
      </c>
      <c r="D540" t="s">
        <v>15</v>
      </c>
      <c r="E540" t="s">
        <v>15</v>
      </c>
      <c r="F540" t="s">
        <v>15</v>
      </c>
      <c r="G540" t="s">
        <v>17</v>
      </c>
      <c r="H540" t="s">
        <v>23</v>
      </c>
      <c r="I540">
        <v>155.43</v>
      </c>
      <c r="J540">
        <v>27.3</v>
      </c>
      <c r="K540" t="s">
        <v>25</v>
      </c>
      <c r="L540" t="s">
        <v>15</v>
      </c>
    </row>
    <row r="541" spans="1:12" x14ac:dyDescent="0.3">
      <c r="A541">
        <v>40622</v>
      </c>
      <c r="B541" t="s">
        <v>13</v>
      </c>
      <c r="C541">
        <v>43</v>
      </c>
      <c r="D541" t="s">
        <v>15</v>
      </c>
      <c r="E541" t="s">
        <v>15</v>
      </c>
      <c r="F541" t="s">
        <v>16</v>
      </c>
      <c r="G541" t="s">
        <v>17</v>
      </c>
      <c r="H541" t="s">
        <v>23</v>
      </c>
      <c r="I541">
        <v>80.83</v>
      </c>
      <c r="J541">
        <v>51.5</v>
      </c>
      <c r="K541" t="s">
        <v>27</v>
      </c>
      <c r="L541" t="s">
        <v>15</v>
      </c>
    </row>
    <row r="542" spans="1:12" x14ac:dyDescent="0.3">
      <c r="A542">
        <v>39383</v>
      </c>
      <c r="B542" t="s">
        <v>13</v>
      </c>
      <c r="C542">
        <v>30</v>
      </c>
      <c r="D542" t="s">
        <v>15</v>
      </c>
      <c r="E542" t="s">
        <v>15</v>
      </c>
      <c r="F542" t="s">
        <v>16</v>
      </c>
      <c r="G542" t="s">
        <v>17</v>
      </c>
      <c r="H542" t="s">
        <v>22</v>
      </c>
      <c r="I542">
        <v>80.19</v>
      </c>
      <c r="J542">
        <v>20.399999999999999</v>
      </c>
      <c r="K542" t="s">
        <v>25</v>
      </c>
      <c r="L542" t="s">
        <v>15</v>
      </c>
    </row>
    <row r="543" spans="1:12" x14ac:dyDescent="0.3">
      <c r="A543">
        <v>63606</v>
      </c>
      <c r="B543" t="s">
        <v>12</v>
      </c>
      <c r="C543">
        <v>29</v>
      </c>
      <c r="D543" t="s">
        <v>15</v>
      </c>
      <c r="E543" t="s">
        <v>15</v>
      </c>
      <c r="F543" t="s">
        <v>16</v>
      </c>
      <c r="G543" t="s">
        <v>19</v>
      </c>
      <c r="H543" t="s">
        <v>22</v>
      </c>
      <c r="I543">
        <v>60.34</v>
      </c>
      <c r="J543">
        <v>29.6</v>
      </c>
      <c r="K543" t="s">
        <v>24</v>
      </c>
      <c r="L543" t="s">
        <v>15</v>
      </c>
    </row>
    <row r="544" spans="1:12" x14ac:dyDescent="0.3">
      <c r="A544">
        <v>46438</v>
      </c>
      <c r="B544" t="s">
        <v>13</v>
      </c>
      <c r="C544">
        <v>54</v>
      </c>
      <c r="D544" t="s">
        <v>15</v>
      </c>
      <c r="E544" t="s">
        <v>15</v>
      </c>
      <c r="F544" t="s">
        <v>16</v>
      </c>
      <c r="G544" t="s">
        <v>18</v>
      </c>
      <c r="H544" t="s">
        <v>22</v>
      </c>
      <c r="I544">
        <v>79.3</v>
      </c>
      <c r="J544">
        <v>30.6</v>
      </c>
      <c r="K544" t="s">
        <v>24</v>
      </c>
      <c r="L544" t="s">
        <v>15</v>
      </c>
    </row>
    <row r="545" spans="1:12" x14ac:dyDescent="0.3">
      <c r="A545">
        <v>65144</v>
      </c>
      <c r="B545" t="s">
        <v>13</v>
      </c>
      <c r="C545">
        <v>57</v>
      </c>
      <c r="D545" t="s">
        <v>15</v>
      </c>
      <c r="E545" t="s">
        <v>15</v>
      </c>
      <c r="F545" t="s">
        <v>16</v>
      </c>
      <c r="G545" t="s">
        <v>18</v>
      </c>
      <c r="H545" t="s">
        <v>22</v>
      </c>
      <c r="I545">
        <v>98.44</v>
      </c>
      <c r="J545">
        <v>33.6</v>
      </c>
      <c r="K545" t="s">
        <v>27</v>
      </c>
      <c r="L545" t="s">
        <v>15</v>
      </c>
    </row>
    <row r="546" spans="1:12" x14ac:dyDescent="0.3">
      <c r="A546">
        <v>545</v>
      </c>
      <c r="B546" t="s">
        <v>12</v>
      </c>
      <c r="C546">
        <v>42</v>
      </c>
      <c r="D546" t="s">
        <v>15</v>
      </c>
      <c r="E546" t="s">
        <v>15</v>
      </c>
      <c r="F546" t="s">
        <v>16</v>
      </c>
      <c r="G546" t="s">
        <v>17</v>
      </c>
      <c r="H546" t="s">
        <v>23</v>
      </c>
      <c r="I546">
        <v>210.48</v>
      </c>
      <c r="J546">
        <v>71.900000000000006</v>
      </c>
      <c r="K546" t="s">
        <v>25</v>
      </c>
      <c r="L546" t="s">
        <v>15</v>
      </c>
    </row>
    <row r="547" spans="1:12" x14ac:dyDescent="0.3">
      <c r="A547">
        <v>36331</v>
      </c>
      <c r="B547" t="s">
        <v>12</v>
      </c>
      <c r="C547">
        <v>18</v>
      </c>
      <c r="D547" t="s">
        <v>15</v>
      </c>
      <c r="E547" t="s">
        <v>15</v>
      </c>
      <c r="F547" t="s">
        <v>15</v>
      </c>
      <c r="G547" t="s">
        <v>17</v>
      </c>
      <c r="H547" t="s">
        <v>23</v>
      </c>
      <c r="I547">
        <v>70.34</v>
      </c>
      <c r="J547">
        <v>24.2</v>
      </c>
      <c r="K547" t="s">
        <v>27</v>
      </c>
      <c r="L547" t="s">
        <v>15</v>
      </c>
    </row>
    <row r="548" spans="1:12" x14ac:dyDescent="0.3">
      <c r="A548">
        <v>42359</v>
      </c>
      <c r="B548" t="s">
        <v>12</v>
      </c>
      <c r="C548">
        <v>9</v>
      </c>
      <c r="D548" t="s">
        <v>15</v>
      </c>
      <c r="E548" t="s">
        <v>15</v>
      </c>
      <c r="F548" t="s">
        <v>15</v>
      </c>
      <c r="G548" t="s">
        <v>20</v>
      </c>
      <c r="H548" t="s">
        <v>22</v>
      </c>
      <c r="I548">
        <v>122.22</v>
      </c>
      <c r="J548">
        <v>17.7</v>
      </c>
      <c r="K548" t="s">
        <v>27</v>
      </c>
      <c r="L548" t="s">
        <v>15</v>
      </c>
    </row>
    <row r="549" spans="1:12" x14ac:dyDescent="0.3">
      <c r="A549">
        <v>20751</v>
      </c>
      <c r="B549" t="s">
        <v>13</v>
      </c>
      <c r="C549">
        <v>26</v>
      </c>
      <c r="D549" t="s">
        <v>15</v>
      </c>
      <c r="E549" t="s">
        <v>15</v>
      </c>
      <c r="F549" t="s">
        <v>16</v>
      </c>
      <c r="G549" t="s">
        <v>17</v>
      </c>
      <c r="H549" t="s">
        <v>23</v>
      </c>
      <c r="I549">
        <v>75.290000000000006</v>
      </c>
      <c r="J549">
        <v>22.6</v>
      </c>
      <c r="K549" t="s">
        <v>26</v>
      </c>
      <c r="L549" t="s">
        <v>15</v>
      </c>
    </row>
    <row r="550" spans="1:12" x14ac:dyDescent="0.3">
      <c r="A550">
        <v>34641</v>
      </c>
      <c r="B550" t="s">
        <v>12</v>
      </c>
      <c r="C550">
        <v>40</v>
      </c>
      <c r="D550" t="s">
        <v>15</v>
      </c>
      <c r="E550" t="s">
        <v>15</v>
      </c>
      <c r="F550" t="s">
        <v>15</v>
      </c>
      <c r="G550" t="s">
        <v>17</v>
      </c>
      <c r="H550" t="s">
        <v>23</v>
      </c>
      <c r="I550">
        <v>100.35</v>
      </c>
      <c r="J550">
        <v>28.1</v>
      </c>
      <c r="K550" t="s">
        <v>25</v>
      </c>
      <c r="L550" t="s">
        <v>15</v>
      </c>
    </row>
    <row r="551" spans="1:12" x14ac:dyDescent="0.3">
      <c r="A551">
        <v>15791</v>
      </c>
      <c r="B551" t="s">
        <v>12</v>
      </c>
      <c r="C551">
        <v>77</v>
      </c>
      <c r="D551" t="s">
        <v>15</v>
      </c>
      <c r="E551" t="s">
        <v>15</v>
      </c>
      <c r="F551" t="s">
        <v>16</v>
      </c>
      <c r="G551" t="s">
        <v>17</v>
      </c>
      <c r="H551" t="s">
        <v>22</v>
      </c>
      <c r="I551">
        <v>193.83</v>
      </c>
      <c r="J551">
        <v>26.5</v>
      </c>
      <c r="K551" t="s">
        <v>25</v>
      </c>
      <c r="L551" t="s">
        <v>15</v>
      </c>
    </row>
    <row r="552" spans="1:12" x14ac:dyDescent="0.3">
      <c r="A552">
        <v>68241</v>
      </c>
      <c r="B552" t="s">
        <v>13</v>
      </c>
      <c r="C552">
        <v>15</v>
      </c>
      <c r="D552" t="s">
        <v>15</v>
      </c>
      <c r="E552" t="s">
        <v>15</v>
      </c>
      <c r="F552" t="s">
        <v>15</v>
      </c>
      <c r="G552" t="s">
        <v>20</v>
      </c>
      <c r="H552" t="s">
        <v>22</v>
      </c>
      <c r="I552">
        <v>126.96</v>
      </c>
      <c r="J552">
        <v>28.7</v>
      </c>
      <c r="K552" t="s">
        <v>27</v>
      </c>
      <c r="L552" t="s">
        <v>15</v>
      </c>
    </row>
    <row r="553" spans="1:12" x14ac:dyDescent="0.3">
      <c r="A553">
        <v>67780</v>
      </c>
      <c r="B553" t="s">
        <v>13</v>
      </c>
      <c r="C553">
        <v>76</v>
      </c>
      <c r="D553" t="s">
        <v>15</v>
      </c>
      <c r="E553" t="s">
        <v>15</v>
      </c>
      <c r="F553" t="s">
        <v>16</v>
      </c>
      <c r="G553" t="s">
        <v>17</v>
      </c>
      <c r="H553" t="s">
        <v>22</v>
      </c>
      <c r="I553">
        <v>183.34</v>
      </c>
      <c r="J553">
        <v>39.5</v>
      </c>
      <c r="K553" t="s">
        <v>24</v>
      </c>
      <c r="L553" t="s">
        <v>15</v>
      </c>
    </row>
    <row r="554" spans="1:12" x14ac:dyDescent="0.3">
      <c r="A554">
        <v>68275</v>
      </c>
      <c r="B554" t="s">
        <v>12</v>
      </c>
      <c r="C554">
        <v>52</v>
      </c>
      <c r="D554" t="s">
        <v>15</v>
      </c>
      <c r="E554" t="s">
        <v>15</v>
      </c>
      <c r="F554" t="s">
        <v>16</v>
      </c>
      <c r="G554" t="s">
        <v>17</v>
      </c>
      <c r="H554" t="s">
        <v>22</v>
      </c>
      <c r="I554">
        <v>247.69</v>
      </c>
      <c r="J554">
        <v>35.1</v>
      </c>
      <c r="K554" t="s">
        <v>27</v>
      </c>
      <c r="L554" t="s">
        <v>15</v>
      </c>
    </row>
    <row r="555" spans="1:12" x14ac:dyDescent="0.3">
      <c r="A555">
        <v>13129</v>
      </c>
      <c r="B555" t="s">
        <v>13</v>
      </c>
      <c r="C555">
        <v>55</v>
      </c>
      <c r="D555" t="s">
        <v>15</v>
      </c>
      <c r="E555" t="s">
        <v>15</v>
      </c>
      <c r="F555" t="s">
        <v>16</v>
      </c>
      <c r="G555" t="s">
        <v>18</v>
      </c>
      <c r="H555" t="s">
        <v>23</v>
      </c>
      <c r="I555">
        <v>76.2</v>
      </c>
      <c r="J555">
        <v>27.9</v>
      </c>
      <c r="K555" t="s">
        <v>25</v>
      </c>
      <c r="L555" t="s">
        <v>15</v>
      </c>
    </row>
    <row r="556" spans="1:12" x14ac:dyDescent="0.3">
      <c r="A556">
        <v>60902</v>
      </c>
      <c r="B556" t="s">
        <v>12</v>
      </c>
      <c r="C556">
        <v>5</v>
      </c>
      <c r="D556" t="s">
        <v>15</v>
      </c>
      <c r="E556" t="s">
        <v>15</v>
      </c>
      <c r="F556" t="s">
        <v>15</v>
      </c>
      <c r="G556" t="s">
        <v>20</v>
      </c>
      <c r="H556" t="s">
        <v>23</v>
      </c>
      <c r="I556">
        <v>71.430000000000007</v>
      </c>
      <c r="J556">
        <v>19.3</v>
      </c>
      <c r="K556" t="s">
        <v>27</v>
      </c>
      <c r="L556" t="s">
        <v>15</v>
      </c>
    </row>
    <row r="557" spans="1:12" x14ac:dyDescent="0.3">
      <c r="A557">
        <v>37629</v>
      </c>
      <c r="B557" t="s">
        <v>13</v>
      </c>
      <c r="C557">
        <v>55</v>
      </c>
      <c r="D557" t="s">
        <v>15</v>
      </c>
      <c r="E557" t="s">
        <v>15</v>
      </c>
      <c r="F557" t="s">
        <v>15</v>
      </c>
      <c r="G557" t="s">
        <v>17</v>
      </c>
      <c r="H557" t="s">
        <v>23</v>
      </c>
      <c r="I557">
        <v>93.36</v>
      </c>
      <c r="J557">
        <v>28.4</v>
      </c>
      <c r="K557" t="s">
        <v>25</v>
      </c>
      <c r="L557" t="s">
        <v>15</v>
      </c>
    </row>
    <row r="558" spans="1:12" x14ac:dyDescent="0.3">
      <c r="A558">
        <v>58439</v>
      </c>
      <c r="B558" t="s">
        <v>12</v>
      </c>
      <c r="C558">
        <v>36</v>
      </c>
      <c r="D558" t="s">
        <v>15</v>
      </c>
      <c r="E558" t="s">
        <v>15</v>
      </c>
      <c r="F558" t="s">
        <v>15</v>
      </c>
      <c r="G558" t="s">
        <v>17</v>
      </c>
      <c r="H558" t="s">
        <v>22</v>
      </c>
      <c r="I558">
        <v>61.29</v>
      </c>
      <c r="J558">
        <v>26.7</v>
      </c>
      <c r="K558" t="s">
        <v>25</v>
      </c>
      <c r="L558" t="s">
        <v>15</v>
      </c>
    </row>
    <row r="559" spans="1:12" x14ac:dyDescent="0.3">
      <c r="A559">
        <v>62936</v>
      </c>
      <c r="B559" t="s">
        <v>12</v>
      </c>
      <c r="C559">
        <v>46</v>
      </c>
      <c r="D559" t="s">
        <v>15</v>
      </c>
      <c r="E559" t="s">
        <v>15</v>
      </c>
      <c r="F559" t="s">
        <v>16</v>
      </c>
      <c r="G559" t="s">
        <v>17</v>
      </c>
      <c r="H559" t="s">
        <v>22</v>
      </c>
      <c r="I559">
        <v>103.62</v>
      </c>
      <c r="J559">
        <v>40.9</v>
      </c>
      <c r="K559" t="s">
        <v>27</v>
      </c>
      <c r="L559" t="s">
        <v>15</v>
      </c>
    </row>
    <row r="560" spans="1:12" x14ac:dyDescent="0.3">
      <c r="A560">
        <v>29010</v>
      </c>
      <c r="B560" t="s">
        <v>12</v>
      </c>
      <c r="C560">
        <v>5</v>
      </c>
      <c r="D560" t="s">
        <v>15</v>
      </c>
      <c r="E560" t="s">
        <v>15</v>
      </c>
      <c r="F560" t="s">
        <v>15</v>
      </c>
      <c r="G560" t="s">
        <v>20</v>
      </c>
      <c r="H560" t="s">
        <v>23</v>
      </c>
      <c r="I560">
        <v>100.52</v>
      </c>
      <c r="J560">
        <v>17.2</v>
      </c>
      <c r="K560" t="s">
        <v>27</v>
      </c>
      <c r="L560" t="s">
        <v>15</v>
      </c>
    </row>
    <row r="561" spans="1:12" x14ac:dyDescent="0.3">
      <c r="A561">
        <v>36561</v>
      </c>
      <c r="B561" t="s">
        <v>13</v>
      </c>
      <c r="C561">
        <v>39</v>
      </c>
      <c r="D561" t="s">
        <v>15</v>
      </c>
      <c r="E561" t="s">
        <v>15</v>
      </c>
      <c r="F561" t="s">
        <v>16</v>
      </c>
      <c r="G561" t="s">
        <v>19</v>
      </c>
      <c r="H561" t="s">
        <v>23</v>
      </c>
      <c r="I561">
        <v>191.47</v>
      </c>
      <c r="J561">
        <v>28.3</v>
      </c>
      <c r="K561" t="s">
        <v>25</v>
      </c>
      <c r="L561" t="s">
        <v>15</v>
      </c>
    </row>
    <row r="562" spans="1:12" x14ac:dyDescent="0.3">
      <c r="A562">
        <v>44912</v>
      </c>
      <c r="B562" t="s">
        <v>12</v>
      </c>
      <c r="C562">
        <v>12</v>
      </c>
      <c r="D562" t="s">
        <v>15</v>
      </c>
      <c r="E562" t="s">
        <v>15</v>
      </c>
      <c r="F562" t="s">
        <v>15</v>
      </c>
      <c r="G562" t="s">
        <v>20</v>
      </c>
      <c r="H562" t="s">
        <v>22</v>
      </c>
      <c r="I562">
        <v>67.06</v>
      </c>
      <c r="J562">
        <v>16.100000000000001</v>
      </c>
      <c r="K562" t="s">
        <v>27</v>
      </c>
      <c r="L562" t="s">
        <v>15</v>
      </c>
    </row>
    <row r="563" spans="1:12" x14ac:dyDescent="0.3">
      <c r="A563">
        <v>59829</v>
      </c>
      <c r="B563" t="s">
        <v>12</v>
      </c>
      <c r="C563">
        <v>67</v>
      </c>
      <c r="D563" t="s">
        <v>15</v>
      </c>
      <c r="E563" t="s">
        <v>16</v>
      </c>
      <c r="F563" t="s">
        <v>16</v>
      </c>
      <c r="G563" t="s">
        <v>17</v>
      </c>
      <c r="H563" t="s">
        <v>22</v>
      </c>
      <c r="I563">
        <v>144.1</v>
      </c>
      <c r="J563">
        <v>27.6</v>
      </c>
      <c r="K563" t="s">
        <v>25</v>
      </c>
      <c r="L563" t="s">
        <v>15</v>
      </c>
    </row>
    <row r="564" spans="1:12" x14ac:dyDescent="0.3">
      <c r="A564">
        <v>45238</v>
      </c>
      <c r="B564" t="s">
        <v>13</v>
      </c>
      <c r="C564">
        <v>1.8</v>
      </c>
      <c r="D564" t="s">
        <v>15</v>
      </c>
      <c r="E564" t="s">
        <v>15</v>
      </c>
      <c r="F564" t="s">
        <v>15</v>
      </c>
      <c r="G564" t="s">
        <v>20</v>
      </c>
      <c r="H564" t="s">
        <v>22</v>
      </c>
      <c r="I564">
        <v>58.26</v>
      </c>
      <c r="J564">
        <v>16.5</v>
      </c>
      <c r="K564" t="s">
        <v>27</v>
      </c>
      <c r="L564" t="s">
        <v>15</v>
      </c>
    </row>
    <row r="565" spans="1:12" x14ac:dyDescent="0.3">
      <c r="A565">
        <v>47811</v>
      </c>
      <c r="B565" t="s">
        <v>13</v>
      </c>
      <c r="C565">
        <v>72</v>
      </c>
      <c r="D565" t="s">
        <v>15</v>
      </c>
      <c r="E565" t="s">
        <v>15</v>
      </c>
      <c r="F565" t="s">
        <v>16</v>
      </c>
      <c r="G565" t="s">
        <v>18</v>
      </c>
      <c r="H565" t="s">
        <v>22</v>
      </c>
      <c r="I565">
        <v>239.82</v>
      </c>
      <c r="J565">
        <v>35.799999999999997</v>
      </c>
      <c r="K565" t="s">
        <v>25</v>
      </c>
      <c r="L565" t="s">
        <v>15</v>
      </c>
    </row>
    <row r="566" spans="1:12" x14ac:dyDescent="0.3">
      <c r="A566">
        <v>61511</v>
      </c>
      <c r="B566" t="s">
        <v>13</v>
      </c>
      <c r="C566">
        <v>0.32</v>
      </c>
      <c r="D566" t="s">
        <v>15</v>
      </c>
      <c r="E566" t="s">
        <v>15</v>
      </c>
      <c r="F566" t="s">
        <v>15</v>
      </c>
      <c r="G566" t="s">
        <v>20</v>
      </c>
      <c r="H566" t="s">
        <v>23</v>
      </c>
      <c r="I566">
        <v>73.709999999999994</v>
      </c>
      <c r="J566">
        <v>16.2</v>
      </c>
      <c r="K566" t="s">
        <v>27</v>
      </c>
      <c r="L566" t="s">
        <v>15</v>
      </c>
    </row>
    <row r="567" spans="1:12" x14ac:dyDescent="0.3">
      <c r="A567">
        <v>55424</v>
      </c>
      <c r="B567" t="s">
        <v>13</v>
      </c>
      <c r="C567">
        <v>64</v>
      </c>
      <c r="D567" t="s">
        <v>16</v>
      </c>
      <c r="E567" t="s">
        <v>15</v>
      </c>
      <c r="F567" t="s">
        <v>16</v>
      </c>
      <c r="G567" t="s">
        <v>17</v>
      </c>
      <c r="H567" t="s">
        <v>23</v>
      </c>
      <c r="I567">
        <v>88.53</v>
      </c>
      <c r="J567">
        <v>24.6</v>
      </c>
      <c r="K567" t="s">
        <v>25</v>
      </c>
      <c r="L567" t="s">
        <v>15</v>
      </c>
    </row>
    <row r="568" spans="1:12" x14ac:dyDescent="0.3">
      <c r="A568">
        <v>36942</v>
      </c>
      <c r="B568" t="s">
        <v>12</v>
      </c>
      <c r="C568">
        <v>27</v>
      </c>
      <c r="D568" t="s">
        <v>15</v>
      </c>
      <c r="E568" t="s">
        <v>15</v>
      </c>
      <c r="F568" t="s">
        <v>15</v>
      </c>
      <c r="G568" t="s">
        <v>17</v>
      </c>
      <c r="H568" t="s">
        <v>22</v>
      </c>
      <c r="I568">
        <v>114.79</v>
      </c>
      <c r="J568">
        <v>32</v>
      </c>
      <c r="K568" t="s">
        <v>27</v>
      </c>
      <c r="L568" t="s">
        <v>15</v>
      </c>
    </row>
    <row r="569" spans="1:12" x14ac:dyDescent="0.3">
      <c r="A569">
        <v>61697</v>
      </c>
      <c r="B569" t="s">
        <v>12</v>
      </c>
      <c r="C569">
        <v>25</v>
      </c>
      <c r="D569" t="s">
        <v>15</v>
      </c>
      <c r="E569" t="s">
        <v>15</v>
      </c>
      <c r="F569" t="s">
        <v>15</v>
      </c>
      <c r="G569" t="s">
        <v>17</v>
      </c>
      <c r="H569" t="s">
        <v>23</v>
      </c>
      <c r="I569">
        <v>113.8</v>
      </c>
      <c r="J569">
        <v>35.299999999999997</v>
      </c>
      <c r="K569" t="s">
        <v>24</v>
      </c>
      <c r="L569" t="s">
        <v>15</v>
      </c>
    </row>
    <row r="570" spans="1:12" x14ac:dyDescent="0.3">
      <c r="A570">
        <v>55138</v>
      </c>
      <c r="B570" t="s">
        <v>13</v>
      </c>
      <c r="C570">
        <v>81</v>
      </c>
      <c r="D570" t="s">
        <v>15</v>
      </c>
      <c r="E570" t="s">
        <v>15</v>
      </c>
      <c r="F570" t="s">
        <v>15</v>
      </c>
      <c r="G570" t="s">
        <v>18</v>
      </c>
      <c r="H570" t="s">
        <v>22</v>
      </c>
      <c r="I570">
        <v>71.91</v>
      </c>
      <c r="J570">
        <v>19.2</v>
      </c>
      <c r="K570" t="s">
        <v>27</v>
      </c>
      <c r="L570" t="s">
        <v>15</v>
      </c>
    </row>
    <row r="571" spans="1:12" x14ac:dyDescent="0.3">
      <c r="A571">
        <v>39399</v>
      </c>
      <c r="B571" t="s">
        <v>13</v>
      </c>
      <c r="C571">
        <v>32</v>
      </c>
      <c r="D571" t="s">
        <v>15</v>
      </c>
      <c r="E571" t="s">
        <v>15</v>
      </c>
      <c r="F571" t="s">
        <v>15</v>
      </c>
      <c r="G571" t="s">
        <v>18</v>
      </c>
      <c r="H571" t="s">
        <v>22</v>
      </c>
      <c r="I571">
        <v>65.3</v>
      </c>
      <c r="J571">
        <v>40.4</v>
      </c>
      <c r="K571" t="s">
        <v>25</v>
      </c>
      <c r="L571" t="s">
        <v>15</v>
      </c>
    </row>
    <row r="572" spans="1:12" x14ac:dyDescent="0.3">
      <c r="A572">
        <v>17148</v>
      </c>
      <c r="B572" t="s">
        <v>12</v>
      </c>
      <c r="C572">
        <v>57</v>
      </c>
      <c r="D572" t="s">
        <v>15</v>
      </c>
      <c r="E572" t="s">
        <v>15</v>
      </c>
      <c r="F572" t="s">
        <v>16</v>
      </c>
      <c r="G572" t="s">
        <v>17</v>
      </c>
      <c r="H572" t="s">
        <v>22</v>
      </c>
      <c r="I572">
        <v>189.57</v>
      </c>
      <c r="J572">
        <v>30.7</v>
      </c>
      <c r="K572" t="s">
        <v>25</v>
      </c>
      <c r="L572" t="s">
        <v>15</v>
      </c>
    </row>
    <row r="573" spans="1:12" x14ac:dyDescent="0.3">
      <c r="A573">
        <v>721</v>
      </c>
      <c r="B573" t="s">
        <v>13</v>
      </c>
      <c r="C573">
        <v>52</v>
      </c>
      <c r="D573" t="s">
        <v>16</v>
      </c>
      <c r="E573" t="s">
        <v>15</v>
      </c>
      <c r="F573" t="s">
        <v>16</v>
      </c>
      <c r="G573" t="s">
        <v>18</v>
      </c>
      <c r="H573" t="s">
        <v>22</v>
      </c>
      <c r="I573">
        <v>114.25</v>
      </c>
      <c r="J573">
        <v>24.3</v>
      </c>
      <c r="K573" t="s">
        <v>24</v>
      </c>
      <c r="L573" t="s">
        <v>15</v>
      </c>
    </row>
    <row r="574" spans="1:12" x14ac:dyDescent="0.3">
      <c r="A574">
        <v>40448</v>
      </c>
      <c r="B574" t="s">
        <v>12</v>
      </c>
      <c r="C574">
        <v>54</v>
      </c>
      <c r="D574" t="s">
        <v>15</v>
      </c>
      <c r="E574" t="s">
        <v>15</v>
      </c>
      <c r="F574" t="s">
        <v>16</v>
      </c>
      <c r="G574" t="s">
        <v>17</v>
      </c>
      <c r="H574" t="s">
        <v>22</v>
      </c>
      <c r="I574">
        <v>81.260000000000005</v>
      </c>
      <c r="J574">
        <v>26.4</v>
      </c>
      <c r="K574" t="s">
        <v>24</v>
      </c>
      <c r="L574" t="s">
        <v>15</v>
      </c>
    </row>
    <row r="575" spans="1:12" x14ac:dyDescent="0.3">
      <c r="A575">
        <v>58007</v>
      </c>
      <c r="B575" t="s">
        <v>13</v>
      </c>
      <c r="C575">
        <v>36</v>
      </c>
      <c r="D575" t="s">
        <v>15</v>
      </c>
      <c r="E575" t="s">
        <v>15</v>
      </c>
      <c r="F575" t="s">
        <v>16</v>
      </c>
      <c r="G575" t="s">
        <v>17</v>
      </c>
      <c r="H575" t="s">
        <v>22</v>
      </c>
      <c r="I575">
        <v>87.88</v>
      </c>
      <c r="J575">
        <v>34.700000000000003</v>
      </c>
      <c r="K575" t="s">
        <v>26</v>
      </c>
      <c r="L575" t="s">
        <v>15</v>
      </c>
    </row>
    <row r="576" spans="1:12" x14ac:dyDescent="0.3">
      <c r="A576">
        <v>15095</v>
      </c>
      <c r="B576" t="s">
        <v>12</v>
      </c>
      <c r="C576">
        <v>18</v>
      </c>
      <c r="D576" t="s">
        <v>15</v>
      </c>
      <c r="E576" t="s">
        <v>15</v>
      </c>
      <c r="F576" t="s">
        <v>15</v>
      </c>
      <c r="G576" t="s">
        <v>17</v>
      </c>
      <c r="H576" t="s">
        <v>22</v>
      </c>
      <c r="I576">
        <v>112.17</v>
      </c>
      <c r="J576">
        <v>31.7</v>
      </c>
      <c r="K576" t="s">
        <v>27</v>
      </c>
      <c r="L576" t="s">
        <v>15</v>
      </c>
    </row>
    <row r="577" spans="1:12" x14ac:dyDescent="0.3">
      <c r="A577">
        <v>11960</v>
      </c>
      <c r="B577" t="s">
        <v>12</v>
      </c>
      <c r="C577">
        <v>45</v>
      </c>
      <c r="D577" t="s">
        <v>15</v>
      </c>
      <c r="E577" t="s">
        <v>15</v>
      </c>
      <c r="F577" t="s">
        <v>16</v>
      </c>
      <c r="G577" t="s">
        <v>17</v>
      </c>
      <c r="H577" t="s">
        <v>23</v>
      </c>
      <c r="I577">
        <v>99.97</v>
      </c>
      <c r="J577">
        <v>35.6</v>
      </c>
      <c r="K577" t="s">
        <v>25</v>
      </c>
      <c r="L577" t="s">
        <v>15</v>
      </c>
    </row>
    <row r="578" spans="1:12" x14ac:dyDescent="0.3">
      <c r="A578">
        <v>56179</v>
      </c>
      <c r="B578" t="s">
        <v>12</v>
      </c>
      <c r="C578">
        <v>29</v>
      </c>
      <c r="D578" t="s">
        <v>15</v>
      </c>
      <c r="E578" t="s">
        <v>15</v>
      </c>
      <c r="F578" t="s">
        <v>15</v>
      </c>
      <c r="G578" t="s">
        <v>17</v>
      </c>
      <c r="H578" t="s">
        <v>22</v>
      </c>
      <c r="I578">
        <v>207.58</v>
      </c>
      <c r="J578">
        <v>22.8</v>
      </c>
      <c r="K578" t="s">
        <v>26</v>
      </c>
      <c r="L578" t="s">
        <v>15</v>
      </c>
    </row>
    <row r="579" spans="1:12" x14ac:dyDescent="0.3">
      <c r="A579">
        <v>24592</v>
      </c>
      <c r="B579" t="s">
        <v>13</v>
      </c>
      <c r="C579">
        <v>51</v>
      </c>
      <c r="D579" t="s">
        <v>16</v>
      </c>
      <c r="E579" t="s">
        <v>15</v>
      </c>
      <c r="F579" t="s">
        <v>16</v>
      </c>
      <c r="G579" t="s">
        <v>17</v>
      </c>
      <c r="H579" t="s">
        <v>22</v>
      </c>
      <c r="I579">
        <v>109.16</v>
      </c>
      <c r="J579">
        <v>28</v>
      </c>
      <c r="K579" t="s">
        <v>26</v>
      </c>
      <c r="L579" t="s">
        <v>15</v>
      </c>
    </row>
    <row r="580" spans="1:12" x14ac:dyDescent="0.3">
      <c r="A580">
        <v>67744</v>
      </c>
      <c r="B580" t="s">
        <v>13</v>
      </c>
      <c r="C580">
        <v>23</v>
      </c>
      <c r="D580" t="s">
        <v>15</v>
      </c>
      <c r="E580" t="s">
        <v>15</v>
      </c>
      <c r="F580" t="s">
        <v>15</v>
      </c>
      <c r="G580" t="s">
        <v>17</v>
      </c>
      <c r="H580" t="s">
        <v>22</v>
      </c>
      <c r="I580">
        <v>74.459999999999994</v>
      </c>
      <c r="J580">
        <v>35.6</v>
      </c>
      <c r="K580" t="s">
        <v>24</v>
      </c>
      <c r="L580" t="s">
        <v>15</v>
      </c>
    </row>
    <row r="581" spans="1:12" x14ac:dyDescent="0.3">
      <c r="A581">
        <v>8328</v>
      </c>
      <c r="B581" t="s">
        <v>13</v>
      </c>
      <c r="C581">
        <v>54</v>
      </c>
      <c r="D581" t="s">
        <v>15</v>
      </c>
      <c r="E581" t="s">
        <v>15</v>
      </c>
      <c r="F581" t="s">
        <v>16</v>
      </c>
      <c r="G581" t="s">
        <v>17</v>
      </c>
      <c r="H581" t="s">
        <v>23</v>
      </c>
      <c r="I581">
        <v>118.51</v>
      </c>
      <c r="J581">
        <v>40.6</v>
      </c>
      <c r="K581" t="s">
        <v>25</v>
      </c>
      <c r="L581" t="s">
        <v>15</v>
      </c>
    </row>
    <row r="582" spans="1:12" x14ac:dyDescent="0.3">
      <c r="A582">
        <v>32437</v>
      </c>
      <c r="B582" t="s">
        <v>13</v>
      </c>
      <c r="C582">
        <v>54</v>
      </c>
      <c r="D582" t="s">
        <v>15</v>
      </c>
      <c r="E582" t="s">
        <v>15</v>
      </c>
      <c r="F582" t="s">
        <v>16</v>
      </c>
      <c r="G582" t="s">
        <v>18</v>
      </c>
      <c r="H582" t="s">
        <v>22</v>
      </c>
      <c r="I582">
        <v>107.47</v>
      </c>
      <c r="J582">
        <v>29.3</v>
      </c>
      <c r="K582" t="s">
        <v>24</v>
      </c>
      <c r="L582" t="s">
        <v>15</v>
      </c>
    </row>
    <row r="583" spans="1:12" x14ac:dyDescent="0.3">
      <c r="A583">
        <v>44315</v>
      </c>
      <c r="B583" t="s">
        <v>12</v>
      </c>
      <c r="C583">
        <v>18</v>
      </c>
      <c r="D583" t="s">
        <v>15</v>
      </c>
      <c r="E583" t="s">
        <v>15</v>
      </c>
      <c r="F583" t="s">
        <v>15</v>
      </c>
      <c r="G583" t="s">
        <v>18</v>
      </c>
      <c r="H583" t="s">
        <v>23</v>
      </c>
      <c r="I583">
        <v>182.86</v>
      </c>
      <c r="J583">
        <v>21</v>
      </c>
      <c r="K583" t="s">
        <v>27</v>
      </c>
      <c r="L583" t="s">
        <v>15</v>
      </c>
    </row>
    <row r="584" spans="1:12" x14ac:dyDescent="0.3">
      <c r="A584">
        <v>68245</v>
      </c>
      <c r="B584" t="s">
        <v>13</v>
      </c>
      <c r="C584">
        <v>26</v>
      </c>
      <c r="D584" t="s">
        <v>15</v>
      </c>
      <c r="E584" t="s">
        <v>15</v>
      </c>
      <c r="F584" t="s">
        <v>16</v>
      </c>
      <c r="G584" t="s">
        <v>17</v>
      </c>
      <c r="H584" t="s">
        <v>23</v>
      </c>
      <c r="I584">
        <v>59.17</v>
      </c>
      <c r="J584">
        <v>20</v>
      </c>
      <c r="K584" t="s">
        <v>27</v>
      </c>
      <c r="L584" t="s">
        <v>15</v>
      </c>
    </row>
    <row r="585" spans="1:12" x14ac:dyDescent="0.3">
      <c r="A585">
        <v>25483</v>
      </c>
      <c r="B585" t="s">
        <v>12</v>
      </c>
      <c r="C585">
        <v>72</v>
      </c>
      <c r="D585" t="s">
        <v>15</v>
      </c>
      <c r="E585" t="s">
        <v>15</v>
      </c>
      <c r="F585" t="s">
        <v>16</v>
      </c>
      <c r="G585" t="s">
        <v>17</v>
      </c>
      <c r="H585" t="s">
        <v>23</v>
      </c>
      <c r="I585">
        <v>215.64</v>
      </c>
      <c r="J585">
        <v>26.7</v>
      </c>
      <c r="K585" t="s">
        <v>24</v>
      </c>
      <c r="L585" t="s">
        <v>15</v>
      </c>
    </row>
    <row r="586" spans="1:12" x14ac:dyDescent="0.3">
      <c r="A586">
        <v>47732</v>
      </c>
      <c r="B586" t="s">
        <v>12</v>
      </c>
      <c r="C586">
        <v>5</v>
      </c>
      <c r="D586" t="s">
        <v>15</v>
      </c>
      <c r="E586" t="s">
        <v>15</v>
      </c>
      <c r="F586" t="s">
        <v>15</v>
      </c>
      <c r="G586" t="s">
        <v>20</v>
      </c>
      <c r="H586" t="s">
        <v>23</v>
      </c>
      <c r="I586">
        <v>163.69999999999999</v>
      </c>
      <c r="J586">
        <v>18.399999999999999</v>
      </c>
      <c r="K586" t="s">
        <v>27</v>
      </c>
      <c r="L586" t="s">
        <v>15</v>
      </c>
    </row>
    <row r="587" spans="1:12" x14ac:dyDescent="0.3">
      <c r="A587">
        <v>50118</v>
      </c>
      <c r="B587" t="s">
        <v>13</v>
      </c>
      <c r="C587">
        <v>65</v>
      </c>
      <c r="D587" t="s">
        <v>15</v>
      </c>
      <c r="E587" t="s">
        <v>16</v>
      </c>
      <c r="F587" t="s">
        <v>16</v>
      </c>
      <c r="G587" t="s">
        <v>17</v>
      </c>
      <c r="H587" t="s">
        <v>23</v>
      </c>
      <c r="I587">
        <v>196.36</v>
      </c>
      <c r="J587">
        <v>34.5</v>
      </c>
      <c r="K587" t="s">
        <v>24</v>
      </c>
      <c r="L587" t="s">
        <v>15</v>
      </c>
    </row>
    <row r="588" spans="1:12" x14ac:dyDescent="0.3">
      <c r="A588">
        <v>55420</v>
      </c>
      <c r="B588" t="s">
        <v>13</v>
      </c>
      <c r="C588">
        <v>42</v>
      </c>
      <c r="D588" t="s">
        <v>15</v>
      </c>
      <c r="E588" t="s">
        <v>15</v>
      </c>
      <c r="F588" t="s">
        <v>15</v>
      </c>
      <c r="G588" t="s">
        <v>17</v>
      </c>
      <c r="H588" t="s">
        <v>23</v>
      </c>
      <c r="I588">
        <v>139.77000000000001</v>
      </c>
      <c r="J588">
        <v>27.7</v>
      </c>
      <c r="K588" t="s">
        <v>27</v>
      </c>
      <c r="L588" t="s">
        <v>15</v>
      </c>
    </row>
    <row r="589" spans="1:12" x14ac:dyDescent="0.3">
      <c r="A589">
        <v>55709</v>
      </c>
      <c r="B589" t="s">
        <v>13</v>
      </c>
      <c r="C589">
        <v>47</v>
      </c>
      <c r="D589" t="s">
        <v>15</v>
      </c>
      <c r="E589" t="s">
        <v>15</v>
      </c>
      <c r="F589" t="s">
        <v>16</v>
      </c>
      <c r="G589" t="s">
        <v>18</v>
      </c>
      <c r="H589" t="s">
        <v>22</v>
      </c>
      <c r="I589">
        <v>141.22999999999999</v>
      </c>
      <c r="J589">
        <v>21.1</v>
      </c>
      <c r="K589" t="s">
        <v>25</v>
      </c>
      <c r="L589" t="s">
        <v>15</v>
      </c>
    </row>
    <row r="590" spans="1:12" x14ac:dyDescent="0.3">
      <c r="A590">
        <v>15311</v>
      </c>
      <c r="B590" t="s">
        <v>13</v>
      </c>
      <c r="C590">
        <v>24</v>
      </c>
      <c r="D590" t="s">
        <v>15</v>
      </c>
      <c r="E590" t="s">
        <v>15</v>
      </c>
      <c r="F590" t="s">
        <v>16</v>
      </c>
      <c r="G590" t="s">
        <v>17</v>
      </c>
      <c r="H590" t="s">
        <v>22</v>
      </c>
      <c r="I590">
        <v>89.99</v>
      </c>
      <c r="J590">
        <v>24.4</v>
      </c>
      <c r="K590" t="s">
        <v>24</v>
      </c>
      <c r="L590" t="s">
        <v>15</v>
      </c>
    </row>
    <row r="591" spans="1:12" x14ac:dyDescent="0.3">
      <c r="A591">
        <v>53660</v>
      </c>
      <c r="B591" t="s">
        <v>12</v>
      </c>
      <c r="C591">
        <v>57</v>
      </c>
      <c r="D591" t="s">
        <v>15</v>
      </c>
      <c r="E591" t="s">
        <v>15</v>
      </c>
      <c r="F591" t="s">
        <v>16</v>
      </c>
      <c r="G591" t="s">
        <v>17</v>
      </c>
      <c r="H591" t="s">
        <v>22</v>
      </c>
      <c r="I591">
        <v>108.53</v>
      </c>
      <c r="J591">
        <v>19.399999999999999</v>
      </c>
      <c r="K591" t="s">
        <v>26</v>
      </c>
      <c r="L591" t="s">
        <v>15</v>
      </c>
    </row>
    <row r="592" spans="1:12" x14ac:dyDescent="0.3">
      <c r="A592">
        <v>56553</v>
      </c>
      <c r="B592" t="s">
        <v>12</v>
      </c>
      <c r="C592">
        <v>51</v>
      </c>
      <c r="D592" t="s">
        <v>15</v>
      </c>
      <c r="E592" t="s">
        <v>15</v>
      </c>
      <c r="F592" t="s">
        <v>16</v>
      </c>
      <c r="G592" t="s">
        <v>17</v>
      </c>
      <c r="H592" t="s">
        <v>22</v>
      </c>
      <c r="I592">
        <v>63.61</v>
      </c>
      <c r="J592">
        <v>42.3</v>
      </c>
      <c r="K592" t="s">
        <v>27</v>
      </c>
      <c r="L592" t="s">
        <v>15</v>
      </c>
    </row>
    <row r="593" spans="1:12" x14ac:dyDescent="0.3">
      <c r="A593">
        <v>30480</v>
      </c>
      <c r="B593" t="s">
        <v>12</v>
      </c>
      <c r="C593">
        <v>48</v>
      </c>
      <c r="D593" t="s">
        <v>15</v>
      </c>
      <c r="E593" t="s">
        <v>15</v>
      </c>
      <c r="F593" t="s">
        <v>16</v>
      </c>
      <c r="G593" t="s">
        <v>17</v>
      </c>
      <c r="H593" t="s">
        <v>22</v>
      </c>
      <c r="I593">
        <v>85.54</v>
      </c>
      <c r="J593">
        <v>32.200000000000003</v>
      </c>
      <c r="K593" t="s">
        <v>26</v>
      </c>
      <c r="L593" t="s">
        <v>15</v>
      </c>
    </row>
    <row r="594" spans="1:12" x14ac:dyDescent="0.3">
      <c r="A594">
        <v>31988</v>
      </c>
      <c r="B594" t="s">
        <v>13</v>
      </c>
      <c r="C594">
        <v>56</v>
      </c>
      <c r="D594" t="s">
        <v>15</v>
      </c>
      <c r="E594" t="s">
        <v>15</v>
      </c>
      <c r="F594" t="s">
        <v>16</v>
      </c>
      <c r="G594" t="s">
        <v>17</v>
      </c>
      <c r="H594" t="s">
        <v>22</v>
      </c>
      <c r="I594">
        <v>100.83</v>
      </c>
      <c r="J594">
        <v>26.8</v>
      </c>
      <c r="K594" t="s">
        <v>25</v>
      </c>
      <c r="L594" t="s">
        <v>15</v>
      </c>
    </row>
    <row r="595" spans="1:12" x14ac:dyDescent="0.3">
      <c r="A595">
        <v>59807</v>
      </c>
      <c r="B595" t="s">
        <v>13</v>
      </c>
      <c r="C595">
        <v>30</v>
      </c>
      <c r="D595" t="s">
        <v>15</v>
      </c>
      <c r="E595" t="s">
        <v>15</v>
      </c>
      <c r="F595" t="s">
        <v>16</v>
      </c>
      <c r="G595" t="s">
        <v>17</v>
      </c>
      <c r="H595" t="s">
        <v>22</v>
      </c>
      <c r="I595">
        <v>59.82</v>
      </c>
      <c r="J595">
        <v>25.4</v>
      </c>
      <c r="K595" t="s">
        <v>25</v>
      </c>
      <c r="L595" t="s">
        <v>15</v>
      </c>
    </row>
    <row r="596" spans="1:12" x14ac:dyDescent="0.3">
      <c r="A596">
        <v>45585</v>
      </c>
      <c r="B596" t="s">
        <v>13</v>
      </c>
      <c r="C596">
        <v>63</v>
      </c>
      <c r="D596" t="s">
        <v>16</v>
      </c>
      <c r="E596" t="s">
        <v>15</v>
      </c>
      <c r="F596" t="s">
        <v>16</v>
      </c>
      <c r="G596" t="s">
        <v>17</v>
      </c>
      <c r="H596" t="s">
        <v>22</v>
      </c>
      <c r="I596">
        <v>105.95</v>
      </c>
      <c r="J596">
        <v>23.5</v>
      </c>
      <c r="K596" t="s">
        <v>26</v>
      </c>
      <c r="L596" t="s">
        <v>15</v>
      </c>
    </row>
    <row r="597" spans="1:12" x14ac:dyDescent="0.3">
      <c r="A597">
        <v>39639</v>
      </c>
      <c r="B597" t="s">
        <v>13</v>
      </c>
      <c r="C597">
        <v>46</v>
      </c>
      <c r="D597" t="s">
        <v>15</v>
      </c>
      <c r="E597" t="s">
        <v>15</v>
      </c>
      <c r="F597" t="s">
        <v>16</v>
      </c>
      <c r="G597" t="s">
        <v>17</v>
      </c>
      <c r="H597" t="s">
        <v>23</v>
      </c>
      <c r="I597">
        <v>188.11</v>
      </c>
      <c r="J597">
        <v>50.2</v>
      </c>
      <c r="K597" t="s">
        <v>26</v>
      </c>
      <c r="L597" t="s">
        <v>15</v>
      </c>
    </row>
    <row r="598" spans="1:12" x14ac:dyDescent="0.3">
      <c r="A598">
        <v>52063</v>
      </c>
      <c r="B598" t="s">
        <v>13</v>
      </c>
      <c r="C598">
        <v>53</v>
      </c>
      <c r="D598" t="s">
        <v>15</v>
      </c>
      <c r="E598" t="s">
        <v>15</v>
      </c>
      <c r="F598" t="s">
        <v>16</v>
      </c>
      <c r="G598" t="s">
        <v>18</v>
      </c>
      <c r="H598" t="s">
        <v>22</v>
      </c>
      <c r="I598">
        <v>71.150000000000006</v>
      </c>
      <c r="J598">
        <v>26.1</v>
      </c>
      <c r="K598" t="s">
        <v>24</v>
      </c>
      <c r="L598" t="s">
        <v>15</v>
      </c>
    </row>
    <row r="599" spans="1:12" x14ac:dyDescent="0.3">
      <c r="A599">
        <v>40639</v>
      </c>
      <c r="B599" t="s">
        <v>13</v>
      </c>
      <c r="C599">
        <v>1.08</v>
      </c>
      <c r="D599" t="s">
        <v>15</v>
      </c>
      <c r="E599" t="s">
        <v>15</v>
      </c>
      <c r="F599" t="s">
        <v>15</v>
      </c>
      <c r="G599" t="s">
        <v>20</v>
      </c>
      <c r="H599" t="s">
        <v>23</v>
      </c>
      <c r="I599">
        <v>60.53</v>
      </c>
      <c r="J599">
        <v>17.5</v>
      </c>
      <c r="K599" t="s">
        <v>27</v>
      </c>
      <c r="L599" t="s">
        <v>15</v>
      </c>
    </row>
    <row r="600" spans="1:12" x14ac:dyDescent="0.3">
      <c r="A600">
        <v>31090</v>
      </c>
      <c r="B600" t="s">
        <v>12</v>
      </c>
      <c r="C600">
        <v>15</v>
      </c>
      <c r="D600" t="s">
        <v>15</v>
      </c>
      <c r="E600" t="s">
        <v>15</v>
      </c>
      <c r="F600" t="s">
        <v>15</v>
      </c>
      <c r="G600" t="s">
        <v>20</v>
      </c>
      <c r="H600" t="s">
        <v>23</v>
      </c>
      <c r="I600">
        <v>205.5</v>
      </c>
      <c r="J600">
        <v>24.2</v>
      </c>
      <c r="K600" t="s">
        <v>25</v>
      </c>
      <c r="L600" t="s">
        <v>15</v>
      </c>
    </row>
    <row r="601" spans="1:12" x14ac:dyDescent="0.3">
      <c r="A601">
        <v>64174</v>
      </c>
      <c r="B601" t="s">
        <v>13</v>
      </c>
      <c r="C601">
        <v>59</v>
      </c>
      <c r="D601" t="s">
        <v>16</v>
      </c>
      <c r="E601" t="s">
        <v>15</v>
      </c>
      <c r="F601" t="s">
        <v>16</v>
      </c>
      <c r="G601" t="s">
        <v>17</v>
      </c>
      <c r="H601" t="s">
        <v>22</v>
      </c>
      <c r="I601">
        <v>204.86</v>
      </c>
      <c r="J601">
        <v>30.8</v>
      </c>
      <c r="K601" t="s">
        <v>25</v>
      </c>
      <c r="L601" t="s">
        <v>15</v>
      </c>
    </row>
    <row r="602" spans="1:12" x14ac:dyDescent="0.3">
      <c r="A602">
        <v>8544</v>
      </c>
      <c r="B602" t="s">
        <v>13</v>
      </c>
      <c r="C602">
        <v>24</v>
      </c>
      <c r="D602" t="s">
        <v>15</v>
      </c>
      <c r="E602" t="s">
        <v>15</v>
      </c>
      <c r="F602" t="s">
        <v>15</v>
      </c>
      <c r="G602" t="s">
        <v>18</v>
      </c>
      <c r="H602" t="s">
        <v>23</v>
      </c>
      <c r="I602">
        <v>115.03</v>
      </c>
      <c r="J602">
        <v>23.4</v>
      </c>
      <c r="K602" t="s">
        <v>25</v>
      </c>
      <c r="L602" t="s">
        <v>15</v>
      </c>
    </row>
    <row r="603" spans="1:12" x14ac:dyDescent="0.3">
      <c r="A603">
        <v>27377</v>
      </c>
      <c r="B603" t="s">
        <v>12</v>
      </c>
      <c r="C603">
        <v>53</v>
      </c>
      <c r="D603" t="s">
        <v>15</v>
      </c>
      <c r="E603" t="s">
        <v>15</v>
      </c>
      <c r="F603" t="s">
        <v>16</v>
      </c>
      <c r="G603" t="s">
        <v>17</v>
      </c>
      <c r="H603" t="s">
        <v>23</v>
      </c>
      <c r="I603">
        <v>79.87</v>
      </c>
      <c r="J603">
        <v>30.9</v>
      </c>
      <c r="K603" t="s">
        <v>25</v>
      </c>
      <c r="L603" t="s">
        <v>15</v>
      </c>
    </row>
    <row r="604" spans="1:12" x14ac:dyDescent="0.3">
      <c r="A604">
        <v>3361</v>
      </c>
      <c r="B604" t="s">
        <v>13</v>
      </c>
      <c r="C604">
        <v>39</v>
      </c>
      <c r="D604" t="s">
        <v>15</v>
      </c>
      <c r="E604" t="s">
        <v>15</v>
      </c>
      <c r="F604" t="s">
        <v>16</v>
      </c>
      <c r="G604" t="s">
        <v>19</v>
      </c>
      <c r="H604" t="s">
        <v>23</v>
      </c>
      <c r="I604">
        <v>97.89</v>
      </c>
      <c r="J604">
        <v>23.6</v>
      </c>
      <c r="K604" t="s">
        <v>25</v>
      </c>
      <c r="L604" t="s">
        <v>15</v>
      </c>
    </row>
    <row r="605" spans="1:12" x14ac:dyDescent="0.3">
      <c r="A605">
        <v>61408</v>
      </c>
      <c r="B605" t="s">
        <v>12</v>
      </c>
      <c r="C605">
        <v>23</v>
      </c>
      <c r="D605" t="s">
        <v>15</v>
      </c>
      <c r="E605" t="s">
        <v>15</v>
      </c>
      <c r="F605" t="s">
        <v>15</v>
      </c>
      <c r="G605" t="s">
        <v>21</v>
      </c>
      <c r="H605" t="s">
        <v>22</v>
      </c>
      <c r="I605">
        <v>125.26</v>
      </c>
      <c r="J605">
        <v>18.7</v>
      </c>
      <c r="K605" t="s">
        <v>25</v>
      </c>
      <c r="L605" t="s">
        <v>15</v>
      </c>
    </row>
    <row r="606" spans="1:12" x14ac:dyDescent="0.3">
      <c r="A606">
        <v>33552</v>
      </c>
      <c r="B606" t="s">
        <v>12</v>
      </c>
      <c r="C606">
        <v>31</v>
      </c>
      <c r="D606" t="s">
        <v>15</v>
      </c>
      <c r="E606" t="s">
        <v>15</v>
      </c>
      <c r="F606" t="s">
        <v>16</v>
      </c>
      <c r="G606" t="s">
        <v>17</v>
      </c>
      <c r="H606" t="s">
        <v>23</v>
      </c>
      <c r="I606">
        <v>114.32</v>
      </c>
      <c r="J606">
        <v>27.7</v>
      </c>
      <c r="K606" t="s">
        <v>26</v>
      </c>
      <c r="L606" t="s">
        <v>15</v>
      </c>
    </row>
    <row r="607" spans="1:12" x14ac:dyDescent="0.3">
      <c r="A607">
        <v>31364</v>
      </c>
      <c r="B607" t="s">
        <v>12</v>
      </c>
      <c r="C607">
        <v>5</v>
      </c>
      <c r="D607" t="s">
        <v>15</v>
      </c>
      <c r="E607" t="s">
        <v>15</v>
      </c>
      <c r="F607" t="s">
        <v>15</v>
      </c>
      <c r="G607" t="s">
        <v>20</v>
      </c>
      <c r="H607" t="s">
        <v>22</v>
      </c>
      <c r="I607">
        <v>92.23</v>
      </c>
      <c r="J607">
        <v>16.7</v>
      </c>
      <c r="K607" t="s">
        <v>27</v>
      </c>
      <c r="L607" t="s">
        <v>15</v>
      </c>
    </row>
    <row r="608" spans="1:12" x14ac:dyDescent="0.3">
      <c r="A608">
        <v>7446</v>
      </c>
      <c r="B608" t="s">
        <v>12</v>
      </c>
      <c r="C608">
        <v>44</v>
      </c>
      <c r="D608" t="s">
        <v>15</v>
      </c>
      <c r="E608" t="s">
        <v>15</v>
      </c>
      <c r="F608" t="s">
        <v>16</v>
      </c>
      <c r="G608" t="s">
        <v>17</v>
      </c>
      <c r="H608" t="s">
        <v>22</v>
      </c>
      <c r="I608">
        <v>83.51</v>
      </c>
      <c r="J608">
        <v>31.2</v>
      </c>
      <c r="K608" t="s">
        <v>25</v>
      </c>
      <c r="L608" t="s">
        <v>15</v>
      </c>
    </row>
    <row r="609" spans="1:12" x14ac:dyDescent="0.3">
      <c r="A609">
        <v>9906</v>
      </c>
      <c r="B609" t="s">
        <v>13</v>
      </c>
      <c r="C609">
        <v>1.8</v>
      </c>
      <c r="D609" t="s">
        <v>15</v>
      </c>
      <c r="E609" t="s">
        <v>15</v>
      </c>
      <c r="F609" t="s">
        <v>15</v>
      </c>
      <c r="G609" t="s">
        <v>20</v>
      </c>
      <c r="H609" t="s">
        <v>22</v>
      </c>
      <c r="I609">
        <v>102.34</v>
      </c>
      <c r="J609">
        <v>17</v>
      </c>
      <c r="K609" t="s">
        <v>27</v>
      </c>
      <c r="L609" t="s">
        <v>15</v>
      </c>
    </row>
    <row r="610" spans="1:12" x14ac:dyDescent="0.3">
      <c r="A610">
        <v>65130</v>
      </c>
      <c r="B610" t="s">
        <v>12</v>
      </c>
      <c r="C610">
        <v>40</v>
      </c>
      <c r="D610" t="s">
        <v>15</v>
      </c>
      <c r="E610" t="s">
        <v>15</v>
      </c>
      <c r="F610" t="s">
        <v>16</v>
      </c>
      <c r="G610" t="s">
        <v>17</v>
      </c>
      <c r="H610" t="s">
        <v>23</v>
      </c>
      <c r="I610">
        <v>144.47999999999999</v>
      </c>
      <c r="J610">
        <v>29.8</v>
      </c>
      <c r="K610" t="s">
        <v>26</v>
      </c>
      <c r="L610" t="s">
        <v>15</v>
      </c>
    </row>
    <row r="611" spans="1:12" x14ac:dyDescent="0.3">
      <c r="A611">
        <v>27794</v>
      </c>
      <c r="B611" t="s">
        <v>12</v>
      </c>
      <c r="C611">
        <v>7</v>
      </c>
      <c r="D611" t="s">
        <v>15</v>
      </c>
      <c r="E611" t="s">
        <v>15</v>
      </c>
      <c r="F611" t="s">
        <v>15</v>
      </c>
      <c r="G611" t="s">
        <v>20</v>
      </c>
      <c r="H611" t="s">
        <v>23</v>
      </c>
      <c r="I611">
        <v>88.39</v>
      </c>
      <c r="J611">
        <v>19.7</v>
      </c>
      <c r="K611" t="s">
        <v>27</v>
      </c>
      <c r="L611" t="s">
        <v>15</v>
      </c>
    </row>
    <row r="612" spans="1:12" x14ac:dyDescent="0.3">
      <c r="A612">
        <v>48993</v>
      </c>
      <c r="B612" t="s">
        <v>13</v>
      </c>
      <c r="C612">
        <v>56</v>
      </c>
      <c r="D612" t="s">
        <v>15</v>
      </c>
      <c r="E612" t="s">
        <v>15</v>
      </c>
      <c r="F612" t="s">
        <v>16</v>
      </c>
      <c r="G612" t="s">
        <v>17</v>
      </c>
      <c r="H612" t="s">
        <v>23</v>
      </c>
      <c r="I612">
        <v>228.08</v>
      </c>
      <c r="J612">
        <v>29.1</v>
      </c>
      <c r="K612" t="s">
        <v>27</v>
      </c>
      <c r="L612" t="s">
        <v>15</v>
      </c>
    </row>
    <row r="613" spans="1:12" x14ac:dyDescent="0.3">
      <c r="A613">
        <v>30753</v>
      </c>
      <c r="B613" t="s">
        <v>12</v>
      </c>
      <c r="C613">
        <v>42</v>
      </c>
      <c r="D613" t="s">
        <v>15</v>
      </c>
      <c r="E613" t="s">
        <v>15</v>
      </c>
      <c r="F613" t="s">
        <v>16</v>
      </c>
      <c r="G613" t="s">
        <v>19</v>
      </c>
      <c r="H613" t="s">
        <v>22</v>
      </c>
      <c r="I613">
        <v>93.79</v>
      </c>
      <c r="J613">
        <v>27.2</v>
      </c>
      <c r="K613" t="s">
        <v>25</v>
      </c>
      <c r="L613" t="s">
        <v>15</v>
      </c>
    </row>
    <row r="614" spans="1:12" x14ac:dyDescent="0.3">
      <c r="A614">
        <v>46809</v>
      </c>
      <c r="B614" t="s">
        <v>12</v>
      </c>
      <c r="C614">
        <v>48</v>
      </c>
      <c r="D614" t="s">
        <v>15</v>
      </c>
      <c r="E614" t="s">
        <v>15</v>
      </c>
      <c r="F614" t="s">
        <v>16</v>
      </c>
      <c r="G614" t="s">
        <v>17</v>
      </c>
      <c r="H614" t="s">
        <v>23</v>
      </c>
      <c r="I614">
        <v>147.13999999999999</v>
      </c>
      <c r="J614">
        <v>22.3</v>
      </c>
      <c r="K614" t="s">
        <v>27</v>
      </c>
      <c r="L614" t="s">
        <v>15</v>
      </c>
    </row>
    <row r="615" spans="1:12" x14ac:dyDescent="0.3">
      <c r="A615">
        <v>22853</v>
      </c>
      <c r="B615" t="s">
        <v>12</v>
      </c>
      <c r="C615">
        <v>82</v>
      </c>
      <c r="D615" t="s">
        <v>15</v>
      </c>
      <c r="E615" t="s">
        <v>15</v>
      </c>
      <c r="F615" t="s">
        <v>15</v>
      </c>
      <c r="G615" t="s">
        <v>18</v>
      </c>
      <c r="H615" t="s">
        <v>23</v>
      </c>
      <c r="I615">
        <v>106.43</v>
      </c>
      <c r="J615">
        <v>27</v>
      </c>
      <c r="K615" t="s">
        <v>26</v>
      </c>
      <c r="L615" t="s">
        <v>15</v>
      </c>
    </row>
    <row r="616" spans="1:12" x14ac:dyDescent="0.3">
      <c r="A616">
        <v>12465</v>
      </c>
      <c r="B616" t="s">
        <v>13</v>
      </c>
      <c r="C616">
        <v>52</v>
      </c>
      <c r="D616" t="s">
        <v>15</v>
      </c>
      <c r="E616" t="s">
        <v>15</v>
      </c>
      <c r="F616" t="s">
        <v>15</v>
      </c>
      <c r="G616" t="s">
        <v>17</v>
      </c>
      <c r="H616" t="s">
        <v>23</v>
      </c>
      <c r="I616">
        <v>88.04</v>
      </c>
      <c r="J616">
        <v>42.1</v>
      </c>
      <c r="K616" t="s">
        <v>25</v>
      </c>
      <c r="L616" t="s">
        <v>15</v>
      </c>
    </row>
    <row r="617" spans="1:12" x14ac:dyDescent="0.3">
      <c r="A617">
        <v>64849</v>
      </c>
      <c r="B617" t="s">
        <v>13</v>
      </c>
      <c r="C617">
        <v>42</v>
      </c>
      <c r="D617" t="s">
        <v>15</v>
      </c>
      <c r="E617" t="s">
        <v>15</v>
      </c>
      <c r="F617" t="s">
        <v>16</v>
      </c>
      <c r="G617" t="s">
        <v>17</v>
      </c>
      <c r="H617" t="s">
        <v>22</v>
      </c>
      <c r="I617">
        <v>92.2</v>
      </c>
      <c r="J617">
        <v>34.200000000000003</v>
      </c>
      <c r="K617" t="s">
        <v>27</v>
      </c>
      <c r="L617" t="s">
        <v>15</v>
      </c>
    </row>
    <row r="618" spans="1:12" x14ac:dyDescent="0.3">
      <c r="A618">
        <v>39659</v>
      </c>
      <c r="B618" t="s">
        <v>13</v>
      </c>
      <c r="C618">
        <v>73</v>
      </c>
      <c r="D618" t="s">
        <v>15</v>
      </c>
      <c r="E618" t="s">
        <v>15</v>
      </c>
      <c r="F618" t="s">
        <v>16</v>
      </c>
      <c r="G618" t="s">
        <v>19</v>
      </c>
      <c r="H618" t="s">
        <v>22</v>
      </c>
      <c r="I618">
        <v>219.53</v>
      </c>
      <c r="J618">
        <v>40.9</v>
      </c>
      <c r="K618" t="s">
        <v>25</v>
      </c>
      <c r="L618" t="s">
        <v>15</v>
      </c>
    </row>
    <row r="619" spans="1:12" x14ac:dyDescent="0.3">
      <c r="A619">
        <v>24183</v>
      </c>
      <c r="B619" t="s">
        <v>13</v>
      </c>
      <c r="C619">
        <v>55</v>
      </c>
      <c r="D619" t="s">
        <v>15</v>
      </c>
      <c r="E619" t="s">
        <v>15</v>
      </c>
      <c r="F619" t="s">
        <v>16</v>
      </c>
      <c r="G619" t="s">
        <v>19</v>
      </c>
      <c r="H619" t="s">
        <v>23</v>
      </c>
      <c r="I619">
        <v>75.56</v>
      </c>
      <c r="J619">
        <v>29.4</v>
      </c>
      <c r="K619" t="s">
        <v>26</v>
      </c>
      <c r="L619" t="s">
        <v>15</v>
      </c>
    </row>
    <row r="620" spans="1:12" x14ac:dyDescent="0.3">
      <c r="A620">
        <v>71533</v>
      </c>
      <c r="B620" t="s">
        <v>12</v>
      </c>
      <c r="C620">
        <v>50</v>
      </c>
      <c r="D620" t="s">
        <v>15</v>
      </c>
      <c r="E620" t="s">
        <v>15</v>
      </c>
      <c r="F620" t="s">
        <v>16</v>
      </c>
      <c r="G620" t="s">
        <v>17</v>
      </c>
      <c r="H620" t="s">
        <v>22</v>
      </c>
      <c r="I620">
        <v>158.31</v>
      </c>
      <c r="J620">
        <v>32.799999999999997</v>
      </c>
      <c r="K620" t="s">
        <v>24</v>
      </c>
      <c r="L620" t="s">
        <v>15</v>
      </c>
    </row>
    <row r="621" spans="1:12" x14ac:dyDescent="0.3">
      <c r="A621">
        <v>35565</v>
      </c>
      <c r="B621" t="s">
        <v>12</v>
      </c>
      <c r="C621">
        <v>43</v>
      </c>
      <c r="D621" t="s">
        <v>15</v>
      </c>
      <c r="E621" t="s">
        <v>15</v>
      </c>
      <c r="F621" t="s">
        <v>16</v>
      </c>
      <c r="G621" t="s">
        <v>17</v>
      </c>
      <c r="H621" t="s">
        <v>22</v>
      </c>
      <c r="I621">
        <v>111.43</v>
      </c>
      <c r="J621">
        <v>21.9</v>
      </c>
      <c r="K621" t="s">
        <v>26</v>
      </c>
      <c r="L621" t="s">
        <v>15</v>
      </c>
    </row>
    <row r="622" spans="1:12" x14ac:dyDescent="0.3">
      <c r="A622">
        <v>34558</v>
      </c>
      <c r="B622" t="s">
        <v>12</v>
      </c>
      <c r="C622">
        <v>33</v>
      </c>
      <c r="D622" t="s">
        <v>15</v>
      </c>
      <c r="E622" t="s">
        <v>15</v>
      </c>
      <c r="F622" t="s">
        <v>16</v>
      </c>
      <c r="G622" t="s">
        <v>17</v>
      </c>
      <c r="H622" t="s">
        <v>23</v>
      </c>
      <c r="I622">
        <v>219.97</v>
      </c>
      <c r="J622">
        <v>39.6</v>
      </c>
      <c r="K622" t="s">
        <v>25</v>
      </c>
      <c r="L622" t="s">
        <v>15</v>
      </c>
    </row>
    <row r="623" spans="1:12" x14ac:dyDescent="0.3">
      <c r="A623">
        <v>42553</v>
      </c>
      <c r="B623" t="s">
        <v>13</v>
      </c>
      <c r="C623">
        <v>80</v>
      </c>
      <c r="D623" t="s">
        <v>15</v>
      </c>
      <c r="E623" t="s">
        <v>15</v>
      </c>
      <c r="F623" t="s">
        <v>16</v>
      </c>
      <c r="G623" t="s">
        <v>17</v>
      </c>
      <c r="H623" t="s">
        <v>23</v>
      </c>
      <c r="I623">
        <v>148.91</v>
      </c>
      <c r="J623">
        <v>28.3</v>
      </c>
      <c r="K623" t="s">
        <v>25</v>
      </c>
      <c r="L623" t="s">
        <v>15</v>
      </c>
    </row>
    <row r="624" spans="1:12" x14ac:dyDescent="0.3">
      <c r="A624">
        <v>39601</v>
      </c>
      <c r="B624" t="s">
        <v>13</v>
      </c>
      <c r="C624">
        <v>33</v>
      </c>
      <c r="D624" t="s">
        <v>15</v>
      </c>
      <c r="E624" t="s">
        <v>15</v>
      </c>
      <c r="F624" t="s">
        <v>16</v>
      </c>
      <c r="G624" t="s">
        <v>17</v>
      </c>
      <c r="H624" t="s">
        <v>22</v>
      </c>
      <c r="I624">
        <v>69.400000000000006</v>
      </c>
      <c r="J624">
        <v>47.8</v>
      </c>
      <c r="K624" t="s">
        <v>25</v>
      </c>
      <c r="L624" t="s">
        <v>15</v>
      </c>
    </row>
    <row r="625" spans="1:12" x14ac:dyDescent="0.3">
      <c r="A625">
        <v>46891</v>
      </c>
      <c r="B625" t="s">
        <v>13</v>
      </c>
      <c r="C625">
        <v>74</v>
      </c>
      <c r="D625" t="s">
        <v>15</v>
      </c>
      <c r="E625" t="s">
        <v>15</v>
      </c>
      <c r="F625" t="s">
        <v>16</v>
      </c>
      <c r="G625" t="s">
        <v>17</v>
      </c>
      <c r="H625" t="s">
        <v>23</v>
      </c>
      <c r="I625">
        <v>68.34</v>
      </c>
      <c r="J625">
        <v>39.299999999999997</v>
      </c>
      <c r="K625" t="s">
        <v>27</v>
      </c>
      <c r="L625" t="s">
        <v>15</v>
      </c>
    </row>
    <row r="626" spans="1:12" x14ac:dyDescent="0.3">
      <c r="A626">
        <v>38987</v>
      </c>
      <c r="B626" t="s">
        <v>12</v>
      </c>
      <c r="C626">
        <v>65</v>
      </c>
      <c r="D626" t="s">
        <v>15</v>
      </c>
      <c r="E626" t="s">
        <v>16</v>
      </c>
      <c r="F626" t="s">
        <v>16</v>
      </c>
      <c r="G626" t="s">
        <v>18</v>
      </c>
      <c r="H626" t="s">
        <v>22</v>
      </c>
      <c r="I626">
        <v>58.37</v>
      </c>
      <c r="J626">
        <v>28</v>
      </c>
      <c r="K626" t="s">
        <v>26</v>
      </c>
      <c r="L626" t="s">
        <v>15</v>
      </c>
    </row>
    <row r="627" spans="1:12" x14ac:dyDescent="0.3">
      <c r="A627">
        <v>21886</v>
      </c>
      <c r="B627" t="s">
        <v>13</v>
      </c>
      <c r="C627">
        <v>40</v>
      </c>
      <c r="D627" t="s">
        <v>15</v>
      </c>
      <c r="E627" t="s">
        <v>15</v>
      </c>
      <c r="F627" t="s">
        <v>16</v>
      </c>
      <c r="G627" t="s">
        <v>17</v>
      </c>
      <c r="H627" t="s">
        <v>22</v>
      </c>
      <c r="I627">
        <v>71.2</v>
      </c>
      <c r="J627">
        <v>27.1</v>
      </c>
      <c r="K627" t="s">
        <v>25</v>
      </c>
      <c r="L627" t="s">
        <v>15</v>
      </c>
    </row>
    <row r="628" spans="1:12" x14ac:dyDescent="0.3">
      <c r="A628">
        <v>5353</v>
      </c>
      <c r="B628" t="s">
        <v>12</v>
      </c>
      <c r="C628">
        <v>52</v>
      </c>
      <c r="D628" t="s">
        <v>15</v>
      </c>
      <c r="E628" t="s">
        <v>16</v>
      </c>
      <c r="F628" t="s">
        <v>15</v>
      </c>
      <c r="G628" t="s">
        <v>17</v>
      </c>
      <c r="H628" t="s">
        <v>23</v>
      </c>
      <c r="I628">
        <v>101.5</v>
      </c>
      <c r="J628">
        <v>31.2</v>
      </c>
      <c r="K628" t="s">
        <v>26</v>
      </c>
      <c r="L628" t="s">
        <v>15</v>
      </c>
    </row>
    <row r="629" spans="1:12" x14ac:dyDescent="0.3">
      <c r="A629">
        <v>44300</v>
      </c>
      <c r="B629" t="s">
        <v>13</v>
      </c>
      <c r="C629">
        <v>66</v>
      </c>
      <c r="D629" t="s">
        <v>15</v>
      </c>
      <c r="E629" t="s">
        <v>15</v>
      </c>
      <c r="F629" t="s">
        <v>16</v>
      </c>
      <c r="G629" t="s">
        <v>19</v>
      </c>
      <c r="H629" t="s">
        <v>22</v>
      </c>
      <c r="I629">
        <v>92.04</v>
      </c>
      <c r="J629">
        <v>23.1</v>
      </c>
      <c r="K629" t="s">
        <v>25</v>
      </c>
      <c r="L629" t="s">
        <v>15</v>
      </c>
    </row>
    <row r="630" spans="1:12" x14ac:dyDescent="0.3">
      <c r="A630">
        <v>48144</v>
      </c>
      <c r="B630" t="s">
        <v>13</v>
      </c>
      <c r="C630">
        <v>20</v>
      </c>
      <c r="D630" t="s">
        <v>15</v>
      </c>
      <c r="E630" t="s">
        <v>15</v>
      </c>
      <c r="F630" t="s">
        <v>15</v>
      </c>
      <c r="G630" t="s">
        <v>19</v>
      </c>
      <c r="H630" t="s">
        <v>23</v>
      </c>
      <c r="I630">
        <v>73</v>
      </c>
      <c r="J630">
        <v>20.8</v>
      </c>
      <c r="K630" t="s">
        <v>25</v>
      </c>
      <c r="L630" t="s">
        <v>15</v>
      </c>
    </row>
    <row r="631" spans="1:12" x14ac:dyDescent="0.3">
      <c r="A631">
        <v>46218</v>
      </c>
      <c r="B631" t="s">
        <v>13</v>
      </c>
      <c r="C631">
        <v>51</v>
      </c>
      <c r="D631" t="s">
        <v>15</v>
      </c>
      <c r="E631" t="s">
        <v>15</v>
      </c>
      <c r="F631" t="s">
        <v>16</v>
      </c>
      <c r="G631" t="s">
        <v>18</v>
      </c>
      <c r="H631" t="s">
        <v>22</v>
      </c>
      <c r="I631">
        <v>111.15</v>
      </c>
      <c r="J631">
        <v>34.1</v>
      </c>
      <c r="K631" t="s">
        <v>26</v>
      </c>
      <c r="L631" t="s">
        <v>15</v>
      </c>
    </row>
    <row r="632" spans="1:12" x14ac:dyDescent="0.3">
      <c r="A632">
        <v>39745</v>
      </c>
      <c r="B632" t="s">
        <v>13</v>
      </c>
      <c r="C632">
        <v>60</v>
      </c>
      <c r="D632" t="s">
        <v>15</v>
      </c>
      <c r="E632" t="s">
        <v>15</v>
      </c>
      <c r="F632" t="s">
        <v>16</v>
      </c>
      <c r="G632" t="s">
        <v>18</v>
      </c>
      <c r="H632" t="s">
        <v>23</v>
      </c>
      <c r="I632">
        <v>58.65</v>
      </c>
      <c r="J632">
        <v>30.1</v>
      </c>
      <c r="K632" t="s">
        <v>25</v>
      </c>
      <c r="L632" t="s">
        <v>15</v>
      </c>
    </row>
    <row r="633" spans="1:12" x14ac:dyDescent="0.3">
      <c r="A633">
        <v>13517</v>
      </c>
      <c r="B633" t="s">
        <v>12</v>
      </c>
      <c r="C633">
        <v>59</v>
      </c>
      <c r="D633" t="s">
        <v>15</v>
      </c>
      <c r="E633" t="s">
        <v>15</v>
      </c>
      <c r="F633" t="s">
        <v>16</v>
      </c>
      <c r="G633" t="s">
        <v>17</v>
      </c>
      <c r="H633" t="s">
        <v>22</v>
      </c>
      <c r="I633">
        <v>100.54</v>
      </c>
      <c r="J633">
        <v>35.799999999999997</v>
      </c>
      <c r="K633" t="s">
        <v>25</v>
      </c>
      <c r="L633" t="s">
        <v>15</v>
      </c>
    </row>
    <row r="634" spans="1:12" x14ac:dyDescent="0.3">
      <c r="A634">
        <v>36355</v>
      </c>
      <c r="B634" t="s">
        <v>12</v>
      </c>
      <c r="C634">
        <v>58</v>
      </c>
      <c r="D634" t="s">
        <v>15</v>
      </c>
      <c r="E634" t="s">
        <v>15</v>
      </c>
      <c r="F634" t="s">
        <v>16</v>
      </c>
      <c r="G634" t="s">
        <v>19</v>
      </c>
      <c r="H634" t="s">
        <v>23</v>
      </c>
      <c r="I634">
        <v>111.73</v>
      </c>
      <c r="J634">
        <v>34.6</v>
      </c>
      <c r="K634" t="s">
        <v>25</v>
      </c>
      <c r="L634" t="s">
        <v>15</v>
      </c>
    </row>
    <row r="635" spans="1:12" x14ac:dyDescent="0.3">
      <c r="A635">
        <v>22678</v>
      </c>
      <c r="B635" t="s">
        <v>13</v>
      </c>
      <c r="C635">
        <v>42</v>
      </c>
      <c r="D635" t="s">
        <v>15</v>
      </c>
      <c r="E635" t="s">
        <v>15</v>
      </c>
      <c r="F635" t="s">
        <v>16</v>
      </c>
      <c r="G635" t="s">
        <v>19</v>
      </c>
      <c r="H635" t="s">
        <v>22</v>
      </c>
      <c r="I635">
        <v>97.78</v>
      </c>
      <c r="J635">
        <v>29.8</v>
      </c>
      <c r="K635" t="s">
        <v>27</v>
      </c>
      <c r="L635" t="s">
        <v>15</v>
      </c>
    </row>
    <row r="636" spans="1:12" x14ac:dyDescent="0.3">
      <c r="A636">
        <v>2532</v>
      </c>
      <c r="B636" t="s">
        <v>12</v>
      </c>
      <c r="C636">
        <v>28</v>
      </c>
      <c r="D636" t="s">
        <v>15</v>
      </c>
      <c r="E636" t="s">
        <v>15</v>
      </c>
      <c r="F636" t="s">
        <v>15</v>
      </c>
      <c r="G636" t="s">
        <v>17</v>
      </c>
      <c r="H636" t="s">
        <v>23</v>
      </c>
      <c r="I636">
        <v>85.79</v>
      </c>
      <c r="J636">
        <v>26.7</v>
      </c>
      <c r="K636" t="s">
        <v>27</v>
      </c>
      <c r="L636" t="s">
        <v>15</v>
      </c>
    </row>
    <row r="637" spans="1:12" x14ac:dyDescent="0.3">
      <c r="A637">
        <v>52512</v>
      </c>
      <c r="B637" t="s">
        <v>12</v>
      </c>
      <c r="C637">
        <v>57</v>
      </c>
      <c r="D637" t="s">
        <v>15</v>
      </c>
      <c r="E637" t="s">
        <v>15</v>
      </c>
      <c r="F637" t="s">
        <v>16</v>
      </c>
      <c r="G637" t="s">
        <v>17</v>
      </c>
      <c r="H637" t="s">
        <v>23</v>
      </c>
      <c r="I637">
        <v>98.54</v>
      </c>
      <c r="J637">
        <v>30.2</v>
      </c>
      <c r="K637" t="s">
        <v>25</v>
      </c>
      <c r="L637" t="s">
        <v>15</v>
      </c>
    </row>
    <row r="638" spans="1:12" x14ac:dyDescent="0.3">
      <c r="A638">
        <v>3579</v>
      </c>
      <c r="B638" t="s">
        <v>13</v>
      </c>
      <c r="C638">
        <v>66</v>
      </c>
      <c r="D638" t="s">
        <v>15</v>
      </c>
      <c r="E638" t="s">
        <v>16</v>
      </c>
      <c r="F638" t="s">
        <v>16</v>
      </c>
      <c r="G638" t="s">
        <v>17</v>
      </c>
      <c r="H638" t="s">
        <v>22</v>
      </c>
      <c r="I638">
        <v>94.62</v>
      </c>
      <c r="J638">
        <v>29.7</v>
      </c>
      <c r="K638" t="s">
        <v>24</v>
      </c>
      <c r="L638" t="s">
        <v>15</v>
      </c>
    </row>
    <row r="639" spans="1:12" x14ac:dyDescent="0.3">
      <c r="A639">
        <v>3130</v>
      </c>
      <c r="B639" t="s">
        <v>13</v>
      </c>
      <c r="C639">
        <v>56</v>
      </c>
      <c r="D639" t="s">
        <v>15</v>
      </c>
      <c r="E639" t="s">
        <v>15</v>
      </c>
      <c r="F639" t="s">
        <v>16</v>
      </c>
      <c r="G639" t="s">
        <v>17</v>
      </c>
      <c r="H639" t="s">
        <v>23</v>
      </c>
      <c r="I639">
        <v>112.43</v>
      </c>
      <c r="J639">
        <v>54.6</v>
      </c>
      <c r="K639" t="s">
        <v>25</v>
      </c>
      <c r="L639" t="s">
        <v>15</v>
      </c>
    </row>
    <row r="640" spans="1:12" x14ac:dyDescent="0.3">
      <c r="A640">
        <v>5545</v>
      </c>
      <c r="B640" t="s">
        <v>12</v>
      </c>
      <c r="C640">
        <v>48</v>
      </c>
      <c r="D640" t="s">
        <v>15</v>
      </c>
      <c r="E640" t="s">
        <v>15</v>
      </c>
      <c r="F640" t="s">
        <v>16</v>
      </c>
      <c r="G640" t="s">
        <v>18</v>
      </c>
      <c r="H640" t="s">
        <v>22</v>
      </c>
      <c r="I640">
        <v>99.67</v>
      </c>
      <c r="J640">
        <v>23.3</v>
      </c>
      <c r="K640" t="s">
        <v>24</v>
      </c>
      <c r="L640" t="s">
        <v>15</v>
      </c>
    </row>
    <row r="641" spans="1:12" x14ac:dyDescent="0.3">
      <c r="A641">
        <v>63693</v>
      </c>
      <c r="B641" t="s">
        <v>12</v>
      </c>
      <c r="C641">
        <v>37</v>
      </c>
      <c r="D641" t="s">
        <v>15</v>
      </c>
      <c r="E641" t="s">
        <v>15</v>
      </c>
      <c r="F641" t="s">
        <v>15</v>
      </c>
      <c r="G641" t="s">
        <v>17</v>
      </c>
      <c r="H641" t="s">
        <v>22</v>
      </c>
      <c r="I641">
        <v>67.39</v>
      </c>
      <c r="J641">
        <v>35.6</v>
      </c>
      <c r="K641" t="s">
        <v>27</v>
      </c>
      <c r="L641" t="s">
        <v>15</v>
      </c>
    </row>
    <row r="642" spans="1:12" x14ac:dyDescent="0.3">
      <c r="A642">
        <v>34363</v>
      </c>
      <c r="B642" t="s">
        <v>13</v>
      </c>
      <c r="C642">
        <v>27</v>
      </c>
      <c r="D642" t="s">
        <v>15</v>
      </c>
      <c r="E642" t="s">
        <v>15</v>
      </c>
      <c r="F642" t="s">
        <v>16</v>
      </c>
      <c r="G642" t="s">
        <v>17</v>
      </c>
      <c r="H642" t="s">
        <v>22</v>
      </c>
      <c r="I642">
        <v>95.12</v>
      </c>
      <c r="J642">
        <v>27</v>
      </c>
      <c r="K642" t="s">
        <v>25</v>
      </c>
      <c r="L642" t="s">
        <v>15</v>
      </c>
    </row>
    <row r="643" spans="1:12" x14ac:dyDescent="0.3">
      <c r="A643">
        <v>23650</v>
      </c>
      <c r="B643" t="s">
        <v>12</v>
      </c>
      <c r="C643">
        <v>15</v>
      </c>
      <c r="D643" t="s">
        <v>15</v>
      </c>
      <c r="E643" t="s">
        <v>15</v>
      </c>
      <c r="F643" t="s">
        <v>15</v>
      </c>
      <c r="G643" t="s">
        <v>20</v>
      </c>
      <c r="H643" t="s">
        <v>23</v>
      </c>
      <c r="I643">
        <v>85.06</v>
      </c>
      <c r="J643">
        <v>21.6</v>
      </c>
      <c r="K643" t="s">
        <v>25</v>
      </c>
      <c r="L643" t="s">
        <v>15</v>
      </c>
    </row>
    <row r="644" spans="1:12" x14ac:dyDescent="0.3">
      <c r="A644">
        <v>53515</v>
      </c>
      <c r="B644" t="s">
        <v>12</v>
      </c>
      <c r="C644">
        <v>61</v>
      </c>
      <c r="D644" t="s">
        <v>15</v>
      </c>
      <c r="E644" t="s">
        <v>15</v>
      </c>
      <c r="F644" t="s">
        <v>16</v>
      </c>
      <c r="G644" t="s">
        <v>17</v>
      </c>
      <c r="H644" t="s">
        <v>23</v>
      </c>
      <c r="I644">
        <v>214.05</v>
      </c>
      <c r="J644">
        <v>29.4</v>
      </c>
      <c r="K644" t="s">
        <v>24</v>
      </c>
      <c r="L644" t="s">
        <v>15</v>
      </c>
    </row>
    <row r="645" spans="1:12" x14ac:dyDescent="0.3">
      <c r="A645">
        <v>33528</v>
      </c>
      <c r="B645" t="s">
        <v>13</v>
      </c>
      <c r="C645">
        <v>80</v>
      </c>
      <c r="D645" t="s">
        <v>15</v>
      </c>
      <c r="E645" t="s">
        <v>16</v>
      </c>
      <c r="F645" t="s">
        <v>16</v>
      </c>
      <c r="G645" t="s">
        <v>18</v>
      </c>
      <c r="H645" t="s">
        <v>22</v>
      </c>
      <c r="I645">
        <v>79.09</v>
      </c>
      <c r="J645">
        <v>22.8</v>
      </c>
      <c r="K645" t="s">
        <v>25</v>
      </c>
      <c r="L645" t="s">
        <v>15</v>
      </c>
    </row>
    <row r="646" spans="1:12" x14ac:dyDescent="0.3">
      <c r="A646">
        <v>23046</v>
      </c>
      <c r="B646" t="s">
        <v>13</v>
      </c>
      <c r="C646">
        <v>43</v>
      </c>
      <c r="D646" t="s">
        <v>15</v>
      </c>
      <c r="E646" t="s">
        <v>15</v>
      </c>
      <c r="F646" t="s">
        <v>16</v>
      </c>
      <c r="G646" t="s">
        <v>18</v>
      </c>
      <c r="H646" t="s">
        <v>22</v>
      </c>
      <c r="I646">
        <v>98.09</v>
      </c>
      <c r="J646">
        <v>17.3</v>
      </c>
      <c r="K646" t="s">
        <v>25</v>
      </c>
      <c r="L646" t="s">
        <v>15</v>
      </c>
    </row>
    <row r="647" spans="1:12" x14ac:dyDescent="0.3">
      <c r="A647">
        <v>11068</v>
      </c>
      <c r="B647" t="s">
        <v>12</v>
      </c>
      <c r="C647">
        <v>53</v>
      </c>
      <c r="D647" t="s">
        <v>15</v>
      </c>
      <c r="E647" t="s">
        <v>15</v>
      </c>
      <c r="F647" t="s">
        <v>16</v>
      </c>
      <c r="G647" t="s">
        <v>18</v>
      </c>
      <c r="H647" t="s">
        <v>22</v>
      </c>
      <c r="I647">
        <v>76.36</v>
      </c>
      <c r="J647">
        <v>29.8</v>
      </c>
      <c r="K647" t="s">
        <v>27</v>
      </c>
      <c r="L647" t="s">
        <v>15</v>
      </c>
    </row>
    <row r="648" spans="1:12" x14ac:dyDescent="0.3">
      <c r="A648">
        <v>62233</v>
      </c>
      <c r="B648" t="s">
        <v>13</v>
      </c>
      <c r="C648">
        <v>70</v>
      </c>
      <c r="D648" t="s">
        <v>15</v>
      </c>
      <c r="E648" t="s">
        <v>15</v>
      </c>
      <c r="F648" t="s">
        <v>15</v>
      </c>
      <c r="G648" t="s">
        <v>18</v>
      </c>
      <c r="H648" t="s">
        <v>22</v>
      </c>
      <c r="I648">
        <v>98.42</v>
      </c>
      <c r="J648">
        <v>36.4</v>
      </c>
      <c r="K648" t="s">
        <v>24</v>
      </c>
      <c r="L648" t="s">
        <v>15</v>
      </c>
    </row>
    <row r="649" spans="1:12" x14ac:dyDescent="0.3">
      <c r="A649">
        <v>7291</v>
      </c>
      <c r="B649" t="s">
        <v>13</v>
      </c>
      <c r="C649">
        <v>58</v>
      </c>
      <c r="D649" t="s">
        <v>15</v>
      </c>
      <c r="E649" t="s">
        <v>15</v>
      </c>
      <c r="F649" t="s">
        <v>15</v>
      </c>
      <c r="G649" t="s">
        <v>17</v>
      </c>
      <c r="H649" t="s">
        <v>22</v>
      </c>
      <c r="I649">
        <v>82.01</v>
      </c>
      <c r="J649">
        <v>34.700000000000003</v>
      </c>
      <c r="K649" t="s">
        <v>24</v>
      </c>
      <c r="L649" t="s">
        <v>15</v>
      </c>
    </row>
    <row r="650" spans="1:12" x14ac:dyDescent="0.3">
      <c r="A650">
        <v>36814</v>
      </c>
      <c r="B650" t="s">
        <v>13</v>
      </c>
      <c r="C650">
        <v>49</v>
      </c>
      <c r="D650" t="s">
        <v>15</v>
      </c>
      <c r="E650" t="s">
        <v>15</v>
      </c>
      <c r="F650" t="s">
        <v>16</v>
      </c>
      <c r="G650" t="s">
        <v>17</v>
      </c>
      <c r="H650" t="s">
        <v>23</v>
      </c>
      <c r="I650">
        <v>56.11</v>
      </c>
      <c r="J650">
        <v>28.7</v>
      </c>
      <c r="K650" t="s">
        <v>26</v>
      </c>
      <c r="L650" t="s">
        <v>15</v>
      </c>
    </row>
    <row r="651" spans="1:12" x14ac:dyDescent="0.3">
      <c r="A651">
        <v>48265</v>
      </c>
      <c r="B651" t="s">
        <v>12</v>
      </c>
      <c r="C651">
        <v>65</v>
      </c>
      <c r="D651" t="s">
        <v>15</v>
      </c>
      <c r="E651" t="s">
        <v>15</v>
      </c>
      <c r="F651" t="s">
        <v>16</v>
      </c>
      <c r="G651" t="s">
        <v>19</v>
      </c>
      <c r="H651" t="s">
        <v>23</v>
      </c>
      <c r="I651">
        <v>111.85</v>
      </c>
      <c r="J651">
        <v>26.7</v>
      </c>
      <c r="K651" t="s">
        <v>25</v>
      </c>
      <c r="L651" t="s">
        <v>15</v>
      </c>
    </row>
    <row r="652" spans="1:12" x14ac:dyDescent="0.3">
      <c r="A652">
        <v>10139</v>
      </c>
      <c r="B652" t="s">
        <v>13</v>
      </c>
      <c r="C652">
        <v>54</v>
      </c>
      <c r="D652" t="s">
        <v>15</v>
      </c>
      <c r="E652" t="s">
        <v>15</v>
      </c>
      <c r="F652" t="s">
        <v>16</v>
      </c>
      <c r="G652" t="s">
        <v>18</v>
      </c>
      <c r="H652" t="s">
        <v>22</v>
      </c>
      <c r="I652">
        <v>92.39</v>
      </c>
      <c r="J652">
        <v>22.1</v>
      </c>
      <c r="K652" t="s">
        <v>25</v>
      </c>
      <c r="L652" t="s">
        <v>15</v>
      </c>
    </row>
    <row r="653" spans="1:12" x14ac:dyDescent="0.3">
      <c r="A653">
        <v>12662</v>
      </c>
      <c r="B653" t="s">
        <v>12</v>
      </c>
      <c r="C653">
        <v>74</v>
      </c>
      <c r="D653" t="s">
        <v>16</v>
      </c>
      <c r="E653" t="s">
        <v>15</v>
      </c>
      <c r="F653" t="s">
        <v>16</v>
      </c>
      <c r="G653" t="s">
        <v>18</v>
      </c>
      <c r="H653" t="s">
        <v>22</v>
      </c>
      <c r="I653">
        <v>112.54</v>
      </c>
      <c r="J653">
        <v>27.7</v>
      </c>
      <c r="K653" t="s">
        <v>24</v>
      </c>
      <c r="L653" t="s">
        <v>15</v>
      </c>
    </row>
    <row r="654" spans="1:12" x14ac:dyDescent="0.3">
      <c r="A654">
        <v>43174</v>
      </c>
      <c r="B654" t="s">
        <v>13</v>
      </c>
      <c r="C654">
        <v>56</v>
      </c>
      <c r="D654" t="s">
        <v>15</v>
      </c>
      <c r="E654" t="s">
        <v>15</v>
      </c>
      <c r="F654" t="s">
        <v>16</v>
      </c>
      <c r="G654" t="s">
        <v>17</v>
      </c>
      <c r="H654" t="s">
        <v>22</v>
      </c>
      <c r="I654">
        <v>63.71</v>
      </c>
      <c r="J654">
        <v>40.5</v>
      </c>
      <c r="K654" t="s">
        <v>24</v>
      </c>
      <c r="L654" t="s">
        <v>15</v>
      </c>
    </row>
    <row r="655" spans="1:12" x14ac:dyDescent="0.3">
      <c r="A655">
        <v>72823</v>
      </c>
      <c r="B655" t="s">
        <v>13</v>
      </c>
      <c r="C655">
        <v>79</v>
      </c>
      <c r="D655" t="s">
        <v>15</v>
      </c>
      <c r="E655" t="s">
        <v>15</v>
      </c>
      <c r="F655" t="s">
        <v>16</v>
      </c>
      <c r="G655" t="s">
        <v>17</v>
      </c>
      <c r="H655" t="s">
        <v>22</v>
      </c>
      <c r="I655">
        <v>70.349999999999994</v>
      </c>
      <c r="J655">
        <v>23</v>
      </c>
      <c r="K655" t="s">
        <v>24</v>
      </c>
      <c r="L655" t="s">
        <v>15</v>
      </c>
    </row>
    <row r="656" spans="1:12" x14ac:dyDescent="0.3">
      <c r="A656">
        <v>30567</v>
      </c>
      <c r="B656" t="s">
        <v>12</v>
      </c>
      <c r="C656">
        <v>71</v>
      </c>
      <c r="D656" t="s">
        <v>16</v>
      </c>
      <c r="E656" t="s">
        <v>15</v>
      </c>
      <c r="F656" t="s">
        <v>16</v>
      </c>
      <c r="G656" t="s">
        <v>17</v>
      </c>
      <c r="H656" t="s">
        <v>22</v>
      </c>
      <c r="I656">
        <v>94.65</v>
      </c>
      <c r="J656">
        <v>25.3</v>
      </c>
      <c r="K656" t="s">
        <v>24</v>
      </c>
      <c r="L656" t="s">
        <v>15</v>
      </c>
    </row>
    <row r="657" spans="1:12" x14ac:dyDescent="0.3">
      <c r="A657">
        <v>41927</v>
      </c>
      <c r="B657" t="s">
        <v>13</v>
      </c>
      <c r="C657">
        <v>28</v>
      </c>
      <c r="D657" t="s">
        <v>15</v>
      </c>
      <c r="E657" t="s">
        <v>15</v>
      </c>
      <c r="F657" t="s">
        <v>16</v>
      </c>
      <c r="G657" t="s">
        <v>17</v>
      </c>
      <c r="H657" t="s">
        <v>23</v>
      </c>
      <c r="I657">
        <v>64.64</v>
      </c>
      <c r="J657">
        <v>22.1</v>
      </c>
      <c r="K657" t="s">
        <v>25</v>
      </c>
      <c r="L657" t="s">
        <v>15</v>
      </c>
    </row>
    <row r="658" spans="1:12" x14ac:dyDescent="0.3">
      <c r="A658">
        <v>54866</v>
      </c>
      <c r="B658" t="s">
        <v>13</v>
      </c>
      <c r="C658">
        <v>9</v>
      </c>
      <c r="D658" t="s">
        <v>15</v>
      </c>
      <c r="E658" t="s">
        <v>15</v>
      </c>
      <c r="F658" t="s">
        <v>15</v>
      </c>
      <c r="G658" t="s">
        <v>20</v>
      </c>
      <c r="H658" t="s">
        <v>23</v>
      </c>
      <c r="I658">
        <v>57.27</v>
      </c>
      <c r="J658">
        <v>28</v>
      </c>
      <c r="K658" t="s">
        <v>27</v>
      </c>
      <c r="L658" t="s">
        <v>15</v>
      </c>
    </row>
    <row r="659" spans="1:12" x14ac:dyDescent="0.3">
      <c r="A659">
        <v>20364</v>
      </c>
      <c r="B659" t="s">
        <v>13</v>
      </c>
      <c r="C659">
        <v>4</v>
      </c>
      <c r="D659" t="s">
        <v>15</v>
      </c>
      <c r="E659" t="s">
        <v>15</v>
      </c>
      <c r="F659" t="s">
        <v>15</v>
      </c>
      <c r="G659" t="s">
        <v>20</v>
      </c>
      <c r="H659" t="s">
        <v>22</v>
      </c>
      <c r="I659">
        <v>107.25</v>
      </c>
      <c r="J659">
        <v>12</v>
      </c>
      <c r="K659" t="s">
        <v>27</v>
      </c>
      <c r="L659" t="s">
        <v>15</v>
      </c>
    </row>
    <row r="660" spans="1:12" x14ac:dyDescent="0.3">
      <c r="A660">
        <v>21117</v>
      </c>
      <c r="B660" t="s">
        <v>13</v>
      </c>
      <c r="C660">
        <v>36</v>
      </c>
      <c r="D660" t="s">
        <v>15</v>
      </c>
      <c r="E660" t="s">
        <v>15</v>
      </c>
      <c r="F660" t="s">
        <v>15</v>
      </c>
      <c r="G660" t="s">
        <v>18</v>
      </c>
      <c r="H660" t="s">
        <v>23</v>
      </c>
      <c r="I660">
        <v>77.12</v>
      </c>
      <c r="J660">
        <v>28.4</v>
      </c>
      <c r="K660" t="s">
        <v>25</v>
      </c>
      <c r="L660" t="s">
        <v>15</v>
      </c>
    </row>
    <row r="661" spans="1:12" x14ac:dyDescent="0.3">
      <c r="A661">
        <v>50491</v>
      </c>
      <c r="B661" t="s">
        <v>12</v>
      </c>
      <c r="C661">
        <v>78</v>
      </c>
      <c r="D661" t="s">
        <v>15</v>
      </c>
      <c r="E661" t="s">
        <v>15</v>
      </c>
      <c r="F661" t="s">
        <v>16</v>
      </c>
      <c r="G661" t="s">
        <v>18</v>
      </c>
      <c r="H661" t="s">
        <v>22</v>
      </c>
      <c r="I661">
        <v>55.32</v>
      </c>
      <c r="J661">
        <v>29.6</v>
      </c>
      <c r="K661" t="s">
        <v>26</v>
      </c>
      <c r="L661" t="s">
        <v>15</v>
      </c>
    </row>
    <row r="662" spans="1:12" x14ac:dyDescent="0.3">
      <c r="A662">
        <v>61013</v>
      </c>
      <c r="B662" t="s">
        <v>12</v>
      </c>
      <c r="C662">
        <v>52</v>
      </c>
      <c r="D662" t="s">
        <v>15</v>
      </c>
      <c r="E662" t="s">
        <v>15</v>
      </c>
      <c r="F662" t="s">
        <v>15</v>
      </c>
      <c r="G662" t="s">
        <v>17</v>
      </c>
      <c r="H662" t="s">
        <v>23</v>
      </c>
      <c r="I662">
        <v>69.37</v>
      </c>
      <c r="J662">
        <v>36.200000000000003</v>
      </c>
      <c r="K662" t="s">
        <v>27</v>
      </c>
      <c r="L662" t="s">
        <v>15</v>
      </c>
    </row>
    <row r="663" spans="1:12" x14ac:dyDescent="0.3">
      <c r="A663">
        <v>71010</v>
      </c>
      <c r="B663" t="s">
        <v>13</v>
      </c>
      <c r="C663">
        <v>80</v>
      </c>
      <c r="D663" t="s">
        <v>15</v>
      </c>
      <c r="E663" t="s">
        <v>15</v>
      </c>
      <c r="F663" t="s">
        <v>15</v>
      </c>
      <c r="G663" t="s">
        <v>18</v>
      </c>
      <c r="H663" t="s">
        <v>22</v>
      </c>
      <c r="I663">
        <v>57.57</v>
      </c>
      <c r="J663">
        <v>22.8</v>
      </c>
      <c r="K663" t="s">
        <v>25</v>
      </c>
      <c r="L663" t="s">
        <v>15</v>
      </c>
    </row>
    <row r="664" spans="1:12" x14ac:dyDescent="0.3">
      <c r="A664">
        <v>23551</v>
      </c>
      <c r="B664" t="s">
        <v>12</v>
      </c>
      <c r="C664">
        <v>28</v>
      </c>
      <c r="D664" t="s">
        <v>15</v>
      </c>
      <c r="E664" t="s">
        <v>15</v>
      </c>
      <c r="F664" t="s">
        <v>16</v>
      </c>
      <c r="G664" t="s">
        <v>17</v>
      </c>
      <c r="H664" t="s">
        <v>22</v>
      </c>
      <c r="I664">
        <v>87.43</v>
      </c>
      <c r="J664">
        <v>55.7</v>
      </c>
      <c r="K664" t="s">
        <v>27</v>
      </c>
      <c r="L664" t="s">
        <v>15</v>
      </c>
    </row>
    <row r="665" spans="1:12" x14ac:dyDescent="0.3">
      <c r="A665">
        <v>10997</v>
      </c>
      <c r="B665" t="s">
        <v>13</v>
      </c>
      <c r="C665">
        <v>38</v>
      </c>
      <c r="D665" t="s">
        <v>15</v>
      </c>
      <c r="E665" t="s">
        <v>15</v>
      </c>
      <c r="F665" t="s">
        <v>16</v>
      </c>
      <c r="G665" t="s">
        <v>17</v>
      </c>
      <c r="H665" t="s">
        <v>23</v>
      </c>
      <c r="I665">
        <v>98.73</v>
      </c>
      <c r="J665">
        <v>24.3</v>
      </c>
      <c r="K665" t="s">
        <v>25</v>
      </c>
      <c r="L665" t="s">
        <v>15</v>
      </c>
    </row>
    <row r="666" spans="1:12" x14ac:dyDescent="0.3">
      <c r="A666">
        <v>12738</v>
      </c>
      <c r="B666" t="s">
        <v>12</v>
      </c>
      <c r="C666">
        <v>56</v>
      </c>
      <c r="D666" t="s">
        <v>15</v>
      </c>
      <c r="E666" t="s">
        <v>15</v>
      </c>
      <c r="F666" t="s">
        <v>16</v>
      </c>
      <c r="G666" t="s">
        <v>17</v>
      </c>
      <c r="H666" t="s">
        <v>23</v>
      </c>
      <c r="I666">
        <v>81.180000000000007</v>
      </c>
      <c r="J666">
        <v>26.9</v>
      </c>
      <c r="K666" t="s">
        <v>25</v>
      </c>
      <c r="L666" t="s">
        <v>15</v>
      </c>
    </row>
    <row r="667" spans="1:12" x14ac:dyDescent="0.3">
      <c r="A667">
        <v>57772</v>
      </c>
      <c r="B667" t="s">
        <v>13</v>
      </c>
      <c r="C667">
        <v>75</v>
      </c>
      <c r="D667" t="s">
        <v>15</v>
      </c>
      <c r="E667" t="s">
        <v>15</v>
      </c>
      <c r="F667" t="s">
        <v>16</v>
      </c>
      <c r="G667" t="s">
        <v>19</v>
      </c>
      <c r="H667" t="s">
        <v>23</v>
      </c>
      <c r="I667">
        <v>56.23</v>
      </c>
      <c r="J667">
        <v>25.3</v>
      </c>
      <c r="K667" t="s">
        <v>25</v>
      </c>
      <c r="L667" t="s">
        <v>15</v>
      </c>
    </row>
    <row r="668" spans="1:12" x14ac:dyDescent="0.3">
      <c r="A668">
        <v>16615</v>
      </c>
      <c r="B668" t="s">
        <v>12</v>
      </c>
      <c r="C668">
        <v>76</v>
      </c>
      <c r="D668" t="s">
        <v>16</v>
      </c>
      <c r="E668" t="s">
        <v>15</v>
      </c>
      <c r="F668" t="s">
        <v>16</v>
      </c>
      <c r="G668" t="s">
        <v>18</v>
      </c>
      <c r="H668" t="s">
        <v>23</v>
      </c>
      <c r="I668">
        <v>69.61</v>
      </c>
      <c r="J668">
        <v>35.299999999999997</v>
      </c>
      <c r="K668" t="s">
        <v>25</v>
      </c>
      <c r="L668" t="s">
        <v>15</v>
      </c>
    </row>
    <row r="669" spans="1:12" x14ac:dyDescent="0.3">
      <c r="A669">
        <v>62999</v>
      </c>
      <c r="B669" t="s">
        <v>12</v>
      </c>
      <c r="C669">
        <v>10</v>
      </c>
      <c r="D669" t="s">
        <v>15</v>
      </c>
      <c r="E669" t="s">
        <v>15</v>
      </c>
      <c r="F669" t="s">
        <v>15</v>
      </c>
      <c r="G669" t="s">
        <v>20</v>
      </c>
      <c r="H669" t="s">
        <v>23</v>
      </c>
      <c r="I669">
        <v>59.49</v>
      </c>
      <c r="J669">
        <v>18.3</v>
      </c>
      <c r="K669" t="s">
        <v>27</v>
      </c>
      <c r="L669" t="s">
        <v>15</v>
      </c>
    </row>
    <row r="670" spans="1:12" x14ac:dyDescent="0.3">
      <c r="A670">
        <v>68995</v>
      </c>
      <c r="B670" t="s">
        <v>13</v>
      </c>
      <c r="C670">
        <v>48</v>
      </c>
      <c r="D670" t="s">
        <v>16</v>
      </c>
      <c r="E670" t="s">
        <v>15</v>
      </c>
      <c r="F670" t="s">
        <v>15</v>
      </c>
      <c r="G670" t="s">
        <v>17</v>
      </c>
      <c r="H670" t="s">
        <v>23</v>
      </c>
      <c r="I670">
        <v>118.14</v>
      </c>
      <c r="K670" t="s">
        <v>24</v>
      </c>
      <c r="L670" t="s">
        <v>15</v>
      </c>
    </row>
    <row r="671" spans="1:12" x14ac:dyDescent="0.3">
      <c r="A671">
        <v>66184</v>
      </c>
      <c r="B671" t="s">
        <v>12</v>
      </c>
      <c r="C671">
        <v>40</v>
      </c>
      <c r="D671" t="s">
        <v>15</v>
      </c>
      <c r="E671" t="s">
        <v>15</v>
      </c>
      <c r="F671" t="s">
        <v>16</v>
      </c>
      <c r="G671" t="s">
        <v>19</v>
      </c>
      <c r="H671" t="s">
        <v>23</v>
      </c>
      <c r="I671">
        <v>100.26</v>
      </c>
      <c r="J671">
        <v>26</v>
      </c>
      <c r="K671" t="s">
        <v>27</v>
      </c>
      <c r="L671" t="s">
        <v>15</v>
      </c>
    </row>
    <row r="672" spans="1:12" x14ac:dyDescent="0.3">
      <c r="A672">
        <v>53010</v>
      </c>
      <c r="B672" t="s">
        <v>12</v>
      </c>
      <c r="C672">
        <v>82</v>
      </c>
      <c r="D672" t="s">
        <v>15</v>
      </c>
      <c r="E672" t="s">
        <v>15</v>
      </c>
      <c r="F672" t="s">
        <v>16</v>
      </c>
      <c r="G672" t="s">
        <v>18</v>
      </c>
      <c r="H672" t="s">
        <v>23</v>
      </c>
      <c r="I672">
        <v>56.75</v>
      </c>
      <c r="J672">
        <v>21</v>
      </c>
      <c r="K672" t="s">
        <v>25</v>
      </c>
      <c r="L672" t="s">
        <v>15</v>
      </c>
    </row>
    <row r="673" spans="1:12" x14ac:dyDescent="0.3">
      <c r="A673">
        <v>967</v>
      </c>
      <c r="B673" t="s">
        <v>12</v>
      </c>
      <c r="C673">
        <v>61</v>
      </c>
      <c r="D673" t="s">
        <v>15</v>
      </c>
      <c r="E673" t="s">
        <v>16</v>
      </c>
      <c r="F673" t="s">
        <v>16</v>
      </c>
      <c r="G673" t="s">
        <v>17</v>
      </c>
      <c r="H673" t="s">
        <v>22</v>
      </c>
      <c r="I673">
        <v>88.27</v>
      </c>
      <c r="K673" t="s">
        <v>25</v>
      </c>
      <c r="L673" t="s">
        <v>15</v>
      </c>
    </row>
    <row r="674" spans="1:12" x14ac:dyDescent="0.3">
      <c r="A674">
        <v>31145</v>
      </c>
      <c r="B674" t="s">
        <v>13</v>
      </c>
      <c r="C674">
        <v>17</v>
      </c>
      <c r="D674" t="s">
        <v>15</v>
      </c>
      <c r="E674" t="s">
        <v>15</v>
      </c>
      <c r="F674" t="s">
        <v>15</v>
      </c>
      <c r="G674" t="s">
        <v>17</v>
      </c>
      <c r="H674" t="s">
        <v>22</v>
      </c>
      <c r="I674">
        <v>67.81</v>
      </c>
      <c r="J674">
        <v>55.7</v>
      </c>
      <c r="K674" t="s">
        <v>25</v>
      </c>
      <c r="L674" t="s">
        <v>15</v>
      </c>
    </row>
    <row r="675" spans="1:12" x14ac:dyDescent="0.3">
      <c r="A675">
        <v>54338</v>
      </c>
      <c r="B675" t="s">
        <v>13</v>
      </c>
      <c r="C675">
        <v>58</v>
      </c>
      <c r="D675" t="s">
        <v>15</v>
      </c>
      <c r="E675" t="s">
        <v>15</v>
      </c>
      <c r="F675" t="s">
        <v>16</v>
      </c>
      <c r="G675" t="s">
        <v>19</v>
      </c>
      <c r="H675" t="s">
        <v>23</v>
      </c>
      <c r="I675">
        <v>77.459999999999994</v>
      </c>
      <c r="J675">
        <v>27.6</v>
      </c>
      <c r="K675" t="s">
        <v>25</v>
      </c>
      <c r="L675" t="s">
        <v>15</v>
      </c>
    </row>
    <row r="676" spans="1:12" x14ac:dyDescent="0.3">
      <c r="A676">
        <v>22870</v>
      </c>
      <c r="B676" t="s">
        <v>12</v>
      </c>
      <c r="C676">
        <v>12</v>
      </c>
      <c r="D676" t="s">
        <v>15</v>
      </c>
      <c r="E676" t="s">
        <v>15</v>
      </c>
      <c r="F676" t="s">
        <v>15</v>
      </c>
      <c r="G676" t="s">
        <v>20</v>
      </c>
      <c r="H676" t="s">
        <v>22</v>
      </c>
      <c r="I676">
        <v>76.260000000000005</v>
      </c>
      <c r="J676">
        <v>20.5</v>
      </c>
      <c r="K676" t="s">
        <v>25</v>
      </c>
      <c r="L676" t="s">
        <v>15</v>
      </c>
    </row>
    <row r="677" spans="1:12" x14ac:dyDescent="0.3">
      <c r="A677">
        <v>13223</v>
      </c>
      <c r="B677" t="s">
        <v>13</v>
      </c>
      <c r="C677">
        <v>53</v>
      </c>
      <c r="D677" t="s">
        <v>15</v>
      </c>
      <c r="E677" t="s">
        <v>15</v>
      </c>
      <c r="F677" t="s">
        <v>16</v>
      </c>
      <c r="G677" t="s">
        <v>19</v>
      </c>
      <c r="H677" t="s">
        <v>23</v>
      </c>
      <c r="I677">
        <v>86.39</v>
      </c>
      <c r="J677">
        <v>30.2</v>
      </c>
      <c r="K677" t="s">
        <v>25</v>
      </c>
      <c r="L677" t="s">
        <v>15</v>
      </c>
    </row>
    <row r="678" spans="1:12" x14ac:dyDescent="0.3">
      <c r="A678">
        <v>57523</v>
      </c>
      <c r="B678" t="s">
        <v>13</v>
      </c>
      <c r="C678">
        <v>26</v>
      </c>
      <c r="D678" t="s">
        <v>15</v>
      </c>
      <c r="E678" t="s">
        <v>15</v>
      </c>
      <c r="F678" t="s">
        <v>16</v>
      </c>
      <c r="G678" t="s">
        <v>17</v>
      </c>
      <c r="H678" t="s">
        <v>22</v>
      </c>
      <c r="I678">
        <v>116.38</v>
      </c>
      <c r="J678">
        <v>21.9</v>
      </c>
      <c r="K678" t="s">
        <v>24</v>
      </c>
      <c r="L678" t="s">
        <v>15</v>
      </c>
    </row>
    <row r="679" spans="1:12" x14ac:dyDescent="0.3">
      <c r="A679">
        <v>67932</v>
      </c>
      <c r="B679" t="s">
        <v>13</v>
      </c>
      <c r="C679">
        <v>48</v>
      </c>
      <c r="D679" t="s">
        <v>15</v>
      </c>
      <c r="E679" t="s">
        <v>15</v>
      </c>
      <c r="F679" t="s">
        <v>16</v>
      </c>
      <c r="G679" t="s">
        <v>17</v>
      </c>
      <c r="H679" t="s">
        <v>23</v>
      </c>
      <c r="I679">
        <v>75.739999999999995</v>
      </c>
      <c r="J679">
        <v>28.8</v>
      </c>
      <c r="K679" t="s">
        <v>26</v>
      </c>
      <c r="L679" t="s">
        <v>15</v>
      </c>
    </row>
    <row r="680" spans="1:12" x14ac:dyDescent="0.3">
      <c r="A680">
        <v>10255</v>
      </c>
      <c r="B680" t="s">
        <v>12</v>
      </c>
      <c r="C680">
        <v>25</v>
      </c>
      <c r="D680" t="s">
        <v>15</v>
      </c>
      <c r="E680" t="s">
        <v>15</v>
      </c>
      <c r="F680" t="s">
        <v>16</v>
      </c>
      <c r="G680" t="s">
        <v>17</v>
      </c>
      <c r="H680" t="s">
        <v>23</v>
      </c>
      <c r="I680">
        <v>92.14</v>
      </c>
      <c r="J680">
        <v>36.200000000000003</v>
      </c>
      <c r="K680" t="s">
        <v>27</v>
      </c>
      <c r="L680" t="s">
        <v>15</v>
      </c>
    </row>
    <row r="681" spans="1:12" x14ac:dyDescent="0.3">
      <c r="A681">
        <v>68131</v>
      </c>
      <c r="B681" t="s">
        <v>13</v>
      </c>
      <c r="C681">
        <v>27</v>
      </c>
      <c r="D681" t="s">
        <v>15</v>
      </c>
      <c r="E681" t="s">
        <v>15</v>
      </c>
      <c r="F681" t="s">
        <v>15</v>
      </c>
      <c r="G681" t="s">
        <v>17</v>
      </c>
      <c r="H681" t="s">
        <v>23</v>
      </c>
      <c r="I681">
        <v>149.94999999999999</v>
      </c>
      <c r="J681">
        <v>25.9</v>
      </c>
      <c r="K681" t="s">
        <v>25</v>
      </c>
      <c r="L681" t="s">
        <v>15</v>
      </c>
    </row>
    <row r="682" spans="1:12" x14ac:dyDescent="0.3">
      <c r="A682">
        <v>29873</v>
      </c>
      <c r="B682" t="s">
        <v>12</v>
      </c>
      <c r="C682">
        <v>31</v>
      </c>
      <c r="D682" t="s">
        <v>16</v>
      </c>
      <c r="E682" t="s">
        <v>15</v>
      </c>
      <c r="F682" t="s">
        <v>16</v>
      </c>
      <c r="G682" t="s">
        <v>19</v>
      </c>
      <c r="H682" t="s">
        <v>22</v>
      </c>
      <c r="I682">
        <v>92.11</v>
      </c>
      <c r="K682" t="s">
        <v>25</v>
      </c>
      <c r="L682" t="s">
        <v>15</v>
      </c>
    </row>
    <row r="683" spans="1:12" x14ac:dyDescent="0.3">
      <c r="A683">
        <v>54182</v>
      </c>
      <c r="B683" t="s">
        <v>13</v>
      </c>
      <c r="C683">
        <v>16</v>
      </c>
      <c r="D683" t="s">
        <v>15</v>
      </c>
      <c r="E683" t="s">
        <v>15</v>
      </c>
      <c r="F683" t="s">
        <v>15</v>
      </c>
      <c r="G683" t="s">
        <v>17</v>
      </c>
      <c r="H683" t="s">
        <v>23</v>
      </c>
      <c r="I683">
        <v>74.98</v>
      </c>
      <c r="J683">
        <v>21.4</v>
      </c>
      <c r="K683" t="s">
        <v>25</v>
      </c>
      <c r="L683" t="s">
        <v>15</v>
      </c>
    </row>
    <row r="684" spans="1:12" x14ac:dyDescent="0.3">
      <c r="A684">
        <v>61300</v>
      </c>
      <c r="B684" t="s">
        <v>12</v>
      </c>
      <c r="C684">
        <v>20</v>
      </c>
      <c r="D684" t="s">
        <v>15</v>
      </c>
      <c r="E684" t="s">
        <v>15</v>
      </c>
      <c r="F684" t="s">
        <v>15</v>
      </c>
      <c r="G684" t="s">
        <v>17</v>
      </c>
      <c r="H684" t="s">
        <v>22</v>
      </c>
      <c r="I684">
        <v>55.25</v>
      </c>
      <c r="J684">
        <v>20.399999999999999</v>
      </c>
      <c r="K684" t="s">
        <v>25</v>
      </c>
      <c r="L684" t="s">
        <v>15</v>
      </c>
    </row>
    <row r="685" spans="1:12" x14ac:dyDescent="0.3">
      <c r="A685">
        <v>15274</v>
      </c>
      <c r="B685" t="s">
        <v>13</v>
      </c>
      <c r="C685">
        <v>2</v>
      </c>
      <c r="D685" t="s">
        <v>15</v>
      </c>
      <c r="E685" t="s">
        <v>15</v>
      </c>
      <c r="F685" t="s">
        <v>15</v>
      </c>
      <c r="G685" t="s">
        <v>20</v>
      </c>
      <c r="H685" t="s">
        <v>23</v>
      </c>
      <c r="I685">
        <v>79.89</v>
      </c>
      <c r="J685">
        <v>31.6</v>
      </c>
      <c r="K685" t="s">
        <v>27</v>
      </c>
      <c r="L685" t="s">
        <v>15</v>
      </c>
    </row>
    <row r="686" spans="1:12" x14ac:dyDescent="0.3">
      <c r="A686">
        <v>53016</v>
      </c>
      <c r="B686" t="s">
        <v>13</v>
      </c>
      <c r="C686">
        <v>1.8</v>
      </c>
      <c r="D686" t="s">
        <v>15</v>
      </c>
      <c r="E686" t="s">
        <v>15</v>
      </c>
      <c r="F686" t="s">
        <v>15</v>
      </c>
      <c r="G686" t="s">
        <v>20</v>
      </c>
      <c r="H686" t="s">
        <v>22</v>
      </c>
      <c r="I686">
        <v>130.61000000000001</v>
      </c>
      <c r="J686">
        <v>14.4</v>
      </c>
      <c r="K686" t="s">
        <v>27</v>
      </c>
      <c r="L686" t="s">
        <v>15</v>
      </c>
    </row>
    <row r="687" spans="1:12" x14ac:dyDescent="0.3">
      <c r="A687">
        <v>28848</v>
      </c>
      <c r="B687" t="s">
        <v>12</v>
      </c>
      <c r="C687">
        <v>28</v>
      </c>
      <c r="D687" t="s">
        <v>15</v>
      </c>
      <c r="E687" t="s">
        <v>15</v>
      </c>
      <c r="F687" t="s">
        <v>15</v>
      </c>
      <c r="G687" t="s">
        <v>17</v>
      </c>
      <c r="H687" t="s">
        <v>22</v>
      </c>
      <c r="I687">
        <v>94.26</v>
      </c>
      <c r="J687">
        <v>23.7</v>
      </c>
      <c r="K687" t="s">
        <v>27</v>
      </c>
      <c r="L687" t="s">
        <v>15</v>
      </c>
    </row>
    <row r="688" spans="1:12" x14ac:dyDescent="0.3">
      <c r="A688">
        <v>27012</v>
      </c>
      <c r="B688" t="s">
        <v>12</v>
      </c>
      <c r="C688">
        <v>32</v>
      </c>
      <c r="D688" t="s">
        <v>15</v>
      </c>
      <c r="E688" t="s">
        <v>15</v>
      </c>
      <c r="F688" t="s">
        <v>15</v>
      </c>
      <c r="G688" t="s">
        <v>17</v>
      </c>
      <c r="H688" t="s">
        <v>22</v>
      </c>
      <c r="I688">
        <v>94.34</v>
      </c>
      <c r="J688">
        <v>30.2</v>
      </c>
      <c r="K688" t="s">
        <v>24</v>
      </c>
      <c r="L688" t="s">
        <v>15</v>
      </c>
    </row>
    <row r="689" spans="1:12" x14ac:dyDescent="0.3">
      <c r="A689">
        <v>7745</v>
      </c>
      <c r="B689" t="s">
        <v>13</v>
      </c>
      <c r="C689">
        <v>35</v>
      </c>
      <c r="D689" t="s">
        <v>15</v>
      </c>
      <c r="E689" t="s">
        <v>15</v>
      </c>
      <c r="F689" t="s">
        <v>16</v>
      </c>
      <c r="G689" t="s">
        <v>17</v>
      </c>
      <c r="H689" t="s">
        <v>22</v>
      </c>
      <c r="I689">
        <v>109.03</v>
      </c>
      <c r="J689">
        <v>19.5</v>
      </c>
      <c r="K689" t="s">
        <v>24</v>
      </c>
      <c r="L689" t="s">
        <v>15</v>
      </c>
    </row>
    <row r="690" spans="1:12" x14ac:dyDescent="0.3">
      <c r="A690">
        <v>20541</v>
      </c>
      <c r="B690" t="s">
        <v>13</v>
      </c>
      <c r="C690">
        <v>52</v>
      </c>
      <c r="D690" t="s">
        <v>16</v>
      </c>
      <c r="E690" t="s">
        <v>15</v>
      </c>
      <c r="F690" t="s">
        <v>16</v>
      </c>
      <c r="G690" t="s">
        <v>17</v>
      </c>
      <c r="H690" t="s">
        <v>23</v>
      </c>
      <c r="I690">
        <v>81.03</v>
      </c>
      <c r="J690">
        <v>32.6</v>
      </c>
      <c r="K690" t="s">
        <v>25</v>
      </c>
      <c r="L690" t="s">
        <v>15</v>
      </c>
    </row>
    <row r="691" spans="1:12" x14ac:dyDescent="0.3">
      <c r="A691">
        <v>5892</v>
      </c>
      <c r="B691" t="s">
        <v>13</v>
      </c>
      <c r="C691">
        <v>55</v>
      </c>
      <c r="D691" t="s">
        <v>16</v>
      </c>
      <c r="E691" t="s">
        <v>15</v>
      </c>
      <c r="F691" t="s">
        <v>16</v>
      </c>
      <c r="G691" t="s">
        <v>17</v>
      </c>
      <c r="H691" t="s">
        <v>23</v>
      </c>
      <c r="I691">
        <v>99.82</v>
      </c>
      <c r="J691">
        <v>34.200000000000003</v>
      </c>
      <c r="K691" t="s">
        <v>25</v>
      </c>
      <c r="L691" t="s">
        <v>15</v>
      </c>
    </row>
    <row r="692" spans="1:12" x14ac:dyDescent="0.3">
      <c r="A692">
        <v>66883</v>
      </c>
      <c r="B692" t="s">
        <v>13</v>
      </c>
      <c r="C692">
        <v>42</v>
      </c>
      <c r="D692" t="s">
        <v>15</v>
      </c>
      <c r="E692" t="s">
        <v>15</v>
      </c>
      <c r="F692" t="s">
        <v>16</v>
      </c>
      <c r="G692" t="s">
        <v>18</v>
      </c>
      <c r="H692" t="s">
        <v>22</v>
      </c>
      <c r="I692">
        <v>140.08000000000001</v>
      </c>
      <c r="J692">
        <v>43</v>
      </c>
      <c r="K692" t="s">
        <v>25</v>
      </c>
      <c r="L692" t="s">
        <v>15</v>
      </c>
    </row>
    <row r="693" spans="1:12" x14ac:dyDescent="0.3">
      <c r="A693">
        <v>43196</v>
      </c>
      <c r="B693" t="s">
        <v>13</v>
      </c>
      <c r="C693">
        <v>52</v>
      </c>
      <c r="D693" t="s">
        <v>15</v>
      </c>
      <c r="E693" t="s">
        <v>15</v>
      </c>
      <c r="F693" t="s">
        <v>16</v>
      </c>
      <c r="G693" t="s">
        <v>18</v>
      </c>
      <c r="H693" t="s">
        <v>22</v>
      </c>
      <c r="I693">
        <v>59.54</v>
      </c>
      <c r="J693">
        <v>42.2</v>
      </c>
      <c r="K693" t="s">
        <v>27</v>
      </c>
      <c r="L693" t="s">
        <v>15</v>
      </c>
    </row>
    <row r="694" spans="1:12" x14ac:dyDescent="0.3">
      <c r="A694">
        <v>12593</v>
      </c>
      <c r="B694" t="s">
        <v>13</v>
      </c>
      <c r="C694">
        <v>18</v>
      </c>
      <c r="D694" t="s">
        <v>15</v>
      </c>
      <c r="E694" t="s">
        <v>15</v>
      </c>
      <c r="F694" t="s">
        <v>15</v>
      </c>
      <c r="G694" t="s">
        <v>17</v>
      </c>
      <c r="H694" t="s">
        <v>22</v>
      </c>
      <c r="I694">
        <v>80.33</v>
      </c>
      <c r="J694">
        <v>19.7</v>
      </c>
      <c r="K694" t="s">
        <v>25</v>
      </c>
      <c r="L694" t="s">
        <v>15</v>
      </c>
    </row>
    <row r="695" spans="1:12" x14ac:dyDescent="0.3">
      <c r="A695">
        <v>51514</v>
      </c>
      <c r="B695" t="s">
        <v>13</v>
      </c>
      <c r="C695">
        <v>13</v>
      </c>
      <c r="D695" t="s">
        <v>15</v>
      </c>
      <c r="E695" t="s">
        <v>15</v>
      </c>
      <c r="F695" t="s">
        <v>15</v>
      </c>
      <c r="G695" t="s">
        <v>20</v>
      </c>
      <c r="H695" t="s">
        <v>22</v>
      </c>
      <c r="I695">
        <v>131.51</v>
      </c>
      <c r="J695">
        <v>41.7</v>
      </c>
      <c r="K695" t="s">
        <v>25</v>
      </c>
      <c r="L695" t="s">
        <v>15</v>
      </c>
    </row>
    <row r="696" spans="1:12" x14ac:dyDescent="0.3">
      <c r="A696">
        <v>15553</v>
      </c>
      <c r="B696" t="s">
        <v>13</v>
      </c>
      <c r="C696">
        <v>45</v>
      </c>
      <c r="D696" t="s">
        <v>15</v>
      </c>
      <c r="E696" t="s">
        <v>15</v>
      </c>
      <c r="F696" t="s">
        <v>16</v>
      </c>
      <c r="G696" t="s">
        <v>17</v>
      </c>
      <c r="H696" t="s">
        <v>23</v>
      </c>
      <c r="I696">
        <v>89.21</v>
      </c>
      <c r="J696">
        <v>21.6</v>
      </c>
      <c r="K696" t="s">
        <v>24</v>
      </c>
      <c r="L696" t="s">
        <v>15</v>
      </c>
    </row>
    <row r="697" spans="1:12" x14ac:dyDescent="0.3">
      <c r="A697">
        <v>45796</v>
      </c>
      <c r="B697" t="s">
        <v>13</v>
      </c>
      <c r="C697">
        <v>29</v>
      </c>
      <c r="D697" t="s">
        <v>15</v>
      </c>
      <c r="E697" t="s">
        <v>15</v>
      </c>
      <c r="F697" t="s">
        <v>16</v>
      </c>
      <c r="G697" t="s">
        <v>17</v>
      </c>
      <c r="H697" t="s">
        <v>23</v>
      </c>
      <c r="I697">
        <v>91.45</v>
      </c>
      <c r="J697">
        <v>24.2</v>
      </c>
      <c r="K697" t="s">
        <v>25</v>
      </c>
      <c r="L697" t="s">
        <v>15</v>
      </c>
    </row>
    <row r="698" spans="1:12" x14ac:dyDescent="0.3">
      <c r="A698">
        <v>31840</v>
      </c>
      <c r="B698" t="s">
        <v>13</v>
      </c>
      <c r="C698">
        <v>12</v>
      </c>
      <c r="D698" t="s">
        <v>15</v>
      </c>
      <c r="E698" t="s">
        <v>15</v>
      </c>
      <c r="F698" t="s">
        <v>15</v>
      </c>
      <c r="G698" t="s">
        <v>20</v>
      </c>
      <c r="H698" t="s">
        <v>23</v>
      </c>
      <c r="I698">
        <v>90.58</v>
      </c>
      <c r="J698">
        <v>19.2</v>
      </c>
      <c r="K698" t="s">
        <v>27</v>
      </c>
      <c r="L698" t="s">
        <v>15</v>
      </c>
    </row>
    <row r="699" spans="1:12" x14ac:dyDescent="0.3">
      <c r="A699">
        <v>58767</v>
      </c>
      <c r="B699" t="s">
        <v>13</v>
      </c>
      <c r="C699">
        <v>37</v>
      </c>
      <c r="D699" t="s">
        <v>15</v>
      </c>
      <c r="E699" t="s">
        <v>15</v>
      </c>
      <c r="F699" t="s">
        <v>16</v>
      </c>
      <c r="G699" t="s">
        <v>17</v>
      </c>
      <c r="H699" t="s">
        <v>22</v>
      </c>
      <c r="I699">
        <v>91.45</v>
      </c>
      <c r="J699">
        <v>25.8</v>
      </c>
      <c r="K699" t="s">
        <v>27</v>
      </c>
      <c r="L699" t="s">
        <v>15</v>
      </c>
    </row>
    <row r="700" spans="1:12" x14ac:dyDescent="0.3">
      <c r="A700">
        <v>14391</v>
      </c>
      <c r="B700" t="s">
        <v>13</v>
      </c>
      <c r="C700">
        <v>30</v>
      </c>
      <c r="D700" t="s">
        <v>15</v>
      </c>
      <c r="E700" t="s">
        <v>15</v>
      </c>
      <c r="F700" t="s">
        <v>16</v>
      </c>
      <c r="G700" t="s">
        <v>17</v>
      </c>
      <c r="H700" t="s">
        <v>23</v>
      </c>
      <c r="I700">
        <v>89.63</v>
      </c>
      <c r="J700">
        <v>23.2</v>
      </c>
      <c r="K700" t="s">
        <v>26</v>
      </c>
      <c r="L700" t="s">
        <v>15</v>
      </c>
    </row>
    <row r="701" spans="1:12" x14ac:dyDescent="0.3">
      <c r="A701">
        <v>22321</v>
      </c>
      <c r="B701" t="s">
        <v>13</v>
      </c>
      <c r="C701">
        <v>44</v>
      </c>
      <c r="D701" t="s">
        <v>15</v>
      </c>
      <c r="E701" t="s">
        <v>15</v>
      </c>
      <c r="F701" t="s">
        <v>16</v>
      </c>
      <c r="G701" t="s">
        <v>17</v>
      </c>
      <c r="H701" t="s">
        <v>22</v>
      </c>
      <c r="I701">
        <v>124.06</v>
      </c>
      <c r="J701">
        <v>20.8</v>
      </c>
      <c r="K701" t="s">
        <v>25</v>
      </c>
      <c r="L701" t="s">
        <v>15</v>
      </c>
    </row>
    <row r="702" spans="1:12" x14ac:dyDescent="0.3">
      <c r="A702">
        <v>38184</v>
      </c>
      <c r="B702" t="s">
        <v>13</v>
      </c>
      <c r="C702">
        <v>79</v>
      </c>
      <c r="D702" t="s">
        <v>16</v>
      </c>
      <c r="E702" t="s">
        <v>15</v>
      </c>
      <c r="F702" t="s">
        <v>16</v>
      </c>
      <c r="G702" t="s">
        <v>17</v>
      </c>
      <c r="H702" t="s">
        <v>23</v>
      </c>
      <c r="I702">
        <v>99.47</v>
      </c>
      <c r="J702">
        <v>28.4</v>
      </c>
      <c r="K702" t="s">
        <v>25</v>
      </c>
      <c r="L702" t="s">
        <v>15</v>
      </c>
    </row>
    <row r="703" spans="1:12" x14ac:dyDescent="0.3">
      <c r="A703">
        <v>13997</v>
      </c>
      <c r="B703" t="s">
        <v>12</v>
      </c>
      <c r="C703">
        <v>38</v>
      </c>
      <c r="D703" t="s">
        <v>15</v>
      </c>
      <c r="E703" t="s">
        <v>15</v>
      </c>
      <c r="F703" t="s">
        <v>16</v>
      </c>
      <c r="G703" t="s">
        <v>17</v>
      </c>
      <c r="H703" t="s">
        <v>22</v>
      </c>
      <c r="I703">
        <v>88.97</v>
      </c>
      <c r="J703">
        <v>30.2</v>
      </c>
      <c r="K703" t="s">
        <v>25</v>
      </c>
      <c r="L703" t="s">
        <v>15</v>
      </c>
    </row>
    <row r="704" spans="1:12" x14ac:dyDescent="0.3">
      <c r="A704">
        <v>41673</v>
      </c>
      <c r="B704" t="s">
        <v>13</v>
      </c>
      <c r="C704">
        <v>45</v>
      </c>
      <c r="D704" t="s">
        <v>15</v>
      </c>
      <c r="E704" t="s">
        <v>15</v>
      </c>
      <c r="F704" t="s">
        <v>16</v>
      </c>
      <c r="G704" t="s">
        <v>17</v>
      </c>
      <c r="H704" t="s">
        <v>23</v>
      </c>
      <c r="I704">
        <v>80.930000000000007</v>
      </c>
      <c r="J704">
        <v>23.1</v>
      </c>
      <c r="K704" t="s">
        <v>25</v>
      </c>
      <c r="L704" t="s">
        <v>15</v>
      </c>
    </row>
    <row r="705" spans="1:12" x14ac:dyDescent="0.3">
      <c r="A705">
        <v>27796</v>
      </c>
      <c r="B705" t="s">
        <v>13</v>
      </c>
      <c r="C705">
        <v>66</v>
      </c>
      <c r="D705" t="s">
        <v>15</v>
      </c>
      <c r="E705" t="s">
        <v>15</v>
      </c>
      <c r="F705" t="s">
        <v>16</v>
      </c>
      <c r="G705" t="s">
        <v>17</v>
      </c>
      <c r="H705" t="s">
        <v>22</v>
      </c>
      <c r="I705">
        <v>102.07</v>
      </c>
      <c r="J705">
        <v>16.7</v>
      </c>
      <c r="K705" t="s">
        <v>26</v>
      </c>
      <c r="L705" t="s">
        <v>15</v>
      </c>
    </row>
    <row r="706" spans="1:12" x14ac:dyDescent="0.3">
      <c r="A706">
        <v>18390</v>
      </c>
      <c r="B706" t="s">
        <v>13</v>
      </c>
      <c r="C706">
        <v>19</v>
      </c>
      <c r="D706" t="s">
        <v>15</v>
      </c>
      <c r="E706" t="s">
        <v>15</v>
      </c>
      <c r="F706" t="s">
        <v>15</v>
      </c>
      <c r="G706" t="s">
        <v>17</v>
      </c>
      <c r="H706" t="s">
        <v>23</v>
      </c>
      <c r="I706">
        <v>91.69</v>
      </c>
      <c r="J706">
        <v>39.5</v>
      </c>
      <c r="K706" t="s">
        <v>27</v>
      </c>
      <c r="L706" t="s">
        <v>15</v>
      </c>
    </row>
    <row r="707" spans="1:12" x14ac:dyDescent="0.3">
      <c r="A707">
        <v>63409</v>
      </c>
      <c r="B707" t="s">
        <v>13</v>
      </c>
      <c r="C707">
        <v>49</v>
      </c>
      <c r="D707" t="s">
        <v>15</v>
      </c>
      <c r="E707" t="s">
        <v>15</v>
      </c>
      <c r="F707" t="s">
        <v>16</v>
      </c>
      <c r="G707" t="s">
        <v>17</v>
      </c>
      <c r="H707" t="s">
        <v>22</v>
      </c>
      <c r="I707">
        <v>63.71</v>
      </c>
      <c r="J707">
        <v>33.799999999999997</v>
      </c>
      <c r="K707" t="s">
        <v>26</v>
      </c>
      <c r="L707" t="s">
        <v>15</v>
      </c>
    </row>
    <row r="708" spans="1:12" x14ac:dyDescent="0.3">
      <c r="A708">
        <v>9752</v>
      </c>
      <c r="B708" t="s">
        <v>13</v>
      </c>
      <c r="C708">
        <v>66</v>
      </c>
      <c r="D708" t="s">
        <v>15</v>
      </c>
      <c r="E708" t="s">
        <v>15</v>
      </c>
      <c r="F708" t="s">
        <v>16</v>
      </c>
      <c r="G708" t="s">
        <v>19</v>
      </c>
      <c r="H708" t="s">
        <v>23</v>
      </c>
      <c r="I708">
        <v>200.49</v>
      </c>
      <c r="J708">
        <v>34.6</v>
      </c>
      <c r="K708" t="s">
        <v>26</v>
      </c>
      <c r="L708" t="s">
        <v>15</v>
      </c>
    </row>
    <row r="709" spans="1:12" x14ac:dyDescent="0.3">
      <c r="A709">
        <v>72882</v>
      </c>
      <c r="B709" t="s">
        <v>12</v>
      </c>
      <c r="C709">
        <v>47</v>
      </c>
      <c r="D709" t="s">
        <v>15</v>
      </c>
      <c r="E709" t="s">
        <v>15</v>
      </c>
      <c r="F709" t="s">
        <v>16</v>
      </c>
      <c r="G709" t="s">
        <v>17</v>
      </c>
      <c r="H709" t="s">
        <v>23</v>
      </c>
      <c r="I709">
        <v>75.3</v>
      </c>
      <c r="J709">
        <v>25</v>
      </c>
      <c r="K709" t="s">
        <v>24</v>
      </c>
      <c r="L709" t="s">
        <v>15</v>
      </c>
    </row>
    <row r="710" spans="1:12" x14ac:dyDescent="0.3">
      <c r="A710">
        <v>49744</v>
      </c>
      <c r="B710" t="s">
        <v>13</v>
      </c>
      <c r="C710">
        <v>59</v>
      </c>
      <c r="D710" t="s">
        <v>15</v>
      </c>
      <c r="E710" t="s">
        <v>15</v>
      </c>
      <c r="F710" t="s">
        <v>16</v>
      </c>
      <c r="G710" t="s">
        <v>17</v>
      </c>
      <c r="H710" t="s">
        <v>22</v>
      </c>
      <c r="I710">
        <v>240.71</v>
      </c>
      <c r="J710">
        <v>43.9</v>
      </c>
      <c r="K710" t="s">
        <v>24</v>
      </c>
      <c r="L710" t="s">
        <v>15</v>
      </c>
    </row>
    <row r="711" spans="1:12" x14ac:dyDescent="0.3">
      <c r="A711">
        <v>49086</v>
      </c>
      <c r="B711" t="s">
        <v>13</v>
      </c>
      <c r="C711">
        <v>23</v>
      </c>
      <c r="D711" t="s">
        <v>15</v>
      </c>
      <c r="E711" t="s">
        <v>15</v>
      </c>
      <c r="F711" t="s">
        <v>15</v>
      </c>
      <c r="G711" t="s">
        <v>17</v>
      </c>
      <c r="H711" t="s">
        <v>22</v>
      </c>
      <c r="I711">
        <v>60.5</v>
      </c>
      <c r="J711">
        <v>27.1</v>
      </c>
      <c r="K711" t="s">
        <v>24</v>
      </c>
      <c r="L711" t="s">
        <v>15</v>
      </c>
    </row>
    <row r="712" spans="1:12" x14ac:dyDescent="0.3">
      <c r="A712">
        <v>40866</v>
      </c>
      <c r="B712" t="s">
        <v>13</v>
      </c>
      <c r="C712">
        <v>79</v>
      </c>
      <c r="D712" t="s">
        <v>15</v>
      </c>
      <c r="E712" t="s">
        <v>15</v>
      </c>
      <c r="F712" t="s">
        <v>16</v>
      </c>
      <c r="G712" t="s">
        <v>18</v>
      </c>
      <c r="H712" t="s">
        <v>23</v>
      </c>
      <c r="I712">
        <v>131.85</v>
      </c>
      <c r="J712">
        <v>25.9</v>
      </c>
      <c r="K712" t="s">
        <v>27</v>
      </c>
      <c r="L712" t="s">
        <v>15</v>
      </c>
    </row>
    <row r="713" spans="1:12" x14ac:dyDescent="0.3">
      <c r="A713">
        <v>47523</v>
      </c>
      <c r="B713" t="s">
        <v>13</v>
      </c>
      <c r="C713">
        <v>37</v>
      </c>
      <c r="D713" t="s">
        <v>15</v>
      </c>
      <c r="E713" t="s">
        <v>15</v>
      </c>
      <c r="F713" t="s">
        <v>15</v>
      </c>
      <c r="G713" t="s">
        <v>18</v>
      </c>
      <c r="H713" t="s">
        <v>23</v>
      </c>
      <c r="I713">
        <v>134.38999999999999</v>
      </c>
      <c r="J713">
        <v>22.7</v>
      </c>
      <c r="K713" t="s">
        <v>24</v>
      </c>
      <c r="L713" t="s">
        <v>15</v>
      </c>
    </row>
    <row r="714" spans="1:12" x14ac:dyDescent="0.3">
      <c r="A714">
        <v>63561</v>
      </c>
      <c r="B714" t="s">
        <v>12</v>
      </c>
      <c r="C714">
        <v>78</v>
      </c>
      <c r="D714" t="s">
        <v>15</v>
      </c>
      <c r="E714" t="s">
        <v>15</v>
      </c>
      <c r="F714" t="s">
        <v>16</v>
      </c>
      <c r="G714" t="s">
        <v>17</v>
      </c>
      <c r="H714" t="s">
        <v>22</v>
      </c>
      <c r="I714">
        <v>56.18</v>
      </c>
      <c r="J714">
        <v>27.1</v>
      </c>
      <c r="K714" t="s">
        <v>25</v>
      </c>
      <c r="L714" t="s">
        <v>15</v>
      </c>
    </row>
    <row r="715" spans="1:12" x14ac:dyDescent="0.3">
      <c r="A715">
        <v>51422</v>
      </c>
      <c r="B715" t="s">
        <v>13</v>
      </c>
      <c r="C715">
        <v>70</v>
      </c>
      <c r="D715" t="s">
        <v>16</v>
      </c>
      <c r="E715" t="s">
        <v>15</v>
      </c>
      <c r="F715" t="s">
        <v>16</v>
      </c>
      <c r="G715" t="s">
        <v>17</v>
      </c>
      <c r="H715" t="s">
        <v>23</v>
      </c>
      <c r="I715">
        <v>113.64</v>
      </c>
      <c r="J715">
        <v>25.6</v>
      </c>
      <c r="K715" t="s">
        <v>24</v>
      </c>
      <c r="L715" t="s">
        <v>15</v>
      </c>
    </row>
    <row r="716" spans="1:12" x14ac:dyDescent="0.3">
      <c r="A716">
        <v>56870</v>
      </c>
      <c r="B716" t="s">
        <v>13</v>
      </c>
      <c r="C716">
        <v>34</v>
      </c>
      <c r="D716" t="s">
        <v>15</v>
      </c>
      <c r="E716" t="s">
        <v>15</v>
      </c>
      <c r="F716" t="s">
        <v>15</v>
      </c>
      <c r="G716" t="s">
        <v>17</v>
      </c>
      <c r="H716" t="s">
        <v>23</v>
      </c>
      <c r="I716">
        <v>156.57</v>
      </c>
      <c r="J716">
        <v>28.4</v>
      </c>
      <c r="K716" t="s">
        <v>27</v>
      </c>
      <c r="L716" t="s">
        <v>15</v>
      </c>
    </row>
    <row r="717" spans="1:12" x14ac:dyDescent="0.3">
      <c r="A717">
        <v>3590</v>
      </c>
      <c r="B717" t="s">
        <v>13</v>
      </c>
      <c r="C717">
        <v>28</v>
      </c>
      <c r="D717" t="s">
        <v>16</v>
      </c>
      <c r="E717" t="s">
        <v>15</v>
      </c>
      <c r="F717" t="s">
        <v>15</v>
      </c>
      <c r="G717" t="s">
        <v>17</v>
      </c>
      <c r="H717" t="s">
        <v>23</v>
      </c>
      <c r="I717">
        <v>80.400000000000006</v>
      </c>
      <c r="J717">
        <v>57.5</v>
      </c>
      <c r="K717" t="s">
        <v>25</v>
      </c>
      <c r="L717" t="s">
        <v>15</v>
      </c>
    </row>
    <row r="718" spans="1:12" x14ac:dyDescent="0.3">
      <c r="A718">
        <v>60665</v>
      </c>
      <c r="B718" t="s">
        <v>12</v>
      </c>
      <c r="C718">
        <v>29</v>
      </c>
      <c r="D718" t="s">
        <v>15</v>
      </c>
      <c r="E718" t="s">
        <v>15</v>
      </c>
      <c r="F718" t="s">
        <v>15</v>
      </c>
      <c r="G718" t="s">
        <v>17</v>
      </c>
      <c r="H718" t="s">
        <v>22</v>
      </c>
      <c r="I718">
        <v>59.26</v>
      </c>
      <c r="J718">
        <v>35.799999999999997</v>
      </c>
      <c r="K718" t="s">
        <v>26</v>
      </c>
      <c r="L718" t="s">
        <v>15</v>
      </c>
    </row>
    <row r="719" spans="1:12" x14ac:dyDescent="0.3">
      <c r="A719">
        <v>40791</v>
      </c>
      <c r="B719" t="s">
        <v>13</v>
      </c>
      <c r="C719">
        <v>13</v>
      </c>
      <c r="D719" t="s">
        <v>15</v>
      </c>
      <c r="E719" t="s">
        <v>15</v>
      </c>
      <c r="F719" t="s">
        <v>15</v>
      </c>
      <c r="G719" t="s">
        <v>20</v>
      </c>
      <c r="H719" t="s">
        <v>23</v>
      </c>
      <c r="I719">
        <v>63.26</v>
      </c>
      <c r="J719">
        <v>19.5</v>
      </c>
      <c r="K719" t="s">
        <v>27</v>
      </c>
      <c r="L719" t="s">
        <v>15</v>
      </c>
    </row>
    <row r="720" spans="1:12" x14ac:dyDescent="0.3">
      <c r="A720">
        <v>54304</v>
      </c>
      <c r="B720" t="s">
        <v>13</v>
      </c>
      <c r="C720">
        <v>22</v>
      </c>
      <c r="D720" t="s">
        <v>15</v>
      </c>
      <c r="E720" t="s">
        <v>15</v>
      </c>
      <c r="F720" t="s">
        <v>16</v>
      </c>
      <c r="G720" t="s">
        <v>17</v>
      </c>
      <c r="H720" t="s">
        <v>22</v>
      </c>
      <c r="I720">
        <v>86.24</v>
      </c>
      <c r="J720">
        <v>31.2</v>
      </c>
      <c r="K720" t="s">
        <v>25</v>
      </c>
      <c r="L720" t="s">
        <v>15</v>
      </c>
    </row>
    <row r="721" spans="1:12" x14ac:dyDescent="0.3">
      <c r="A721">
        <v>22485</v>
      </c>
      <c r="B721" t="s">
        <v>12</v>
      </c>
      <c r="C721">
        <v>56</v>
      </c>
      <c r="D721" t="s">
        <v>15</v>
      </c>
      <c r="E721" t="s">
        <v>15</v>
      </c>
      <c r="F721" t="s">
        <v>16</v>
      </c>
      <c r="G721" t="s">
        <v>17</v>
      </c>
      <c r="H721" t="s">
        <v>22</v>
      </c>
      <c r="I721">
        <v>197.1</v>
      </c>
      <c r="J721">
        <v>43.6</v>
      </c>
      <c r="K721" t="s">
        <v>24</v>
      </c>
      <c r="L721" t="s">
        <v>15</v>
      </c>
    </row>
    <row r="722" spans="1:12" x14ac:dyDescent="0.3">
      <c r="A722">
        <v>18430</v>
      </c>
      <c r="B722" t="s">
        <v>13</v>
      </c>
      <c r="C722">
        <v>81</v>
      </c>
      <c r="D722" t="s">
        <v>15</v>
      </c>
      <c r="E722" t="s">
        <v>15</v>
      </c>
      <c r="F722" t="s">
        <v>16</v>
      </c>
      <c r="G722" t="s">
        <v>18</v>
      </c>
      <c r="H722" t="s">
        <v>22</v>
      </c>
      <c r="I722">
        <v>90.9</v>
      </c>
      <c r="J722">
        <v>31.2</v>
      </c>
      <c r="K722" t="s">
        <v>24</v>
      </c>
      <c r="L722" t="s">
        <v>15</v>
      </c>
    </row>
    <row r="723" spans="1:12" x14ac:dyDescent="0.3">
      <c r="A723">
        <v>19234</v>
      </c>
      <c r="B723" t="s">
        <v>13</v>
      </c>
      <c r="C723">
        <v>28</v>
      </c>
      <c r="D723" t="s">
        <v>15</v>
      </c>
      <c r="E723" t="s">
        <v>15</v>
      </c>
      <c r="F723" t="s">
        <v>15</v>
      </c>
      <c r="G723" t="s">
        <v>17</v>
      </c>
      <c r="H723" t="s">
        <v>23</v>
      </c>
      <c r="I723">
        <v>84.59</v>
      </c>
      <c r="J723">
        <v>23.5</v>
      </c>
      <c r="K723" t="s">
        <v>27</v>
      </c>
      <c r="L723" t="s">
        <v>15</v>
      </c>
    </row>
    <row r="724" spans="1:12" x14ac:dyDescent="0.3">
      <c r="A724">
        <v>52454</v>
      </c>
      <c r="B724" t="s">
        <v>12</v>
      </c>
      <c r="C724">
        <v>9</v>
      </c>
      <c r="D724" t="s">
        <v>15</v>
      </c>
      <c r="E724" t="s">
        <v>15</v>
      </c>
      <c r="F724" t="s">
        <v>15</v>
      </c>
      <c r="G724" t="s">
        <v>20</v>
      </c>
      <c r="H724" t="s">
        <v>23</v>
      </c>
      <c r="I724">
        <v>121.8</v>
      </c>
      <c r="J724">
        <v>18.7</v>
      </c>
      <c r="K724" t="s">
        <v>27</v>
      </c>
      <c r="L724" t="s">
        <v>15</v>
      </c>
    </row>
    <row r="725" spans="1:12" x14ac:dyDescent="0.3">
      <c r="A725">
        <v>13365</v>
      </c>
      <c r="B725" t="s">
        <v>12</v>
      </c>
      <c r="C725">
        <v>50</v>
      </c>
      <c r="D725" t="s">
        <v>15</v>
      </c>
      <c r="E725" t="s">
        <v>15</v>
      </c>
      <c r="F725" t="s">
        <v>16</v>
      </c>
      <c r="G725" t="s">
        <v>17</v>
      </c>
      <c r="H725" t="s">
        <v>23</v>
      </c>
      <c r="I725">
        <v>77.650000000000006</v>
      </c>
      <c r="J725">
        <v>24.4</v>
      </c>
      <c r="K725" t="s">
        <v>26</v>
      </c>
      <c r="L725" t="s">
        <v>15</v>
      </c>
    </row>
    <row r="726" spans="1:12" x14ac:dyDescent="0.3">
      <c r="A726">
        <v>60983</v>
      </c>
      <c r="B726" t="s">
        <v>12</v>
      </c>
      <c r="C726">
        <v>70</v>
      </c>
      <c r="D726" t="s">
        <v>15</v>
      </c>
      <c r="E726" t="s">
        <v>15</v>
      </c>
      <c r="F726" t="s">
        <v>16</v>
      </c>
      <c r="G726" t="s">
        <v>17</v>
      </c>
      <c r="H726" t="s">
        <v>22</v>
      </c>
      <c r="I726">
        <v>64.41</v>
      </c>
      <c r="J726">
        <v>29.4</v>
      </c>
      <c r="K726" t="s">
        <v>26</v>
      </c>
      <c r="L726" t="s">
        <v>15</v>
      </c>
    </row>
    <row r="727" spans="1:12" x14ac:dyDescent="0.3">
      <c r="A727">
        <v>14615</v>
      </c>
      <c r="B727" t="s">
        <v>13</v>
      </c>
      <c r="C727">
        <v>30</v>
      </c>
      <c r="D727" t="s">
        <v>15</v>
      </c>
      <c r="E727" t="s">
        <v>15</v>
      </c>
      <c r="F727" t="s">
        <v>15</v>
      </c>
      <c r="G727" t="s">
        <v>17</v>
      </c>
      <c r="H727" t="s">
        <v>22</v>
      </c>
      <c r="I727">
        <v>75.19</v>
      </c>
      <c r="J727">
        <v>37</v>
      </c>
      <c r="K727" t="s">
        <v>26</v>
      </c>
      <c r="L727" t="s">
        <v>15</v>
      </c>
    </row>
    <row r="728" spans="1:12" x14ac:dyDescent="0.3">
      <c r="A728">
        <v>50277</v>
      </c>
      <c r="B728" t="s">
        <v>13</v>
      </c>
      <c r="C728">
        <v>51</v>
      </c>
      <c r="D728" t="s">
        <v>15</v>
      </c>
      <c r="E728" t="s">
        <v>15</v>
      </c>
      <c r="F728" t="s">
        <v>16</v>
      </c>
      <c r="G728" t="s">
        <v>18</v>
      </c>
      <c r="H728" t="s">
        <v>23</v>
      </c>
      <c r="I728">
        <v>67.97</v>
      </c>
      <c r="J728">
        <v>29.4</v>
      </c>
      <c r="K728" t="s">
        <v>26</v>
      </c>
      <c r="L728" t="s">
        <v>15</v>
      </c>
    </row>
    <row r="729" spans="1:12" x14ac:dyDescent="0.3">
      <c r="A729">
        <v>50811</v>
      </c>
      <c r="B729" t="s">
        <v>12</v>
      </c>
      <c r="C729">
        <v>24</v>
      </c>
      <c r="D729" t="s">
        <v>15</v>
      </c>
      <c r="E729" t="s">
        <v>15</v>
      </c>
      <c r="F729" t="s">
        <v>15</v>
      </c>
      <c r="G729" t="s">
        <v>17</v>
      </c>
      <c r="H729" t="s">
        <v>22</v>
      </c>
      <c r="I729">
        <v>119.34</v>
      </c>
      <c r="J729">
        <v>38.5</v>
      </c>
      <c r="K729" t="s">
        <v>25</v>
      </c>
      <c r="L729" t="s">
        <v>15</v>
      </c>
    </row>
    <row r="730" spans="1:12" x14ac:dyDescent="0.3">
      <c r="A730">
        <v>16575</v>
      </c>
      <c r="B730" t="s">
        <v>12</v>
      </c>
      <c r="C730">
        <v>17</v>
      </c>
      <c r="D730" t="s">
        <v>15</v>
      </c>
      <c r="E730" t="s">
        <v>15</v>
      </c>
      <c r="F730" t="s">
        <v>15</v>
      </c>
      <c r="G730" t="s">
        <v>17</v>
      </c>
      <c r="H730" t="s">
        <v>23</v>
      </c>
      <c r="I730">
        <v>94.92</v>
      </c>
      <c r="J730">
        <v>23.5</v>
      </c>
      <c r="K730" t="s">
        <v>25</v>
      </c>
      <c r="L730" t="s">
        <v>15</v>
      </c>
    </row>
    <row r="731" spans="1:12" x14ac:dyDescent="0.3">
      <c r="A731">
        <v>1246</v>
      </c>
      <c r="B731" t="s">
        <v>13</v>
      </c>
      <c r="C731">
        <v>43</v>
      </c>
      <c r="D731" t="s">
        <v>15</v>
      </c>
      <c r="E731" t="s">
        <v>15</v>
      </c>
      <c r="F731" t="s">
        <v>16</v>
      </c>
      <c r="G731" t="s">
        <v>19</v>
      </c>
      <c r="H731" t="s">
        <v>23</v>
      </c>
      <c r="I731">
        <v>107.42</v>
      </c>
      <c r="K731" t="s">
        <v>25</v>
      </c>
      <c r="L731" t="s">
        <v>15</v>
      </c>
    </row>
    <row r="732" spans="1:12" x14ac:dyDescent="0.3">
      <c r="A732">
        <v>11176</v>
      </c>
      <c r="B732" t="s">
        <v>12</v>
      </c>
      <c r="C732">
        <v>9</v>
      </c>
      <c r="D732" t="s">
        <v>15</v>
      </c>
      <c r="E732" t="s">
        <v>15</v>
      </c>
      <c r="F732" t="s">
        <v>15</v>
      </c>
      <c r="G732" t="s">
        <v>20</v>
      </c>
      <c r="H732" t="s">
        <v>23</v>
      </c>
      <c r="I732">
        <v>85.02</v>
      </c>
      <c r="J732">
        <v>16.3</v>
      </c>
      <c r="K732" t="s">
        <v>27</v>
      </c>
      <c r="L732" t="s">
        <v>15</v>
      </c>
    </row>
    <row r="733" spans="1:12" x14ac:dyDescent="0.3">
      <c r="A733">
        <v>30712</v>
      </c>
      <c r="B733" t="s">
        <v>12</v>
      </c>
      <c r="C733">
        <v>50</v>
      </c>
      <c r="D733" t="s">
        <v>15</v>
      </c>
      <c r="E733" t="s">
        <v>15</v>
      </c>
      <c r="F733" t="s">
        <v>16</v>
      </c>
      <c r="G733" t="s">
        <v>17</v>
      </c>
      <c r="H733" t="s">
        <v>22</v>
      </c>
      <c r="I733">
        <v>103.51</v>
      </c>
      <c r="J733">
        <v>35.9</v>
      </c>
      <c r="K733" t="s">
        <v>25</v>
      </c>
      <c r="L733" t="s">
        <v>15</v>
      </c>
    </row>
    <row r="734" spans="1:12" x14ac:dyDescent="0.3">
      <c r="A734">
        <v>31308</v>
      </c>
      <c r="B734" t="s">
        <v>13</v>
      </c>
      <c r="C734">
        <v>49</v>
      </c>
      <c r="D734" t="s">
        <v>15</v>
      </c>
      <c r="E734" t="s">
        <v>15</v>
      </c>
      <c r="F734" t="s">
        <v>16</v>
      </c>
      <c r="G734" t="s">
        <v>17</v>
      </c>
      <c r="H734" t="s">
        <v>22</v>
      </c>
      <c r="I734">
        <v>114.5</v>
      </c>
      <c r="J734">
        <v>35.9</v>
      </c>
      <c r="K734" t="s">
        <v>24</v>
      </c>
      <c r="L734" t="s">
        <v>15</v>
      </c>
    </row>
    <row r="735" spans="1:12" x14ac:dyDescent="0.3">
      <c r="A735">
        <v>9612</v>
      </c>
      <c r="B735" t="s">
        <v>12</v>
      </c>
      <c r="C735">
        <v>6</v>
      </c>
      <c r="D735" t="s">
        <v>15</v>
      </c>
      <c r="E735" t="s">
        <v>15</v>
      </c>
      <c r="F735" t="s">
        <v>15</v>
      </c>
      <c r="G735" t="s">
        <v>20</v>
      </c>
      <c r="H735" t="s">
        <v>22</v>
      </c>
      <c r="I735">
        <v>70.78</v>
      </c>
      <c r="J735">
        <v>20.3</v>
      </c>
      <c r="K735" t="s">
        <v>27</v>
      </c>
      <c r="L735" t="s">
        <v>15</v>
      </c>
    </row>
    <row r="736" spans="1:12" x14ac:dyDescent="0.3">
      <c r="A736">
        <v>3325</v>
      </c>
      <c r="B736" t="s">
        <v>12</v>
      </c>
      <c r="C736">
        <v>30</v>
      </c>
      <c r="D736" t="s">
        <v>15</v>
      </c>
      <c r="E736" t="s">
        <v>15</v>
      </c>
      <c r="F736" t="s">
        <v>16</v>
      </c>
      <c r="G736" t="s">
        <v>18</v>
      </c>
      <c r="H736" t="s">
        <v>23</v>
      </c>
      <c r="I736">
        <v>95.01</v>
      </c>
      <c r="J736">
        <v>32.299999999999997</v>
      </c>
      <c r="K736" t="s">
        <v>26</v>
      </c>
      <c r="L736" t="s">
        <v>15</v>
      </c>
    </row>
    <row r="737" spans="1:12" x14ac:dyDescent="0.3">
      <c r="A737">
        <v>52808</v>
      </c>
      <c r="B737" t="s">
        <v>12</v>
      </c>
      <c r="C737">
        <v>73</v>
      </c>
      <c r="D737" t="s">
        <v>15</v>
      </c>
      <c r="E737" t="s">
        <v>15</v>
      </c>
      <c r="F737" t="s">
        <v>16</v>
      </c>
      <c r="G737" t="s">
        <v>17</v>
      </c>
      <c r="H737" t="s">
        <v>22</v>
      </c>
      <c r="I737">
        <v>84.11</v>
      </c>
      <c r="J737">
        <v>27.9</v>
      </c>
      <c r="K737" t="s">
        <v>25</v>
      </c>
      <c r="L737" t="s">
        <v>15</v>
      </c>
    </row>
    <row r="738" spans="1:12" x14ac:dyDescent="0.3">
      <c r="A738">
        <v>41513</v>
      </c>
      <c r="B738" t="s">
        <v>13</v>
      </c>
      <c r="C738">
        <v>20</v>
      </c>
      <c r="D738" t="s">
        <v>15</v>
      </c>
      <c r="E738" t="s">
        <v>15</v>
      </c>
      <c r="F738" t="s">
        <v>16</v>
      </c>
      <c r="G738" t="s">
        <v>17</v>
      </c>
      <c r="H738" t="s">
        <v>22</v>
      </c>
      <c r="I738">
        <v>74.02</v>
      </c>
      <c r="J738">
        <v>22.3</v>
      </c>
      <c r="K738" t="s">
        <v>25</v>
      </c>
      <c r="L738" t="s">
        <v>15</v>
      </c>
    </row>
    <row r="739" spans="1:12" x14ac:dyDescent="0.3">
      <c r="A739">
        <v>36109</v>
      </c>
      <c r="B739" t="s">
        <v>12</v>
      </c>
      <c r="C739">
        <v>42</v>
      </c>
      <c r="D739" t="s">
        <v>15</v>
      </c>
      <c r="E739" t="s">
        <v>15</v>
      </c>
      <c r="F739" t="s">
        <v>16</v>
      </c>
      <c r="G739" t="s">
        <v>17</v>
      </c>
      <c r="H739" t="s">
        <v>22</v>
      </c>
      <c r="I739">
        <v>78.489999999999995</v>
      </c>
      <c r="J739">
        <v>31.8</v>
      </c>
      <c r="K739" t="s">
        <v>26</v>
      </c>
      <c r="L739" t="s">
        <v>15</v>
      </c>
    </row>
    <row r="740" spans="1:12" x14ac:dyDescent="0.3">
      <c r="A740">
        <v>53336</v>
      </c>
      <c r="B740" t="s">
        <v>13</v>
      </c>
      <c r="C740">
        <v>79</v>
      </c>
      <c r="D740" t="s">
        <v>15</v>
      </c>
      <c r="E740" t="s">
        <v>15</v>
      </c>
      <c r="F740" t="s">
        <v>16</v>
      </c>
      <c r="G740" t="s">
        <v>19</v>
      </c>
      <c r="H740" t="s">
        <v>22</v>
      </c>
      <c r="I740">
        <v>74.22</v>
      </c>
      <c r="J740">
        <v>29.7</v>
      </c>
      <c r="K740" t="s">
        <v>27</v>
      </c>
      <c r="L740" t="s">
        <v>15</v>
      </c>
    </row>
    <row r="741" spans="1:12" x14ac:dyDescent="0.3">
      <c r="A741">
        <v>56831</v>
      </c>
      <c r="B741" t="s">
        <v>13</v>
      </c>
      <c r="C741">
        <v>55</v>
      </c>
      <c r="D741" t="s">
        <v>15</v>
      </c>
      <c r="E741" t="s">
        <v>15</v>
      </c>
      <c r="F741" t="s">
        <v>16</v>
      </c>
      <c r="G741" t="s">
        <v>17</v>
      </c>
      <c r="H741" t="s">
        <v>22</v>
      </c>
      <c r="I741">
        <v>55.34</v>
      </c>
      <c r="J741">
        <v>27.1</v>
      </c>
      <c r="K741" t="s">
        <v>26</v>
      </c>
      <c r="L741" t="s">
        <v>15</v>
      </c>
    </row>
    <row r="742" spans="1:12" x14ac:dyDescent="0.3">
      <c r="A742">
        <v>52580</v>
      </c>
      <c r="B742" t="s">
        <v>13</v>
      </c>
      <c r="C742">
        <v>27</v>
      </c>
      <c r="D742" t="s">
        <v>15</v>
      </c>
      <c r="E742" t="s">
        <v>15</v>
      </c>
      <c r="F742" t="s">
        <v>15</v>
      </c>
      <c r="G742" t="s">
        <v>17</v>
      </c>
      <c r="H742" t="s">
        <v>23</v>
      </c>
      <c r="I742">
        <v>75.040000000000006</v>
      </c>
      <c r="J742">
        <v>24.5</v>
      </c>
      <c r="K742" t="s">
        <v>25</v>
      </c>
      <c r="L742" t="s">
        <v>15</v>
      </c>
    </row>
    <row r="743" spans="1:12" x14ac:dyDescent="0.3">
      <c r="A743">
        <v>55592</v>
      </c>
      <c r="B743" t="s">
        <v>12</v>
      </c>
      <c r="C743">
        <v>71</v>
      </c>
      <c r="D743" t="s">
        <v>15</v>
      </c>
      <c r="E743" t="s">
        <v>15</v>
      </c>
      <c r="F743" t="s">
        <v>16</v>
      </c>
      <c r="G743" t="s">
        <v>17</v>
      </c>
      <c r="H743" t="s">
        <v>23</v>
      </c>
      <c r="I743">
        <v>109.73</v>
      </c>
      <c r="J743">
        <v>28.9</v>
      </c>
      <c r="K743" t="s">
        <v>25</v>
      </c>
      <c r="L743" t="s">
        <v>15</v>
      </c>
    </row>
    <row r="744" spans="1:12" x14ac:dyDescent="0.3">
      <c r="A744">
        <v>33723</v>
      </c>
      <c r="B744" t="s">
        <v>13</v>
      </c>
      <c r="C744">
        <v>9</v>
      </c>
      <c r="D744" t="s">
        <v>15</v>
      </c>
      <c r="E744" t="s">
        <v>15</v>
      </c>
      <c r="F744" t="s">
        <v>15</v>
      </c>
      <c r="G744" t="s">
        <v>20</v>
      </c>
      <c r="H744" t="s">
        <v>22</v>
      </c>
      <c r="I744">
        <v>95.81</v>
      </c>
      <c r="K744" t="s">
        <v>27</v>
      </c>
      <c r="L744" t="s">
        <v>15</v>
      </c>
    </row>
    <row r="745" spans="1:12" x14ac:dyDescent="0.3">
      <c r="A745">
        <v>26235</v>
      </c>
      <c r="B745" t="s">
        <v>12</v>
      </c>
      <c r="C745">
        <v>23</v>
      </c>
      <c r="D745" t="s">
        <v>15</v>
      </c>
      <c r="E745" t="s">
        <v>15</v>
      </c>
      <c r="F745" t="s">
        <v>15</v>
      </c>
      <c r="G745" t="s">
        <v>17</v>
      </c>
      <c r="H745" t="s">
        <v>23</v>
      </c>
      <c r="I745">
        <v>96.78</v>
      </c>
      <c r="J745">
        <v>24.6</v>
      </c>
      <c r="K745" t="s">
        <v>26</v>
      </c>
      <c r="L745" t="s">
        <v>15</v>
      </c>
    </row>
    <row r="746" spans="1:12" x14ac:dyDescent="0.3">
      <c r="A746">
        <v>16685</v>
      </c>
      <c r="B746" t="s">
        <v>13</v>
      </c>
      <c r="C746">
        <v>71</v>
      </c>
      <c r="D746" t="s">
        <v>16</v>
      </c>
      <c r="E746" t="s">
        <v>15</v>
      </c>
      <c r="F746" t="s">
        <v>16</v>
      </c>
      <c r="G746" t="s">
        <v>17</v>
      </c>
      <c r="H746" t="s">
        <v>22</v>
      </c>
      <c r="I746">
        <v>194.62</v>
      </c>
      <c r="J746">
        <v>31.6</v>
      </c>
      <c r="K746" t="s">
        <v>25</v>
      </c>
      <c r="L746" t="s">
        <v>15</v>
      </c>
    </row>
    <row r="747" spans="1:12" x14ac:dyDescent="0.3">
      <c r="A747">
        <v>44583</v>
      </c>
      <c r="B747" t="s">
        <v>13</v>
      </c>
      <c r="C747">
        <v>56</v>
      </c>
      <c r="D747" t="s">
        <v>15</v>
      </c>
      <c r="E747" t="s">
        <v>16</v>
      </c>
      <c r="F747" t="s">
        <v>16</v>
      </c>
      <c r="G747" t="s">
        <v>17</v>
      </c>
      <c r="H747" t="s">
        <v>23</v>
      </c>
      <c r="I747">
        <v>70.02</v>
      </c>
      <c r="J747">
        <v>32.299999999999997</v>
      </c>
      <c r="K747" t="s">
        <v>25</v>
      </c>
      <c r="L747" t="s">
        <v>15</v>
      </c>
    </row>
    <row r="748" spans="1:12" x14ac:dyDescent="0.3">
      <c r="A748">
        <v>25315</v>
      </c>
      <c r="B748" t="s">
        <v>12</v>
      </c>
      <c r="C748">
        <v>31</v>
      </c>
      <c r="D748" t="s">
        <v>15</v>
      </c>
      <c r="E748" t="s">
        <v>15</v>
      </c>
      <c r="F748" t="s">
        <v>16</v>
      </c>
      <c r="G748" t="s">
        <v>17</v>
      </c>
      <c r="H748" t="s">
        <v>22</v>
      </c>
      <c r="I748">
        <v>222.21</v>
      </c>
      <c r="J748">
        <v>41.1</v>
      </c>
      <c r="K748" t="s">
        <v>26</v>
      </c>
      <c r="L748" t="s">
        <v>15</v>
      </c>
    </row>
    <row r="749" spans="1:12" x14ac:dyDescent="0.3">
      <c r="A749">
        <v>58227</v>
      </c>
      <c r="B749" t="s">
        <v>13</v>
      </c>
      <c r="C749">
        <v>64</v>
      </c>
      <c r="D749" t="s">
        <v>15</v>
      </c>
      <c r="E749" t="s">
        <v>15</v>
      </c>
      <c r="F749" t="s">
        <v>16</v>
      </c>
      <c r="G749" t="s">
        <v>19</v>
      </c>
      <c r="H749" t="s">
        <v>23</v>
      </c>
      <c r="I749">
        <v>62.41</v>
      </c>
      <c r="J749">
        <v>30</v>
      </c>
      <c r="K749" t="s">
        <v>25</v>
      </c>
      <c r="L749" t="s">
        <v>15</v>
      </c>
    </row>
    <row r="750" spans="1:12" x14ac:dyDescent="0.3">
      <c r="A750">
        <v>60810</v>
      </c>
      <c r="B750" t="s">
        <v>12</v>
      </c>
      <c r="C750">
        <v>46</v>
      </c>
      <c r="D750" t="s">
        <v>15</v>
      </c>
      <c r="E750" t="s">
        <v>15</v>
      </c>
      <c r="F750" t="s">
        <v>16</v>
      </c>
      <c r="G750" t="s">
        <v>18</v>
      </c>
      <c r="H750" t="s">
        <v>22</v>
      </c>
      <c r="I750">
        <v>55.83</v>
      </c>
      <c r="J750">
        <v>26.4</v>
      </c>
      <c r="K750" t="s">
        <v>25</v>
      </c>
      <c r="L750" t="s">
        <v>15</v>
      </c>
    </row>
    <row r="751" spans="1:12" x14ac:dyDescent="0.3">
      <c r="A751">
        <v>34612</v>
      </c>
      <c r="B751" t="s">
        <v>12</v>
      </c>
      <c r="C751">
        <v>55</v>
      </c>
      <c r="D751" t="s">
        <v>15</v>
      </c>
      <c r="E751" t="s">
        <v>15</v>
      </c>
      <c r="F751" t="s">
        <v>16</v>
      </c>
      <c r="G751" t="s">
        <v>19</v>
      </c>
      <c r="H751" t="s">
        <v>23</v>
      </c>
      <c r="I751">
        <v>65.12</v>
      </c>
      <c r="J751">
        <v>30</v>
      </c>
      <c r="K751" t="s">
        <v>25</v>
      </c>
      <c r="L751" t="s">
        <v>15</v>
      </c>
    </row>
    <row r="752" spans="1:12" x14ac:dyDescent="0.3">
      <c r="A752">
        <v>8320</v>
      </c>
      <c r="B752" t="s">
        <v>12</v>
      </c>
      <c r="C752">
        <v>2</v>
      </c>
      <c r="D752" t="s">
        <v>15</v>
      </c>
      <c r="E752" t="s">
        <v>15</v>
      </c>
      <c r="F752" t="s">
        <v>15</v>
      </c>
      <c r="G752" t="s">
        <v>20</v>
      </c>
      <c r="H752" t="s">
        <v>23</v>
      </c>
      <c r="I752">
        <v>73.62</v>
      </c>
      <c r="J752">
        <v>20.8</v>
      </c>
      <c r="K752" t="s">
        <v>27</v>
      </c>
      <c r="L752" t="s">
        <v>15</v>
      </c>
    </row>
    <row r="753" spans="1:12" x14ac:dyDescent="0.3">
      <c r="A753">
        <v>25595</v>
      </c>
      <c r="B753" t="s">
        <v>13</v>
      </c>
      <c r="C753">
        <v>58</v>
      </c>
      <c r="D753" t="s">
        <v>16</v>
      </c>
      <c r="E753" t="s">
        <v>15</v>
      </c>
      <c r="F753" t="s">
        <v>16</v>
      </c>
      <c r="G753" t="s">
        <v>17</v>
      </c>
      <c r="H753" t="s">
        <v>22</v>
      </c>
      <c r="I753">
        <v>85.83</v>
      </c>
      <c r="J753">
        <v>44</v>
      </c>
      <c r="K753" t="s">
        <v>24</v>
      </c>
      <c r="L753" t="s">
        <v>15</v>
      </c>
    </row>
    <row r="754" spans="1:12" x14ac:dyDescent="0.3">
      <c r="A754">
        <v>30550</v>
      </c>
      <c r="B754" t="s">
        <v>13</v>
      </c>
      <c r="C754">
        <v>78</v>
      </c>
      <c r="D754" t="s">
        <v>15</v>
      </c>
      <c r="E754" t="s">
        <v>15</v>
      </c>
      <c r="F754" t="s">
        <v>15</v>
      </c>
      <c r="G754" t="s">
        <v>17</v>
      </c>
      <c r="H754" t="s">
        <v>22</v>
      </c>
      <c r="I754">
        <v>103.86</v>
      </c>
      <c r="J754">
        <v>30.6</v>
      </c>
      <c r="K754" t="s">
        <v>27</v>
      </c>
      <c r="L754" t="s">
        <v>15</v>
      </c>
    </row>
    <row r="755" spans="1:12" x14ac:dyDescent="0.3">
      <c r="A755">
        <v>49529</v>
      </c>
      <c r="B755" t="s">
        <v>13</v>
      </c>
      <c r="C755">
        <v>1.1599999999999999</v>
      </c>
      <c r="D755" t="s">
        <v>15</v>
      </c>
      <c r="E755" t="s">
        <v>15</v>
      </c>
      <c r="F755" t="s">
        <v>15</v>
      </c>
      <c r="G755" t="s">
        <v>20</v>
      </c>
      <c r="H755" t="s">
        <v>22</v>
      </c>
      <c r="I755">
        <v>60.98</v>
      </c>
      <c r="J755">
        <v>17.2</v>
      </c>
      <c r="K755" t="s">
        <v>27</v>
      </c>
      <c r="L755" t="s">
        <v>15</v>
      </c>
    </row>
    <row r="756" spans="1:12" x14ac:dyDescent="0.3">
      <c r="A756">
        <v>13367</v>
      </c>
      <c r="B756" t="s">
        <v>13</v>
      </c>
      <c r="C756">
        <v>35</v>
      </c>
      <c r="D756" t="s">
        <v>15</v>
      </c>
      <c r="E756" t="s">
        <v>15</v>
      </c>
      <c r="F756" t="s">
        <v>16</v>
      </c>
      <c r="G756" t="s">
        <v>17</v>
      </c>
      <c r="H756" t="s">
        <v>23</v>
      </c>
      <c r="I756">
        <v>82.69</v>
      </c>
      <c r="J756">
        <v>29.1</v>
      </c>
      <c r="K756" t="s">
        <v>27</v>
      </c>
      <c r="L756" t="s">
        <v>15</v>
      </c>
    </row>
    <row r="757" spans="1:12" x14ac:dyDescent="0.3">
      <c r="A757">
        <v>33585</v>
      </c>
      <c r="B757" t="s">
        <v>13</v>
      </c>
      <c r="C757">
        <v>64</v>
      </c>
      <c r="D757" t="s">
        <v>15</v>
      </c>
      <c r="E757" t="s">
        <v>15</v>
      </c>
      <c r="F757" t="s">
        <v>16</v>
      </c>
      <c r="G757" t="s">
        <v>17</v>
      </c>
      <c r="H757" t="s">
        <v>23</v>
      </c>
      <c r="I757">
        <v>250.2</v>
      </c>
      <c r="J757">
        <v>27.4</v>
      </c>
      <c r="K757" t="s">
        <v>27</v>
      </c>
      <c r="L757" t="s">
        <v>15</v>
      </c>
    </row>
    <row r="758" spans="1:12" x14ac:dyDescent="0.3">
      <c r="A758">
        <v>49785</v>
      </c>
      <c r="B758" t="s">
        <v>13</v>
      </c>
      <c r="C758">
        <v>18</v>
      </c>
      <c r="D758" t="s">
        <v>15</v>
      </c>
      <c r="E758" t="s">
        <v>15</v>
      </c>
      <c r="F758" t="s">
        <v>15</v>
      </c>
      <c r="G758" t="s">
        <v>17</v>
      </c>
      <c r="H758" t="s">
        <v>23</v>
      </c>
      <c r="I758">
        <v>128.97</v>
      </c>
      <c r="J758">
        <v>23.5</v>
      </c>
      <c r="K758" t="s">
        <v>27</v>
      </c>
      <c r="L758" t="s">
        <v>15</v>
      </c>
    </row>
    <row r="759" spans="1:12" x14ac:dyDescent="0.3">
      <c r="A759">
        <v>6886</v>
      </c>
      <c r="B759" t="s">
        <v>12</v>
      </c>
      <c r="C759">
        <v>19</v>
      </c>
      <c r="D759" t="s">
        <v>15</v>
      </c>
      <c r="E759" t="s">
        <v>15</v>
      </c>
      <c r="F759" t="s">
        <v>15</v>
      </c>
      <c r="G759" t="s">
        <v>17</v>
      </c>
      <c r="H759" t="s">
        <v>23</v>
      </c>
      <c r="I759">
        <v>84.31</v>
      </c>
      <c r="J759">
        <v>31.8</v>
      </c>
      <c r="K759" t="s">
        <v>25</v>
      </c>
      <c r="L759" t="s">
        <v>15</v>
      </c>
    </row>
    <row r="760" spans="1:12" x14ac:dyDescent="0.3">
      <c r="A760">
        <v>38609</v>
      </c>
      <c r="B760" t="s">
        <v>12</v>
      </c>
      <c r="C760">
        <v>47</v>
      </c>
      <c r="D760" t="s">
        <v>15</v>
      </c>
      <c r="E760" t="s">
        <v>15</v>
      </c>
      <c r="F760" t="s">
        <v>16</v>
      </c>
      <c r="G760" t="s">
        <v>19</v>
      </c>
      <c r="H760" t="s">
        <v>23</v>
      </c>
      <c r="I760">
        <v>74.8</v>
      </c>
      <c r="J760">
        <v>23.5</v>
      </c>
      <c r="K760" t="s">
        <v>25</v>
      </c>
      <c r="L760" t="s">
        <v>15</v>
      </c>
    </row>
    <row r="761" spans="1:12" x14ac:dyDescent="0.3">
      <c r="A761">
        <v>22159</v>
      </c>
      <c r="B761" t="s">
        <v>13</v>
      </c>
      <c r="C761">
        <v>54</v>
      </c>
      <c r="D761" t="s">
        <v>16</v>
      </c>
      <c r="E761" t="s">
        <v>15</v>
      </c>
      <c r="F761" t="s">
        <v>15</v>
      </c>
      <c r="G761" t="s">
        <v>17</v>
      </c>
      <c r="H761" t="s">
        <v>22</v>
      </c>
      <c r="I761">
        <v>97.06</v>
      </c>
      <c r="J761">
        <v>28.5</v>
      </c>
      <c r="K761" t="s">
        <v>24</v>
      </c>
      <c r="L761" t="s">
        <v>15</v>
      </c>
    </row>
    <row r="762" spans="1:12" x14ac:dyDescent="0.3">
      <c r="A762">
        <v>37413</v>
      </c>
      <c r="B762" t="s">
        <v>13</v>
      </c>
      <c r="C762">
        <v>39</v>
      </c>
      <c r="D762" t="s">
        <v>15</v>
      </c>
      <c r="E762" t="s">
        <v>15</v>
      </c>
      <c r="F762" t="s">
        <v>16</v>
      </c>
      <c r="G762" t="s">
        <v>17</v>
      </c>
      <c r="H762" t="s">
        <v>22</v>
      </c>
      <c r="I762">
        <v>77.540000000000006</v>
      </c>
      <c r="J762">
        <v>32.700000000000003</v>
      </c>
      <c r="K762" t="s">
        <v>27</v>
      </c>
      <c r="L762" t="s">
        <v>15</v>
      </c>
    </row>
    <row r="763" spans="1:12" x14ac:dyDescent="0.3">
      <c r="A763">
        <v>4169</v>
      </c>
      <c r="B763" t="s">
        <v>13</v>
      </c>
      <c r="C763">
        <v>37</v>
      </c>
      <c r="D763" t="s">
        <v>15</v>
      </c>
      <c r="E763" t="s">
        <v>15</v>
      </c>
      <c r="F763" t="s">
        <v>15</v>
      </c>
      <c r="G763" t="s">
        <v>17</v>
      </c>
      <c r="H763" t="s">
        <v>23</v>
      </c>
      <c r="I763">
        <v>92.78</v>
      </c>
      <c r="J763">
        <v>54.2</v>
      </c>
      <c r="K763" t="s">
        <v>25</v>
      </c>
      <c r="L763" t="s">
        <v>15</v>
      </c>
    </row>
    <row r="764" spans="1:12" x14ac:dyDescent="0.3">
      <c r="A764">
        <v>40055</v>
      </c>
      <c r="B764" t="s">
        <v>13</v>
      </c>
      <c r="C764">
        <v>17</v>
      </c>
      <c r="D764" t="s">
        <v>15</v>
      </c>
      <c r="E764" t="s">
        <v>15</v>
      </c>
      <c r="F764" t="s">
        <v>15</v>
      </c>
      <c r="G764" t="s">
        <v>17</v>
      </c>
      <c r="H764" t="s">
        <v>23</v>
      </c>
      <c r="I764">
        <v>173.43</v>
      </c>
      <c r="J764">
        <v>25.6</v>
      </c>
      <c r="K764" t="s">
        <v>26</v>
      </c>
      <c r="L764" t="s">
        <v>15</v>
      </c>
    </row>
    <row r="765" spans="1:12" x14ac:dyDescent="0.3">
      <c r="A765">
        <v>18888</v>
      </c>
      <c r="B765" t="s">
        <v>13</v>
      </c>
      <c r="C765">
        <v>20</v>
      </c>
      <c r="D765" t="s">
        <v>15</v>
      </c>
      <c r="E765" t="s">
        <v>15</v>
      </c>
      <c r="F765" t="s">
        <v>16</v>
      </c>
      <c r="G765" t="s">
        <v>17</v>
      </c>
      <c r="H765" t="s">
        <v>22</v>
      </c>
      <c r="I765">
        <v>79.08</v>
      </c>
      <c r="J765">
        <v>41.2</v>
      </c>
      <c r="K765" t="s">
        <v>25</v>
      </c>
      <c r="L765" t="s">
        <v>15</v>
      </c>
    </row>
    <row r="766" spans="1:12" x14ac:dyDescent="0.3">
      <c r="A766">
        <v>45283</v>
      </c>
      <c r="B766" t="s">
        <v>13</v>
      </c>
      <c r="C766">
        <v>31</v>
      </c>
      <c r="D766" t="s">
        <v>15</v>
      </c>
      <c r="E766" t="s">
        <v>15</v>
      </c>
      <c r="F766" t="s">
        <v>16</v>
      </c>
      <c r="G766" t="s">
        <v>17</v>
      </c>
      <c r="H766" t="s">
        <v>22</v>
      </c>
      <c r="I766">
        <v>106.18</v>
      </c>
      <c r="J766">
        <v>27</v>
      </c>
      <c r="K766" t="s">
        <v>26</v>
      </c>
      <c r="L766" t="s">
        <v>15</v>
      </c>
    </row>
    <row r="767" spans="1:12" x14ac:dyDescent="0.3">
      <c r="A767">
        <v>42503</v>
      </c>
      <c r="B767" t="s">
        <v>13</v>
      </c>
      <c r="C767">
        <v>56</v>
      </c>
      <c r="D767" t="s">
        <v>15</v>
      </c>
      <c r="E767" t="s">
        <v>15</v>
      </c>
      <c r="F767" t="s">
        <v>16</v>
      </c>
      <c r="G767" t="s">
        <v>17</v>
      </c>
      <c r="H767" t="s">
        <v>23</v>
      </c>
      <c r="I767">
        <v>114.21</v>
      </c>
      <c r="J767">
        <v>21.3</v>
      </c>
      <c r="K767" t="s">
        <v>25</v>
      </c>
      <c r="L767" t="s">
        <v>15</v>
      </c>
    </row>
    <row r="768" spans="1:12" x14ac:dyDescent="0.3">
      <c r="A768">
        <v>23645</v>
      </c>
      <c r="B768" t="s">
        <v>13</v>
      </c>
      <c r="C768">
        <v>31</v>
      </c>
      <c r="D768" t="s">
        <v>15</v>
      </c>
      <c r="E768" t="s">
        <v>15</v>
      </c>
      <c r="F768" t="s">
        <v>15</v>
      </c>
      <c r="G768" t="s">
        <v>17</v>
      </c>
      <c r="H768" t="s">
        <v>23</v>
      </c>
      <c r="I768">
        <v>91.08</v>
      </c>
      <c r="J768">
        <v>34.299999999999997</v>
      </c>
      <c r="K768" t="s">
        <v>25</v>
      </c>
      <c r="L768" t="s">
        <v>15</v>
      </c>
    </row>
    <row r="769" spans="1:12" x14ac:dyDescent="0.3">
      <c r="A769">
        <v>62382</v>
      </c>
      <c r="B769" t="s">
        <v>12</v>
      </c>
      <c r="C769">
        <v>82</v>
      </c>
      <c r="D769" t="s">
        <v>15</v>
      </c>
      <c r="E769" t="s">
        <v>15</v>
      </c>
      <c r="F769" t="s">
        <v>16</v>
      </c>
      <c r="G769" t="s">
        <v>17</v>
      </c>
      <c r="H769" t="s">
        <v>22</v>
      </c>
      <c r="I769">
        <v>105.77</v>
      </c>
      <c r="J769">
        <v>29.5</v>
      </c>
      <c r="K769" t="s">
        <v>27</v>
      </c>
      <c r="L769" t="s">
        <v>15</v>
      </c>
    </row>
    <row r="770" spans="1:12" x14ac:dyDescent="0.3">
      <c r="A770">
        <v>59521</v>
      </c>
      <c r="B770" t="s">
        <v>12</v>
      </c>
      <c r="C770">
        <v>33</v>
      </c>
      <c r="D770" t="s">
        <v>15</v>
      </c>
      <c r="E770" t="s">
        <v>15</v>
      </c>
      <c r="F770" t="s">
        <v>16</v>
      </c>
      <c r="G770" t="s">
        <v>17</v>
      </c>
      <c r="H770" t="s">
        <v>23</v>
      </c>
      <c r="I770">
        <v>74.88</v>
      </c>
      <c r="J770">
        <v>31.6</v>
      </c>
      <c r="K770" t="s">
        <v>26</v>
      </c>
      <c r="L770" t="s">
        <v>15</v>
      </c>
    </row>
    <row r="771" spans="1:12" x14ac:dyDescent="0.3">
      <c r="A771">
        <v>55386</v>
      </c>
      <c r="B771" t="s">
        <v>12</v>
      </c>
      <c r="C771">
        <v>42</v>
      </c>
      <c r="D771" t="s">
        <v>15</v>
      </c>
      <c r="E771" t="s">
        <v>15</v>
      </c>
      <c r="F771" t="s">
        <v>16</v>
      </c>
      <c r="G771" t="s">
        <v>17</v>
      </c>
      <c r="H771" t="s">
        <v>23</v>
      </c>
      <c r="I771">
        <v>123.15</v>
      </c>
      <c r="J771">
        <v>26.1</v>
      </c>
      <c r="K771" t="s">
        <v>26</v>
      </c>
      <c r="L771" t="s">
        <v>15</v>
      </c>
    </row>
    <row r="772" spans="1:12" x14ac:dyDescent="0.3">
      <c r="A772">
        <v>22685</v>
      </c>
      <c r="B772" t="s">
        <v>12</v>
      </c>
      <c r="C772">
        <v>20</v>
      </c>
      <c r="D772" t="s">
        <v>15</v>
      </c>
      <c r="E772" t="s">
        <v>15</v>
      </c>
      <c r="F772" t="s">
        <v>15</v>
      </c>
      <c r="G772" t="s">
        <v>17</v>
      </c>
      <c r="H772" t="s">
        <v>23</v>
      </c>
      <c r="I772">
        <v>184.25</v>
      </c>
      <c r="J772">
        <v>27.5</v>
      </c>
      <c r="K772" t="s">
        <v>25</v>
      </c>
      <c r="L772" t="s">
        <v>15</v>
      </c>
    </row>
    <row r="773" spans="1:12" x14ac:dyDescent="0.3">
      <c r="A773">
        <v>46745</v>
      </c>
      <c r="B773" t="s">
        <v>12</v>
      </c>
      <c r="C773">
        <v>22</v>
      </c>
      <c r="D773" t="s">
        <v>15</v>
      </c>
      <c r="E773" t="s">
        <v>15</v>
      </c>
      <c r="F773" t="s">
        <v>16</v>
      </c>
      <c r="G773" t="s">
        <v>19</v>
      </c>
      <c r="H773" t="s">
        <v>23</v>
      </c>
      <c r="I773">
        <v>117.69</v>
      </c>
      <c r="J773">
        <v>26.5</v>
      </c>
      <c r="K773" t="s">
        <v>25</v>
      </c>
      <c r="L773" t="s">
        <v>15</v>
      </c>
    </row>
    <row r="774" spans="1:12" x14ac:dyDescent="0.3">
      <c r="A774">
        <v>72547</v>
      </c>
      <c r="B774" t="s">
        <v>12</v>
      </c>
      <c r="C774">
        <v>61</v>
      </c>
      <c r="D774" t="s">
        <v>15</v>
      </c>
      <c r="E774" t="s">
        <v>15</v>
      </c>
      <c r="F774" t="s">
        <v>16</v>
      </c>
      <c r="G774" t="s">
        <v>17</v>
      </c>
      <c r="H774" t="s">
        <v>23</v>
      </c>
      <c r="I774">
        <v>55.26</v>
      </c>
      <c r="J774">
        <v>33.200000000000003</v>
      </c>
      <c r="K774" t="s">
        <v>27</v>
      </c>
      <c r="L774" t="s">
        <v>15</v>
      </c>
    </row>
    <row r="775" spans="1:12" x14ac:dyDescent="0.3">
      <c r="A775">
        <v>26973</v>
      </c>
      <c r="B775" t="s">
        <v>13</v>
      </c>
      <c r="C775">
        <v>31</v>
      </c>
      <c r="D775" t="s">
        <v>15</v>
      </c>
      <c r="E775" t="s">
        <v>15</v>
      </c>
      <c r="F775" t="s">
        <v>16</v>
      </c>
      <c r="G775" t="s">
        <v>17</v>
      </c>
      <c r="H775" t="s">
        <v>22</v>
      </c>
      <c r="I775">
        <v>106.51</v>
      </c>
      <c r="J775">
        <v>40.200000000000003</v>
      </c>
      <c r="K775" t="s">
        <v>25</v>
      </c>
      <c r="L775" t="s">
        <v>15</v>
      </c>
    </row>
    <row r="776" spans="1:12" x14ac:dyDescent="0.3">
      <c r="A776">
        <v>41033</v>
      </c>
      <c r="B776" t="s">
        <v>13</v>
      </c>
      <c r="C776">
        <v>31</v>
      </c>
      <c r="D776" t="s">
        <v>15</v>
      </c>
      <c r="E776" t="s">
        <v>15</v>
      </c>
      <c r="F776" t="s">
        <v>16</v>
      </c>
      <c r="G776" t="s">
        <v>19</v>
      </c>
      <c r="H776" t="s">
        <v>23</v>
      </c>
      <c r="I776">
        <v>55.27</v>
      </c>
      <c r="J776">
        <v>32.5</v>
      </c>
      <c r="K776" t="s">
        <v>24</v>
      </c>
      <c r="L776" t="s">
        <v>15</v>
      </c>
    </row>
    <row r="777" spans="1:12" x14ac:dyDescent="0.3">
      <c r="A777">
        <v>5046</v>
      </c>
      <c r="B777" t="s">
        <v>12</v>
      </c>
      <c r="C777">
        <v>17</v>
      </c>
      <c r="D777" t="s">
        <v>15</v>
      </c>
      <c r="E777" t="s">
        <v>15</v>
      </c>
      <c r="F777" t="s">
        <v>15</v>
      </c>
      <c r="G777" t="s">
        <v>18</v>
      </c>
      <c r="H777" t="s">
        <v>22</v>
      </c>
      <c r="I777">
        <v>98.42</v>
      </c>
      <c r="J777">
        <v>23.4</v>
      </c>
      <c r="K777" t="s">
        <v>27</v>
      </c>
      <c r="L777" t="s">
        <v>15</v>
      </c>
    </row>
    <row r="778" spans="1:12" x14ac:dyDescent="0.3">
      <c r="A778">
        <v>71442</v>
      </c>
      <c r="B778" t="s">
        <v>13</v>
      </c>
      <c r="C778">
        <v>30</v>
      </c>
      <c r="D778" t="s">
        <v>15</v>
      </c>
      <c r="E778" t="s">
        <v>15</v>
      </c>
      <c r="F778" t="s">
        <v>16</v>
      </c>
      <c r="G778" t="s">
        <v>17</v>
      </c>
      <c r="H778" t="s">
        <v>23</v>
      </c>
      <c r="I778">
        <v>99.2</v>
      </c>
      <c r="J778">
        <v>32.5</v>
      </c>
      <c r="K778" t="s">
        <v>25</v>
      </c>
      <c r="L778" t="s">
        <v>15</v>
      </c>
    </row>
    <row r="779" spans="1:12" x14ac:dyDescent="0.3">
      <c r="A779">
        <v>49624</v>
      </c>
      <c r="B779" t="s">
        <v>12</v>
      </c>
      <c r="C779">
        <v>69</v>
      </c>
      <c r="D779" t="s">
        <v>15</v>
      </c>
      <c r="E779" t="s">
        <v>15</v>
      </c>
      <c r="F779" t="s">
        <v>16</v>
      </c>
      <c r="G779" t="s">
        <v>17</v>
      </c>
      <c r="H779" t="s">
        <v>22</v>
      </c>
      <c r="I779">
        <v>98.92</v>
      </c>
      <c r="J779">
        <v>23.9</v>
      </c>
      <c r="K779" t="s">
        <v>24</v>
      </c>
      <c r="L779" t="s">
        <v>15</v>
      </c>
    </row>
    <row r="780" spans="1:12" x14ac:dyDescent="0.3">
      <c r="A780">
        <v>10572</v>
      </c>
      <c r="B780" t="s">
        <v>13</v>
      </c>
      <c r="C780">
        <v>63</v>
      </c>
      <c r="D780" t="s">
        <v>15</v>
      </c>
      <c r="E780" t="s">
        <v>15</v>
      </c>
      <c r="F780" t="s">
        <v>16</v>
      </c>
      <c r="G780" t="s">
        <v>17</v>
      </c>
      <c r="H780" t="s">
        <v>23</v>
      </c>
      <c r="I780">
        <v>92.7</v>
      </c>
      <c r="J780">
        <v>29.5</v>
      </c>
      <c r="K780" t="s">
        <v>25</v>
      </c>
      <c r="L780" t="s">
        <v>15</v>
      </c>
    </row>
    <row r="781" spans="1:12" x14ac:dyDescent="0.3">
      <c r="A781">
        <v>55847</v>
      </c>
      <c r="B781" t="s">
        <v>12</v>
      </c>
      <c r="C781">
        <v>19</v>
      </c>
      <c r="D781" t="s">
        <v>15</v>
      </c>
      <c r="E781" t="s">
        <v>15</v>
      </c>
      <c r="F781" t="s">
        <v>15</v>
      </c>
      <c r="G781" t="s">
        <v>17</v>
      </c>
      <c r="H781" t="s">
        <v>23</v>
      </c>
      <c r="I781">
        <v>106.7</v>
      </c>
      <c r="J781">
        <v>24</v>
      </c>
      <c r="K781" t="s">
        <v>25</v>
      </c>
      <c r="L781" t="s">
        <v>15</v>
      </c>
    </row>
    <row r="782" spans="1:12" x14ac:dyDescent="0.3">
      <c r="A782">
        <v>42441</v>
      </c>
      <c r="B782" t="s">
        <v>12</v>
      </c>
      <c r="C782">
        <v>7</v>
      </c>
      <c r="D782" t="s">
        <v>15</v>
      </c>
      <c r="E782" t="s">
        <v>15</v>
      </c>
      <c r="F782" t="s">
        <v>15</v>
      </c>
      <c r="G782" t="s">
        <v>20</v>
      </c>
      <c r="H782" t="s">
        <v>22</v>
      </c>
      <c r="I782">
        <v>152.81</v>
      </c>
      <c r="J782">
        <v>17.7</v>
      </c>
      <c r="K782" t="s">
        <v>27</v>
      </c>
      <c r="L782" t="s">
        <v>15</v>
      </c>
    </row>
    <row r="783" spans="1:12" x14ac:dyDescent="0.3">
      <c r="A783">
        <v>28910</v>
      </c>
      <c r="B783" t="s">
        <v>13</v>
      </c>
      <c r="C783">
        <v>51</v>
      </c>
      <c r="D783" t="s">
        <v>15</v>
      </c>
      <c r="E783" t="s">
        <v>15</v>
      </c>
      <c r="F783" t="s">
        <v>16</v>
      </c>
      <c r="G783" t="s">
        <v>17</v>
      </c>
      <c r="H783" t="s">
        <v>22</v>
      </c>
      <c r="I783">
        <v>82.59</v>
      </c>
      <c r="J783">
        <v>26.2</v>
      </c>
      <c r="K783" t="s">
        <v>24</v>
      </c>
      <c r="L783" t="s">
        <v>15</v>
      </c>
    </row>
    <row r="784" spans="1:12" x14ac:dyDescent="0.3">
      <c r="A784">
        <v>10381</v>
      </c>
      <c r="B784" t="s">
        <v>13</v>
      </c>
      <c r="C784">
        <v>38</v>
      </c>
      <c r="D784" t="s">
        <v>16</v>
      </c>
      <c r="E784" t="s">
        <v>15</v>
      </c>
      <c r="F784" t="s">
        <v>16</v>
      </c>
      <c r="G784" t="s">
        <v>18</v>
      </c>
      <c r="H784" t="s">
        <v>22</v>
      </c>
      <c r="I784">
        <v>91</v>
      </c>
      <c r="J784">
        <v>33.299999999999997</v>
      </c>
      <c r="K784" t="s">
        <v>25</v>
      </c>
      <c r="L784" t="s">
        <v>15</v>
      </c>
    </row>
    <row r="785" spans="1:12" x14ac:dyDescent="0.3">
      <c r="A785">
        <v>14387</v>
      </c>
      <c r="B785" t="s">
        <v>12</v>
      </c>
      <c r="C785">
        <v>2</v>
      </c>
      <c r="D785" t="s">
        <v>15</v>
      </c>
      <c r="E785" t="s">
        <v>15</v>
      </c>
      <c r="F785" t="s">
        <v>15</v>
      </c>
      <c r="G785" t="s">
        <v>20</v>
      </c>
      <c r="H785" t="s">
        <v>22</v>
      </c>
      <c r="I785">
        <v>93.88</v>
      </c>
      <c r="J785">
        <v>17.399999999999999</v>
      </c>
      <c r="K785" t="s">
        <v>27</v>
      </c>
      <c r="L785" t="s">
        <v>15</v>
      </c>
    </row>
    <row r="786" spans="1:12" x14ac:dyDescent="0.3">
      <c r="A786">
        <v>31956</v>
      </c>
      <c r="B786" t="s">
        <v>13</v>
      </c>
      <c r="C786">
        <v>58</v>
      </c>
      <c r="D786" t="s">
        <v>15</v>
      </c>
      <c r="E786" t="s">
        <v>15</v>
      </c>
      <c r="F786" t="s">
        <v>16</v>
      </c>
      <c r="G786" t="s">
        <v>17</v>
      </c>
      <c r="H786" t="s">
        <v>22</v>
      </c>
      <c r="I786">
        <v>76.989999999999995</v>
      </c>
      <c r="J786">
        <v>29</v>
      </c>
      <c r="K786" t="s">
        <v>25</v>
      </c>
      <c r="L786" t="s">
        <v>15</v>
      </c>
    </row>
    <row r="787" spans="1:12" x14ac:dyDescent="0.3">
      <c r="A787">
        <v>17813</v>
      </c>
      <c r="B787" t="s">
        <v>13</v>
      </c>
      <c r="C787">
        <v>69</v>
      </c>
      <c r="D787" t="s">
        <v>15</v>
      </c>
      <c r="E787" t="s">
        <v>16</v>
      </c>
      <c r="F787" t="s">
        <v>16</v>
      </c>
      <c r="G787" t="s">
        <v>17</v>
      </c>
      <c r="H787" t="s">
        <v>23</v>
      </c>
      <c r="I787">
        <v>254.6</v>
      </c>
      <c r="J787">
        <v>21.7</v>
      </c>
      <c r="K787" t="s">
        <v>27</v>
      </c>
      <c r="L787" t="s">
        <v>15</v>
      </c>
    </row>
    <row r="788" spans="1:12" x14ac:dyDescent="0.3">
      <c r="A788">
        <v>24665</v>
      </c>
      <c r="B788" t="s">
        <v>13</v>
      </c>
      <c r="C788">
        <v>64</v>
      </c>
      <c r="D788" t="s">
        <v>16</v>
      </c>
      <c r="E788" t="s">
        <v>15</v>
      </c>
      <c r="F788" t="s">
        <v>16</v>
      </c>
      <c r="G788" t="s">
        <v>17</v>
      </c>
      <c r="H788" t="s">
        <v>23</v>
      </c>
      <c r="I788">
        <v>93.99</v>
      </c>
      <c r="J788">
        <v>37.799999999999997</v>
      </c>
      <c r="K788" t="s">
        <v>24</v>
      </c>
      <c r="L788" t="s">
        <v>15</v>
      </c>
    </row>
    <row r="789" spans="1:12" x14ac:dyDescent="0.3">
      <c r="A789">
        <v>13683</v>
      </c>
      <c r="B789" t="s">
        <v>13</v>
      </c>
      <c r="C789">
        <v>31</v>
      </c>
      <c r="D789" t="s">
        <v>15</v>
      </c>
      <c r="E789" t="s">
        <v>15</v>
      </c>
      <c r="F789" t="s">
        <v>16</v>
      </c>
      <c r="G789" t="s">
        <v>17</v>
      </c>
      <c r="H789" t="s">
        <v>22</v>
      </c>
      <c r="I789">
        <v>109.68</v>
      </c>
      <c r="J789">
        <v>41.8</v>
      </c>
      <c r="K789" t="s">
        <v>25</v>
      </c>
      <c r="L789" t="s">
        <v>15</v>
      </c>
    </row>
    <row r="790" spans="1:12" x14ac:dyDescent="0.3">
      <c r="A790">
        <v>7387</v>
      </c>
      <c r="B790" t="s">
        <v>13</v>
      </c>
      <c r="C790">
        <v>59</v>
      </c>
      <c r="D790" t="s">
        <v>16</v>
      </c>
      <c r="E790" t="s">
        <v>15</v>
      </c>
      <c r="F790" t="s">
        <v>16</v>
      </c>
      <c r="G790" t="s">
        <v>17</v>
      </c>
      <c r="H790" t="s">
        <v>23</v>
      </c>
      <c r="I790">
        <v>92.04</v>
      </c>
      <c r="J790">
        <v>24.2</v>
      </c>
      <c r="K790" t="s">
        <v>25</v>
      </c>
      <c r="L790" t="s">
        <v>15</v>
      </c>
    </row>
    <row r="791" spans="1:12" x14ac:dyDescent="0.3">
      <c r="A791">
        <v>57011</v>
      </c>
      <c r="B791" t="s">
        <v>13</v>
      </c>
      <c r="C791">
        <v>54</v>
      </c>
      <c r="D791" t="s">
        <v>15</v>
      </c>
      <c r="E791" t="s">
        <v>15</v>
      </c>
      <c r="F791" t="s">
        <v>16</v>
      </c>
      <c r="G791" t="s">
        <v>17</v>
      </c>
      <c r="H791" t="s">
        <v>23</v>
      </c>
      <c r="I791">
        <v>111.41</v>
      </c>
      <c r="J791">
        <v>31.1</v>
      </c>
      <c r="K791" t="s">
        <v>25</v>
      </c>
      <c r="L791" t="s">
        <v>15</v>
      </c>
    </row>
    <row r="792" spans="1:12" x14ac:dyDescent="0.3">
      <c r="A792">
        <v>22384</v>
      </c>
      <c r="B792" t="s">
        <v>13</v>
      </c>
      <c r="C792">
        <v>24</v>
      </c>
      <c r="D792" t="s">
        <v>15</v>
      </c>
      <c r="E792" t="s">
        <v>15</v>
      </c>
      <c r="F792" t="s">
        <v>16</v>
      </c>
      <c r="G792" t="s">
        <v>17</v>
      </c>
      <c r="H792" t="s">
        <v>23</v>
      </c>
      <c r="I792">
        <v>97.92</v>
      </c>
      <c r="J792">
        <v>23.1</v>
      </c>
      <c r="K792" t="s">
        <v>25</v>
      </c>
      <c r="L792" t="s">
        <v>15</v>
      </c>
    </row>
    <row r="793" spans="1:12" x14ac:dyDescent="0.3">
      <c r="A793">
        <v>24108</v>
      </c>
      <c r="B793" t="s">
        <v>12</v>
      </c>
      <c r="C793">
        <v>19</v>
      </c>
      <c r="D793" t="s">
        <v>15</v>
      </c>
      <c r="E793" t="s">
        <v>15</v>
      </c>
      <c r="F793" t="s">
        <v>15</v>
      </c>
      <c r="G793" t="s">
        <v>17</v>
      </c>
      <c r="H793" t="s">
        <v>22</v>
      </c>
      <c r="I793">
        <v>65.61</v>
      </c>
      <c r="J793">
        <v>25.1</v>
      </c>
      <c r="K793" t="s">
        <v>27</v>
      </c>
      <c r="L793" t="s">
        <v>15</v>
      </c>
    </row>
    <row r="794" spans="1:12" x14ac:dyDescent="0.3">
      <c r="A794">
        <v>50053</v>
      </c>
      <c r="B794" t="s">
        <v>12</v>
      </c>
      <c r="C794">
        <v>17</v>
      </c>
      <c r="D794" t="s">
        <v>15</v>
      </c>
      <c r="E794" t="s">
        <v>15</v>
      </c>
      <c r="F794" t="s">
        <v>15</v>
      </c>
      <c r="G794" t="s">
        <v>17</v>
      </c>
      <c r="H794" t="s">
        <v>22</v>
      </c>
      <c r="I794">
        <v>62.37</v>
      </c>
      <c r="J794">
        <v>41.3</v>
      </c>
      <c r="K794" t="s">
        <v>25</v>
      </c>
      <c r="L794" t="s">
        <v>15</v>
      </c>
    </row>
    <row r="795" spans="1:12" x14ac:dyDescent="0.3">
      <c r="A795">
        <v>69427</v>
      </c>
      <c r="B795" t="s">
        <v>13</v>
      </c>
      <c r="C795">
        <v>29</v>
      </c>
      <c r="D795" t="s">
        <v>15</v>
      </c>
      <c r="E795" t="s">
        <v>15</v>
      </c>
      <c r="F795" t="s">
        <v>15</v>
      </c>
      <c r="G795" t="s">
        <v>17</v>
      </c>
      <c r="H795" t="s">
        <v>22</v>
      </c>
      <c r="I795">
        <v>101.28</v>
      </c>
      <c r="J795">
        <v>22.7</v>
      </c>
      <c r="K795" t="s">
        <v>25</v>
      </c>
      <c r="L795" t="s">
        <v>15</v>
      </c>
    </row>
    <row r="796" spans="1:12" x14ac:dyDescent="0.3">
      <c r="A796">
        <v>21688</v>
      </c>
      <c r="B796" t="s">
        <v>13</v>
      </c>
      <c r="C796">
        <v>42</v>
      </c>
      <c r="D796" t="s">
        <v>15</v>
      </c>
      <c r="E796" t="s">
        <v>15</v>
      </c>
      <c r="F796" t="s">
        <v>16</v>
      </c>
      <c r="G796" t="s">
        <v>17</v>
      </c>
      <c r="H796" t="s">
        <v>23</v>
      </c>
      <c r="I796">
        <v>88.31</v>
      </c>
      <c r="J796">
        <v>24</v>
      </c>
      <c r="K796" t="s">
        <v>26</v>
      </c>
      <c r="L796" t="s">
        <v>15</v>
      </c>
    </row>
    <row r="797" spans="1:12" x14ac:dyDescent="0.3">
      <c r="A797">
        <v>60777</v>
      </c>
      <c r="B797" t="s">
        <v>13</v>
      </c>
      <c r="C797">
        <v>31</v>
      </c>
      <c r="D797" t="s">
        <v>15</v>
      </c>
      <c r="E797" t="s">
        <v>15</v>
      </c>
      <c r="F797" t="s">
        <v>16</v>
      </c>
      <c r="G797" t="s">
        <v>19</v>
      </c>
      <c r="H797" t="s">
        <v>23</v>
      </c>
      <c r="I797">
        <v>103.55</v>
      </c>
      <c r="J797">
        <v>20.5</v>
      </c>
      <c r="K797" t="s">
        <v>24</v>
      </c>
      <c r="L797" t="s">
        <v>15</v>
      </c>
    </row>
    <row r="798" spans="1:12" x14ac:dyDescent="0.3">
      <c r="A798">
        <v>64732</v>
      </c>
      <c r="B798" t="s">
        <v>13</v>
      </c>
      <c r="C798">
        <v>29</v>
      </c>
      <c r="D798" t="s">
        <v>15</v>
      </c>
      <c r="E798" t="s">
        <v>15</v>
      </c>
      <c r="F798" t="s">
        <v>15</v>
      </c>
      <c r="G798" t="s">
        <v>17</v>
      </c>
      <c r="H798" t="s">
        <v>22</v>
      </c>
      <c r="I798">
        <v>60.26</v>
      </c>
      <c r="J798">
        <v>20.399999999999999</v>
      </c>
      <c r="K798" t="s">
        <v>25</v>
      </c>
      <c r="L798" t="s">
        <v>15</v>
      </c>
    </row>
    <row r="799" spans="1:12" x14ac:dyDescent="0.3">
      <c r="A799">
        <v>42710</v>
      </c>
      <c r="B799" t="s">
        <v>13</v>
      </c>
      <c r="C799">
        <v>23</v>
      </c>
      <c r="D799" t="s">
        <v>15</v>
      </c>
      <c r="E799" t="s">
        <v>15</v>
      </c>
      <c r="F799" t="s">
        <v>15</v>
      </c>
      <c r="G799" t="s">
        <v>17</v>
      </c>
      <c r="H799" t="s">
        <v>22</v>
      </c>
      <c r="I799">
        <v>79.39</v>
      </c>
      <c r="J799">
        <v>27.6</v>
      </c>
      <c r="K799" t="s">
        <v>25</v>
      </c>
      <c r="L799" t="s">
        <v>15</v>
      </c>
    </row>
    <row r="800" spans="1:12" x14ac:dyDescent="0.3">
      <c r="A800">
        <v>46683</v>
      </c>
      <c r="B800" t="s">
        <v>13</v>
      </c>
      <c r="C800">
        <v>25</v>
      </c>
      <c r="D800" t="s">
        <v>15</v>
      </c>
      <c r="E800" t="s">
        <v>15</v>
      </c>
      <c r="F800" t="s">
        <v>15</v>
      </c>
      <c r="G800" t="s">
        <v>17</v>
      </c>
      <c r="H800" t="s">
        <v>22</v>
      </c>
      <c r="I800">
        <v>122.01</v>
      </c>
      <c r="J800">
        <v>27</v>
      </c>
      <c r="K800" t="s">
        <v>26</v>
      </c>
      <c r="L800" t="s">
        <v>15</v>
      </c>
    </row>
    <row r="801" spans="1:12" x14ac:dyDescent="0.3">
      <c r="A801">
        <v>58909</v>
      </c>
      <c r="B801" t="s">
        <v>13</v>
      </c>
      <c r="C801">
        <v>14</v>
      </c>
      <c r="D801" t="s">
        <v>15</v>
      </c>
      <c r="E801" t="s">
        <v>15</v>
      </c>
      <c r="F801" t="s">
        <v>15</v>
      </c>
      <c r="G801" t="s">
        <v>20</v>
      </c>
      <c r="H801" t="s">
        <v>23</v>
      </c>
      <c r="I801">
        <v>78.09</v>
      </c>
      <c r="J801">
        <v>26.4</v>
      </c>
      <c r="K801" t="s">
        <v>27</v>
      </c>
      <c r="L801" t="s">
        <v>15</v>
      </c>
    </row>
    <row r="802" spans="1:12" x14ac:dyDescent="0.3">
      <c r="A802">
        <v>51125</v>
      </c>
      <c r="B802" t="s">
        <v>13</v>
      </c>
      <c r="C802">
        <v>66</v>
      </c>
      <c r="D802" t="s">
        <v>15</v>
      </c>
      <c r="E802" t="s">
        <v>15</v>
      </c>
      <c r="F802" t="s">
        <v>16</v>
      </c>
      <c r="G802" t="s">
        <v>17</v>
      </c>
      <c r="H802" t="s">
        <v>22</v>
      </c>
      <c r="I802">
        <v>89.7</v>
      </c>
      <c r="J802">
        <v>34.9</v>
      </c>
      <c r="K802" t="s">
        <v>26</v>
      </c>
      <c r="L802" t="s">
        <v>15</v>
      </c>
    </row>
    <row r="803" spans="1:12" x14ac:dyDescent="0.3">
      <c r="A803">
        <v>29077</v>
      </c>
      <c r="B803" t="s">
        <v>13</v>
      </c>
      <c r="C803">
        <v>77</v>
      </c>
      <c r="D803" t="s">
        <v>15</v>
      </c>
      <c r="E803" t="s">
        <v>15</v>
      </c>
      <c r="F803" t="s">
        <v>16</v>
      </c>
      <c r="G803" t="s">
        <v>17</v>
      </c>
      <c r="H803" t="s">
        <v>23</v>
      </c>
      <c r="I803">
        <v>95.1</v>
      </c>
      <c r="J803">
        <v>35</v>
      </c>
      <c r="K803" t="s">
        <v>25</v>
      </c>
      <c r="L803" t="s">
        <v>15</v>
      </c>
    </row>
    <row r="804" spans="1:12" x14ac:dyDescent="0.3">
      <c r="A804">
        <v>4970</v>
      </c>
      <c r="B804" t="s">
        <v>12</v>
      </c>
      <c r="C804">
        <v>79</v>
      </c>
      <c r="D804" t="s">
        <v>15</v>
      </c>
      <c r="E804" t="s">
        <v>15</v>
      </c>
      <c r="F804" t="s">
        <v>16</v>
      </c>
      <c r="G804" t="s">
        <v>18</v>
      </c>
      <c r="H804" t="s">
        <v>23</v>
      </c>
      <c r="I804">
        <v>112.64</v>
      </c>
      <c r="J804">
        <v>28.5</v>
      </c>
      <c r="K804" t="s">
        <v>24</v>
      </c>
      <c r="L804" t="s">
        <v>15</v>
      </c>
    </row>
    <row r="805" spans="1:12" x14ac:dyDescent="0.3">
      <c r="A805">
        <v>58291</v>
      </c>
      <c r="B805" t="s">
        <v>13</v>
      </c>
      <c r="C805">
        <v>52</v>
      </c>
      <c r="D805" t="s">
        <v>15</v>
      </c>
      <c r="E805" t="s">
        <v>15</v>
      </c>
      <c r="F805" t="s">
        <v>16</v>
      </c>
      <c r="G805" t="s">
        <v>17</v>
      </c>
      <c r="H805" t="s">
        <v>23</v>
      </c>
      <c r="I805">
        <v>79.8</v>
      </c>
      <c r="J805">
        <v>32.299999999999997</v>
      </c>
      <c r="K805" t="s">
        <v>24</v>
      </c>
      <c r="L805" t="s">
        <v>15</v>
      </c>
    </row>
    <row r="806" spans="1:12" x14ac:dyDescent="0.3">
      <c r="A806">
        <v>18616</v>
      </c>
      <c r="B806" t="s">
        <v>13</v>
      </c>
      <c r="C806">
        <v>41</v>
      </c>
      <c r="D806" t="s">
        <v>15</v>
      </c>
      <c r="E806" t="s">
        <v>15</v>
      </c>
      <c r="F806" t="s">
        <v>16</v>
      </c>
      <c r="G806" t="s">
        <v>17</v>
      </c>
      <c r="H806" t="s">
        <v>22</v>
      </c>
      <c r="I806">
        <v>82.2</v>
      </c>
      <c r="J806">
        <v>23.9</v>
      </c>
      <c r="K806" t="s">
        <v>27</v>
      </c>
      <c r="L806" t="s">
        <v>15</v>
      </c>
    </row>
    <row r="807" spans="1:12" x14ac:dyDescent="0.3">
      <c r="A807">
        <v>99</v>
      </c>
      <c r="B807" t="s">
        <v>13</v>
      </c>
      <c r="C807">
        <v>31</v>
      </c>
      <c r="D807" t="s">
        <v>15</v>
      </c>
      <c r="E807" t="s">
        <v>15</v>
      </c>
      <c r="F807" t="s">
        <v>15</v>
      </c>
      <c r="G807" t="s">
        <v>17</v>
      </c>
      <c r="H807" t="s">
        <v>22</v>
      </c>
      <c r="I807">
        <v>108.89</v>
      </c>
      <c r="J807">
        <v>52.3</v>
      </c>
      <c r="K807" t="s">
        <v>27</v>
      </c>
      <c r="L807" t="s">
        <v>15</v>
      </c>
    </row>
    <row r="808" spans="1:12" x14ac:dyDescent="0.3">
      <c r="A808">
        <v>55529</v>
      </c>
      <c r="B808" t="s">
        <v>12</v>
      </c>
      <c r="C808">
        <v>39</v>
      </c>
      <c r="D808" t="s">
        <v>15</v>
      </c>
      <c r="E808" t="s">
        <v>15</v>
      </c>
      <c r="F808" t="s">
        <v>16</v>
      </c>
      <c r="G808" t="s">
        <v>17</v>
      </c>
      <c r="H808" t="s">
        <v>23</v>
      </c>
      <c r="I808">
        <v>114.32</v>
      </c>
      <c r="J808">
        <v>26.4</v>
      </c>
      <c r="K808" t="s">
        <v>25</v>
      </c>
      <c r="L808" t="s">
        <v>15</v>
      </c>
    </row>
    <row r="809" spans="1:12" x14ac:dyDescent="0.3">
      <c r="A809">
        <v>12204</v>
      </c>
      <c r="B809" t="s">
        <v>13</v>
      </c>
      <c r="C809">
        <v>51</v>
      </c>
      <c r="D809" t="s">
        <v>15</v>
      </c>
      <c r="E809" t="s">
        <v>15</v>
      </c>
      <c r="F809" t="s">
        <v>15</v>
      </c>
      <c r="G809" t="s">
        <v>19</v>
      </c>
      <c r="H809" t="s">
        <v>23</v>
      </c>
      <c r="I809">
        <v>116.14</v>
      </c>
      <c r="J809">
        <v>20.9</v>
      </c>
      <c r="K809" t="s">
        <v>25</v>
      </c>
      <c r="L809" t="s">
        <v>15</v>
      </c>
    </row>
    <row r="810" spans="1:12" x14ac:dyDescent="0.3">
      <c r="A810">
        <v>21397</v>
      </c>
      <c r="B810" t="s">
        <v>13</v>
      </c>
      <c r="C810">
        <v>40</v>
      </c>
      <c r="D810" t="s">
        <v>15</v>
      </c>
      <c r="E810" t="s">
        <v>15</v>
      </c>
      <c r="F810" t="s">
        <v>16</v>
      </c>
      <c r="G810" t="s">
        <v>19</v>
      </c>
      <c r="H810" t="s">
        <v>22</v>
      </c>
      <c r="I810">
        <v>122.74</v>
      </c>
      <c r="J810">
        <v>23.3</v>
      </c>
      <c r="K810" t="s">
        <v>27</v>
      </c>
      <c r="L810" t="s">
        <v>15</v>
      </c>
    </row>
    <row r="811" spans="1:12" x14ac:dyDescent="0.3">
      <c r="A811">
        <v>64633</v>
      </c>
      <c r="B811" t="s">
        <v>13</v>
      </c>
      <c r="C811">
        <v>48</v>
      </c>
      <c r="D811" t="s">
        <v>15</v>
      </c>
      <c r="E811" t="s">
        <v>15</v>
      </c>
      <c r="F811" t="s">
        <v>16</v>
      </c>
      <c r="G811" t="s">
        <v>17</v>
      </c>
      <c r="H811" t="s">
        <v>22</v>
      </c>
      <c r="I811">
        <v>94.04</v>
      </c>
      <c r="J811">
        <v>32.700000000000003</v>
      </c>
      <c r="K811" t="s">
        <v>25</v>
      </c>
      <c r="L811" t="s">
        <v>15</v>
      </c>
    </row>
    <row r="812" spans="1:12" x14ac:dyDescent="0.3">
      <c r="A812">
        <v>23016</v>
      </c>
      <c r="B812" t="s">
        <v>12</v>
      </c>
      <c r="C812">
        <v>55</v>
      </c>
      <c r="D812" t="s">
        <v>15</v>
      </c>
      <c r="E812" t="s">
        <v>15</v>
      </c>
      <c r="F812" t="s">
        <v>16</v>
      </c>
      <c r="G812" t="s">
        <v>17</v>
      </c>
      <c r="H812" t="s">
        <v>23</v>
      </c>
      <c r="I812">
        <v>86.6</v>
      </c>
      <c r="J812">
        <v>26.5</v>
      </c>
      <c r="K812" t="s">
        <v>25</v>
      </c>
      <c r="L812" t="s">
        <v>15</v>
      </c>
    </row>
    <row r="813" spans="1:12" x14ac:dyDescent="0.3">
      <c r="A813">
        <v>18412</v>
      </c>
      <c r="B813" t="s">
        <v>12</v>
      </c>
      <c r="C813">
        <v>41</v>
      </c>
      <c r="D813" t="s">
        <v>15</v>
      </c>
      <c r="E813" t="s">
        <v>15</v>
      </c>
      <c r="F813" t="s">
        <v>16</v>
      </c>
      <c r="G813" t="s">
        <v>17</v>
      </c>
      <c r="H813" t="s">
        <v>23</v>
      </c>
      <c r="I813">
        <v>82.32</v>
      </c>
      <c r="J813">
        <v>27.9</v>
      </c>
      <c r="K813" t="s">
        <v>27</v>
      </c>
      <c r="L813" t="s">
        <v>15</v>
      </c>
    </row>
    <row r="814" spans="1:12" x14ac:dyDescent="0.3">
      <c r="A814">
        <v>67412</v>
      </c>
      <c r="B814" t="s">
        <v>13</v>
      </c>
      <c r="C814">
        <v>39</v>
      </c>
      <c r="D814" t="s">
        <v>15</v>
      </c>
      <c r="E814" t="s">
        <v>15</v>
      </c>
      <c r="F814" t="s">
        <v>16</v>
      </c>
      <c r="G814" t="s">
        <v>17</v>
      </c>
      <c r="H814" t="s">
        <v>23</v>
      </c>
      <c r="I814">
        <v>83.83</v>
      </c>
      <c r="J814">
        <v>30.3</v>
      </c>
      <c r="K814" t="s">
        <v>25</v>
      </c>
      <c r="L814" t="s">
        <v>15</v>
      </c>
    </row>
    <row r="815" spans="1:12" x14ac:dyDescent="0.3">
      <c r="A815">
        <v>37545</v>
      </c>
      <c r="B815" t="s">
        <v>12</v>
      </c>
      <c r="C815">
        <v>41</v>
      </c>
      <c r="D815" t="s">
        <v>15</v>
      </c>
      <c r="E815" t="s">
        <v>15</v>
      </c>
      <c r="F815" t="s">
        <v>15</v>
      </c>
      <c r="G815" t="s">
        <v>19</v>
      </c>
      <c r="H815" t="s">
        <v>22</v>
      </c>
      <c r="I815">
        <v>106.98</v>
      </c>
      <c r="J815">
        <v>27.6</v>
      </c>
      <c r="K815" t="s">
        <v>25</v>
      </c>
      <c r="L815" t="s">
        <v>15</v>
      </c>
    </row>
    <row r="816" spans="1:12" x14ac:dyDescent="0.3">
      <c r="A816">
        <v>10324</v>
      </c>
      <c r="B816" t="s">
        <v>13</v>
      </c>
      <c r="C816">
        <v>5</v>
      </c>
      <c r="D816" t="s">
        <v>15</v>
      </c>
      <c r="E816" t="s">
        <v>15</v>
      </c>
      <c r="F816" t="s">
        <v>15</v>
      </c>
      <c r="G816" t="s">
        <v>20</v>
      </c>
      <c r="H816" t="s">
        <v>22</v>
      </c>
      <c r="I816">
        <v>93.88</v>
      </c>
      <c r="J816">
        <v>14.6</v>
      </c>
      <c r="K816" t="s">
        <v>27</v>
      </c>
      <c r="L816" t="s">
        <v>15</v>
      </c>
    </row>
    <row r="817" spans="1:12" x14ac:dyDescent="0.3">
      <c r="A817">
        <v>14491</v>
      </c>
      <c r="B817" t="s">
        <v>12</v>
      </c>
      <c r="C817">
        <v>38</v>
      </c>
      <c r="D817" t="s">
        <v>15</v>
      </c>
      <c r="E817" t="s">
        <v>15</v>
      </c>
      <c r="F817" t="s">
        <v>16</v>
      </c>
      <c r="G817" t="s">
        <v>19</v>
      </c>
      <c r="H817" t="s">
        <v>22</v>
      </c>
      <c r="I817">
        <v>70.53</v>
      </c>
      <c r="J817">
        <v>40.9</v>
      </c>
      <c r="K817" t="s">
        <v>26</v>
      </c>
      <c r="L817" t="s">
        <v>15</v>
      </c>
    </row>
    <row r="818" spans="1:12" x14ac:dyDescent="0.3">
      <c r="A818">
        <v>64582</v>
      </c>
      <c r="B818" t="s">
        <v>12</v>
      </c>
      <c r="C818">
        <v>40</v>
      </c>
      <c r="D818" t="s">
        <v>16</v>
      </c>
      <c r="E818" t="s">
        <v>15</v>
      </c>
      <c r="F818" t="s">
        <v>16</v>
      </c>
      <c r="G818" t="s">
        <v>19</v>
      </c>
      <c r="H818" t="s">
        <v>23</v>
      </c>
      <c r="I818">
        <v>212.01</v>
      </c>
      <c r="J818">
        <v>28.4</v>
      </c>
      <c r="K818" t="s">
        <v>25</v>
      </c>
      <c r="L818" t="s">
        <v>15</v>
      </c>
    </row>
    <row r="819" spans="1:12" x14ac:dyDescent="0.3">
      <c r="A819">
        <v>25514</v>
      </c>
      <c r="B819" t="s">
        <v>12</v>
      </c>
      <c r="C819">
        <v>12</v>
      </c>
      <c r="D819" t="s">
        <v>15</v>
      </c>
      <c r="E819" t="s">
        <v>15</v>
      </c>
      <c r="F819" t="s">
        <v>15</v>
      </c>
      <c r="G819" t="s">
        <v>20</v>
      </c>
      <c r="H819" t="s">
        <v>23</v>
      </c>
      <c r="I819">
        <v>65.88</v>
      </c>
      <c r="J819">
        <v>23.7</v>
      </c>
      <c r="K819" t="s">
        <v>27</v>
      </c>
      <c r="L819" t="s">
        <v>15</v>
      </c>
    </row>
    <row r="820" spans="1:12" x14ac:dyDescent="0.3">
      <c r="A820">
        <v>7663</v>
      </c>
      <c r="B820" t="s">
        <v>12</v>
      </c>
      <c r="C820">
        <v>20</v>
      </c>
      <c r="D820" t="s">
        <v>15</v>
      </c>
      <c r="E820" t="s">
        <v>15</v>
      </c>
      <c r="F820" t="s">
        <v>15</v>
      </c>
      <c r="G820" t="s">
        <v>19</v>
      </c>
      <c r="H820" t="s">
        <v>23</v>
      </c>
      <c r="I820">
        <v>106.97</v>
      </c>
      <c r="J820">
        <v>27.9</v>
      </c>
      <c r="K820" t="s">
        <v>24</v>
      </c>
      <c r="L820" t="s">
        <v>15</v>
      </c>
    </row>
    <row r="821" spans="1:12" x14ac:dyDescent="0.3">
      <c r="A821">
        <v>66220</v>
      </c>
      <c r="B821" t="s">
        <v>12</v>
      </c>
      <c r="C821">
        <v>53</v>
      </c>
      <c r="D821" t="s">
        <v>15</v>
      </c>
      <c r="E821" t="s">
        <v>15</v>
      </c>
      <c r="F821" t="s">
        <v>16</v>
      </c>
      <c r="G821" t="s">
        <v>17</v>
      </c>
      <c r="H821" t="s">
        <v>22</v>
      </c>
      <c r="I821">
        <v>126.35</v>
      </c>
      <c r="J821">
        <v>25.2</v>
      </c>
      <c r="K821" t="s">
        <v>25</v>
      </c>
      <c r="L821" t="s">
        <v>15</v>
      </c>
    </row>
    <row r="822" spans="1:12" x14ac:dyDescent="0.3">
      <c r="A822">
        <v>71793</v>
      </c>
      <c r="B822" t="s">
        <v>13</v>
      </c>
      <c r="C822">
        <v>21</v>
      </c>
      <c r="D822" t="s">
        <v>15</v>
      </c>
      <c r="E822" t="s">
        <v>15</v>
      </c>
      <c r="F822" t="s">
        <v>15</v>
      </c>
      <c r="G822" t="s">
        <v>17</v>
      </c>
      <c r="H822" t="s">
        <v>22</v>
      </c>
      <c r="I822">
        <v>129.16</v>
      </c>
      <c r="J822">
        <v>34.4</v>
      </c>
      <c r="K822" t="s">
        <v>27</v>
      </c>
      <c r="L822" t="s">
        <v>15</v>
      </c>
    </row>
    <row r="823" spans="1:12" x14ac:dyDescent="0.3">
      <c r="A823">
        <v>25458</v>
      </c>
      <c r="B823" t="s">
        <v>13</v>
      </c>
      <c r="C823">
        <v>70</v>
      </c>
      <c r="D823" t="s">
        <v>16</v>
      </c>
      <c r="E823" t="s">
        <v>15</v>
      </c>
      <c r="F823" t="s">
        <v>16</v>
      </c>
      <c r="G823" t="s">
        <v>19</v>
      </c>
      <c r="H823" t="s">
        <v>23</v>
      </c>
      <c r="I823">
        <v>88.66</v>
      </c>
      <c r="J823">
        <v>36.700000000000003</v>
      </c>
      <c r="K823" t="s">
        <v>24</v>
      </c>
      <c r="L823" t="s">
        <v>15</v>
      </c>
    </row>
    <row r="824" spans="1:12" x14ac:dyDescent="0.3">
      <c r="A824">
        <v>69645</v>
      </c>
      <c r="B824" t="s">
        <v>12</v>
      </c>
      <c r="C824">
        <v>61</v>
      </c>
      <c r="D824" t="s">
        <v>15</v>
      </c>
      <c r="E824" t="s">
        <v>15</v>
      </c>
      <c r="F824" t="s">
        <v>16</v>
      </c>
      <c r="G824" t="s">
        <v>19</v>
      </c>
      <c r="H824" t="s">
        <v>23</v>
      </c>
      <c r="I824">
        <v>112.95</v>
      </c>
      <c r="J824">
        <v>22.2</v>
      </c>
      <c r="K824" t="s">
        <v>24</v>
      </c>
      <c r="L824" t="s">
        <v>15</v>
      </c>
    </row>
    <row r="825" spans="1:12" x14ac:dyDescent="0.3">
      <c r="A825">
        <v>53695</v>
      </c>
      <c r="B825" t="s">
        <v>12</v>
      </c>
      <c r="C825">
        <v>70</v>
      </c>
      <c r="D825" t="s">
        <v>15</v>
      </c>
      <c r="E825" t="s">
        <v>15</v>
      </c>
      <c r="F825" t="s">
        <v>16</v>
      </c>
      <c r="G825" t="s">
        <v>19</v>
      </c>
      <c r="H825" t="s">
        <v>22</v>
      </c>
      <c r="I825">
        <v>81.59</v>
      </c>
      <c r="J825">
        <v>27.2</v>
      </c>
      <c r="K825" t="s">
        <v>25</v>
      </c>
      <c r="L825" t="s">
        <v>15</v>
      </c>
    </row>
    <row r="826" spans="1:12" x14ac:dyDescent="0.3">
      <c r="A826">
        <v>26692</v>
      </c>
      <c r="B826" t="s">
        <v>13</v>
      </c>
      <c r="C826">
        <v>38</v>
      </c>
      <c r="D826" t="s">
        <v>15</v>
      </c>
      <c r="E826" t="s">
        <v>15</v>
      </c>
      <c r="F826" t="s">
        <v>16</v>
      </c>
      <c r="G826" t="s">
        <v>19</v>
      </c>
      <c r="H826" t="s">
        <v>23</v>
      </c>
      <c r="I826">
        <v>76.819999999999993</v>
      </c>
      <c r="J826">
        <v>27.3</v>
      </c>
      <c r="K826" t="s">
        <v>25</v>
      </c>
      <c r="L826" t="s">
        <v>15</v>
      </c>
    </row>
    <row r="827" spans="1:12" x14ac:dyDescent="0.3">
      <c r="A827">
        <v>33400</v>
      </c>
      <c r="B827" t="s">
        <v>12</v>
      </c>
      <c r="C827">
        <v>59</v>
      </c>
      <c r="D827" t="s">
        <v>15</v>
      </c>
      <c r="E827" t="s">
        <v>15</v>
      </c>
      <c r="F827" t="s">
        <v>16</v>
      </c>
      <c r="G827" t="s">
        <v>19</v>
      </c>
      <c r="H827" t="s">
        <v>23</v>
      </c>
      <c r="I827">
        <v>73.75</v>
      </c>
      <c r="J827">
        <v>27.3</v>
      </c>
      <c r="K827" t="s">
        <v>26</v>
      </c>
      <c r="L827" t="s">
        <v>15</v>
      </c>
    </row>
    <row r="828" spans="1:12" x14ac:dyDescent="0.3">
      <c r="A828">
        <v>67078</v>
      </c>
      <c r="B828" t="s">
        <v>13</v>
      </c>
      <c r="C828">
        <v>36</v>
      </c>
      <c r="D828" t="s">
        <v>16</v>
      </c>
      <c r="E828" t="s">
        <v>15</v>
      </c>
      <c r="F828" t="s">
        <v>16</v>
      </c>
      <c r="G828" t="s">
        <v>17</v>
      </c>
      <c r="H828" t="s">
        <v>22</v>
      </c>
      <c r="I828">
        <v>91.56</v>
      </c>
      <c r="J828">
        <v>42.2</v>
      </c>
      <c r="K828" t="s">
        <v>25</v>
      </c>
      <c r="L828" t="s">
        <v>15</v>
      </c>
    </row>
    <row r="829" spans="1:12" x14ac:dyDescent="0.3">
      <c r="A829">
        <v>32352</v>
      </c>
      <c r="B829" t="s">
        <v>13</v>
      </c>
      <c r="C829">
        <v>31</v>
      </c>
      <c r="D829" t="s">
        <v>15</v>
      </c>
      <c r="E829" t="s">
        <v>15</v>
      </c>
      <c r="F829" t="s">
        <v>16</v>
      </c>
      <c r="G829" t="s">
        <v>19</v>
      </c>
      <c r="H829" t="s">
        <v>23</v>
      </c>
      <c r="I829">
        <v>104.55</v>
      </c>
      <c r="J829">
        <v>26.4</v>
      </c>
      <c r="K829" t="s">
        <v>25</v>
      </c>
      <c r="L829" t="s">
        <v>15</v>
      </c>
    </row>
    <row r="830" spans="1:12" x14ac:dyDescent="0.3">
      <c r="A830">
        <v>22540</v>
      </c>
      <c r="B830" t="s">
        <v>13</v>
      </c>
      <c r="C830">
        <v>65</v>
      </c>
      <c r="D830" t="s">
        <v>15</v>
      </c>
      <c r="E830" t="s">
        <v>15</v>
      </c>
      <c r="F830" t="s">
        <v>16</v>
      </c>
      <c r="G830" t="s">
        <v>19</v>
      </c>
      <c r="H830" t="s">
        <v>22</v>
      </c>
      <c r="I830">
        <v>84.84</v>
      </c>
      <c r="J830">
        <v>39.4</v>
      </c>
      <c r="K830" t="s">
        <v>27</v>
      </c>
      <c r="L830" t="s">
        <v>15</v>
      </c>
    </row>
    <row r="831" spans="1:12" x14ac:dyDescent="0.3">
      <c r="A831">
        <v>26999</v>
      </c>
      <c r="B831" t="s">
        <v>12</v>
      </c>
      <c r="C831">
        <v>61</v>
      </c>
      <c r="D831" t="s">
        <v>16</v>
      </c>
      <c r="E831" t="s">
        <v>16</v>
      </c>
      <c r="F831" t="s">
        <v>16</v>
      </c>
      <c r="G831" t="s">
        <v>19</v>
      </c>
      <c r="H831" t="s">
        <v>23</v>
      </c>
      <c r="I831">
        <v>86.06</v>
      </c>
      <c r="J831">
        <v>34.799999999999997</v>
      </c>
      <c r="K831" t="s">
        <v>25</v>
      </c>
      <c r="L831" t="s">
        <v>15</v>
      </c>
    </row>
    <row r="832" spans="1:12" x14ac:dyDescent="0.3">
      <c r="A832">
        <v>65218</v>
      </c>
      <c r="B832" t="s">
        <v>12</v>
      </c>
      <c r="C832">
        <v>2</v>
      </c>
      <c r="D832" t="s">
        <v>15</v>
      </c>
      <c r="E832" t="s">
        <v>15</v>
      </c>
      <c r="F832" t="s">
        <v>15</v>
      </c>
      <c r="G832" t="s">
        <v>20</v>
      </c>
      <c r="H832" t="s">
        <v>23</v>
      </c>
      <c r="I832">
        <v>109.1</v>
      </c>
      <c r="J832">
        <v>20</v>
      </c>
      <c r="K832" t="s">
        <v>27</v>
      </c>
      <c r="L832" t="s">
        <v>15</v>
      </c>
    </row>
    <row r="833" spans="1:12" x14ac:dyDescent="0.3">
      <c r="A833">
        <v>30102</v>
      </c>
      <c r="B833" t="s">
        <v>12</v>
      </c>
      <c r="C833">
        <v>52</v>
      </c>
      <c r="D833" t="s">
        <v>15</v>
      </c>
      <c r="E833" t="s">
        <v>15</v>
      </c>
      <c r="F833" t="s">
        <v>16</v>
      </c>
      <c r="G833" t="s">
        <v>17</v>
      </c>
      <c r="H833" t="s">
        <v>23</v>
      </c>
      <c r="I833">
        <v>68.349999999999994</v>
      </c>
      <c r="J833">
        <v>34.1</v>
      </c>
      <c r="K833" t="s">
        <v>25</v>
      </c>
      <c r="L833" t="s">
        <v>15</v>
      </c>
    </row>
    <row r="834" spans="1:12" x14ac:dyDescent="0.3">
      <c r="A834">
        <v>49521</v>
      </c>
      <c r="B834" t="s">
        <v>13</v>
      </c>
      <c r="C834">
        <v>33</v>
      </c>
      <c r="D834" t="s">
        <v>15</v>
      </c>
      <c r="E834" t="s">
        <v>15</v>
      </c>
      <c r="F834" t="s">
        <v>16</v>
      </c>
      <c r="G834" t="s">
        <v>17</v>
      </c>
      <c r="H834" t="s">
        <v>22</v>
      </c>
      <c r="I834">
        <v>121.04</v>
      </c>
      <c r="J834">
        <v>31.4</v>
      </c>
      <c r="K834" t="s">
        <v>27</v>
      </c>
      <c r="L834" t="s">
        <v>15</v>
      </c>
    </row>
    <row r="835" spans="1:12" x14ac:dyDescent="0.3">
      <c r="A835">
        <v>54643</v>
      </c>
      <c r="B835" t="s">
        <v>12</v>
      </c>
      <c r="C835">
        <v>5</v>
      </c>
      <c r="D835" t="s">
        <v>15</v>
      </c>
      <c r="E835" t="s">
        <v>15</v>
      </c>
      <c r="F835" t="s">
        <v>15</v>
      </c>
      <c r="G835" t="s">
        <v>20</v>
      </c>
      <c r="H835" t="s">
        <v>23</v>
      </c>
      <c r="I835">
        <v>160.83000000000001</v>
      </c>
      <c r="J835">
        <v>17.8</v>
      </c>
      <c r="K835" t="s">
        <v>27</v>
      </c>
      <c r="L835" t="s">
        <v>15</v>
      </c>
    </row>
    <row r="836" spans="1:12" x14ac:dyDescent="0.3">
      <c r="A836">
        <v>29134</v>
      </c>
      <c r="B836" t="s">
        <v>13</v>
      </c>
      <c r="C836">
        <v>32</v>
      </c>
      <c r="D836" t="s">
        <v>15</v>
      </c>
      <c r="E836" t="s">
        <v>15</v>
      </c>
      <c r="F836" t="s">
        <v>16</v>
      </c>
      <c r="G836" t="s">
        <v>17</v>
      </c>
      <c r="H836" t="s">
        <v>23</v>
      </c>
      <c r="I836">
        <v>85.62</v>
      </c>
      <c r="J836">
        <v>46.1</v>
      </c>
      <c r="K836" t="s">
        <v>26</v>
      </c>
      <c r="L836" t="s">
        <v>15</v>
      </c>
    </row>
    <row r="837" spans="1:12" x14ac:dyDescent="0.3">
      <c r="A837">
        <v>68281</v>
      </c>
      <c r="B837" t="s">
        <v>13</v>
      </c>
      <c r="C837">
        <v>54</v>
      </c>
      <c r="D837" t="s">
        <v>15</v>
      </c>
      <c r="E837" t="s">
        <v>15</v>
      </c>
      <c r="F837" t="s">
        <v>16</v>
      </c>
      <c r="G837" t="s">
        <v>19</v>
      </c>
      <c r="H837" t="s">
        <v>22</v>
      </c>
      <c r="I837">
        <v>74.23</v>
      </c>
      <c r="J837">
        <v>28.1</v>
      </c>
      <c r="K837" t="s">
        <v>24</v>
      </c>
      <c r="L837" t="s">
        <v>15</v>
      </c>
    </row>
    <row r="838" spans="1:12" x14ac:dyDescent="0.3">
      <c r="A838">
        <v>40350</v>
      </c>
      <c r="B838" t="s">
        <v>13</v>
      </c>
      <c r="C838">
        <v>51</v>
      </c>
      <c r="D838" t="s">
        <v>15</v>
      </c>
      <c r="E838" t="s">
        <v>15</v>
      </c>
      <c r="F838" t="s">
        <v>15</v>
      </c>
      <c r="G838" t="s">
        <v>17</v>
      </c>
      <c r="H838" t="s">
        <v>22</v>
      </c>
      <c r="I838">
        <v>110.76</v>
      </c>
      <c r="J838">
        <v>24.7</v>
      </c>
      <c r="K838" t="s">
        <v>24</v>
      </c>
      <c r="L838" t="s">
        <v>15</v>
      </c>
    </row>
    <row r="839" spans="1:12" x14ac:dyDescent="0.3">
      <c r="A839">
        <v>33410</v>
      </c>
      <c r="B839" t="s">
        <v>13</v>
      </c>
      <c r="C839">
        <v>39</v>
      </c>
      <c r="D839" t="s">
        <v>15</v>
      </c>
      <c r="E839" t="s">
        <v>15</v>
      </c>
      <c r="F839" t="s">
        <v>15</v>
      </c>
      <c r="G839" t="s">
        <v>19</v>
      </c>
      <c r="H839" t="s">
        <v>22</v>
      </c>
      <c r="I839">
        <v>79.44</v>
      </c>
      <c r="J839">
        <v>22.7</v>
      </c>
      <c r="K839" t="s">
        <v>25</v>
      </c>
      <c r="L839" t="s">
        <v>15</v>
      </c>
    </row>
    <row r="840" spans="1:12" x14ac:dyDescent="0.3">
      <c r="A840">
        <v>39375</v>
      </c>
      <c r="B840" t="s">
        <v>13</v>
      </c>
      <c r="C840">
        <v>40</v>
      </c>
      <c r="D840" t="s">
        <v>15</v>
      </c>
      <c r="E840" t="s">
        <v>15</v>
      </c>
      <c r="F840" t="s">
        <v>16</v>
      </c>
      <c r="G840" t="s">
        <v>17</v>
      </c>
      <c r="H840" t="s">
        <v>23</v>
      </c>
      <c r="I840">
        <v>119.52</v>
      </c>
      <c r="J840">
        <v>34.6</v>
      </c>
      <c r="K840" t="s">
        <v>25</v>
      </c>
      <c r="L840" t="s">
        <v>15</v>
      </c>
    </row>
    <row r="841" spans="1:12" x14ac:dyDescent="0.3">
      <c r="A841">
        <v>2543</v>
      </c>
      <c r="B841" t="s">
        <v>13</v>
      </c>
      <c r="C841">
        <v>19</v>
      </c>
      <c r="D841" t="s">
        <v>15</v>
      </c>
      <c r="E841" t="s">
        <v>15</v>
      </c>
      <c r="F841" t="s">
        <v>16</v>
      </c>
      <c r="G841" t="s">
        <v>17</v>
      </c>
      <c r="H841" t="s">
        <v>23</v>
      </c>
      <c r="I841">
        <v>90.42</v>
      </c>
      <c r="J841">
        <v>21.4</v>
      </c>
      <c r="K841" t="s">
        <v>25</v>
      </c>
      <c r="L841" t="s">
        <v>15</v>
      </c>
    </row>
    <row r="842" spans="1:12" x14ac:dyDescent="0.3">
      <c r="A842">
        <v>45289</v>
      </c>
      <c r="B842" t="s">
        <v>13</v>
      </c>
      <c r="C842">
        <v>9</v>
      </c>
      <c r="D842" t="s">
        <v>15</v>
      </c>
      <c r="E842" t="s">
        <v>15</v>
      </c>
      <c r="F842" t="s">
        <v>15</v>
      </c>
      <c r="G842" t="s">
        <v>20</v>
      </c>
      <c r="H842" t="s">
        <v>22</v>
      </c>
      <c r="I842">
        <v>109.32</v>
      </c>
      <c r="J842">
        <v>27.4</v>
      </c>
      <c r="K842" t="s">
        <v>27</v>
      </c>
      <c r="L842" t="s">
        <v>15</v>
      </c>
    </row>
    <row r="843" spans="1:12" x14ac:dyDescent="0.3">
      <c r="A843">
        <v>12106</v>
      </c>
      <c r="B843" t="s">
        <v>12</v>
      </c>
      <c r="C843">
        <v>53</v>
      </c>
      <c r="D843" t="s">
        <v>16</v>
      </c>
      <c r="E843" t="s">
        <v>15</v>
      </c>
      <c r="F843" t="s">
        <v>16</v>
      </c>
      <c r="G843" t="s">
        <v>19</v>
      </c>
      <c r="H843" t="s">
        <v>23</v>
      </c>
      <c r="I843">
        <v>78.16</v>
      </c>
      <c r="J843">
        <v>36.6</v>
      </c>
      <c r="K843" t="s">
        <v>25</v>
      </c>
      <c r="L843" t="s">
        <v>15</v>
      </c>
    </row>
    <row r="844" spans="1:12" x14ac:dyDescent="0.3">
      <c r="A844">
        <v>10792</v>
      </c>
      <c r="B844" t="s">
        <v>13</v>
      </c>
      <c r="C844">
        <v>23</v>
      </c>
      <c r="D844" t="s">
        <v>15</v>
      </c>
      <c r="E844" t="s">
        <v>15</v>
      </c>
      <c r="F844" t="s">
        <v>15</v>
      </c>
      <c r="G844" t="s">
        <v>17</v>
      </c>
      <c r="H844" t="s">
        <v>23</v>
      </c>
      <c r="I844">
        <v>79.13</v>
      </c>
      <c r="J844">
        <v>32.9</v>
      </c>
      <c r="K844" t="s">
        <v>24</v>
      </c>
      <c r="L844" t="s">
        <v>15</v>
      </c>
    </row>
    <row r="845" spans="1:12" x14ac:dyDescent="0.3">
      <c r="A845">
        <v>19153</v>
      </c>
      <c r="B845" t="s">
        <v>13</v>
      </c>
      <c r="C845">
        <v>19</v>
      </c>
      <c r="D845" t="s">
        <v>15</v>
      </c>
      <c r="E845" t="s">
        <v>15</v>
      </c>
      <c r="F845" t="s">
        <v>15</v>
      </c>
      <c r="G845" t="s">
        <v>18</v>
      </c>
      <c r="H845" t="s">
        <v>22</v>
      </c>
      <c r="I845">
        <v>84.06</v>
      </c>
      <c r="J845">
        <v>24.7</v>
      </c>
      <c r="K845" t="s">
        <v>25</v>
      </c>
      <c r="L845" t="s">
        <v>15</v>
      </c>
    </row>
    <row r="846" spans="1:12" x14ac:dyDescent="0.3">
      <c r="A846">
        <v>47876</v>
      </c>
      <c r="B846" t="s">
        <v>12</v>
      </c>
      <c r="C846">
        <v>1</v>
      </c>
      <c r="D846" t="s">
        <v>15</v>
      </c>
      <c r="E846" t="s">
        <v>15</v>
      </c>
      <c r="F846" t="s">
        <v>15</v>
      </c>
      <c r="G846" t="s">
        <v>20</v>
      </c>
      <c r="H846" t="s">
        <v>23</v>
      </c>
      <c r="I846">
        <v>89.3</v>
      </c>
      <c r="J846">
        <v>21.4</v>
      </c>
      <c r="K846" t="s">
        <v>27</v>
      </c>
      <c r="L846" t="s">
        <v>15</v>
      </c>
    </row>
    <row r="847" spans="1:12" x14ac:dyDescent="0.3">
      <c r="A847">
        <v>25283</v>
      </c>
      <c r="B847" t="s">
        <v>13</v>
      </c>
      <c r="C847">
        <v>48</v>
      </c>
      <c r="D847" t="s">
        <v>15</v>
      </c>
      <c r="E847" t="s">
        <v>15</v>
      </c>
      <c r="F847" t="s">
        <v>16</v>
      </c>
      <c r="G847" t="s">
        <v>17</v>
      </c>
      <c r="H847" t="s">
        <v>22</v>
      </c>
      <c r="I847">
        <v>69.209999999999994</v>
      </c>
      <c r="J847">
        <v>33.1</v>
      </c>
      <c r="K847" t="s">
        <v>25</v>
      </c>
      <c r="L847" t="s">
        <v>15</v>
      </c>
    </row>
    <row r="848" spans="1:12" x14ac:dyDescent="0.3">
      <c r="A848">
        <v>12270</v>
      </c>
      <c r="B848" t="s">
        <v>12</v>
      </c>
      <c r="C848">
        <v>71</v>
      </c>
      <c r="D848" t="s">
        <v>15</v>
      </c>
      <c r="E848" t="s">
        <v>15</v>
      </c>
      <c r="F848" t="s">
        <v>16</v>
      </c>
      <c r="G848" t="s">
        <v>19</v>
      </c>
      <c r="H848" t="s">
        <v>23</v>
      </c>
      <c r="I848">
        <v>186.45</v>
      </c>
      <c r="J848">
        <v>26.7</v>
      </c>
      <c r="K848" t="s">
        <v>25</v>
      </c>
      <c r="L848" t="s">
        <v>15</v>
      </c>
    </row>
    <row r="849" spans="1:12" x14ac:dyDescent="0.3">
      <c r="A849">
        <v>49949</v>
      </c>
      <c r="B849" t="s">
        <v>12</v>
      </c>
      <c r="C849">
        <v>44</v>
      </c>
      <c r="D849" t="s">
        <v>15</v>
      </c>
      <c r="E849" t="s">
        <v>15</v>
      </c>
      <c r="F849" t="s">
        <v>16</v>
      </c>
      <c r="G849" t="s">
        <v>17</v>
      </c>
      <c r="H849" t="s">
        <v>22</v>
      </c>
      <c r="I849">
        <v>58.47</v>
      </c>
      <c r="J849">
        <v>24.4</v>
      </c>
      <c r="K849" t="s">
        <v>25</v>
      </c>
      <c r="L849" t="s">
        <v>15</v>
      </c>
    </row>
    <row r="850" spans="1:12" x14ac:dyDescent="0.3">
      <c r="A850">
        <v>50826</v>
      </c>
      <c r="B850" t="s">
        <v>13</v>
      </c>
      <c r="C850">
        <v>53</v>
      </c>
      <c r="D850" t="s">
        <v>15</v>
      </c>
      <c r="E850" t="s">
        <v>15</v>
      </c>
      <c r="F850" t="s">
        <v>16</v>
      </c>
      <c r="G850" t="s">
        <v>19</v>
      </c>
      <c r="H850" t="s">
        <v>23</v>
      </c>
      <c r="I850">
        <v>189.49</v>
      </c>
      <c r="J850">
        <v>25.8</v>
      </c>
      <c r="K850" t="s">
        <v>27</v>
      </c>
      <c r="L850" t="s">
        <v>15</v>
      </c>
    </row>
    <row r="851" spans="1:12" x14ac:dyDescent="0.3">
      <c r="A851">
        <v>28681</v>
      </c>
      <c r="B851" t="s">
        <v>13</v>
      </c>
      <c r="C851">
        <v>70</v>
      </c>
      <c r="D851" t="s">
        <v>16</v>
      </c>
      <c r="E851" t="s">
        <v>15</v>
      </c>
      <c r="F851" t="s">
        <v>16</v>
      </c>
      <c r="G851" t="s">
        <v>18</v>
      </c>
      <c r="H851" t="s">
        <v>22</v>
      </c>
      <c r="I851">
        <v>99.6</v>
      </c>
      <c r="J851">
        <v>34.299999999999997</v>
      </c>
      <c r="K851" t="s">
        <v>24</v>
      </c>
      <c r="L851" t="s">
        <v>15</v>
      </c>
    </row>
    <row r="852" spans="1:12" x14ac:dyDescent="0.3">
      <c r="A852">
        <v>41615</v>
      </c>
      <c r="B852" t="s">
        <v>13</v>
      </c>
      <c r="C852">
        <v>1.4</v>
      </c>
      <c r="D852" t="s">
        <v>15</v>
      </c>
      <c r="E852" t="s">
        <v>15</v>
      </c>
      <c r="F852" t="s">
        <v>15</v>
      </c>
      <c r="G852" t="s">
        <v>20</v>
      </c>
      <c r="H852" t="s">
        <v>23</v>
      </c>
      <c r="I852">
        <v>126.18</v>
      </c>
      <c r="J852">
        <v>18.100000000000001</v>
      </c>
      <c r="K852" t="s">
        <v>27</v>
      </c>
      <c r="L852" t="s">
        <v>15</v>
      </c>
    </row>
    <row r="853" spans="1:12" x14ac:dyDescent="0.3">
      <c r="A853">
        <v>14147</v>
      </c>
      <c r="B853" t="s">
        <v>12</v>
      </c>
      <c r="C853">
        <v>49</v>
      </c>
      <c r="D853" t="s">
        <v>15</v>
      </c>
      <c r="E853" t="s">
        <v>15</v>
      </c>
      <c r="F853" t="s">
        <v>16</v>
      </c>
      <c r="G853" t="s">
        <v>17</v>
      </c>
      <c r="H853" t="s">
        <v>22</v>
      </c>
      <c r="I853">
        <v>186.32</v>
      </c>
      <c r="J853">
        <v>43.8</v>
      </c>
      <c r="K853" t="s">
        <v>26</v>
      </c>
      <c r="L853" t="s">
        <v>15</v>
      </c>
    </row>
    <row r="854" spans="1:12" x14ac:dyDescent="0.3">
      <c r="A854">
        <v>41537</v>
      </c>
      <c r="B854" t="s">
        <v>13</v>
      </c>
      <c r="C854">
        <v>17</v>
      </c>
      <c r="D854" t="s">
        <v>15</v>
      </c>
      <c r="E854" t="s">
        <v>15</v>
      </c>
      <c r="F854" t="s">
        <v>15</v>
      </c>
      <c r="G854" t="s">
        <v>17</v>
      </c>
      <c r="H854" t="s">
        <v>23</v>
      </c>
      <c r="I854">
        <v>62.49</v>
      </c>
      <c r="J854">
        <v>26.9</v>
      </c>
      <c r="K854" t="s">
        <v>25</v>
      </c>
      <c r="L854" t="s">
        <v>15</v>
      </c>
    </row>
    <row r="855" spans="1:12" x14ac:dyDescent="0.3">
      <c r="A855">
        <v>62332</v>
      </c>
      <c r="B855" t="s">
        <v>13</v>
      </c>
      <c r="C855">
        <v>40</v>
      </c>
      <c r="D855" t="s">
        <v>15</v>
      </c>
      <c r="E855" t="s">
        <v>15</v>
      </c>
      <c r="F855" t="s">
        <v>16</v>
      </c>
      <c r="G855" t="s">
        <v>17</v>
      </c>
      <c r="H855" t="s">
        <v>23</v>
      </c>
      <c r="I855">
        <v>74.510000000000005</v>
      </c>
      <c r="J855">
        <v>36.6</v>
      </c>
      <c r="K855" t="s">
        <v>25</v>
      </c>
      <c r="L855" t="s">
        <v>15</v>
      </c>
    </row>
    <row r="856" spans="1:12" x14ac:dyDescent="0.3">
      <c r="A856">
        <v>25488</v>
      </c>
      <c r="B856" t="s">
        <v>13</v>
      </c>
      <c r="C856">
        <v>46</v>
      </c>
      <c r="D856" t="s">
        <v>15</v>
      </c>
      <c r="E856" t="s">
        <v>15</v>
      </c>
      <c r="F856" t="s">
        <v>16</v>
      </c>
      <c r="G856" t="s">
        <v>18</v>
      </c>
      <c r="H856" t="s">
        <v>22</v>
      </c>
      <c r="I856">
        <v>94.63</v>
      </c>
      <c r="J856">
        <v>24.9</v>
      </c>
      <c r="K856" t="s">
        <v>25</v>
      </c>
      <c r="L856" t="s">
        <v>15</v>
      </c>
    </row>
    <row r="857" spans="1:12" x14ac:dyDescent="0.3">
      <c r="A857">
        <v>45759</v>
      </c>
      <c r="B857" t="s">
        <v>13</v>
      </c>
      <c r="C857">
        <v>32</v>
      </c>
      <c r="D857" t="s">
        <v>15</v>
      </c>
      <c r="E857" t="s">
        <v>15</v>
      </c>
      <c r="F857" t="s">
        <v>16</v>
      </c>
      <c r="G857" t="s">
        <v>17</v>
      </c>
      <c r="H857" t="s">
        <v>23</v>
      </c>
      <c r="I857">
        <v>91.98</v>
      </c>
      <c r="J857">
        <v>27.6</v>
      </c>
      <c r="K857" t="s">
        <v>26</v>
      </c>
      <c r="L857" t="s">
        <v>15</v>
      </c>
    </row>
    <row r="858" spans="1:12" x14ac:dyDescent="0.3">
      <c r="A858">
        <v>71929</v>
      </c>
      <c r="B858" t="s">
        <v>12</v>
      </c>
      <c r="C858">
        <v>2</v>
      </c>
      <c r="D858" t="s">
        <v>15</v>
      </c>
      <c r="E858" t="s">
        <v>15</v>
      </c>
      <c r="F858" t="s">
        <v>15</v>
      </c>
      <c r="G858" t="s">
        <v>20</v>
      </c>
      <c r="H858" t="s">
        <v>23</v>
      </c>
      <c r="I858">
        <v>56.77</v>
      </c>
      <c r="J858">
        <v>20.9</v>
      </c>
      <c r="K858" t="s">
        <v>27</v>
      </c>
      <c r="L858" t="s">
        <v>15</v>
      </c>
    </row>
    <row r="859" spans="1:12" x14ac:dyDescent="0.3">
      <c r="A859">
        <v>14807</v>
      </c>
      <c r="B859" t="s">
        <v>13</v>
      </c>
      <c r="C859">
        <v>40</v>
      </c>
      <c r="D859" t="s">
        <v>15</v>
      </c>
      <c r="E859" t="s">
        <v>15</v>
      </c>
      <c r="F859" t="s">
        <v>16</v>
      </c>
      <c r="G859" t="s">
        <v>17</v>
      </c>
      <c r="H859" t="s">
        <v>22</v>
      </c>
      <c r="I859">
        <v>75.87</v>
      </c>
      <c r="J859">
        <v>30.3</v>
      </c>
      <c r="K859" t="s">
        <v>25</v>
      </c>
      <c r="L859" t="s">
        <v>15</v>
      </c>
    </row>
    <row r="860" spans="1:12" x14ac:dyDescent="0.3">
      <c r="A860">
        <v>16110</v>
      </c>
      <c r="B860" t="s">
        <v>13</v>
      </c>
      <c r="C860">
        <v>19</v>
      </c>
      <c r="D860" t="s">
        <v>15</v>
      </c>
      <c r="E860" t="s">
        <v>15</v>
      </c>
      <c r="F860" t="s">
        <v>15</v>
      </c>
      <c r="G860" t="s">
        <v>17</v>
      </c>
      <c r="H860" t="s">
        <v>23</v>
      </c>
      <c r="I860">
        <v>77.19</v>
      </c>
      <c r="J860">
        <v>37.4</v>
      </c>
      <c r="K860" t="s">
        <v>26</v>
      </c>
      <c r="L860" t="s">
        <v>15</v>
      </c>
    </row>
    <row r="861" spans="1:12" x14ac:dyDescent="0.3">
      <c r="A861">
        <v>40970</v>
      </c>
      <c r="B861" t="s">
        <v>12</v>
      </c>
      <c r="C861">
        <v>43</v>
      </c>
      <c r="D861" t="s">
        <v>15</v>
      </c>
      <c r="E861" t="s">
        <v>15</v>
      </c>
      <c r="F861" t="s">
        <v>16</v>
      </c>
      <c r="G861" t="s">
        <v>17</v>
      </c>
      <c r="H861" t="s">
        <v>22</v>
      </c>
      <c r="I861">
        <v>135.75</v>
      </c>
      <c r="J861">
        <v>35.9</v>
      </c>
      <c r="K861" t="s">
        <v>26</v>
      </c>
      <c r="L861" t="s">
        <v>15</v>
      </c>
    </row>
    <row r="862" spans="1:12" x14ac:dyDescent="0.3">
      <c r="A862">
        <v>28933</v>
      </c>
      <c r="B862" t="s">
        <v>13</v>
      </c>
      <c r="C862">
        <v>46</v>
      </c>
      <c r="D862" t="s">
        <v>15</v>
      </c>
      <c r="E862" t="s">
        <v>15</v>
      </c>
      <c r="F862" t="s">
        <v>16</v>
      </c>
      <c r="G862" t="s">
        <v>17</v>
      </c>
      <c r="H862" t="s">
        <v>23</v>
      </c>
      <c r="I862">
        <v>100.15</v>
      </c>
      <c r="J862">
        <v>50.3</v>
      </c>
      <c r="K862" t="s">
        <v>26</v>
      </c>
      <c r="L862" t="s">
        <v>15</v>
      </c>
    </row>
    <row r="863" spans="1:12" x14ac:dyDescent="0.3">
      <c r="A863">
        <v>11709</v>
      </c>
      <c r="B863" t="s">
        <v>12</v>
      </c>
      <c r="C863">
        <v>71</v>
      </c>
      <c r="D863" t="s">
        <v>15</v>
      </c>
      <c r="E863" t="s">
        <v>15</v>
      </c>
      <c r="F863" t="s">
        <v>15</v>
      </c>
      <c r="G863" t="s">
        <v>17</v>
      </c>
      <c r="H863" t="s">
        <v>22</v>
      </c>
      <c r="I863">
        <v>95.08</v>
      </c>
      <c r="J863">
        <v>31.5</v>
      </c>
      <c r="K863" t="s">
        <v>25</v>
      </c>
      <c r="L863" t="s">
        <v>15</v>
      </c>
    </row>
    <row r="864" spans="1:12" x14ac:dyDescent="0.3">
      <c r="A864">
        <v>37154</v>
      </c>
      <c r="B864" t="s">
        <v>13</v>
      </c>
      <c r="C864">
        <v>31</v>
      </c>
      <c r="D864" t="s">
        <v>15</v>
      </c>
      <c r="E864" t="s">
        <v>15</v>
      </c>
      <c r="F864" t="s">
        <v>16</v>
      </c>
      <c r="G864" t="s">
        <v>17</v>
      </c>
      <c r="H864" t="s">
        <v>22</v>
      </c>
      <c r="I864">
        <v>125.38</v>
      </c>
      <c r="J864">
        <v>24.4</v>
      </c>
      <c r="K864" t="s">
        <v>26</v>
      </c>
      <c r="L864" t="s">
        <v>15</v>
      </c>
    </row>
    <row r="865" spans="1:12" x14ac:dyDescent="0.3">
      <c r="A865">
        <v>16809</v>
      </c>
      <c r="B865" t="s">
        <v>12</v>
      </c>
      <c r="C865">
        <v>41</v>
      </c>
      <c r="D865" t="s">
        <v>15</v>
      </c>
      <c r="E865" t="s">
        <v>15</v>
      </c>
      <c r="F865" t="s">
        <v>16</v>
      </c>
      <c r="G865" t="s">
        <v>17</v>
      </c>
      <c r="H865" t="s">
        <v>22</v>
      </c>
      <c r="I865">
        <v>111.71</v>
      </c>
      <c r="J865">
        <v>38.9</v>
      </c>
      <c r="K865" t="s">
        <v>24</v>
      </c>
      <c r="L865" t="s">
        <v>15</v>
      </c>
    </row>
    <row r="866" spans="1:12" x14ac:dyDescent="0.3">
      <c r="A866">
        <v>13907</v>
      </c>
      <c r="B866" t="s">
        <v>12</v>
      </c>
      <c r="C866">
        <v>65</v>
      </c>
      <c r="D866" t="s">
        <v>15</v>
      </c>
      <c r="E866" t="s">
        <v>15</v>
      </c>
      <c r="F866" t="s">
        <v>16</v>
      </c>
      <c r="G866" t="s">
        <v>18</v>
      </c>
      <c r="H866" t="s">
        <v>23</v>
      </c>
      <c r="I866">
        <v>94.64</v>
      </c>
      <c r="J866">
        <v>28.6</v>
      </c>
      <c r="K866" t="s">
        <v>25</v>
      </c>
      <c r="L866" t="s">
        <v>15</v>
      </c>
    </row>
    <row r="867" spans="1:12" x14ac:dyDescent="0.3">
      <c r="A867">
        <v>2314</v>
      </c>
      <c r="B867" t="s">
        <v>12</v>
      </c>
      <c r="C867">
        <v>52</v>
      </c>
      <c r="D867" t="s">
        <v>15</v>
      </c>
      <c r="E867" t="s">
        <v>15</v>
      </c>
      <c r="F867" t="s">
        <v>16</v>
      </c>
      <c r="G867" t="s">
        <v>17</v>
      </c>
      <c r="H867" t="s">
        <v>22</v>
      </c>
      <c r="I867">
        <v>226.7</v>
      </c>
      <c r="K867" t="s">
        <v>26</v>
      </c>
      <c r="L867" t="s">
        <v>15</v>
      </c>
    </row>
    <row r="868" spans="1:12" x14ac:dyDescent="0.3">
      <c r="A868">
        <v>70380</v>
      </c>
      <c r="B868" t="s">
        <v>13</v>
      </c>
      <c r="C868">
        <v>20</v>
      </c>
      <c r="D868" t="s">
        <v>15</v>
      </c>
      <c r="E868" t="s">
        <v>15</v>
      </c>
      <c r="F868" t="s">
        <v>15</v>
      </c>
      <c r="G868" t="s">
        <v>17</v>
      </c>
      <c r="H868" t="s">
        <v>22</v>
      </c>
      <c r="I868">
        <v>112.96</v>
      </c>
      <c r="J868">
        <v>27.5</v>
      </c>
      <c r="K868" t="s">
        <v>25</v>
      </c>
      <c r="L868" t="s">
        <v>15</v>
      </c>
    </row>
    <row r="869" spans="1:12" x14ac:dyDescent="0.3">
      <c r="A869">
        <v>63058</v>
      </c>
      <c r="B869" t="s">
        <v>13</v>
      </c>
      <c r="C869">
        <v>77</v>
      </c>
      <c r="D869" t="s">
        <v>15</v>
      </c>
      <c r="E869" t="s">
        <v>16</v>
      </c>
      <c r="F869" t="s">
        <v>16</v>
      </c>
      <c r="G869" t="s">
        <v>17</v>
      </c>
      <c r="H869" t="s">
        <v>23</v>
      </c>
      <c r="I869">
        <v>183.1</v>
      </c>
      <c r="K869" t="s">
        <v>25</v>
      </c>
      <c r="L869" t="s">
        <v>15</v>
      </c>
    </row>
    <row r="870" spans="1:12" x14ac:dyDescent="0.3">
      <c r="A870">
        <v>54071</v>
      </c>
      <c r="B870" t="s">
        <v>13</v>
      </c>
      <c r="C870">
        <v>51</v>
      </c>
      <c r="D870" t="s">
        <v>15</v>
      </c>
      <c r="E870" t="s">
        <v>15</v>
      </c>
      <c r="F870" t="s">
        <v>16</v>
      </c>
      <c r="G870" t="s">
        <v>17</v>
      </c>
      <c r="H870" t="s">
        <v>22</v>
      </c>
      <c r="I870">
        <v>105.36</v>
      </c>
      <c r="J870">
        <v>43.7</v>
      </c>
      <c r="K870" t="s">
        <v>27</v>
      </c>
      <c r="L870" t="s">
        <v>15</v>
      </c>
    </row>
    <row r="871" spans="1:12" x14ac:dyDescent="0.3">
      <c r="A871">
        <v>67405</v>
      </c>
      <c r="B871" t="s">
        <v>13</v>
      </c>
      <c r="C871">
        <v>37</v>
      </c>
      <c r="D871" t="s">
        <v>15</v>
      </c>
      <c r="E871" t="s">
        <v>15</v>
      </c>
      <c r="F871" t="s">
        <v>16</v>
      </c>
      <c r="G871" t="s">
        <v>17</v>
      </c>
      <c r="H871" t="s">
        <v>22</v>
      </c>
      <c r="I871">
        <v>84.13</v>
      </c>
      <c r="J871">
        <v>27</v>
      </c>
      <c r="K871" t="s">
        <v>25</v>
      </c>
      <c r="L871" t="s">
        <v>15</v>
      </c>
    </row>
    <row r="872" spans="1:12" x14ac:dyDescent="0.3">
      <c r="A872">
        <v>28024</v>
      </c>
      <c r="B872" t="s">
        <v>12</v>
      </c>
      <c r="C872">
        <v>49</v>
      </c>
      <c r="D872" t="s">
        <v>15</v>
      </c>
      <c r="E872" t="s">
        <v>15</v>
      </c>
      <c r="F872" t="s">
        <v>16</v>
      </c>
      <c r="G872" t="s">
        <v>17</v>
      </c>
      <c r="H872" t="s">
        <v>23</v>
      </c>
      <c r="I872">
        <v>102.47</v>
      </c>
      <c r="J872">
        <v>29.3</v>
      </c>
      <c r="K872" t="s">
        <v>24</v>
      </c>
      <c r="L872" t="s">
        <v>15</v>
      </c>
    </row>
    <row r="873" spans="1:12" x14ac:dyDescent="0.3">
      <c r="A873">
        <v>11730</v>
      </c>
      <c r="B873" t="s">
        <v>13</v>
      </c>
      <c r="C873">
        <v>62</v>
      </c>
      <c r="D873" t="s">
        <v>16</v>
      </c>
      <c r="E873" t="s">
        <v>15</v>
      </c>
      <c r="F873" t="s">
        <v>16</v>
      </c>
      <c r="G873" t="s">
        <v>19</v>
      </c>
      <c r="H873" t="s">
        <v>23</v>
      </c>
      <c r="I873">
        <v>77.040000000000006</v>
      </c>
      <c r="J873">
        <v>34.700000000000003</v>
      </c>
      <c r="K873" t="s">
        <v>25</v>
      </c>
      <c r="L873" t="s">
        <v>15</v>
      </c>
    </row>
    <row r="874" spans="1:12" x14ac:dyDescent="0.3">
      <c r="A874">
        <v>2549</v>
      </c>
      <c r="B874" t="s">
        <v>13</v>
      </c>
      <c r="C874">
        <v>17</v>
      </c>
      <c r="D874" t="s">
        <v>15</v>
      </c>
      <c r="E874" t="s">
        <v>15</v>
      </c>
      <c r="F874" t="s">
        <v>15</v>
      </c>
      <c r="G874" t="s">
        <v>17</v>
      </c>
      <c r="H874" t="s">
        <v>23</v>
      </c>
      <c r="I874">
        <v>83.23</v>
      </c>
      <c r="K874" t="s">
        <v>25</v>
      </c>
      <c r="L874" t="s">
        <v>15</v>
      </c>
    </row>
    <row r="875" spans="1:12" x14ac:dyDescent="0.3">
      <c r="A875">
        <v>17245</v>
      </c>
      <c r="B875" t="s">
        <v>13</v>
      </c>
      <c r="C875">
        <v>28</v>
      </c>
      <c r="D875" t="s">
        <v>15</v>
      </c>
      <c r="E875" t="s">
        <v>15</v>
      </c>
      <c r="F875" t="s">
        <v>16</v>
      </c>
      <c r="G875" t="s">
        <v>17</v>
      </c>
      <c r="H875" t="s">
        <v>23</v>
      </c>
      <c r="I875">
        <v>87.01</v>
      </c>
      <c r="J875">
        <v>39.9</v>
      </c>
      <c r="K875" t="s">
        <v>25</v>
      </c>
      <c r="L875" t="s">
        <v>15</v>
      </c>
    </row>
    <row r="876" spans="1:12" x14ac:dyDescent="0.3">
      <c r="A876">
        <v>70852</v>
      </c>
      <c r="B876" t="s">
        <v>12</v>
      </c>
      <c r="C876">
        <v>80</v>
      </c>
      <c r="D876" t="s">
        <v>15</v>
      </c>
      <c r="E876" t="s">
        <v>15</v>
      </c>
      <c r="F876" t="s">
        <v>16</v>
      </c>
      <c r="G876" t="s">
        <v>17</v>
      </c>
      <c r="H876" t="s">
        <v>23</v>
      </c>
      <c r="I876">
        <v>56.99</v>
      </c>
      <c r="J876">
        <v>26.7</v>
      </c>
      <c r="K876" t="s">
        <v>25</v>
      </c>
      <c r="L876" t="s">
        <v>15</v>
      </c>
    </row>
    <row r="877" spans="1:12" x14ac:dyDescent="0.3">
      <c r="A877">
        <v>60957</v>
      </c>
      <c r="B877" t="s">
        <v>12</v>
      </c>
      <c r="C877">
        <v>45</v>
      </c>
      <c r="D877" t="s">
        <v>15</v>
      </c>
      <c r="E877" t="s">
        <v>15</v>
      </c>
      <c r="F877" t="s">
        <v>16</v>
      </c>
      <c r="G877" t="s">
        <v>17</v>
      </c>
      <c r="H877" t="s">
        <v>23</v>
      </c>
      <c r="I877">
        <v>73.010000000000005</v>
      </c>
      <c r="J877">
        <v>24.8</v>
      </c>
      <c r="K877" t="s">
        <v>24</v>
      </c>
      <c r="L877" t="s">
        <v>15</v>
      </c>
    </row>
    <row r="878" spans="1:12" x14ac:dyDescent="0.3">
      <c r="A878">
        <v>19742</v>
      </c>
      <c r="B878" t="s">
        <v>13</v>
      </c>
      <c r="C878">
        <v>37</v>
      </c>
      <c r="D878" t="s">
        <v>15</v>
      </c>
      <c r="E878" t="s">
        <v>15</v>
      </c>
      <c r="F878" t="s">
        <v>16</v>
      </c>
      <c r="G878" t="s">
        <v>17</v>
      </c>
      <c r="H878" t="s">
        <v>22</v>
      </c>
      <c r="I878">
        <v>106.35</v>
      </c>
      <c r="J878">
        <v>29.7</v>
      </c>
      <c r="K878" t="s">
        <v>25</v>
      </c>
      <c r="L878" t="s">
        <v>15</v>
      </c>
    </row>
    <row r="879" spans="1:12" x14ac:dyDescent="0.3">
      <c r="A879">
        <v>10782</v>
      </c>
      <c r="B879" t="s">
        <v>13</v>
      </c>
      <c r="C879">
        <v>3</v>
      </c>
      <c r="D879" t="s">
        <v>15</v>
      </c>
      <c r="E879" t="s">
        <v>15</v>
      </c>
      <c r="F879" t="s">
        <v>15</v>
      </c>
      <c r="G879" t="s">
        <v>20</v>
      </c>
      <c r="H879" t="s">
        <v>23</v>
      </c>
      <c r="I879">
        <v>80.63</v>
      </c>
      <c r="J879">
        <v>15.9</v>
      </c>
      <c r="K879" t="s">
        <v>27</v>
      </c>
      <c r="L879" t="s">
        <v>15</v>
      </c>
    </row>
    <row r="880" spans="1:12" x14ac:dyDescent="0.3">
      <c r="A880">
        <v>61742</v>
      </c>
      <c r="B880" t="s">
        <v>12</v>
      </c>
      <c r="C880">
        <v>26</v>
      </c>
      <c r="D880" t="s">
        <v>15</v>
      </c>
      <c r="E880" t="s">
        <v>15</v>
      </c>
      <c r="F880" t="s">
        <v>15</v>
      </c>
      <c r="G880" t="s">
        <v>17</v>
      </c>
      <c r="H880" t="s">
        <v>22</v>
      </c>
      <c r="I880">
        <v>103.61</v>
      </c>
      <c r="J880">
        <v>31.4</v>
      </c>
      <c r="K880" t="s">
        <v>25</v>
      </c>
      <c r="L880" t="s">
        <v>15</v>
      </c>
    </row>
    <row r="881" spans="1:12" x14ac:dyDescent="0.3">
      <c r="A881">
        <v>4808</v>
      </c>
      <c r="B881" t="s">
        <v>13</v>
      </c>
      <c r="C881">
        <v>71</v>
      </c>
      <c r="D881" t="s">
        <v>15</v>
      </c>
      <c r="E881" t="s">
        <v>15</v>
      </c>
      <c r="F881" t="s">
        <v>16</v>
      </c>
      <c r="G881" t="s">
        <v>18</v>
      </c>
      <c r="H881" t="s">
        <v>22</v>
      </c>
      <c r="I881">
        <v>91.35</v>
      </c>
      <c r="K881" t="s">
        <v>24</v>
      </c>
      <c r="L881" t="s">
        <v>15</v>
      </c>
    </row>
    <row r="882" spans="1:12" x14ac:dyDescent="0.3">
      <c r="A882">
        <v>13571</v>
      </c>
      <c r="B882" t="s">
        <v>12</v>
      </c>
      <c r="C882">
        <v>58</v>
      </c>
      <c r="D882" t="s">
        <v>15</v>
      </c>
      <c r="E882" t="s">
        <v>15</v>
      </c>
      <c r="F882" t="s">
        <v>16</v>
      </c>
      <c r="G882" t="s">
        <v>19</v>
      </c>
      <c r="H882" t="s">
        <v>22</v>
      </c>
      <c r="I882">
        <v>194.04</v>
      </c>
      <c r="J882">
        <v>27.8</v>
      </c>
      <c r="K882" t="s">
        <v>25</v>
      </c>
      <c r="L882" t="s">
        <v>15</v>
      </c>
    </row>
    <row r="883" spans="1:12" x14ac:dyDescent="0.3">
      <c r="A883">
        <v>49928</v>
      </c>
      <c r="B883" t="s">
        <v>13</v>
      </c>
      <c r="C883">
        <v>59</v>
      </c>
      <c r="D883" t="s">
        <v>15</v>
      </c>
      <c r="E883" t="s">
        <v>15</v>
      </c>
      <c r="F883" t="s">
        <v>16</v>
      </c>
      <c r="G883" t="s">
        <v>19</v>
      </c>
      <c r="H883" t="s">
        <v>23</v>
      </c>
      <c r="I883">
        <v>111.99</v>
      </c>
      <c r="J883">
        <v>35.5</v>
      </c>
      <c r="K883" t="s">
        <v>24</v>
      </c>
      <c r="L883" t="s">
        <v>15</v>
      </c>
    </row>
    <row r="884" spans="1:12" x14ac:dyDescent="0.3">
      <c r="A884">
        <v>52688</v>
      </c>
      <c r="B884" t="s">
        <v>12</v>
      </c>
      <c r="C884">
        <v>74</v>
      </c>
      <c r="D884" t="s">
        <v>16</v>
      </c>
      <c r="E884" t="s">
        <v>15</v>
      </c>
      <c r="F884" t="s">
        <v>16</v>
      </c>
      <c r="G884" t="s">
        <v>17</v>
      </c>
      <c r="H884" t="s">
        <v>23</v>
      </c>
      <c r="I884">
        <v>57.51</v>
      </c>
      <c r="J884">
        <v>31.7</v>
      </c>
      <c r="K884" t="s">
        <v>26</v>
      </c>
      <c r="L884" t="s">
        <v>15</v>
      </c>
    </row>
    <row r="885" spans="1:12" x14ac:dyDescent="0.3">
      <c r="A885">
        <v>24099</v>
      </c>
      <c r="B885" t="s">
        <v>12</v>
      </c>
      <c r="C885">
        <v>17</v>
      </c>
      <c r="D885" t="s">
        <v>15</v>
      </c>
      <c r="E885" t="s">
        <v>15</v>
      </c>
      <c r="F885" t="s">
        <v>15</v>
      </c>
      <c r="G885" t="s">
        <v>17</v>
      </c>
      <c r="H885" t="s">
        <v>23</v>
      </c>
      <c r="I885">
        <v>68.489999999999995</v>
      </c>
      <c r="J885">
        <v>33.200000000000003</v>
      </c>
      <c r="K885" t="s">
        <v>25</v>
      </c>
      <c r="L885" t="s">
        <v>15</v>
      </c>
    </row>
    <row r="886" spans="1:12" x14ac:dyDescent="0.3">
      <c r="A886">
        <v>65698</v>
      </c>
      <c r="B886" t="s">
        <v>13</v>
      </c>
      <c r="C886">
        <v>62</v>
      </c>
      <c r="D886" t="s">
        <v>15</v>
      </c>
      <c r="E886" t="s">
        <v>15</v>
      </c>
      <c r="F886" t="s">
        <v>16</v>
      </c>
      <c r="G886" t="s">
        <v>17</v>
      </c>
      <c r="H886" t="s">
        <v>22</v>
      </c>
      <c r="I886">
        <v>60.2</v>
      </c>
      <c r="J886">
        <v>27.7</v>
      </c>
      <c r="K886" t="s">
        <v>24</v>
      </c>
      <c r="L886" t="s">
        <v>15</v>
      </c>
    </row>
    <row r="887" spans="1:12" x14ac:dyDescent="0.3">
      <c r="A887">
        <v>47885</v>
      </c>
      <c r="B887" t="s">
        <v>12</v>
      </c>
      <c r="C887">
        <v>37</v>
      </c>
      <c r="D887" t="s">
        <v>15</v>
      </c>
      <c r="E887" t="s">
        <v>15</v>
      </c>
      <c r="F887" t="s">
        <v>16</v>
      </c>
      <c r="G887" t="s">
        <v>18</v>
      </c>
      <c r="H887" t="s">
        <v>22</v>
      </c>
      <c r="I887">
        <v>160</v>
      </c>
      <c r="J887">
        <v>31.9</v>
      </c>
      <c r="K887" t="s">
        <v>24</v>
      </c>
      <c r="L887" t="s">
        <v>15</v>
      </c>
    </row>
    <row r="888" spans="1:12" x14ac:dyDescent="0.3">
      <c r="A888">
        <v>13948</v>
      </c>
      <c r="B888" t="s">
        <v>13</v>
      </c>
      <c r="C888">
        <v>19</v>
      </c>
      <c r="D888" t="s">
        <v>15</v>
      </c>
      <c r="E888" t="s">
        <v>15</v>
      </c>
      <c r="F888" t="s">
        <v>15</v>
      </c>
      <c r="G888" t="s">
        <v>21</v>
      </c>
      <c r="H888" t="s">
        <v>22</v>
      </c>
      <c r="I888">
        <v>86.96</v>
      </c>
      <c r="J888">
        <v>25.8</v>
      </c>
      <c r="K888" t="s">
        <v>25</v>
      </c>
      <c r="L888" t="s">
        <v>15</v>
      </c>
    </row>
    <row r="889" spans="1:12" x14ac:dyDescent="0.3">
      <c r="A889">
        <v>17351</v>
      </c>
      <c r="B889" t="s">
        <v>13</v>
      </c>
      <c r="C889">
        <v>59</v>
      </c>
      <c r="D889" t="s">
        <v>15</v>
      </c>
      <c r="E889" t="s">
        <v>15</v>
      </c>
      <c r="F889" t="s">
        <v>16</v>
      </c>
      <c r="G889" t="s">
        <v>17</v>
      </c>
      <c r="H889" t="s">
        <v>23</v>
      </c>
      <c r="I889">
        <v>237.15</v>
      </c>
      <c r="J889">
        <v>27.7</v>
      </c>
      <c r="K889" t="s">
        <v>25</v>
      </c>
      <c r="L889" t="s">
        <v>15</v>
      </c>
    </row>
    <row r="890" spans="1:12" x14ac:dyDescent="0.3">
      <c r="A890">
        <v>820</v>
      </c>
      <c r="B890" t="s">
        <v>13</v>
      </c>
      <c r="C890">
        <v>59</v>
      </c>
      <c r="D890" t="s">
        <v>16</v>
      </c>
      <c r="E890" t="s">
        <v>15</v>
      </c>
      <c r="F890" t="s">
        <v>16</v>
      </c>
      <c r="G890" t="s">
        <v>17</v>
      </c>
      <c r="H890" t="s">
        <v>23</v>
      </c>
      <c r="I890">
        <v>99.06</v>
      </c>
      <c r="J890">
        <v>23.4</v>
      </c>
      <c r="K890" t="s">
        <v>25</v>
      </c>
      <c r="L890" t="s">
        <v>15</v>
      </c>
    </row>
    <row r="891" spans="1:12" x14ac:dyDescent="0.3">
      <c r="A891">
        <v>55721</v>
      </c>
      <c r="B891" t="s">
        <v>12</v>
      </c>
      <c r="C891">
        <v>62</v>
      </c>
      <c r="D891" t="s">
        <v>15</v>
      </c>
      <c r="E891" t="s">
        <v>16</v>
      </c>
      <c r="F891" t="s">
        <v>16</v>
      </c>
      <c r="G891" t="s">
        <v>18</v>
      </c>
      <c r="H891" t="s">
        <v>22</v>
      </c>
      <c r="I891">
        <v>56.31</v>
      </c>
      <c r="J891">
        <v>24.3</v>
      </c>
      <c r="K891" t="s">
        <v>24</v>
      </c>
      <c r="L891" t="s">
        <v>15</v>
      </c>
    </row>
    <row r="892" spans="1:12" x14ac:dyDescent="0.3">
      <c r="A892">
        <v>72310</v>
      </c>
      <c r="B892" t="s">
        <v>12</v>
      </c>
      <c r="C892">
        <v>80</v>
      </c>
      <c r="D892" t="s">
        <v>16</v>
      </c>
      <c r="E892" t="s">
        <v>16</v>
      </c>
      <c r="F892" t="s">
        <v>16</v>
      </c>
      <c r="G892" t="s">
        <v>18</v>
      </c>
      <c r="H892" t="s">
        <v>22</v>
      </c>
      <c r="I892">
        <v>84.31</v>
      </c>
      <c r="J892">
        <v>30.3</v>
      </c>
      <c r="K892" t="s">
        <v>26</v>
      </c>
      <c r="L892" t="s">
        <v>15</v>
      </c>
    </row>
    <row r="893" spans="1:12" x14ac:dyDescent="0.3">
      <c r="A893">
        <v>24115</v>
      </c>
      <c r="B893" t="s">
        <v>13</v>
      </c>
      <c r="C893">
        <v>54</v>
      </c>
      <c r="D893" t="s">
        <v>15</v>
      </c>
      <c r="E893" t="s">
        <v>15</v>
      </c>
      <c r="F893" t="s">
        <v>16</v>
      </c>
      <c r="G893" t="s">
        <v>17</v>
      </c>
      <c r="H893" t="s">
        <v>23</v>
      </c>
      <c r="I893">
        <v>90.92</v>
      </c>
      <c r="J893">
        <v>29.1</v>
      </c>
      <c r="K893" t="s">
        <v>25</v>
      </c>
      <c r="L893" t="s">
        <v>15</v>
      </c>
    </row>
    <row r="894" spans="1:12" x14ac:dyDescent="0.3">
      <c r="A894">
        <v>65766</v>
      </c>
      <c r="B894" t="s">
        <v>13</v>
      </c>
      <c r="C894">
        <v>27</v>
      </c>
      <c r="D894" t="s">
        <v>15</v>
      </c>
      <c r="E894" t="s">
        <v>15</v>
      </c>
      <c r="F894" t="s">
        <v>15</v>
      </c>
      <c r="G894" t="s">
        <v>17</v>
      </c>
      <c r="H894" t="s">
        <v>23</v>
      </c>
      <c r="I894">
        <v>104.33</v>
      </c>
      <c r="J894">
        <v>20.100000000000001</v>
      </c>
      <c r="K894" t="s">
        <v>25</v>
      </c>
      <c r="L894" t="s">
        <v>15</v>
      </c>
    </row>
    <row r="895" spans="1:12" x14ac:dyDescent="0.3">
      <c r="A895">
        <v>42482</v>
      </c>
      <c r="B895" t="s">
        <v>13</v>
      </c>
      <c r="C895">
        <v>4</v>
      </c>
      <c r="D895" t="s">
        <v>15</v>
      </c>
      <c r="E895" t="s">
        <v>15</v>
      </c>
      <c r="F895" t="s">
        <v>15</v>
      </c>
      <c r="G895" t="s">
        <v>20</v>
      </c>
      <c r="H895" t="s">
        <v>22</v>
      </c>
      <c r="I895">
        <v>62.61</v>
      </c>
      <c r="J895">
        <v>21.2</v>
      </c>
      <c r="K895" t="s">
        <v>27</v>
      </c>
      <c r="L895" t="s">
        <v>15</v>
      </c>
    </row>
    <row r="896" spans="1:12" x14ac:dyDescent="0.3">
      <c r="A896">
        <v>25627</v>
      </c>
      <c r="B896" t="s">
        <v>12</v>
      </c>
      <c r="C896">
        <v>81</v>
      </c>
      <c r="D896" t="s">
        <v>16</v>
      </c>
      <c r="E896" t="s">
        <v>15</v>
      </c>
      <c r="F896" t="s">
        <v>16</v>
      </c>
      <c r="G896" t="s">
        <v>18</v>
      </c>
      <c r="H896" t="s">
        <v>22</v>
      </c>
      <c r="I896">
        <v>231.19</v>
      </c>
      <c r="J896">
        <v>31.6</v>
      </c>
      <c r="K896" t="s">
        <v>24</v>
      </c>
      <c r="L896" t="s">
        <v>15</v>
      </c>
    </row>
    <row r="897" spans="1:12" x14ac:dyDescent="0.3">
      <c r="A897">
        <v>7122</v>
      </c>
      <c r="B897" t="s">
        <v>13</v>
      </c>
      <c r="C897">
        <v>41</v>
      </c>
      <c r="D897" t="s">
        <v>15</v>
      </c>
      <c r="E897" t="s">
        <v>15</v>
      </c>
      <c r="F897" t="s">
        <v>15</v>
      </c>
      <c r="G897" t="s">
        <v>17</v>
      </c>
      <c r="H897" t="s">
        <v>23</v>
      </c>
      <c r="I897">
        <v>94.3</v>
      </c>
      <c r="J897">
        <v>41.6</v>
      </c>
      <c r="K897" t="s">
        <v>27</v>
      </c>
      <c r="L897" t="s">
        <v>15</v>
      </c>
    </row>
    <row r="898" spans="1:12" x14ac:dyDescent="0.3">
      <c r="A898">
        <v>48755</v>
      </c>
      <c r="B898" t="s">
        <v>12</v>
      </c>
      <c r="C898">
        <v>27</v>
      </c>
      <c r="D898" t="s">
        <v>15</v>
      </c>
      <c r="E898" t="s">
        <v>15</v>
      </c>
      <c r="F898" t="s">
        <v>16</v>
      </c>
      <c r="G898" t="s">
        <v>17</v>
      </c>
      <c r="H898" t="s">
        <v>23</v>
      </c>
      <c r="I898">
        <v>104.48</v>
      </c>
      <c r="J898">
        <v>36.4</v>
      </c>
      <c r="K898" t="s">
        <v>26</v>
      </c>
      <c r="L898" t="s">
        <v>15</v>
      </c>
    </row>
    <row r="899" spans="1:12" x14ac:dyDescent="0.3">
      <c r="A899">
        <v>33551</v>
      </c>
      <c r="B899" t="s">
        <v>13</v>
      </c>
      <c r="C899">
        <v>51</v>
      </c>
      <c r="D899" t="s">
        <v>16</v>
      </c>
      <c r="E899" t="s">
        <v>15</v>
      </c>
      <c r="F899" t="s">
        <v>16</v>
      </c>
      <c r="G899" t="s">
        <v>17</v>
      </c>
      <c r="H899" t="s">
        <v>22</v>
      </c>
      <c r="I899">
        <v>72.62</v>
      </c>
      <c r="J899">
        <v>30.5</v>
      </c>
      <c r="K899" t="s">
        <v>25</v>
      </c>
      <c r="L899" t="s">
        <v>15</v>
      </c>
    </row>
    <row r="900" spans="1:12" x14ac:dyDescent="0.3">
      <c r="A900">
        <v>62716</v>
      </c>
      <c r="B900" t="s">
        <v>13</v>
      </c>
      <c r="C900">
        <v>59</v>
      </c>
      <c r="D900" t="s">
        <v>15</v>
      </c>
      <c r="E900" t="s">
        <v>15</v>
      </c>
      <c r="F900" t="s">
        <v>16</v>
      </c>
      <c r="G900" t="s">
        <v>18</v>
      </c>
      <c r="H900" t="s">
        <v>22</v>
      </c>
      <c r="I900">
        <v>81.64</v>
      </c>
      <c r="J900">
        <v>32.799999999999997</v>
      </c>
      <c r="K900" t="s">
        <v>27</v>
      </c>
      <c r="L900" t="s">
        <v>15</v>
      </c>
    </row>
    <row r="901" spans="1:12" x14ac:dyDescent="0.3">
      <c r="A901">
        <v>68438</v>
      </c>
      <c r="B901" t="s">
        <v>13</v>
      </c>
      <c r="C901">
        <v>51</v>
      </c>
      <c r="D901" t="s">
        <v>15</v>
      </c>
      <c r="E901" t="s">
        <v>15</v>
      </c>
      <c r="F901" t="s">
        <v>16</v>
      </c>
      <c r="G901" t="s">
        <v>17</v>
      </c>
      <c r="H901" t="s">
        <v>23</v>
      </c>
      <c r="I901">
        <v>90.78</v>
      </c>
      <c r="J901">
        <v>32.299999999999997</v>
      </c>
      <c r="K901" t="s">
        <v>25</v>
      </c>
      <c r="L901" t="s">
        <v>15</v>
      </c>
    </row>
    <row r="902" spans="1:12" x14ac:dyDescent="0.3">
      <c r="A902">
        <v>41148</v>
      </c>
      <c r="B902" t="s">
        <v>12</v>
      </c>
      <c r="C902">
        <v>71</v>
      </c>
      <c r="D902" t="s">
        <v>15</v>
      </c>
      <c r="E902" t="s">
        <v>16</v>
      </c>
      <c r="F902" t="s">
        <v>16</v>
      </c>
      <c r="G902" t="s">
        <v>17</v>
      </c>
      <c r="H902" t="s">
        <v>22</v>
      </c>
      <c r="I902">
        <v>70.709999999999994</v>
      </c>
      <c r="J902">
        <v>30.1</v>
      </c>
      <c r="K902" t="s">
        <v>25</v>
      </c>
      <c r="L902" t="s">
        <v>15</v>
      </c>
    </row>
    <row r="903" spans="1:12" x14ac:dyDescent="0.3">
      <c r="A903">
        <v>14924</v>
      </c>
      <c r="B903" t="s">
        <v>12</v>
      </c>
      <c r="C903">
        <v>48</v>
      </c>
      <c r="D903" t="s">
        <v>15</v>
      </c>
      <c r="E903" t="s">
        <v>15</v>
      </c>
      <c r="F903" t="s">
        <v>16</v>
      </c>
      <c r="G903" t="s">
        <v>17</v>
      </c>
      <c r="H903" t="s">
        <v>22</v>
      </c>
      <c r="I903">
        <v>72.36</v>
      </c>
      <c r="J903">
        <v>34.700000000000003</v>
      </c>
      <c r="K903" t="s">
        <v>26</v>
      </c>
      <c r="L903" t="s">
        <v>15</v>
      </c>
    </row>
    <row r="904" spans="1:12" x14ac:dyDescent="0.3">
      <c r="A904">
        <v>47950</v>
      </c>
      <c r="B904" t="s">
        <v>13</v>
      </c>
      <c r="C904">
        <v>49</v>
      </c>
      <c r="D904" t="s">
        <v>15</v>
      </c>
      <c r="E904" t="s">
        <v>15</v>
      </c>
      <c r="F904" t="s">
        <v>16</v>
      </c>
      <c r="G904" t="s">
        <v>18</v>
      </c>
      <c r="H904" t="s">
        <v>22</v>
      </c>
      <c r="I904">
        <v>59.76</v>
      </c>
      <c r="J904">
        <v>29.7</v>
      </c>
      <c r="K904" t="s">
        <v>27</v>
      </c>
      <c r="L904" t="s">
        <v>15</v>
      </c>
    </row>
    <row r="905" spans="1:12" x14ac:dyDescent="0.3">
      <c r="A905">
        <v>8008</v>
      </c>
      <c r="B905" t="s">
        <v>13</v>
      </c>
      <c r="C905">
        <v>35</v>
      </c>
      <c r="D905" t="s">
        <v>15</v>
      </c>
      <c r="E905" t="s">
        <v>15</v>
      </c>
      <c r="F905" t="s">
        <v>15</v>
      </c>
      <c r="G905" t="s">
        <v>19</v>
      </c>
      <c r="H905" t="s">
        <v>22</v>
      </c>
      <c r="I905">
        <v>83.76</v>
      </c>
      <c r="K905" t="s">
        <v>26</v>
      </c>
      <c r="L905" t="s">
        <v>15</v>
      </c>
    </row>
    <row r="906" spans="1:12" x14ac:dyDescent="0.3">
      <c r="A906">
        <v>56089</v>
      </c>
      <c r="B906" t="s">
        <v>13</v>
      </c>
      <c r="C906">
        <v>25</v>
      </c>
      <c r="D906" t="s">
        <v>15</v>
      </c>
      <c r="E906" t="s">
        <v>15</v>
      </c>
      <c r="F906" t="s">
        <v>16</v>
      </c>
      <c r="G906" t="s">
        <v>17</v>
      </c>
      <c r="H906" t="s">
        <v>23</v>
      </c>
      <c r="I906">
        <v>63.64</v>
      </c>
      <c r="J906">
        <v>31.3</v>
      </c>
      <c r="K906" t="s">
        <v>24</v>
      </c>
      <c r="L906" t="s">
        <v>15</v>
      </c>
    </row>
    <row r="907" spans="1:12" x14ac:dyDescent="0.3">
      <c r="A907">
        <v>9262</v>
      </c>
      <c r="B907" t="s">
        <v>13</v>
      </c>
      <c r="C907">
        <v>31</v>
      </c>
      <c r="D907" t="s">
        <v>15</v>
      </c>
      <c r="E907" t="s">
        <v>15</v>
      </c>
      <c r="F907" t="s">
        <v>16</v>
      </c>
      <c r="G907" t="s">
        <v>17</v>
      </c>
      <c r="H907" t="s">
        <v>23</v>
      </c>
      <c r="I907">
        <v>76.260000000000005</v>
      </c>
      <c r="J907">
        <v>35.6</v>
      </c>
      <c r="K907" t="s">
        <v>25</v>
      </c>
      <c r="L907" t="s">
        <v>15</v>
      </c>
    </row>
    <row r="908" spans="1:12" x14ac:dyDescent="0.3">
      <c r="A908">
        <v>71896</v>
      </c>
      <c r="B908" t="s">
        <v>13</v>
      </c>
      <c r="C908">
        <v>68</v>
      </c>
      <c r="D908" t="s">
        <v>15</v>
      </c>
      <c r="E908" t="s">
        <v>15</v>
      </c>
      <c r="F908" t="s">
        <v>16</v>
      </c>
      <c r="G908" t="s">
        <v>17</v>
      </c>
      <c r="H908" t="s">
        <v>23</v>
      </c>
      <c r="I908">
        <v>82.06</v>
      </c>
      <c r="J908">
        <v>35.200000000000003</v>
      </c>
      <c r="K908" t="s">
        <v>24</v>
      </c>
      <c r="L908" t="s">
        <v>15</v>
      </c>
    </row>
    <row r="909" spans="1:12" x14ac:dyDescent="0.3">
      <c r="A909">
        <v>38623</v>
      </c>
      <c r="B909" t="s">
        <v>12</v>
      </c>
      <c r="C909">
        <v>39</v>
      </c>
      <c r="D909" t="s">
        <v>15</v>
      </c>
      <c r="E909" t="s">
        <v>15</v>
      </c>
      <c r="F909" t="s">
        <v>15</v>
      </c>
      <c r="G909" t="s">
        <v>17</v>
      </c>
      <c r="H909" t="s">
        <v>22</v>
      </c>
      <c r="I909">
        <v>110.91</v>
      </c>
      <c r="J909">
        <v>27.6</v>
      </c>
      <c r="K909" t="s">
        <v>25</v>
      </c>
      <c r="L909" t="s">
        <v>15</v>
      </c>
    </row>
    <row r="910" spans="1:12" x14ac:dyDescent="0.3">
      <c r="A910">
        <v>26503</v>
      </c>
      <c r="B910" t="s">
        <v>13</v>
      </c>
      <c r="C910">
        <v>32</v>
      </c>
      <c r="D910" t="s">
        <v>15</v>
      </c>
      <c r="E910" t="s">
        <v>15</v>
      </c>
      <c r="F910" t="s">
        <v>15</v>
      </c>
      <c r="G910" t="s">
        <v>17</v>
      </c>
      <c r="H910" t="s">
        <v>23</v>
      </c>
      <c r="I910">
        <v>77.16</v>
      </c>
      <c r="J910">
        <v>35.200000000000003</v>
      </c>
      <c r="K910" t="s">
        <v>26</v>
      </c>
      <c r="L910" t="s">
        <v>15</v>
      </c>
    </row>
    <row r="911" spans="1:12" x14ac:dyDescent="0.3">
      <c r="A911">
        <v>5475</v>
      </c>
      <c r="B911" t="s">
        <v>13</v>
      </c>
      <c r="C911">
        <v>39</v>
      </c>
      <c r="D911" t="s">
        <v>15</v>
      </c>
      <c r="E911" t="s">
        <v>15</v>
      </c>
      <c r="F911" t="s">
        <v>16</v>
      </c>
      <c r="G911" t="s">
        <v>17</v>
      </c>
      <c r="H911" t="s">
        <v>23</v>
      </c>
      <c r="I911">
        <v>69.58</v>
      </c>
      <c r="J911">
        <v>28.1</v>
      </c>
      <c r="K911" t="s">
        <v>27</v>
      </c>
      <c r="L911" t="s">
        <v>15</v>
      </c>
    </row>
    <row r="912" spans="1:12" x14ac:dyDescent="0.3">
      <c r="A912">
        <v>15525</v>
      </c>
      <c r="B912" t="s">
        <v>13</v>
      </c>
      <c r="C912">
        <v>63</v>
      </c>
      <c r="D912" t="s">
        <v>15</v>
      </c>
      <c r="E912" t="s">
        <v>15</v>
      </c>
      <c r="F912" t="s">
        <v>16</v>
      </c>
      <c r="G912" t="s">
        <v>17</v>
      </c>
      <c r="H912" t="s">
        <v>22</v>
      </c>
      <c r="I912">
        <v>96.26</v>
      </c>
      <c r="J912">
        <v>31.8</v>
      </c>
      <c r="K912" t="s">
        <v>27</v>
      </c>
      <c r="L912" t="s">
        <v>15</v>
      </c>
    </row>
    <row r="913" spans="1:12" x14ac:dyDescent="0.3">
      <c r="A913">
        <v>48748</v>
      </c>
      <c r="B913" t="s">
        <v>13</v>
      </c>
      <c r="C913">
        <v>69</v>
      </c>
      <c r="D913" t="s">
        <v>15</v>
      </c>
      <c r="E913" t="s">
        <v>15</v>
      </c>
      <c r="F913" t="s">
        <v>16</v>
      </c>
      <c r="G913" t="s">
        <v>17</v>
      </c>
      <c r="H913" t="s">
        <v>23</v>
      </c>
      <c r="I913">
        <v>87.27</v>
      </c>
      <c r="J913">
        <v>23.3</v>
      </c>
      <c r="K913" t="s">
        <v>26</v>
      </c>
      <c r="L913" t="s">
        <v>15</v>
      </c>
    </row>
    <row r="914" spans="1:12" x14ac:dyDescent="0.3">
      <c r="A914">
        <v>11745</v>
      </c>
      <c r="B914" t="s">
        <v>13</v>
      </c>
      <c r="C914">
        <v>29</v>
      </c>
      <c r="D914" t="s">
        <v>15</v>
      </c>
      <c r="E914" t="s">
        <v>15</v>
      </c>
      <c r="F914" t="s">
        <v>16</v>
      </c>
      <c r="G914" t="s">
        <v>17</v>
      </c>
      <c r="H914" t="s">
        <v>22</v>
      </c>
      <c r="I914">
        <v>65.36</v>
      </c>
      <c r="J914">
        <v>28.8</v>
      </c>
      <c r="K914" t="s">
        <v>24</v>
      </c>
      <c r="L914" t="s">
        <v>15</v>
      </c>
    </row>
    <row r="915" spans="1:12" x14ac:dyDescent="0.3">
      <c r="A915">
        <v>17733</v>
      </c>
      <c r="B915" t="s">
        <v>13</v>
      </c>
      <c r="C915">
        <v>1.72</v>
      </c>
      <c r="D915" t="s">
        <v>15</v>
      </c>
      <c r="E915" t="s">
        <v>15</v>
      </c>
      <c r="F915" t="s">
        <v>15</v>
      </c>
      <c r="G915" t="s">
        <v>20</v>
      </c>
      <c r="H915" t="s">
        <v>23</v>
      </c>
      <c r="I915">
        <v>109.51</v>
      </c>
      <c r="J915">
        <v>19.5</v>
      </c>
      <c r="K915" t="s">
        <v>27</v>
      </c>
      <c r="L915" t="s">
        <v>15</v>
      </c>
    </row>
    <row r="916" spans="1:12" x14ac:dyDescent="0.3">
      <c r="A916">
        <v>71591</v>
      </c>
      <c r="B916" t="s">
        <v>13</v>
      </c>
      <c r="C916">
        <v>58</v>
      </c>
      <c r="D916" t="s">
        <v>15</v>
      </c>
      <c r="E916" t="s">
        <v>15</v>
      </c>
      <c r="F916" t="s">
        <v>16</v>
      </c>
      <c r="G916" t="s">
        <v>17</v>
      </c>
      <c r="H916" t="s">
        <v>22</v>
      </c>
      <c r="I916">
        <v>89.03</v>
      </c>
      <c r="J916">
        <v>30</v>
      </c>
      <c r="K916" t="s">
        <v>26</v>
      </c>
      <c r="L916" t="s">
        <v>15</v>
      </c>
    </row>
    <row r="917" spans="1:12" x14ac:dyDescent="0.3">
      <c r="A917">
        <v>11743</v>
      </c>
      <c r="B917" t="s">
        <v>13</v>
      </c>
      <c r="C917">
        <v>32</v>
      </c>
      <c r="D917" t="s">
        <v>15</v>
      </c>
      <c r="E917" t="s">
        <v>15</v>
      </c>
      <c r="F917" t="s">
        <v>16</v>
      </c>
      <c r="G917" t="s">
        <v>17</v>
      </c>
      <c r="H917" t="s">
        <v>22</v>
      </c>
      <c r="I917">
        <v>91.34</v>
      </c>
      <c r="J917">
        <v>25.5</v>
      </c>
      <c r="K917" t="s">
        <v>24</v>
      </c>
      <c r="L917" t="s">
        <v>15</v>
      </c>
    </row>
    <row r="918" spans="1:12" x14ac:dyDescent="0.3">
      <c r="A918">
        <v>67864</v>
      </c>
      <c r="B918" t="s">
        <v>12</v>
      </c>
      <c r="C918">
        <v>63</v>
      </c>
      <c r="D918" t="s">
        <v>15</v>
      </c>
      <c r="E918" t="s">
        <v>15</v>
      </c>
      <c r="F918" t="s">
        <v>16</v>
      </c>
      <c r="G918" t="s">
        <v>17</v>
      </c>
      <c r="H918" t="s">
        <v>23</v>
      </c>
      <c r="I918">
        <v>57.82</v>
      </c>
      <c r="J918">
        <v>28.8</v>
      </c>
      <c r="K918" t="s">
        <v>24</v>
      </c>
      <c r="L918" t="s">
        <v>15</v>
      </c>
    </row>
    <row r="919" spans="1:12" x14ac:dyDescent="0.3">
      <c r="A919">
        <v>34857</v>
      </c>
      <c r="B919" t="s">
        <v>12</v>
      </c>
      <c r="C919">
        <v>57</v>
      </c>
      <c r="D919" t="s">
        <v>15</v>
      </c>
      <c r="E919" t="s">
        <v>15</v>
      </c>
      <c r="F919" t="s">
        <v>16</v>
      </c>
      <c r="G919" t="s">
        <v>18</v>
      </c>
      <c r="H919" t="s">
        <v>22</v>
      </c>
      <c r="I919">
        <v>81.150000000000006</v>
      </c>
      <c r="J919">
        <v>40.200000000000003</v>
      </c>
      <c r="K919" t="s">
        <v>24</v>
      </c>
      <c r="L919" t="s">
        <v>15</v>
      </c>
    </row>
    <row r="920" spans="1:12" x14ac:dyDescent="0.3">
      <c r="A920">
        <v>34995</v>
      </c>
      <c r="B920" t="s">
        <v>13</v>
      </c>
      <c r="C920">
        <v>77</v>
      </c>
      <c r="D920" t="s">
        <v>15</v>
      </c>
      <c r="E920" t="s">
        <v>15</v>
      </c>
      <c r="F920" t="s">
        <v>16</v>
      </c>
      <c r="G920" t="s">
        <v>17</v>
      </c>
      <c r="H920" t="s">
        <v>23</v>
      </c>
      <c r="I920">
        <v>115.29</v>
      </c>
      <c r="J920">
        <v>32.9</v>
      </c>
      <c r="K920" t="s">
        <v>27</v>
      </c>
      <c r="L920" t="s">
        <v>15</v>
      </c>
    </row>
    <row r="921" spans="1:12" x14ac:dyDescent="0.3">
      <c r="A921">
        <v>3606</v>
      </c>
      <c r="B921" t="s">
        <v>12</v>
      </c>
      <c r="C921">
        <v>8</v>
      </c>
      <c r="D921" t="s">
        <v>15</v>
      </c>
      <c r="E921" t="s">
        <v>15</v>
      </c>
      <c r="F921" t="s">
        <v>15</v>
      </c>
      <c r="G921" t="s">
        <v>20</v>
      </c>
      <c r="H921" t="s">
        <v>22</v>
      </c>
      <c r="I921">
        <v>111.02</v>
      </c>
      <c r="J921">
        <v>22.4</v>
      </c>
      <c r="K921" t="s">
        <v>27</v>
      </c>
      <c r="L921" t="s">
        <v>15</v>
      </c>
    </row>
    <row r="922" spans="1:12" x14ac:dyDescent="0.3">
      <c r="A922">
        <v>22952</v>
      </c>
      <c r="B922" t="s">
        <v>13</v>
      </c>
      <c r="C922">
        <v>21</v>
      </c>
      <c r="D922" t="s">
        <v>15</v>
      </c>
      <c r="E922" t="s">
        <v>15</v>
      </c>
      <c r="F922" t="s">
        <v>15</v>
      </c>
      <c r="G922" t="s">
        <v>19</v>
      </c>
      <c r="H922" t="s">
        <v>22</v>
      </c>
      <c r="I922">
        <v>111.61</v>
      </c>
      <c r="J922">
        <v>36.9</v>
      </c>
      <c r="K922" t="s">
        <v>26</v>
      </c>
      <c r="L922" t="s">
        <v>15</v>
      </c>
    </row>
    <row r="923" spans="1:12" x14ac:dyDescent="0.3">
      <c r="A923">
        <v>32554</v>
      </c>
      <c r="B923" t="s">
        <v>13</v>
      </c>
      <c r="C923">
        <v>16</v>
      </c>
      <c r="D923" t="s">
        <v>15</v>
      </c>
      <c r="E923" t="s">
        <v>15</v>
      </c>
      <c r="F923" t="s">
        <v>15</v>
      </c>
      <c r="G923" t="s">
        <v>20</v>
      </c>
      <c r="H923" t="s">
        <v>23</v>
      </c>
      <c r="I923">
        <v>109.02</v>
      </c>
      <c r="J923">
        <v>19.8</v>
      </c>
      <c r="K923" t="s">
        <v>27</v>
      </c>
      <c r="L923" t="s">
        <v>15</v>
      </c>
    </row>
    <row r="924" spans="1:12" x14ac:dyDescent="0.3">
      <c r="A924">
        <v>45893</v>
      </c>
      <c r="B924" t="s">
        <v>13</v>
      </c>
      <c r="C924">
        <v>8</v>
      </c>
      <c r="D924" t="s">
        <v>15</v>
      </c>
      <c r="E924" t="s">
        <v>15</v>
      </c>
      <c r="F924" t="s">
        <v>15</v>
      </c>
      <c r="G924" t="s">
        <v>20</v>
      </c>
      <c r="H924" t="s">
        <v>22</v>
      </c>
      <c r="I924">
        <v>106.51</v>
      </c>
      <c r="J924">
        <v>12.3</v>
      </c>
      <c r="K924" t="s">
        <v>27</v>
      </c>
      <c r="L924" t="s">
        <v>15</v>
      </c>
    </row>
    <row r="925" spans="1:12" x14ac:dyDescent="0.3">
      <c r="A925">
        <v>72020</v>
      </c>
      <c r="B925" t="s">
        <v>12</v>
      </c>
      <c r="C925">
        <v>71</v>
      </c>
      <c r="D925" t="s">
        <v>15</v>
      </c>
      <c r="E925" t="s">
        <v>16</v>
      </c>
      <c r="F925" t="s">
        <v>16</v>
      </c>
      <c r="G925" t="s">
        <v>18</v>
      </c>
      <c r="H925" t="s">
        <v>23</v>
      </c>
      <c r="I925">
        <v>207.32</v>
      </c>
      <c r="J925">
        <v>32.4</v>
      </c>
      <c r="K925" t="s">
        <v>26</v>
      </c>
      <c r="L925" t="s">
        <v>15</v>
      </c>
    </row>
    <row r="926" spans="1:12" x14ac:dyDescent="0.3">
      <c r="A926">
        <v>57879</v>
      </c>
      <c r="B926" t="s">
        <v>13</v>
      </c>
      <c r="C926">
        <v>74</v>
      </c>
      <c r="D926" t="s">
        <v>15</v>
      </c>
      <c r="E926" t="s">
        <v>15</v>
      </c>
      <c r="F926" t="s">
        <v>16</v>
      </c>
      <c r="G926" t="s">
        <v>17</v>
      </c>
      <c r="H926" t="s">
        <v>22</v>
      </c>
      <c r="I926">
        <v>87.11</v>
      </c>
      <c r="J926">
        <v>24.8</v>
      </c>
      <c r="K926" t="s">
        <v>25</v>
      </c>
      <c r="L926" t="s">
        <v>15</v>
      </c>
    </row>
    <row r="927" spans="1:12" x14ac:dyDescent="0.3">
      <c r="A927">
        <v>53538</v>
      </c>
      <c r="B927" t="s">
        <v>13</v>
      </c>
      <c r="C927">
        <v>7</v>
      </c>
      <c r="D927" t="s">
        <v>15</v>
      </c>
      <c r="E927" t="s">
        <v>15</v>
      </c>
      <c r="F927" t="s">
        <v>15</v>
      </c>
      <c r="G927" t="s">
        <v>20</v>
      </c>
      <c r="H927" t="s">
        <v>22</v>
      </c>
      <c r="I927">
        <v>61.68</v>
      </c>
      <c r="J927">
        <v>16.399999999999999</v>
      </c>
      <c r="K927" t="s">
        <v>27</v>
      </c>
      <c r="L927" t="s">
        <v>15</v>
      </c>
    </row>
    <row r="928" spans="1:12" x14ac:dyDescent="0.3">
      <c r="A928">
        <v>17006</v>
      </c>
      <c r="B928" t="s">
        <v>12</v>
      </c>
      <c r="C928">
        <v>19</v>
      </c>
      <c r="D928" t="s">
        <v>15</v>
      </c>
      <c r="E928" t="s">
        <v>15</v>
      </c>
      <c r="F928" t="s">
        <v>15</v>
      </c>
      <c r="G928" t="s">
        <v>17</v>
      </c>
      <c r="H928" t="s">
        <v>23</v>
      </c>
      <c r="I928">
        <v>119.04</v>
      </c>
      <c r="J928">
        <v>35.9</v>
      </c>
      <c r="K928" t="s">
        <v>27</v>
      </c>
      <c r="L928" t="s">
        <v>15</v>
      </c>
    </row>
    <row r="929" spans="1:12" x14ac:dyDescent="0.3">
      <c r="A929">
        <v>36638</v>
      </c>
      <c r="B929" t="s">
        <v>12</v>
      </c>
      <c r="C929">
        <v>64</v>
      </c>
      <c r="D929" t="s">
        <v>15</v>
      </c>
      <c r="E929" t="s">
        <v>15</v>
      </c>
      <c r="F929" t="s">
        <v>16</v>
      </c>
      <c r="G929" t="s">
        <v>17</v>
      </c>
      <c r="H929" t="s">
        <v>22</v>
      </c>
      <c r="I929">
        <v>86.05</v>
      </c>
      <c r="J929">
        <v>23</v>
      </c>
      <c r="K929" t="s">
        <v>27</v>
      </c>
      <c r="L929" t="s">
        <v>15</v>
      </c>
    </row>
    <row r="930" spans="1:12" x14ac:dyDescent="0.3">
      <c r="A930">
        <v>41097</v>
      </c>
      <c r="B930" t="s">
        <v>13</v>
      </c>
      <c r="C930">
        <v>23</v>
      </c>
      <c r="D930" t="s">
        <v>16</v>
      </c>
      <c r="E930" t="s">
        <v>15</v>
      </c>
      <c r="F930" t="s">
        <v>15</v>
      </c>
      <c r="G930" t="s">
        <v>17</v>
      </c>
      <c r="H930" t="s">
        <v>22</v>
      </c>
      <c r="I930">
        <v>70.03</v>
      </c>
      <c r="J930">
        <v>78</v>
      </c>
      <c r="K930" t="s">
        <v>26</v>
      </c>
      <c r="L930" t="s">
        <v>15</v>
      </c>
    </row>
    <row r="931" spans="1:12" x14ac:dyDescent="0.3">
      <c r="A931">
        <v>36618</v>
      </c>
      <c r="B931" t="s">
        <v>12</v>
      </c>
      <c r="C931">
        <v>75</v>
      </c>
      <c r="D931" t="s">
        <v>15</v>
      </c>
      <c r="E931" t="s">
        <v>16</v>
      </c>
      <c r="F931" t="s">
        <v>16</v>
      </c>
      <c r="G931" t="s">
        <v>18</v>
      </c>
      <c r="H931" t="s">
        <v>22</v>
      </c>
      <c r="I931">
        <v>207.64</v>
      </c>
      <c r="J931">
        <v>30.5</v>
      </c>
      <c r="K931" t="s">
        <v>24</v>
      </c>
      <c r="L931" t="s">
        <v>15</v>
      </c>
    </row>
    <row r="932" spans="1:12" x14ac:dyDescent="0.3">
      <c r="A932">
        <v>37290</v>
      </c>
      <c r="B932" t="s">
        <v>12</v>
      </c>
      <c r="C932">
        <v>80</v>
      </c>
      <c r="D932" t="s">
        <v>15</v>
      </c>
      <c r="E932" t="s">
        <v>15</v>
      </c>
      <c r="F932" t="s">
        <v>16</v>
      </c>
      <c r="G932" t="s">
        <v>18</v>
      </c>
      <c r="H932" t="s">
        <v>23</v>
      </c>
      <c r="I932">
        <v>236.84</v>
      </c>
      <c r="J932">
        <v>26.8</v>
      </c>
      <c r="K932" t="s">
        <v>25</v>
      </c>
      <c r="L932" t="s">
        <v>15</v>
      </c>
    </row>
    <row r="933" spans="1:12" x14ac:dyDescent="0.3">
      <c r="A933">
        <v>54620</v>
      </c>
      <c r="B933" t="s">
        <v>12</v>
      </c>
      <c r="C933">
        <v>40</v>
      </c>
      <c r="D933" t="s">
        <v>15</v>
      </c>
      <c r="E933" t="s">
        <v>15</v>
      </c>
      <c r="F933" t="s">
        <v>16</v>
      </c>
      <c r="G933" t="s">
        <v>17</v>
      </c>
      <c r="H933" t="s">
        <v>22</v>
      </c>
      <c r="I933">
        <v>78.11</v>
      </c>
      <c r="J933">
        <v>35.299999999999997</v>
      </c>
      <c r="K933" t="s">
        <v>25</v>
      </c>
      <c r="L933" t="s">
        <v>15</v>
      </c>
    </row>
    <row r="934" spans="1:12" x14ac:dyDescent="0.3">
      <c r="A934">
        <v>42108</v>
      </c>
      <c r="B934" t="s">
        <v>13</v>
      </c>
      <c r="C934">
        <v>24</v>
      </c>
      <c r="D934" t="s">
        <v>15</v>
      </c>
      <c r="E934" t="s">
        <v>15</v>
      </c>
      <c r="F934" t="s">
        <v>15</v>
      </c>
      <c r="G934" t="s">
        <v>19</v>
      </c>
      <c r="H934" t="s">
        <v>23</v>
      </c>
      <c r="I934">
        <v>100.97</v>
      </c>
      <c r="J934">
        <v>27.9</v>
      </c>
      <c r="K934" t="s">
        <v>25</v>
      </c>
      <c r="L934" t="s">
        <v>15</v>
      </c>
    </row>
    <row r="935" spans="1:12" x14ac:dyDescent="0.3">
      <c r="A935">
        <v>19681</v>
      </c>
      <c r="B935" t="s">
        <v>13</v>
      </c>
      <c r="C935">
        <v>74</v>
      </c>
      <c r="D935" t="s">
        <v>15</v>
      </c>
      <c r="E935" t="s">
        <v>15</v>
      </c>
      <c r="F935" t="s">
        <v>16</v>
      </c>
      <c r="G935" t="s">
        <v>18</v>
      </c>
      <c r="H935" t="s">
        <v>22</v>
      </c>
      <c r="I935">
        <v>99.21</v>
      </c>
      <c r="J935">
        <v>22.1</v>
      </c>
      <c r="K935" t="s">
        <v>25</v>
      </c>
      <c r="L935" t="s">
        <v>15</v>
      </c>
    </row>
    <row r="936" spans="1:12" x14ac:dyDescent="0.3">
      <c r="A936">
        <v>6988</v>
      </c>
      <c r="B936" t="s">
        <v>13</v>
      </c>
      <c r="C936">
        <v>52</v>
      </c>
      <c r="D936" t="s">
        <v>15</v>
      </c>
      <c r="E936" t="s">
        <v>15</v>
      </c>
      <c r="F936" t="s">
        <v>16</v>
      </c>
      <c r="G936" t="s">
        <v>18</v>
      </c>
      <c r="H936" t="s">
        <v>22</v>
      </c>
      <c r="I936">
        <v>113.21</v>
      </c>
      <c r="J936">
        <v>38.299999999999997</v>
      </c>
      <c r="K936" t="s">
        <v>25</v>
      </c>
      <c r="L936" t="s">
        <v>15</v>
      </c>
    </row>
    <row r="937" spans="1:12" x14ac:dyDescent="0.3">
      <c r="A937">
        <v>25287</v>
      </c>
      <c r="B937" t="s">
        <v>12</v>
      </c>
      <c r="C937">
        <v>54</v>
      </c>
      <c r="D937" t="s">
        <v>15</v>
      </c>
      <c r="E937" t="s">
        <v>15</v>
      </c>
      <c r="F937" t="s">
        <v>16</v>
      </c>
      <c r="G937" t="s">
        <v>17</v>
      </c>
      <c r="H937" t="s">
        <v>22</v>
      </c>
      <c r="I937">
        <v>92.95</v>
      </c>
      <c r="J937">
        <v>41</v>
      </c>
      <c r="K937" t="s">
        <v>25</v>
      </c>
      <c r="L937" t="s">
        <v>15</v>
      </c>
    </row>
    <row r="938" spans="1:12" x14ac:dyDescent="0.3">
      <c r="A938">
        <v>224</v>
      </c>
      <c r="B938" t="s">
        <v>13</v>
      </c>
      <c r="C938">
        <v>23</v>
      </c>
      <c r="D938" t="s">
        <v>15</v>
      </c>
      <c r="E938" t="s">
        <v>15</v>
      </c>
      <c r="F938" t="s">
        <v>15</v>
      </c>
      <c r="G938" t="s">
        <v>17</v>
      </c>
      <c r="H938" t="s">
        <v>22</v>
      </c>
      <c r="I938">
        <v>110.16</v>
      </c>
      <c r="K938" t="s">
        <v>25</v>
      </c>
      <c r="L938" t="s">
        <v>15</v>
      </c>
    </row>
    <row r="939" spans="1:12" x14ac:dyDescent="0.3">
      <c r="A939">
        <v>56679</v>
      </c>
      <c r="B939" t="s">
        <v>12</v>
      </c>
      <c r="C939">
        <v>19</v>
      </c>
      <c r="D939" t="s">
        <v>15</v>
      </c>
      <c r="E939" t="s">
        <v>15</v>
      </c>
      <c r="F939" t="s">
        <v>15</v>
      </c>
      <c r="G939" t="s">
        <v>17</v>
      </c>
      <c r="H939" t="s">
        <v>23</v>
      </c>
      <c r="I939">
        <v>142.57</v>
      </c>
      <c r="J939">
        <v>22.8</v>
      </c>
      <c r="K939" t="s">
        <v>27</v>
      </c>
      <c r="L939" t="s">
        <v>15</v>
      </c>
    </row>
    <row r="940" spans="1:12" x14ac:dyDescent="0.3">
      <c r="A940">
        <v>27146</v>
      </c>
      <c r="B940" t="s">
        <v>13</v>
      </c>
      <c r="C940">
        <v>23</v>
      </c>
      <c r="D940" t="s">
        <v>15</v>
      </c>
      <c r="E940" t="s">
        <v>15</v>
      </c>
      <c r="F940" t="s">
        <v>15</v>
      </c>
      <c r="G940" t="s">
        <v>17</v>
      </c>
      <c r="H940" t="s">
        <v>23</v>
      </c>
      <c r="I940">
        <v>92.87</v>
      </c>
      <c r="J940">
        <v>30.1</v>
      </c>
      <c r="K940" t="s">
        <v>25</v>
      </c>
      <c r="L940" t="s">
        <v>15</v>
      </c>
    </row>
    <row r="941" spans="1:12" x14ac:dyDescent="0.3">
      <c r="A941">
        <v>16556</v>
      </c>
      <c r="B941" t="s">
        <v>12</v>
      </c>
      <c r="C941">
        <v>13</v>
      </c>
      <c r="D941" t="s">
        <v>15</v>
      </c>
      <c r="E941" t="s">
        <v>15</v>
      </c>
      <c r="F941" t="s">
        <v>15</v>
      </c>
      <c r="G941" t="s">
        <v>21</v>
      </c>
      <c r="H941" t="s">
        <v>23</v>
      </c>
      <c r="I941">
        <v>111.48</v>
      </c>
      <c r="J941">
        <v>20.8</v>
      </c>
      <c r="K941" t="s">
        <v>27</v>
      </c>
      <c r="L941" t="s">
        <v>15</v>
      </c>
    </row>
    <row r="942" spans="1:12" x14ac:dyDescent="0.3">
      <c r="A942">
        <v>5934</v>
      </c>
      <c r="B942" t="s">
        <v>13</v>
      </c>
      <c r="C942">
        <v>51</v>
      </c>
      <c r="D942" t="s">
        <v>15</v>
      </c>
      <c r="E942" t="s">
        <v>15</v>
      </c>
      <c r="F942" t="s">
        <v>16</v>
      </c>
      <c r="G942" t="s">
        <v>17</v>
      </c>
      <c r="H942" t="s">
        <v>22</v>
      </c>
      <c r="I942">
        <v>123</v>
      </c>
      <c r="J942">
        <v>31.7</v>
      </c>
      <c r="K942" t="s">
        <v>25</v>
      </c>
      <c r="L942" t="s">
        <v>15</v>
      </c>
    </row>
    <row r="943" spans="1:12" x14ac:dyDescent="0.3">
      <c r="A943">
        <v>58999</v>
      </c>
      <c r="B943" t="s">
        <v>12</v>
      </c>
      <c r="C943">
        <v>60</v>
      </c>
      <c r="D943" t="s">
        <v>15</v>
      </c>
      <c r="E943" t="s">
        <v>15</v>
      </c>
      <c r="F943" t="s">
        <v>16</v>
      </c>
      <c r="G943" t="s">
        <v>19</v>
      </c>
      <c r="H943" t="s">
        <v>22</v>
      </c>
      <c r="I943">
        <v>100.54</v>
      </c>
      <c r="J943">
        <v>30.1</v>
      </c>
      <c r="K943" t="s">
        <v>25</v>
      </c>
      <c r="L943" t="s">
        <v>15</v>
      </c>
    </row>
    <row r="944" spans="1:12" x14ac:dyDescent="0.3">
      <c r="A944">
        <v>28261</v>
      </c>
      <c r="B944" t="s">
        <v>12</v>
      </c>
      <c r="C944">
        <v>79</v>
      </c>
      <c r="D944" t="s">
        <v>15</v>
      </c>
      <c r="E944" t="s">
        <v>16</v>
      </c>
      <c r="F944" t="s">
        <v>16</v>
      </c>
      <c r="G944" t="s">
        <v>18</v>
      </c>
      <c r="H944" t="s">
        <v>22</v>
      </c>
      <c r="I944">
        <v>106.68</v>
      </c>
      <c r="J944">
        <v>30.8</v>
      </c>
      <c r="K944" t="s">
        <v>25</v>
      </c>
      <c r="L944" t="s">
        <v>15</v>
      </c>
    </row>
    <row r="945" spans="1:12" x14ac:dyDescent="0.3">
      <c r="A945">
        <v>35222</v>
      </c>
      <c r="B945" t="s">
        <v>13</v>
      </c>
      <c r="C945">
        <v>75</v>
      </c>
      <c r="D945" t="s">
        <v>15</v>
      </c>
      <c r="E945" t="s">
        <v>15</v>
      </c>
      <c r="F945" t="s">
        <v>16</v>
      </c>
      <c r="G945" t="s">
        <v>17</v>
      </c>
      <c r="H945" t="s">
        <v>22</v>
      </c>
      <c r="I945">
        <v>86.4</v>
      </c>
      <c r="J945">
        <v>42.6</v>
      </c>
      <c r="K945" t="s">
        <v>25</v>
      </c>
      <c r="L945" t="s">
        <v>15</v>
      </c>
    </row>
    <row r="946" spans="1:12" x14ac:dyDescent="0.3">
      <c r="A946">
        <v>44105</v>
      </c>
      <c r="B946" t="s">
        <v>13</v>
      </c>
      <c r="C946">
        <v>69</v>
      </c>
      <c r="D946" t="s">
        <v>16</v>
      </c>
      <c r="E946" t="s">
        <v>15</v>
      </c>
      <c r="F946" t="s">
        <v>16</v>
      </c>
      <c r="G946" t="s">
        <v>18</v>
      </c>
      <c r="H946" t="s">
        <v>22</v>
      </c>
      <c r="I946">
        <v>61.81</v>
      </c>
      <c r="J946">
        <v>37.1</v>
      </c>
      <c r="K946" t="s">
        <v>27</v>
      </c>
      <c r="L946" t="s">
        <v>15</v>
      </c>
    </row>
    <row r="947" spans="1:12" x14ac:dyDescent="0.3">
      <c r="A947">
        <v>65256</v>
      </c>
      <c r="B947" t="s">
        <v>13</v>
      </c>
      <c r="C947">
        <v>57</v>
      </c>
      <c r="D947" t="s">
        <v>15</v>
      </c>
      <c r="E947" t="s">
        <v>15</v>
      </c>
      <c r="F947" t="s">
        <v>16</v>
      </c>
      <c r="G947" t="s">
        <v>18</v>
      </c>
      <c r="H947" t="s">
        <v>23</v>
      </c>
      <c r="I947">
        <v>128.28</v>
      </c>
      <c r="J947">
        <v>34.200000000000003</v>
      </c>
      <c r="K947" t="s">
        <v>25</v>
      </c>
      <c r="L947" t="s">
        <v>15</v>
      </c>
    </row>
    <row r="948" spans="1:12" x14ac:dyDescent="0.3">
      <c r="A948">
        <v>62709</v>
      </c>
      <c r="B948" t="s">
        <v>13</v>
      </c>
      <c r="C948">
        <v>47</v>
      </c>
      <c r="D948" t="s">
        <v>15</v>
      </c>
      <c r="E948" t="s">
        <v>15</v>
      </c>
      <c r="F948" t="s">
        <v>16</v>
      </c>
      <c r="G948" t="s">
        <v>17</v>
      </c>
      <c r="H948" t="s">
        <v>23</v>
      </c>
      <c r="I948">
        <v>204.63</v>
      </c>
      <c r="J948">
        <v>43.4</v>
      </c>
      <c r="K948" t="s">
        <v>25</v>
      </c>
      <c r="L948" t="s">
        <v>15</v>
      </c>
    </row>
    <row r="949" spans="1:12" x14ac:dyDescent="0.3">
      <c r="A949">
        <v>36698</v>
      </c>
      <c r="B949" t="s">
        <v>13</v>
      </c>
      <c r="C949">
        <v>33</v>
      </c>
      <c r="D949" t="s">
        <v>15</v>
      </c>
      <c r="E949" t="s">
        <v>15</v>
      </c>
      <c r="F949" t="s">
        <v>16</v>
      </c>
      <c r="G949" t="s">
        <v>17</v>
      </c>
      <c r="H949" t="s">
        <v>22</v>
      </c>
      <c r="I949">
        <v>89.98</v>
      </c>
      <c r="J949">
        <v>18.7</v>
      </c>
      <c r="K949" t="s">
        <v>26</v>
      </c>
      <c r="L949" t="s">
        <v>15</v>
      </c>
    </row>
    <row r="950" spans="1:12" x14ac:dyDescent="0.3">
      <c r="A950">
        <v>7273</v>
      </c>
      <c r="B950" t="s">
        <v>13</v>
      </c>
      <c r="C950">
        <v>51</v>
      </c>
      <c r="D950" t="s">
        <v>15</v>
      </c>
      <c r="E950" t="s">
        <v>15</v>
      </c>
      <c r="F950" t="s">
        <v>16</v>
      </c>
      <c r="G950" t="s">
        <v>18</v>
      </c>
      <c r="H950" t="s">
        <v>22</v>
      </c>
      <c r="I950">
        <v>232.89</v>
      </c>
      <c r="J950">
        <v>34</v>
      </c>
      <c r="K950" t="s">
        <v>26</v>
      </c>
      <c r="L950" t="s">
        <v>15</v>
      </c>
    </row>
    <row r="951" spans="1:12" x14ac:dyDescent="0.3">
      <c r="A951">
        <v>20044</v>
      </c>
      <c r="B951" t="s">
        <v>13</v>
      </c>
      <c r="C951">
        <v>47</v>
      </c>
      <c r="D951" t="s">
        <v>15</v>
      </c>
      <c r="E951" t="s">
        <v>15</v>
      </c>
      <c r="F951" t="s">
        <v>16</v>
      </c>
      <c r="G951" t="s">
        <v>17</v>
      </c>
      <c r="H951" t="s">
        <v>23</v>
      </c>
      <c r="I951">
        <v>98.58</v>
      </c>
      <c r="J951">
        <v>23.2</v>
      </c>
      <c r="K951" t="s">
        <v>25</v>
      </c>
      <c r="L951" t="s">
        <v>15</v>
      </c>
    </row>
    <row r="952" spans="1:12" x14ac:dyDescent="0.3">
      <c r="A952">
        <v>54769</v>
      </c>
      <c r="B952" t="s">
        <v>12</v>
      </c>
      <c r="C952">
        <v>15</v>
      </c>
      <c r="D952" t="s">
        <v>15</v>
      </c>
      <c r="E952" t="s">
        <v>15</v>
      </c>
      <c r="F952" t="s">
        <v>15</v>
      </c>
      <c r="G952" t="s">
        <v>17</v>
      </c>
      <c r="H952" t="s">
        <v>22</v>
      </c>
      <c r="I952">
        <v>57.94</v>
      </c>
      <c r="J952">
        <v>41.7</v>
      </c>
      <c r="K952" t="s">
        <v>27</v>
      </c>
      <c r="L952" t="s">
        <v>15</v>
      </c>
    </row>
    <row r="953" spans="1:12" x14ac:dyDescent="0.3">
      <c r="A953">
        <v>57372</v>
      </c>
      <c r="B953" t="s">
        <v>12</v>
      </c>
      <c r="C953">
        <v>1</v>
      </c>
      <c r="D953" t="s">
        <v>15</v>
      </c>
      <c r="E953" t="s">
        <v>15</v>
      </c>
      <c r="F953" t="s">
        <v>15</v>
      </c>
      <c r="G953" t="s">
        <v>20</v>
      </c>
      <c r="H953" t="s">
        <v>23</v>
      </c>
      <c r="I953">
        <v>123.21</v>
      </c>
      <c r="J953">
        <v>15.1</v>
      </c>
      <c r="K953" t="s">
        <v>27</v>
      </c>
      <c r="L953" t="s">
        <v>15</v>
      </c>
    </row>
    <row r="954" spans="1:12" x14ac:dyDescent="0.3">
      <c r="A954">
        <v>30605</v>
      </c>
      <c r="B954" t="s">
        <v>13</v>
      </c>
      <c r="C954">
        <v>20</v>
      </c>
      <c r="D954" t="s">
        <v>15</v>
      </c>
      <c r="E954" t="s">
        <v>15</v>
      </c>
      <c r="F954" t="s">
        <v>15</v>
      </c>
      <c r="G954" t="s">
        <v>17</v>
      </c>
      <c r="H954" t="s">
        <v>22</v>
      </c>
      <c r="I954">
        <v>76.34</v>
      </c>
      <c r="J954">
        <v>20.6</v>
      </c>
      <c r="K954" t="s">
        <v>26</v>
      </c>
      <c r="L954" t="s">
        <v>15</v>
      </c>
    </row>
    <row r="955" spans="1:12" x14ac:dyDescent="0.3">
      <c r="A955">
        <v>13622</v>
      </c>
      <c r="B955" t="s">
        <v>12</v>
      </c>
      <c r="C955">
        <v>6</v>
      </c>
      <c r="D955" t="s">
        <v>15</v>
      </c>
      <c r="E955" t="s">
        <v>15</v>
      </c>
      <c r="F955" t="s">
        <v>15</v>
      </c>
      <c r="G955" t="s">
        <v>20</v>
      </c>
      <c r="H955" t="s">
        <v>23</v>
      </c>
      <c r="I955">
        <v>92.98</v>
      </c>
      <c r="J955">
        <v>18.899999999999999</v>
      </c>
      <c r="K955" t="s">
        <v>27</v>
      </c>
      <c r="L955" t="s">
        <v>15</v>
      </c>
    </row>
    <row r="956" spans="1:12" x14ac:dyDescent="0.3">
      <c r="A956">
        <v>12686</v>
      </c>
      <c r="B956" t="s">
        <v>12</v>
      </c>
      <c r="C956">
        <v>50</v>
      </c>
      <c r="D956" t="s">
        <v>15</v>
      </c>
      <c r="E956" t="s">
        <v>15</v>
      </c>
      <c r="F956" t="s">
        <v>15</v>
      </c>
      <c r="G956" t="s">
        <v>19</v>
      </c>
      <c r="H956" t="s">
        <v>23</v>
      </c>
      <c r="I956">
        <v>92.81</v>
      </c>
      <c r="J956">
        <v>26.6</v>
      </c>
      <c r="K956" t="s">
        <v>25</v>
      </c>
      <c r="L956" t="s">
        <v>15</v>
      </c>
    </row>
    <row r="957" spans="1:12" x14ac:dyDescent="0.3">
      <c r="A957">
        <v>39250</v>
      </c>
      <c r="B957" t="s">
        <v>12</v>
      </c>
      <c r="C957">
        <v>31</v>
      </c>
      <c r="D957" t="s">
        <v>15</v>
      </c>
      <c r="E957" t="s">
        <v>15</v>
      </c>
      <c r="F957" t="s">
        <v>16</v>
      </c>
      <c r="G957" t="s">
        <v>17</v>
      </c>
      <c r="H957" t="s">
        <v>22</v>
      </c>
      <c r="I957">
        <v>85.16</v>
      </c>
      <c r="J957">
        <v>30.1</v>
      </c>
      <c r="K957" t="s">
        <v>26</v>
      </c>
      <c r="L957" t="s">
        <v>15</v>
      </c>
    </row>
    <row r="958" spans="1:12" x14ac:dyDescent="0.3">
      <c r="A958">
        <v>2879</v>
      </c>
      <c r="B958" t="s">
        <v>13</v>
      </c>
      <c r="C958">
        <v>15</v>
      </c>
      <c r="D958" t="s">
        <v>15</v>
      </c>
      <c r="E958" t="s">
        <v>15</v>
      </c>
      <c r="F958" t="s">
        <v>15</v>
      </c>
      <c r="G958" t="s">
        <v>18</v>
      </c>
      <c r="H958" t="s">
        <v>22</v>
      </c>
      <c r="I958">
        <v>90.1</v>
      </c>
      <c r="J958">
        <v>32.1</v>
      </c>
      <c r="K958" t="s">
        <v>25</v>
      </c>
      <c r="L958" t="s">
        <v>15</v>
      </c>
    </row>
    <row r="959" spans="1:12" x14ac:dyDescent="0.3">
      <c r="A959">
        <v>59684</v>
      </c>
      <c r="B959" t="s">
        <v>13</v>
      </c>
      <c r="C959">
        <v>3</v>
      </c>
      <c r="D959" t="s">
        <v>15</v>
      </c>
      <c r="E959" t="s">
        <v>15</v>
      </c>
      <c r="F959" t="s">
        <v>15</v>
      </c>
      <c r="G959" t="s">
        <v>20</v>
      </c>
      <c r="H959" t="s">
        <v>22</v>
      </c>
      <c r="I959">
        <v>65.150000000000006</v>
      </c>
      <c r="J959">
        <v>15.1</v>
      </c>
      <c r="K959" t="s">
        <v>27</v>
      </c>
      <c r="L959" t="s">
        <v>15</v>
      </c>
    </row>
    <row r="960" spans="1:12" x14ac:dyDescent="0.3">
      <c r="A960">
        <v>48830</v>
      </c>
      <c r="B960" t="s">
        <v>12</v>
      </c>
      <c r="C960">
        <v>30</v>
      </c>
      <c r="D960" t="s">
        <v>15</v>
      </c>
      <c r="E960" t="s">
        <v>15</v>
      </c>
      <c r="F960" t="s">
        <v>16</v>
      </c>
      <c r="G960" t="s">
        <v>17</v>
      </c>
      <c r="H960" t="s">
        <v>22</v>
      </c>
      <c r="I960">
        <v>104.62</v>
      </c>
      <c r="J960">
        <v>33.5</v>
      </c>
      <c r="K960" t="s">
        <v>26</v>
      </c>
      <c r="L960" t="s">
        <v>15</v>
      </c>
    </row>
    <row r="961" spans="1:12" x14ac:dyDescent="0.3">
      <c r="A961">
        <v>56986</v>
      </c>
      <c r="B961" t="s">
        <v>12</v>
      </c>
      <c r="C961">
        <v>17</v>
      </c>
      <c r="D961" t="s">
        <v>15</v>
      </c>
      <c r="E961" t="s">
        <v>15</v>
      </c>
      <c r="F961" t="s">
        <v>15</v>
      </c>
      <c r="G961" t="s">
        <v>21</v>
      </c>
      <c r="H961" t="s">
        <v>22</v>
      </c>
      <c r="I961">
        <v>113.25</v>
      </c>
      <c r="J961">
        <v>23.4</v>
      </c>
      <c r="K961" t="s">
        <v>25</v>
      </c>
      <c r="L961" t="s">
        <v>15</v>
      </c>
    </row>
    <row r="962" spans="1:12" x14ac:dyDescent="0.3">
      <c r="A962">
        <v>47924</v>
      </c>
      <c r="B962" t="s">
        <v>12</v>
      </c>
      <c r="C962">
        <v>24</v>
      </c>
      <c r="D962" t="s">
        <v>15</v>
      </c>
      <c r="E962" t="s">
        <v>15</v>
      </c>
      <c r="F962" t="s">
        <v>15</v>
      </c>
      <c r="G962" t="s">
        <v>17</v>
      </c>
      <c r="H962" t="s">
        <v>22</v>
      </c>
      <c r="I962">
        <v>59.28</v>
      </c>
      <c r="J962">
        <v>43.2</v>
      </c>
      <c r="K962" t="s">
        <v>25</v>
      </c>
      <c r="L962" t="s">
        <v>15</v>
      </c>
    </row>
    <row r="963" spans="1:12" x14ac:dyDescent="0.3">
      <c r="A963">
        <v>16402</v>
      </c>
      <c r="B963" t="s">
        <v>13</v>
      </c>
      <c r="C963">
        <v>5</v>
      </c>
      <c r="D963" t="s">
        <v>15</v>
      </c>
      <c r="E963" t="s">
        <v>15</v>
      </c>
      <c r="F963" t="s">
        <v>15</v>
      </c>
      <c r="G963" t="s">
        <v>20</v>
      </c>
      <c r="H963" t="s">
        <v>22</v>
      </c>
      <c r="I963">
        <v>93.07</v>
      </c>
      <c r="J963">
        <v>19.100000000000001</v>
      </c>
      <c r="K963" t="s">
        <v>27</v>
      </c>
      <c r="L963" t="s">
        <v>15</v>
      </c>
    </row>
    <row r="964" spans="1:12" x14ac:dyDescent="0.3">
      <c r="A964">
        <v>40889</v>
      </c>
      <c r="B964" t="s">
        <v>12</v>
      </c>
      <c r="C964">
        <v>33</v>
      </c>
      <c r="D964" t="s">
        <v>15</v>
      </c>
      <c r="E964" t="s">
        <v>15</v>
      </c>
      <c r="F964" t="s">
        <v>15</v>
      </c>
      <c r="G964" t="s">
        <v>17</v>
      </c>
      <c r="H964" t="s">
        <v>23</v>
      </c>
      <c r="I964">
        <v>77.42</v>
      </c>
      <c r="J964">
        <v>26.1</v>
      </c>
      <c r="K964" t="s">
        <v>27</v>
      </c>
      <c r="L964" t="s">
        <v>15</v>
      </c>
    </row>
    <row r="965" spans="1:12" x14ac:dyDescent="0.3">
      <c r="A965">
        <v>4083</v>
      </c>
      <c r="B965" t="s">
        <v>13</v>
      </c>
      <c r="C965">
        <v>30</v>
      </c>
      <c r="D965" t="s">
        <v>15</v>
      </c>
      <c r="E965" t="s">
        <v>15</v>
      </c>
      <c r="F965" t="s">
        <v>15</v>
      </c>
      <c r="G965" t="s">
        <v>17</v>
      </c>
      <c r="H965" t="s">
        <v>23</v>
      </c>
      <c r="I965">
        <v>73.69</v>
      </c>
      <c r="J965">
        <v>17.3</v>
      </c>
      <c r="K965" t="s">
        <v>25</v>
      </c>
      <c r="L965" t="s">
        <v>15</v>
      </c>
    </row>
    <row r="966" spans="1:12" x14ac:dyDescent="0.3">
      <c r="A966">
        <v>59336</v>
      </c>
      <c r="B966" t="s">
        <v>12</v>
      </c>
      <c r="C966">
        <v>66</v>
      </c>
      <c r="D966" t="s">
        <v>16</v>
      </c>
      <c r="E966" t="s">
        <v>15</v>
      </c>
      <c r="F966" t="s">
        <v>16</v>
      </c>
      <c r="G966" t="s">
        <v>17</v>
      </c>
      <c r="H966" t="s">
        <v>23</v>
      </c>
      <c r="I966">
        <v>74.900000000000006</v>
      </c>
      <c r="J966">
        <v>32.1</v>
      </c>
      <c r="K966" t="s">
        <v>25</v>
      </c>
      <c r="L966" t="s">
        <v>15</v>
      </c>
    </row>
    <row r="967" spans="1:12" x14ac:dyDescent="0.3">
      <c r="A967">
        <v>5684</v>
      </c>
      <c r="B967" t="s">
        <v>12</v>
      </c>
      <c r="C967">
        <v>40</v>
      </c>
      <c r="D967" t="s">
        <v>15</v>
      </c>
      <c r="E967" t="s">
        <v>15</v>
      </c>
      <c r="F967" t="s">
        <v>15</v>
      </c>
      <c r="G967" t="s">
        <v>17</v>
      </c>
      <c r="H967" t="s">
        <v>22</v>
      </c>
      <c r="I967">
        <v>88.27</v>
      </c>
      <c r="K967" t="s">
        <v>24</v>
      </c>
      <c r="L967" t="s">
        <v>15</v>
      </c>
    </row>
    <row r="968" spans="1:12" x14ac:dyDescent="0.3">
      <c r="A968">
        <v>48843</v>
      </c>
      <c r="B968" t="s">
        <v>13</v>
      </c>
      <c r="C968">
        <v>27</v>
      </c>
      <c r="D968" t="s">
        <v>15</v>
      </c>
      <c r="E968" t="s">
        <v>15</v>
      </c>
      <c r="F968" t="s">
        <v>15</v>
      </c>
      <c r="G968" t="s">
        <v>17</v>
      </c>
      <c r="H968" t="s">
        <v>22</v>
      </c>
      <c r="I968">
        <v>58.39</v>
      </c>
      <c r="J968">
        <v>30.4</v>
      </c>
      <c r="K968" t="s">
        <v>25</v>
      </c>
      <c r="L968" t="s">
        <v>15</v>
      </c>
    </row>
    <row r="969" spans="1:12" x14ac:dyDescent="0.3">
      <c r="A969">
        <v>5694</v>
      </c>
      <c r="B969" t="s">
        <v>12</v>
      </c>
      <c r="C969">
        <v>21</v>
      </c>
      <c r="D969" t="s">
        <v>15</v>
      </c>
      <c r="E969" t="s">
        <v>15</v>
      </c>
      <c r="F969" t="s">
        <v>15</v>
      </c>
      <c r="G969" t="s">
        <v>17</v>
      </c>
      <c r="H969" t="s">
        <v>23</v>
      </c>
      <c r="I969">
        <v>102.05</v>
      </c>
      <c r="J969">
        <v>29.9</v>
      </c>
      <c r="K969" t="s">
        <v>25</v>
      </c>
      <c r="L969" t="s">
        <v>15</v>
      </c>
    </row>
    <row r="970" spans="1:12" x14ac:dyDescent="0.3">
      <c r="A970">
        <v>3673</v>
      </c>
      <c r="B970" t="s">
        <v>13</v>
      </c>
      <c r="C970">
        <v>55</v>
      </c>
      <c r="D970" t="s">
        <v>15</v>
      </c>
      <c r="E970" t="s">
        <v>15</v>
      </c>
      <c r="F970" t="s">
        <v>16</v>
      </c>
      <c r="G970" t="s">
        <v>17</v>
      </c>
      <c r="H970" t="s">
        <v>23</v>
      </c>
      <c r="I970">
        <v>112.47</v>
      </c>
      <c r="J970">
        <v>32.799999999999997</v>
      </c>
      <c r="K970" t="s">
        <v>26</v>
      </c>
      <c r="L970" t="s">
        <v>15</v>
      </c>
    </row>
    <row r="971" spans="1:12" x14ac:dyDescent="0.3">
      <c r="A971">
        <v>44481</v>
      </c>
      <c r="B971" t="s">
        <v>13</v>
      </c>
      <c r="C971">
        <v>19</v>
      </c>
      <c r="D971" t="s">
        <v>15</v>
      </c>
      <c r="E971" t="s">
        <v>15</v>
      </c>
      <c r="F971" t="s">
        <v>15</v>
      </c>
      <c r="G971" t="s">
        <v>17</v>
      </c>
      <c r="H971" t="s">
        <v>23</v>
      </c>
      <c r="I971">
        <v>72.84</v>
      </c>
      <c r="J971">
        <v>22.7</v>
      </c>
      <c r="K971" t="s">
        <v>25</v>
      </c>
      <c r="L971" t="s">
        <v>15</v>
      </c>
    </row>
    <row r="972" spans="1:12" x14ac:dyDescent="0.3">
      <c r="A972">
        <v>10538</v>
      </c>
      <c r="B972" t="s">
        <v>12</v>
      </c>
      <c r="C972">
        <v>75</v>
      </c>
      <c r="D972" t="s">
        <v>16</v>
      </c>
      <c r="E972" t="s">
        <v>16</v>
      </c>
      <c r="F972" t="s">
        <v>16</v>
      </c>
      <c r="G972" t="s">
        <v>18</v>
      </c>
      <c r="H972" t="s">
        <v>22</v>
      </c>
      <c r="I972">
        <v>195.03</v>
      </c>
      <c r="J972">
        <v>28.7</v>
      </c>
      <c r="K972" t="s">
        <v>24</v>
      </c>
      <c r="L972" t="s">
        <v>15</v>
      </c>
    </row>
    <row r="973" spans="1:12" x14ac:dyDescent="0.3">
      <c r="A973">
        <v>9648</v>
      </c>
      <c r="B973" t="s">
        <v>13</v>
      </c>
      <c r="C973">
        <v>71</v>
      </c>
      <c r="D973" t="s">
        <v>15</v>
      </c>
      <c r="E973" t="s">
        <v>16</v>
      </c>
      <c r="F973" t="s">
        <v>16</v>
      </c>
      <c r="G973" t="s">
        <v>17</v>
      </c>
      <c r="H973" t="s">
        <v>22</v>
      </c>
      <c r="I973">
        <v>170.95</v>
      </c>
      <c r="J973">
        <v>35.200000000000003</v>
      </c>
      <c r="K973" t="s">
        <v>25</v>
      </c>
      <c r="L973" t="s">
        <v>15</v>
      </c>
    </row>
    <row r="974" spans="1:12" x14ac:dyDescent="0.3">
      <c r="A974">
        <v>19101</v>
      </c>
      <c r="B974" t="s">
        <v>13</v>
      </c>
      <c r="C974">
        <v>16</v>
      </c>
      <c r="D974" t="s">
        <v>15</v>
      </c>
      <c r="E974" t="s">
        <v>15</v>
      </c>
      <c r="F974" t="s">
        <v>15</v>
      </c>
      <c r="G974" t="s">
        <v>17</v>
      </c>
      <c r="H974" t="s">
        <v>22</v>
      </c>
      <c r="I974">
        <v>87.98</v>
      </c>
      <c r="J974">
        <v>22.4</v>
      </c>
      <c r="K974" t="s">
        <v>25</v>
      </c>
      <c r="L974" t="s">
        <v>15</v>
      </c>
    </row>
    <row r="975" spans="1:12" x14ac:dyDescent="0.3">
      <c r="A975">
        <v>31867</v>
      </c>
      <c r="B975" t="s">
        <v>13</v>
      </c>
      <c r="C975">
        <v>49</v>
      </c>
      <c r="D975" t="s">
        <v>15</v>
      </c>
      <c r="E975" t="s">
        <v>15</v>
      </c>
      <c r="F975" t="s">
        <v>15</v>
      </c>
      <c r="G975" t="s">
        <v>17</v>
      </c>
      <c r="H975" t="s">
        <v>23</v>
      </c>
      <c r="I975">
        <v>65.81</v>
      </c>
      <c r="J975">
        <v>32.299999999999997</v>
      </c>
      <c r="K975" t="s">
        <v>27</v>
      </c>
      <c r="L975" t="s">
        <v>15</v>
      </c>
    </row>
    <row r="976" spans="1:12" x14ac:dyDescent="0.3">
      <c r="A976">
        <v>11973</v>
      </c>
      <c r="B976" t="s">
        <v>13</v>
      </c>
      <c r="C976">
        <v>10</v>
      </c>
      <c r="D976" t="s">
        <v>15</v>
      </c>
      <c r="E976" t="s">
        <v>15</v>
      </c>
      <c r="F976" t="s">
        <v>15</v>
      </c>
      <c r="G976" t="s">
        <v>20</v>
      </c>
      <c r="H976" t="s">
        <v>22</v>
      </c>
      <c r="I976">
        <v>124.6</v>
      </c>
      <c r="J976">
        <v>18.600000000000001</v>
      </c>
      <c r="K976" t="s">
        <v>27</v>
      </c>
      <c r="L976" t="s">
        <v>15</v>
      </c>
    </row>
    <row r="977" spans="1:12" x14ac:dyDescent="0.3">
      <c r="A977">
        <v>23633</v>
      </c>
      <c r="B977" t="s">
        <v>13</v>
      </c>
      <c r="C977">
        <v>37</v>
      </c>
      <c r="D977" t="s">
        <v>15</v>
      </c>
      <c r="E977" t="s">
        <v>15</v>
      </c>
      <c r="F977" t="s">
        <v>16</v>
      </c>
      <c r="G977" t="s">
        <v>17</v>
      </c>
      <c r="H977" t="s">
        <v>23</v>
      </c>
      <c r="I977">
        <v>83.65</v>
      </c>
      <c r="J977">
        <v>42.1</v>
      </c>
      <c r="K977" t="s">
        <v>26</v>
      </c>
      <c r="L977" t="s">
        <v>15</v>
      </c>
    </row>
    <row r="978" spans="1:12" x14ac:dyDescent="0.3">
      <c r="A978">
        <v>52549</v>
      </c>
      <c r="B978" t="s">
        <v>12</v>
      </c>
      <c r="C978">
        <v>59</v>
      </c>
      <c r="D978" t="s">
        <v>15</v>
      </c>
      <c r="E978" t="s">
        <v>15</v>
      </c>
      <c r="F978" t="s">
        <v>16</v>
      </c>
      <c r="G978" t="s">
        <v>19</v>
      </c>
      <c r="H978" t="s">
        <v>23</v>
      </c>
      <c r="I978">
        <v>88.81</v>
      </c>
      <c r="J978">
        <v>38</v>
      </c>
      <c r="K978" t="s">
        <v>24</v>
      </c>
      <c r="L978" t="s">
        <v>15</v>
      </c>
    </row>
    <row r="979" spans="1:12" x14ac:dyDescent="0.3">
      <c r="A979">
        <v>59178</v>
      </c>
      <c r="B979" t="s">
        <v>13</v>
      </c>
      <c r="C979">
        <v>7</v>
      </c>
      <c r="D979" t="s">
        <v>15</v>
      </c>
      <c r="E979" t="s">
        <v>15</v>
      </c>
      <c r="F979" t="s">
        <v>15</v>
      </c>
      <c r="G979" t="s">
        <v>20</v>
      </c>
      <c r="H979" t="s">
        <v>22</v>
      </c>
      <c r="I979">
        <v>86.75</v>
      </c>
      <c r="J979">
        <v>22.3</v>
      </c>
      <c r="K979" t="s">
        <v>27</v>
      </c>
      <c r="L979" t="s">
        <v>15</v>
      </c>
    </row>
    <row r="980" spans="1:12" x14ac:dyDescent="0.3">
      <c r="A980">
        <v>37349</v>
      </c>
      <c r="B980" t="s">
        <v>13</v>
      </c>
      <c r="C980">
        <v>61</v>
      </c>
      <c r="D980" t="s">
        <v>15</v>
      </c>
      <c r="E980" t="s">
        <v>15</v>
      </c>
      <c r="F980" t="s">
        <v>16</v>
      </c>
      <c r="G980" t="s">
        <v>17</v>
      </c>
      <c r="H980" t="s">
        <v>23</v>
      </c>
      <c r="I980">
        <v>123.36</v>
      </c>
      <c r="J980">
        <v>33.4</v>
      </c>
      <c r="K980" t="s">
        <v>25</v>
      </c>
      <c r="L980" t="s">
        <v>15</v>
      </c>
    </row>
    <row r="981" spans="1:12" x14ac:dyDescent="0.3">
      <c r="A981">
        <v>44281</v>
      </c>
      <c r="B981" t="s">
        <v>12</v>
      </c>
      <c r="C981">
        <v>34</v>
      </c>
      <c r="D981" t="s">
        <v>15</v>
      </c>
      <c r="E981" t="s">
        <v>15</v>
      </c>
      <c r="F981" t="s">
        <v>15</v>
      </c>
      <c r="G981" t="s">
        <v>17</v>
      </c>
      <c r="H981" t="s">
        <v>23</v>
      </c>
      <c r="I981">
        <v>89.68</v>
      </c>
      <c r="J981">
        <v>23.2</v>
      </c>
      <c r="K981" t="s">
        <v>26</v>
      </c>
      <c r="L981" t="s">
        <v>15</v>
      </c>
    </row>
    <row r="982" spans="1:12" x14ac:dyDescent="0.3">
      <c r="A982">
        <v>55599</v>
      </c>
      <c r="B982" t="s">
        <v>13</v>
      </c>
      <c r="C982">
        <v>9</v>
      </c>
      <c r="D982" t="s">
        <v>15</v>
      </c>
      <c r="E982" t="s">
        <v>15</v>
      </c>
      <c r="F982" t="s">
        <v>15</v>
      </c>
      <c r="G982" t="s">
        <v>20</v>
      </c>
      <c r="H982" t="s">
        <v>23</v>
      </c>
      <c r="I982">
        <v>69.87</v>
      </c>
      <c r="J982">
        <v>18</v>
      </c>
      <c r="K982" t="s">
        <v>27</v>
      </c>
      <c r="L982" t="s">
        <v>15</v>
      </c>
    </row>
    <row r="983" spans="1:12" x14ac:dyDescent="0.3">
      <c r="A983">
        <v>45224</v>
      </c>
      <c r="B983" t="s">
        <v>13</v>
      </c>
      <c r="C983">
        <v>46</v>
      </c>
      <c r="D983" t="s">
        <v>15</v>
      </c>
      <c r="E983" t="s">
        <v>15</v>
      </c>
      <c r="F983" t="s">
        <v>16</v>
      </c>
      <c r="G983" t="s">
        <v>17</v>
      </c>
      <c r="H983" t="s">
        <v>23</v>
      </c>
      <c r="I983">
        <v>109.22</v>
      </c>
      <c r="J983">
        <v>20.100000000000001</v>
      </c>
      <c r="K983" t="s">
        <v>25</v>
      </c>
      <c r="L983" t="s">
        <v>15</v>
      </c>
    </row>
    <row r="984" spans="1:12" x14ac:dyDescent="0.3">
      <c r="A984">
        <v>54747</v>
      </c>
      <c r="B984" t="s">
        <v>12</v>
      </c>
      <c r="C984">
        <v>0.88</v>
      </c>
      <c r="D984" t="s">
        <v>15</v>
      </c>
      <c r="E984" t="s">
        <v>15</v>
      </c>
      <c r="F984" t="s">
        <v>15</v>
      </c>
      <c r="G984" t="s">
        <v>20</v>
      </c>
      <c r="H984" t="s">
        <v>23</v>
      </c>
      <c r="I984">
        <v>157.57</v>
      </c>
      <c r="J984">
        <v>19.2</v>
      </c>
      <c r="K984" t="s">
        <v>27</v>
      </c>
      <c r="L984" t="s">
        <v>15</v>
      </c>
    </row>
    <row r="985" spans="1:12" x14ac:dyDescent="0.3">
      <c r="A985">
        <v>2751</v>
      </c>
      <c r="B985" t="s">
        <v>12</v>
      </c>
      <c r="C985">
        <v>50</v>
      </c>
      <c r="D985" t="s">
        <v>15</v>
      </c>
      <c r="E985" t="s">
        <v>15</v>
      </c>
      <c r="F985" t="s">
        <v>16</v>
      </c>
      <c r="G985" t="s">
        <v>19</v>
      </c>
      <c r="H985" t="s">
        <v>22</v>
      </c>
      <c r="I985">
        <v>110.73</v>
      </c>
      <c r="J985">
        <v>28.7</v>
      </c>
      <c r="K985" t="s">
        <v>26</v>
      </c>
      <c r="L985" t="s">
        <v>15</v>
      </c>
    </row>
    <row r="986" spans="1:12" x14ac:dyDescent="0.3">
      <c r="A986">
        <v>6090</v>
      </c>
      <c r="B986" t="s">
        <v>12</v>
      </c>
      <c r="C986">
        <v>19</v>
      </c>
      <c r="D986" t="s">
        <v>15</v>
      </c>
      <c r="E986" t="s">
        <v>15</v>
      </c>
      <c r="F986" t="s">
        <v>16</v>
      </c>
      <c r="G986" t="s">
        <v>17</v>
      </c>
      <c r="H986" t="s">
        <v>22</v>
      </c>
      <c r="I986">
        <v>99.14</v>
      </c>
      <c r="J986">
        <v>28.1</v>
      </c>
      <c r="K986" t="s">
        <v>25</v>
      </c>
      <c r="L986" t="s">
        <v>15</v>
      </c>
    </row>
    <row r="987" spans="1:12" x14ac:dyDescent="0.3">
      <c r="A987">
        <v>46385</v>
      </c>
      <c r="B987" t="s">
        <v>13</v>
      </c>
      <c r="C987">
        <v>21</v>
      </c>
      <c r="D987" t="s">
        <v>15</v>
      </c>
      <c r="E987" t="s">
        <v>15</v>
      </c>
      <c r="F987" t="s">
        <v>16</v>
      </c>
      <c r="G987" t="s">
        <v>17</v>
      </c>
      <c r="H987" t="s">
        <v>22</v>
      </c>
      <c r="I987">
        <v>59.15</v>
      </c>
      <c r="J987">
        <v>22.6</v>
      </c>
      <c r="K987" t="s">
        <v>25</v>
      </c>
      <c r="L987" t="s">
        <v>15</v>
      </c>
    </row>
    <row r="988" spans="1:12" x14ac:dyDescent="0.3">
      <c r="A988">
        <v>46323</v>
      </c>
      <c r="B988" t="s">
        <v>13</v>
      </c>
      <c r="C988">
        <v>2</v>
      </c>
      <c r="D988" t="s">
        <v>15</v>
      </c>
      <c r="E988" t="s">
        <v>15</v>
      </c>
      <c r="F988" t="s">
        <v>15</v>
      </c>
      <c r="G988" t="s">
        <v>20</v>
      </c>
      <c r="H988" t="s">
        <v>23</v>
      </c>
      <c r="I988">
        <v>165.11</v>
      </c>
      <c r="J988">
        <v>18</v>
      </c>
      <c r="K988" t="s">
        <v>27</v>
      </c>
      <c r="L988" t="s">
        <v>15</v>
      </c>
    </row>
    <row r="989" spans="1:12" x14ac:dyDescent="0.3">
      <c r="A989">
        <v>28122</v>
      </c>
      <c r="B989" t="s">
        <v>13</v>
      </c>
      <c r="C989">
        <v>37</v>
      </c>
      <c r="D989" t="s">
        <v>15</v>
      </c>
      <c r="E989" t="s">
        <v>15</v>
      </c>
      <c r="F989" t="s">
        <v>16</v>
      </c>
      <c r="G989" t="s">
        <v>18</v>
      </c>
      <c r="H989" t="s">
        <v>23</v>
      </c>
      <c r="I989">
        <v>77.44</v>
      </c>
      <c r="J989">
        <v>21.4</v>
      </c>
      <c r="K989" t="s">
        <v>24</v>
      </c>
      <c r="L989" t="s">
        <v>15</v>
      </c>
    </row>
    <row r="990" spans="1:12" x14ac:dyDescent="0.3">
      <c r="A990">
        <v>50843</v>
      </c>
      <c r="B990" t="s">
        <v>12</v>
      </c>
      <c r="C990">
        <v>20</v>
      </c>
      <c r="D990" t="s">
        <v>15</v>
      </c>
      <c r="E990" t="s">
        <v>15</v>
      </c>
      <c r="F990" t="s">
        <v>15</v>
      </c>
      <c r="G990" t="s">
        <v>17</v>
      </c>
      <c r="H990" t="s">
        <v>23</v>
      </c>
      <c r="I990">
        <v>100.33</v>
      </c>
      <c r="J990">
        <v>27.8</v>
      </c>
      <c r="K990" t="s">
        <v>27</v>
      </c>
      <c r="L990" t="s">
        <v>15</v>
      </c>
    </row>
    <row r="991" spans="1:12" x14ac:dyDescent="0.3">
      <c r="A991">
        <v>64464</v>
      </c>
      <c r="B991" t="s">
        <v>12</v>
      </c>
      <c r="C991">
        <v>50</v>
      </c>
      <c r="D991" t="s">
        <v>15</v>
      </c>
      <c r="E991" t="s">
        <v>15</v>
      </c>
      <c r="F991" t="s">
        <v>16</v>
      </c>
      <c r="G991" t="s">
        <v>17</v>
      </c>
      <c r="H991" t="s">
        <v>22</v>
      </c>
      <c r="I991">
        <v>57.93</v>
      </c>
      <c r="J991">
        <v>27.6</v>
      </c>
      <c r="K991" t="s">
        <v>27</v>
      </c>
      <c r="L991" t="s">
        <v>15</v>
      </c>
    </row>
    <row r="992" spans="1:12" x14ac:dyDescent="0.3">
      <c r="A992">
        <v>66922</v>
      </c>
      <c r="B992" t="s">
        <v>12</v>
      </c>
      <c r="C992">
        <v>61</v>
      </c>
      <c r="D992" t="s">
        <v>16</v>
      </c>
      <c r="E992" t="s">
        <v>16</v>
      </c>
      <c r="F992" t="s">
        <v>15</v>
      </c>
      <c r="G992" t="s">
        <v>17</v>
      </c>
      <c r="H992" t="s">
        <v>23</v>
      </c>
      <c r="I992">
        <v>148.24</v>
      </c>
      <c r="J992">
        <v>32.200000000000003</v>
      </c>
      <c r="K992" t="s">
        <v>24</v>
      </c>
      <c r="L992" t="s">
        <v>15</v>
      </c>
    </row>
    <row r="993" spans="1:12" x14ac:dyDescent="0.3">
      <c r="A993">
        <v>66494</v>
      </c>
      <c r="B993" t="s">
        <v>12</v>
      </c>
      <c r="C993">
        <v>48</v>
      </c>
      <c r="D993" t="s">
        <v>15</v>
      </c>
      <c r="E993" t="s">
        <v>15</v>
      </c>
      <c r="F993" t="s">
        <v>16</v>
      </c>
      <c r="G993" t="s">
        <v>17</v>
      </c>
      <c r="H993" t="s">
        <v>22</v>
      </c>
      <c r="I993">
        <v>91.96</v>
      </c>
      <c r="J993">
        <v>24.9</v>
      </c>
      <c r="K993" t="s">
        <v>27</v>
      </c>
      <c r="L993" t="s">
        <v>15</v>
      </c>
    </row>
    <row r="994" spans="1:12" x14ac:dyDescent="0.3">
      <c r="A994">
        <v>42786</v>
      </c>
      <c r="B994" t="s">
        <v>12</v>
      </c>
      <c r="C994">
        <v>82</v>
      </c>
      <c r="D994" t="s">
        <v>15</v>
      </c>
      <c r="E994" t="s">
        <v>16</v>
      </c>
      <c r="F994" t="s">
        <v>16</v>
      </c>
      <c r="G994" t="s">
        <v>18</v>
      </c>
      <c r="H994" t="s">
        <v>23</v>
      </c>
      <c r="I994">
        <v>72.930000000000007</v>
      </c>
      <c r="J994">
        <v>27.1</v>
      </c>
      <c r="K994" t="s">
        <v>24</v>
      </c>
      <c r="L994" t="s">
        <v>15</v>
      </c>
    </row>
    <row r="995" spans="1:12" x14ac:dyDescent="0.3">
      <c r="A995">
        <v>33401</v>
      </c>
      <c r="B995" t="s">
        <v>12</v>
      </c>
      <c r="C995">
        <v>64</v>
      </c>
      <c r="D995" t="s">
        <v>15</v>
      </c>
      <c r="E995" t="s">
        <v>15</v>
      </c>
      <c r="F995" t="s">
        <v>16</v>
      </c>
      <c r="G995" t="s">
        <v>17</v>
      </c>
      <c r="H995" t="s">
        <v>23</v>
      </c>
      <c r="I995">
        <v>84.27</v>
      </c>
      <c r="J995">
        <v>24.6</v>
      </c>
      <c r="K995" t="s">
        <v>27</v>
      </c>
      <c r="L995" t="s">
        <v>15</v>
      </c>
    </row>
    <row r="996" spans="1:12" x14ac:dyDescent="0.3">
      <c r="A996">
        <v>24174</v>
      </c>
      <c r="B996" t="s">
        <v>13</v>
      </c>
      <c r="C996">
        <v>50</v>
      </c>
      <c r="D996" t="s">
        <v>15</v>
      </c>
      <c r="E996" t="s">
        <v>15</v>
      </c>
      <c r="F996" t="s">
        <v>16</v>
      </c>
      <c r="G996" t="s">
        <v>19</v>
      </c>
      <c r="H996" t="s">
        <v>23</v>
      </c>
      <c r="I996">
        <v>124.45</v>
      </c>
      <c r="J996">
        <v>24.6</v>
      </c>
      <c r="K996" t="s">
        <v>25</v>
      </c>
      <c r="L996" t="s">
        <v>15</v>
      </c>
    </row>
    <row r="997" spans="1:12" x14ac:dyDescent="0.3">
      <c r="A997">
        <v>60211</v>
      </c>
      <c r="B997" t="s">
        <v>12</v>
      </c>
      <c r="C997">
        <v>1.4</v>
      </c>
      <c r="D997" t="s">
        <v>15</v>
      </c>
      <c r="E997" t="s">
        <v>15</v>
      </c>
      <c r="F997" t="s">
        <v>15</v>
      </c>
      <c r="G997" t="s">
        <v>20</v>
      </c>
      <c r="H997" t="s">
        <v>22</v>
      </c>
      <c r="I997">
        <v>90.51</v>
      </c>
      <c r="J997">
        <v>18.899999999999999</v>
      </c>
      <c r="K997" t="s">
        <v>27</v>
      </c>
      <c r="L997" t="s">
        <v>15</v>
      </c>
    </row>
    <row r="998" spans="1:12" x14ac:dyDescent="0.3">
      <c r="A998">
        <v>53279</v>
      </c>
      <c r="B998" t="s">
        <v>12</v>
      </c>
      <c r="C998">
        <v>0.24</v>
      </c>
      <c r="D998" t="s">
        <v>15</v>
      </c>
      <c r="E998" t="s">
        <v>15</v>
      </c>
      <c r="F998" t="s">
        <v>15</v>
      </c>
      <c r="G998" t="s">
        <v>20</v>
      </c>
      <c r="H998" t="s">
        <v>23</v>
      </c>
      <c r="I998">
        <v>118.87</v>
      </c>
      <c r="J998">
        <v>16.3</v>
      </c>
      <c r="K998" t="s">
        <v>27</v>
      </c>
      <c r="L998" t="s">
        <v>15</v>
      </c>
    </row>
    <row r="999" spans="1:12" x14ac:dyDescent="0.3">
      <c r="A999">
        <v>61715</v>
      </c>
      <c r="B999" t="s">
        <v>12</v>
      </c>
      <c r="C999">
        <v>55</v>
      </c>
      <c r="D999" t="s">
        <v>15</v>
      </c>
      <c r="E999" t="s">
        <v>15</v>
      </c>
      <c r="F999" t="s">
        <v>16</v>
      </c>
      <c r="G999" t="s">
        <v>17</v>
      </c>
      <c r="H999" t="s">
        <v>23</v>
      </c>
      <c r="I999">
        <v>56.42</v>
      </c>
      <c r="J999">
        <v>31.8</v>
      </c>
      <c r="K999" t="s">
        <v>25</v>
      </c>
      <c r="L999" t="s">
        <v>15</v>
      </c>
    </row>
    <row r="1000" spans="1:12" x14ac:dyDescent="0.3">
      <c r="A1000">
        <v>37830</v>
      </c>
      <c r="B1000" t="s">
        <v>13</v>
      </c>
      <c r="C1000">
        <v>29</v>
      </c>
      <c r="D1000" t="s">
        <v>15</v>
      </c>
      <c r="E1000" t="s">
        <v>15</v>
      </c>
      <c r="F1000" t="s">
        <v>15</v>
      </c>
      <c r="G1000" t="s">
        <v>17</v>
      </c>
      <c r="H1000" t="s">
        <v>22</v>
      </c>
      <c r="I1000">
        <v>73.67</v>
      </c>
      <c r="J1000">
        <v>21</v>
      </c>
      <c r="K1000" t="s">
        <v>27</v>
      </c>
      <c r="L1000" t="s">
        <v>15</v>
      </c>
    </row>
    <row r="1001" spans="1:12" x14ac:dyDescent="0.3">
      <c r="A1001">
        <v>2454</v>
      </c>
      <c r="B1001" t="s">
        <v>12</v>
      </c>
      <c r="C1001">
        <v>4</v>
      </c>
      <c r="D1001" t="s">
        <v>15</v>
      </c>
      <c r="E1001" t="s">
        <v>15</v>
      </c>
      <c r="F1001" t="s">
        <v>15</v>
      </c>
      <c r="G1001" t="s">
        <v>20</v>
      </c>
      <c r="H1001" t="s">
        <v>23</v>
      </c>
      <c r="I1001">
        <v>89.11</v>
      </c>
      <c r="J1001">
        <v>20.100000000000001</v>
      </c>
      <c r="K1001" t="s">
        <v>27</v>
      </c>
      <c r="L1001" t="s">
        <v>15</v>
      </c>
    </row>
    <row r="1002" spans="1:12" x14ac:dyDescent="0.3">
      <c r="A1002">
        <v>60663</v>
      </c>
      <c r="B1002" t="s">
        <v>12</v>
      </c>
      <c r="C1002">
        <v>70</v>
      </c>
      <c r="D1002" t="s">
        <v>16</v>
      </c>
      <c r="E1002" t="s">
        <v>15</v>
      </c>
      <c r="F1002" t="s">
        <v>16</v>
      </c>
      <c r="G1002" t="s">
        <v>17</v>
      </c>
      <c r="H1002" t="s">
        <v>23</v>
      </c>
      <c r="I1002">
        <v>74.040000000000006</v>
      </c>
      <c r="J1002">
        <v>29.1</v>
      </c>
      <c r="K1002" t="s">
        <v>25</v>
      </c>
      <c r="L1002" t="s">
        <v>15</v>
      </c>
    </row>
    <row r="1003" spans="1:12" x14ac:dyDescent="0.3">
      <c r="A1003">
        <v>46875</v>
      </c>
      <c r="B1003" t="s">
        <v>12</v>
      </c>
      <c r="C1003">
        <v>35</v>
      </c>
      <c r="D1003" t="s">
        <v>15</v>
      </c>
      <c r="E1003" t="s">
        <v>15</v>
      </c>
      <c r="F1003" t="s">
        <v>16</v>
      </c>
      <c r="G1003" t="s">
        <v>17</v>
      </c>
      <c r="H1003" t="s">
        <v>22</v>
      </c>
      <c r="I1003">
        <v>145.22999999999999</v>
      </c>
      <c r="J1003">
        <v>32.299999999999997</v>
      </c>
      <c r="K1003" t="s">
        <v>25</v>
      </c>
      <c r="L1003" t="s">
        <v>15</v>
      </c>
    </row>
    <row r="1004" spans="1:12" x14ac:dyDescent="0.3">
      <c r="A1004">
        <v>69091</v>
      </c>
      <c r="B1004" t="s">
        <v>13</v>
      </c>
      <c r="C1004">
        <v>80</v>
      </c>
      <c r="D1004" t="s">
        <v>15</v>
      </c>
      <c r="E1004" t="s">
        <v>16</v>
      </c>
      <c r="F1004" t="s">
        <v>16</v>
      </c>
      <c r="G1004" t="s">
        <v>17</v>
      </c>
      <c r="H1004" t="s">
        <v>23</v>
      </c>
      <c r="I1004">
        <v>100.8</v>
      </c>
      <c r="J1004">
        <v>29.4</v>
      </c>
      <c r="K1004" t="s">
        <v>25</v>
      </c>
      <c r="L1004" t="s">
        <v>15</v>
      </c>
    </row>
    <row r="1005" spans="1:12" x14ac:dyDescent="0.3">
      <c r="A1005">
        <v>1821</v>
      </c>
      <c r="B1005" t="s">
        <v>13</v>
      </c>
      <c r="C1005">
        <v>54</v>
      </c>
      <c r="D1005" t="s">
        <v>15</v>
      </c>
      <c r="E1005" t="s">
        <v>15</v>
      </c>
      <c r="F1005" t="s">
        <v>16</v>
      </c>
      <c r="G1005" t="s">
        <v>17</v>
      </c>
      <c r="H1005" t="s">
        <v>22</v>
      </c>
      <c r="I1005">
        <v>85.22</v>
      </c>
      <c r="J1005">
        <v>50.2</v>
      </c>
      <c r="K1005" t="s">
        <v>25</v>
      </c>
      <c r="L1005" t="s">
        <v>15</v>
      </c>
    </row>
    <row r="1006" spans="1:12" x14ac:dyDescent="0.3">
      <c r="A1006">
        <v>44978</v>
      </c>
      <c r="B1006" t="s">
        <v>12</v>
      </c>
      <c r="C1006">
        <v>39</v>
      </c>
      <c r="D1006" t="s">
        <v>15</v>
      </c>
      <c r="E1006" t="s">
        <v>15</v>
      </c>
      <c r="F1006" t="s">
        <v>16</v>
      </c>
      <c r="G1006" t="s">
        <v>19</v>
      </c>
      <c r="H1006" t="s">
        <v>23</v>
      </c>
      <c r="I1006">
        <v>72.489999999999995</v>
      </c>
      <c r="J1006">
        <v>44.9</v>
      </c>
      <c r="K1006" t="s">
        <v>24</v>
      </c>
      <c r="L1006" t="s">
        <v>15</v>
      </c>
    </row>
    <row r="1007" spans="1:12" x14ac:dyDescent="0.3">
      <c r="A1007">
        <v>3437</v>
      </c>
      <c r="B1007" t="s">
        <v>13</v>
      </c>
      <c r="C1007">
        <v>26</v>
      </c>
      <c r="D1007" t="s">
        <v>15</v>
      </c>
      <c r="E1007" t="s">
        <v>15</v>
      </c>
      <c r="F1007" t="s">
        <v>15</v>
      </c>
      <c r="G1007" t="s">
        <v>17</v>
      </c>
      <c r="H1007" t="s">
        <v>22</v>
      </c>
      <c r="I1007">
        <v>82.61</v>
      </c>
      <c r="J1007">
        <v>28.5</v>
      </c>
      <c r="K1007" t="s">
        <v>26</v>
      </c>
      <c r="L1007" t="s">
        <v>15</v>
      </c>
    </row>
    <row r="1008" spans="1:12" x14ac:dyDescent="0.3">
      <c r="A1008">
        <v>6355</v>
      </c>
      <c r="B1008" t="s">
        <v>13</v>
      </c>
      <c r="C1008">
        <v>6</v>
      </c>
      <c r="D1008" t="s">
        <v>15</v>
      </c>
      <c r="E1008" t="s">
        <v>15</v>
      </c>
      <c r="F1008" t="s">
        <v>15</v>
      </c>
      <c r="G1008" t="s">
        <v>20</v>
      </c>
      <c r="H1008" t="s">
        <v>23</v>
      </c>
      <c r="I1008">
        <v>72.069999999999993</v>
      </c>
      <c r="J1008">
        <v>19.5</v>
      </c>
      <c r="K1008" t="s">
        <v>27</v>
      </c>
      <c r="L1008" t="s">
        <v>15</v>
      </c>
    </row>
    <row r="1009" spans="1:12" x14ac:dyDescent="0.3">
      <c r="A1009">
        <v>10762</v>
      </c>
      <c r="B1009" t="s">
        <v>13</v>
      </c>
      <c r="C1009">
        <v>41</v>
      </c>
      <c r="D1009" t="s">
        <v>15</v>
      </c>
      <c r="E1009" t="s">
        <v>15</v>
      </c>
      <c r="F1009" t="s">
        <v>16</v>
      </c>
      <c r="G1009" t="s">
        <v>17</v>
      </c>
      <c r="H1009" t="s">
        <v>23</v>
      </c>
      <c r="I1009">
        <v>79.849999999999994</v>
      </c>
      <c r="J1009">
        <v>45</v>
      </c>
      <c r="K1009" t="s">
        <v>27</v>
      </c>
      <c r="L1009" t="s">
        <v>15</v>
      </c>
    </row>
    <row r="1010" spans="1:12" x14ac:dyDescent="0.3">
      <c r="A1010">
        <v>58567</v>
      </c>
      <c r="B1010" t="s">
        <v>13</v>
      </c>
      <c r="C1010">
        <v>42</v>
      </c>
      <c r="D1010" t="s">
        <v>15</v>
      </c>
      <c r="E1010" t="s">
        <v>15</v>
      </c>
      <c r="F1010" t="s">
        <v>16</v>
      </c>
      <c r="G1010" t="s">
        <v>17</v>
      </c>
      <c r="H1010" t="s">
        <v>23</v>
      </c>
      <c r="I1010">
        <v>84.86</v>
      </c>
      <c r="J1010">
        <v>22.8</v>
      </c>
      <c r="K1010" t="s">
        <v>27</v>
      </c>
      <c r="L1010" t="s">
        <v>15</v>
      </c>
    </row>
    <row r="1011" spans="1:12" x14ac:dyDescent="0.3">
      <c r="A1011">
        <v>62187</v>
      </c>
      <c r="B1011" t="s">
        <v>12</v>
      </c>
      <c r="C1011">
        <v>9</v>
      </c>
      <c r="D1011" t="s">
        <v>15</v>
      </c>
      <c r="E1011" t="s">
        <v>15</v>
      </c>
      <c r="F1011" t="s">
        <v>15</v>
      </c>
      <c r="G1011" t="s">
        <v>20</v>
      </c>
      <c r="H1011" t="s">
        <v>22</v>
      </c>
      <c r="I1011">
        <v>131.88999999999999</v>
      </c>
      <c r="J1011">
        <v>25.5</v>
      </c>
      <c r="K1011" t="s">
        <v>27</v>
      </c>
      <c r="L1011" t="s">
        <v>15</v>
      </c>
    </row>
    <row r="1012" spans="1:12" x14ac:dyDescent="0.3">
      <c r="A1012">
        <v>84</v>
      </c>
      <c r="B1012" t="s">
        <v>12</v>
      </c>
      <c r="C1012">
        <v>55</v>
      </c>
      <c r="D1012" t="s">
        <v>15</v>
      </c>
      <c r="E1012" t="s">
        <v>15</v>
      </c>
      <c r="F1012" t="s">
        <v>16</v>
      </c>
      <c r="G1012" t="s">
        <v>17</v>
      </c>
      <c r="H1012" t="s">
        <v>22</v>
      </c>
      <c r="I1012">
        <v>89.17</v>
      </c>
      <c r="J1012">
        <v>31.5</v>
      </c>
      <c r="K1012" t="s">
        <v>25</v>
      </c>
      <c r="L1012" t="s">
        <v>15</v>
      </c>
    </row>
    <row r="1013" spans="1:12" x14ac:dyDescent="0.3">
      <c r="A1013">
        <v>8521</v>
      </c>
      <c r="B1013" t="s">
        <v>12</v>
      </c>
      <c r="C1013">
        <v>71</v>
      </c>
      <c r="D1013" t="s">
        <v>15</v>
      </c>
      <c r="E1013" t="s">
        <v>15</v>
      </c>
      <c r="F1013" t="s">
        <v>16</v>
      </c>
      <c r="G1013" t="s">
        <v>17</v>
      </c>
      <c r="H1013" t="s">
        <v>23</v>
      </c>
      <c r="I1013">
        <v>227.91</v>
      </c>
      <c r="J1013">
        <v>31.6</v>
      </c>
      <c r="K1013" t="s">
        <v>24</v>
      </c>
      <c r="L1013" t="s">
        <v>15</v>
      </c>
    </row>
    <row r="1014" spans="1:12" x14ac:dyDescent="0.3">
      <c r="A1014">
        <v>72779</v>
      </c>
      <c r="B1014" t="s">
        <v>13</v>
      </c>
      <c r="C1014">
        <v>14</v>
      </c>
      <c r="D1014" t="s">
        <v>15</v>
      </c>
      <c r="E1014" t="s">
        <v>15</v>
      </c>
      <c r="F1014" t="s">
        <v>15</v>
      </c>
      <c r="G1014" t="s">
        <v>20</v>
      </c>
      <c r="H1014" t="s">
        <v>22</v>
      </c>
      <c r="I1014">
        <v>131.77000000000001</v>
      </c>
      <c r="J1014">
        <v>31</v>
      </c>
      <c r="K1014" t="s">
        <v>27</v>
      </c>
      <c r="L1014" t="s">
        <v>15</v>
      </c>
    </row>
    <row r="1015" spans="1:12" x14ac:dyDescent="0.3">
      <c r="A1015">
        <v>45824</v>
      </c>
      <c r="B1015" t="s">
        <v>13</v>
      </c>
      <c r="C1015">
        <v>77</v>
      </c>
      <c r="D1015" t="s">
        <v>16</v>
      </c>
      <c r="E1015" t="s">
        <v>15</v>
      </c>
      <c r="F1015" t="s">
        <v>16</v>
      </c>
      <c r="G1015" t="s">
        <v>18</v>
      </c>
      <c r="H1015" t="s">
        <v>22</v>
      </c>
      <c r="I1015">
        <v>102.01</v>
      </c>
      <c r="J1015">
        <v>29.5</v>
      </c>
      <c r="K1015" t="s">
        <v>27</v>
      </c>
      <c r="L1015" t="s">
        <v>15</v>
      </c>
    </row>
    <row r="1016" spans="1:12" x14ac:dyDescent="0.3">
      <c r="A1016">
        <v>61838</v>
      </c>
      <c r="B1016" t="s">
        <v>13</v>
      </c>
      <c r="C1016">
        <v>50</v>
      </c>
      <c r="D1016" t="s">
        <v>15</v>
      </c>
      <c r="E1016" t="s">
        <v>15</v>
      </c>
      <c r="F1016" t="s">
        <v>16</v>
      </c>
      <c r="G1016" t="s">
        <v>19</v>
      </c>
      <c r="H1016" t="s">
        <v>22</v>
      </c>
      <c r="I1016">
        <v>128.63</v>
      </c>
      <c r="J1016">
        <v>23.1</v>
      </c>
      <c r="K1016" t="s">
        <v>27</v>
      </c>
      <c r="L1016" t="s">
        <v>15</v>
      </c>
    </row>
    <row r="1017" spans="1:12" x14ac:dyDescent="0.3">
      <c r="A1017">
        <v>57212</v>
      </c>
      <c r="B1017" t="s">
        <v>12</v>
      </c>
      <c r="C1017">
        <v>49</v>
      </c>
      <c r="D1017" t="s">
        <v>15</v>
      </c>
      <c r="E1017" t="s">
        <v>15</v>
      </c>
      <c r="F1017" t="s">
        <v>15</v>
      </c>
      <c r="G1017" t="s">
        <v>17</v>
      </c>
      <c r="H1017" t="s">
        <v>22</v>
      </c>
      <c r="I1017">
        <v>144.1</v>
      </c>
      <c r="J1017">
        <v>30.7</v>
      </c>
      <c r="K1017" t="s">
        <v>26</v>
      </c>
      <c r="L1017" t="s">
        <v>15</v>
      </c>
    </row>
    <row r="1018" spans="1:12" x14ac:dyDescent="0.3">
      <c r="A1018">
        <v>62668</v>
      </c>
      <c r="B1018" t="s">
        <v>13</v>
      </c>
      <c r="C1018">
        <v>51</v>
      </c>
      <c r="D1018" t="s">
        <v>15</v>
      </c>
      <c r="E1018" t="s">
        <v>15</v>
      </c>
      <c r="F1018" t="s">
        <v>16</v>
      </c>
      <c r="G1018" t="s">
        <v>18</v>
      </c>
      <c r="H1018" t="s">
        <v>22</v>
      </c>
      <c r="I1018">
        <v>143.15</v>
      </c>
      <c r="J1018">
        <v>44.7</v>
      </c>
      <c r="K1018" t="s">
        <v>24</v>
      </c>
      <c r="L1018" t="s">
        <v>15</v>
      </c>
    </row>
    <row r="1019" spans="1:12" x14ac:dyDescent="0.3">
      <c r="A1019">
        <v>33142</v>
      </c>
      <c r="B1019" t="s">
        <v>12</v>
      </c>
      <c r="C1019">
        <v>79</v>
      </c>
      <c r="D1019" t="s">
        <v>15</v>
      </c>
      <c r="E1019" t="s">
        <v>15</v>
      </c>
      <c r="F1019" t="s">
        <v>16</v>
      </c>
      <c r="G1019" t="s">
        <v>18</v>
      </c>
      <c r="H1019" t="s">
        <v>23</v>
      </c>
      <c r="I1019">
        <v>116.67</v>
      </c>
      <c r="J1019">
        <v>33.5</v>
      </c>
      <c r="K1019" t="s">
        <v>25</v>
      </c>
      <c r="L1019" t="s">
        <v>15</v>
      </c>
    </row>
    <row r="1020" spans="1:12" x14ac:dyDescent="0.3">
      <c r="A1020">
        <v>17437</v>
      </c>
      <c r="B1020" t="s">
        <v>13</v>
      </c>
      <c r="C1020">
        <v>63</v>
      </c>
      <c r="D1020" t="s">
        <v>15</v>
      </c>
      <c r="E1020" t="s">
        <v>15</v>
      </c>
      <c r="F1020" t="s">
        <v>16</v>
      </c>
      <c r="G1020" t="s">
        <v>18</v>
      </c>
      <c r="H1020" t="s">
        <v>23</v>
      </c>
      <c r="I1020">
        <v>85.6</v>
      </c>
      <c r="J1020">
        <v>25.9</v>
      </c>
      <c r="K1020" t="s">
        <v>27</v>
      </c>
      <c r="L1020" t="s">
        <v>15</v>
      </c>
    </row>
    <row r="1021" spans="1:12" x14ac:dyDescent="0.3">
      <c r="A1021">
        <v>38303</v>
      </c>
      <c r="B1021" t="s">
        <v>13</v>
      </c>
      <c r="C1021">
        <v>66</v>
      </c>
      <c r="D1021" t="s">
        <v>15</v>
      </c>
      <c r="E1021" t="s">
        <v>15</v>
      </c>
      <c r="F1021" t="s">
        <v>16</v>
      </c>
      <c r="G1021" t="s">
        <v>18</v>
      </c>
      <c r="H1021" t="s">
        <v>22</v>
      </c>
      <c r="I1021">
        <v>142.12</v>
      </c>
      <c r="J1021">
        <v>28.3</v>
      </c>
      <c r="K1021" t="s">
        <v>25</v>
      </c>
      <c r="L1021" t="s">
        <v>15</v>
      </c>
    </row>
    <row r="1022" spans="1:12" x14ac:dyDescent="0.3">
      <c r="A1022">
        <v>12396</v>
      </c>
      <c r="B1022" t="s">
        <v>13</v>
      </c>
      <c r="C1022">
        <v>20</v>
      </c>
      <c r="D1022" t="s">
        <v>15</v>
      </c>
      <c r="E1022" t="s">
        <v>15</v>
      </c>
      <c r="F1022" t="s">
        <v>15</v>
      </c>
      <c r="G1022" t="s">
        <v>17</v>
      </c>
      <c r="H1022" t="s">
        <v>22</v>
      </c>
      <c r="I1022">
        <v>100.81</v>
      </c>
      <c r="J1022">
        <v>26.8</v>
      </c>
      <c r="K1022" t="s">
        <v>27</v>
      </c>
      <c r="L1022" t="s">
        <v>15</v>
      </c>
    </row>
    <row r="1023" spans="1:12" x14ac:dyDescent="0.3">
      <c r="A1023">
        <v>36484</v>
      </c>
      <c r="B1023" t="s">
        <v>13</v>
      </c>
      <c r="C1023">
        <v>37</v>
      </c>
      <c r="D1023" t="s">
        <v>15</v>
      </c>
      <c r="E1023" t="s">
        <v>15</v>
      </c>
      <c r="F1023" t="s">
        <v>16</v>
      </c>
      <c r="G1023" t="s">
        <v>19</v>
      </c>
      <c r="H1023" t="s">
        <v>22</v>
      </c>
      <c r="I1023">
        <v>69.17</v>
      </c>
      <c r="J1023">
        <v>27.8</v>
      </c>
      <c r="K1023" t="s">
        <v>25</v>
      </c>
      <c r="L1023" t="s">
        <v>15</v>
      </c>
    </row>
    <row r="1024" spans="1:12" x14ac:dyDescent="0.3">
      <c r="A1024">
        <v>60047</v>
      </c>
      <c r="B1024" t="s">
        <v>12</v>
      </c>
      <c r="C1024">
        <v>22</v>
      </c>
      <c r="D1024" t="s">
        <v>15</v>
      </c>
      <c r="E1024" t="s">
        <v>15</v>
      </c>
      <c r="F1024" t="s">
        <v>15</v>
      </c>
      <c r="G1024" t="s">
        <v>17</v>
      </c>
      <c r="H1024" t="s">
        <v>23</v>
      </c>
      <c r="I1024">
        <v>58.38</v>
      </c>
      <c r="J1024">
        <v>36</v>
      </c>
      <c r="K1024" t="s">
        <v>25</v>
      </c>
      <c r="L1024" t="s">
        <v>15</v>
      </c>
    </row>
    <row r="1025" spans="1:12" x14ac:dyDescent="0.3">
      <c r="A1025">
        <v>16542</v>
      </c>
      <c r="B1025" t="s">
        <v>13</v>
      </c>
      <c r="C1025">
        <v>60</v>
      </c>
      <c r="D1025" t="s">
        <v>15</v>
      </c>
      <c r="E1025" t="s">
        <v>15</v>
      </c>
      <c r="F1025" t="s">
        <v>16</v>
      </c>
      <c r="G1025" t="s">
        <v>19</v>
      </c>
      <c r="H1025" t="s">
        <v>22</v>
      </c>
      <c r="I1025">
        <v>86.34</v>
      </c>
      <c r="J1025">
        <v>22.1</v>
      </c>
      <c r="K1025" t="s">
        <v>25</v>
      </c>
      <c r="L1025" t="s">
        <v>15</v>
      </c>
    </row>
    <row r="1026" spans="1:12" x14ac:dyDescent="0.3">
      <c r="A1026">
        <v>18805</v>
      </c>
      <c r="B1026" t="s">
        <v>12</v>
      </c>
      <c r="C1026">
        <v>39</v>
      </c>
      <c r="D1026" t="s">
        <v>15</v>
      </c>
      <c r="E1026" t="s">
        <v>15</v>
      </c>
      <c r="F1026" t="s">
        <v>16</v>
      </c>
      <c r="G1026" t="s">
        <v>17</v>
      </c>
      <c r="H1026" t="s">
        <v>22</v>
      </c>
      <c r="I1026">
        <v>95.44</v>
      </c>
      <c r="J1026">
        <v>38.4</v>
      </c>
      <c r="K1026" t="s">
        <v>25</v>
      </c>
      <c r="L1026" t="s">
        <v>15</v>
      </c>
    </row>
    <row r="1027" spans="1:12" x14ac:dyDescent="0.3">
      <c r="A1027">
        <v>17869</v>
      </c>
      <c r="B1027" t="s">
        <v>13</v>
      </c>
      <c r="C1027">
        <v>53</v>
      </c>
      <c r="D1027" t="s">
        <v>15</v>
      </c>
      <c r="E1027" t="s">
        <v>15</v>
      </c>
      <c r="F1027" t="s">
        <v>16</v>
      </c>
      <c r="G1027" t="s">
        <v>17</v>
      </c>
      <c r="H1027" t="s">
        <v>22</v>
      </c>
      <c r="I1027">
        <v>94.78</v>
      </c>
      <c r="J1027">
        <v>30.1</v>
      </c>
      <c r="K1027" t="s">
        <v>27</v>
      </c>
      <c r="L1027" t="s">
        <v>15</v>
      </c>
    </row>
    <row r="1028" spans="1:12" x14ac:dyDescent="0.3">
      <c r="A1028">
        <v>6793</v>
      </c>
      <c r="B1028" t="s">
        <v>13</v>
      </c>
      <c r="C1028">
        <v>55</v>
      </c>
      <c r="D1028" t="s">
        <v>15</v>
      </c>
      <c r="E1028" t="s">
        <v>15</v>
      </c>
      <c r="F1028" t="s">
        <v>16</v>
      </c>
      <c r="G1028" t="s">
        <v>17</v>
      </c>
      <c r="H1028" t="s">
        <v>23</v>
      </c>
      <c r="I1028">
        <v>109.59</v>
      </c>
      <c r="J1028">
        <v>26.2</v>
      </c>
      <c r="K1028" t="s">
        <v>24</v>
      </c>
      <c r="L1028" t="s">
        <v>15</v>
      </c>
    </row>
    <row r="1029" spans="1:12" x14ac:dyDescent="0.3">
      <c r="A1029">
        <v>49265</v>
      </c>
      <c r="B1029" t="s">
        <v>13</v>
      </c>
      <c r="C1029">
        <v>63</v>
      </c>
      <c r="D1029" t="s">
        <v>15</v>
      </c>
      <c r="E1029" t="s">
        <v>15</v>
      </c>
      <c r="F1029" t="s">
        <v>16</v>
      </c>
      <c r="G1029" t="s">
        <v>17</v>
      </c>
      <c r="H1029" t="s">
        <v>23</v>
      </c>
      <c r="I1029">
        <v>79.260000000000005</v>
      </c>
      <c r="J1029">
        <v>26.6</v>
      </c>
      <c r="K1029" t="s">
        <v>26</v>
      </c>
      <c r="L1029" t="s">
        <v>15</v>
      </c>
    </row>
    <row r="1030" spans="1:12" x14ac:dyDescent="0.3">
      <c r="A1030">
        <v>6606</v>
      </c>
      <c r="B1030" t="s">
        <v>13</v>
      </c>
      <c r="C1030">
        <v>57</v>
      </c>
      <c r="D1030" t="s">
        <v>15</v>
      </c>
      <c r="E1030" t="s">
        <v>15</v>
      </c>
      <c r="F1030" t="s">
        <v>16</v>
      </c>
      <c r="G1030" t="s">
        <v>17</v>
      </c>
      <c r="H1030" t="s">
        <v>22</v>
      </c>
      <c r="I1030">
        <v>78.459999999999994</v>
      </c>
      <c r="J1030">
        <v>32.6</v>
      </c>
      <c r="K1030" t="s">
        <v>25</v>
      </c>
      <c r="L1030" t="s">
        <v>15</v>
      </c>
    </row>
    <row r="1031" spans="1:12" x14ac:dyDescent="0.3">
      <c r="A1031">
        <v>23031</v>
      </c>
      <c r="B1031" t="s">
        <v>12</v>
      </c>
      <c r="C1031">
        <v>82</v>
      </c>
      <c r="D1031" t="s">
        <v>15</v>
      </c>
      <c r="E1031" t="s">
        <v>15</v>
      </c>
      <c r="F1031" t="s">
        <v>16</v>
      </c>
      <c r="G1031" t="s">
        <v>18</v>
      </c>
      <c r="H1031" t="s">
        <v>23</v>
      </c>
      <c r="I1031">
        <v>85.29</v>
      </c>
      <c r="J1031">
        <v>27</v>
      </c>
      <c r="K1031" t="s">
        <v>25</v>
      </c>
      <c r="L1031" t="s">
        <v>15</v>
      </c>
    </row>
    <row r="1032" spans="1:12" x14ac:dyDescent="0.3">
      <c r="A1032">
        <v>69330</v>
      </c>
      <c r="B1032" t="s">
        <v>12</v>
      </c>
      <c r="C1032">
        <v>56</v>
      </c>
      <c r="D1032" t="s">
        <v>15</v>
      </c>
      <c r="E1032" t="s">
        <v>15</v>
      </c>
      <c r="F1032" t="s">
        <v>16</v>
      </c>
      <c r="G1032" t="s">
        <v>17</v>
      </c>
      <c r="H1032" t="s">
        <v>23</v>
      </c>
      <c r="I1032">
        <v>156.18</v>
      </c>
      <c r="J1032">
        <v>25.3</v>
      </c>
      <c r="K1032" t="s">
        <v>26</v>
      </c>
      <c r="L1032" t="s">
        <v>15</v>
      </c>
    </row>
    <row r="1033" spans="1:12" x14ac:dyDescent="0.3">
      <c r="A1033">
        <v>22902</v>
      </c>
      <c r="B1033" t="s">
        <v>12</v>
      </c>
      <c r="C1033">
        <v>41</v>
      </c>
      <c r="D1033" t="s">
        <v>16</v>
      </c>
      <c r="E1033" t="s">
        <v>15</v>
      </c>
      <c r="F1033" t="s">
        <v>16</v>
      </c>
      <c r="G1033" t="s">
        <v>17</v>
      </c>
      <c r="H1033" t="s">
        <v>22</v>
      </c>
      <c r="I1033">
        <v>69.52</v>
      </c>
      <c r="J1033">
        <v>31.9</v>
      </c>
      <c r="K1033" t="s">
        <v>25</v>
      </c>
      <c r="L1033" t="s">
        <v>15</v>
      </c>
    </row>
    <row r="1034" spans="1:12" x14ac:dyDescent="0.3">
      <c r="A1034">
        <v>69622</v>
      </c>
      <c r="B1034" t="s">
        <v>13</v>
      </c>
      <c r="C1034">
        <v>8</v>
      </c>
      <c r="D1034" t="s">
        <v>15</v>
      </c>
      <c r="E1034" t="s">
        <v>15</v>
      </c>
      <c r="F1034" t="s">
        <v>15</v>
      </c>
      <c r="G1034" t="s">
        <v>20</v>
      </c>
      <c r="H1034" t="s">
        <v>22</v>
      </c>
      <c r="I1034">
        <v>65.319999999999993</v>
      </c>
      <c r="J1034">
        <v>18.399999999999999</v>
      </c>
      <c r="K1034" t="s">
        <v>27</v>
      </c>
      <c r="L1034" t="s">
        <v>15</v>
      </c>
    </row>
    <row r="1035" spans="1:12" x14ac:dyDescent="0.3">
      <c r="A1035">
        <v>4807</v>
      </c>
      <c r="B1035" t="s">
        <v>12</v>
      </c>
      <c r="C1035">
        <v>34</v>
      </c>
      <c r="D1035" t="s">
        <v>15</v>
      </c>
      <c r="E1035" t="s">
        <v>15</v>
      </c>
      <c r="F1035" t="s">
        <v>15</v>
      </c>
      <c r="G1035" t="s">
        <v>17</v>
      </c>
      <c r="H1035" t="s">
        <v>22</v>
      </c>
      <c r="I1035">
        <v>108.47</v>
      </c>
      <c r="J1035">
        <v>30.4</v>
      </c>
      <c r="K1035" t="s">
        <v>26</v>
      </c>
      <c r="L1035" t="s">
        <v>15</v>
      </c>
    </row>
    <row r="1036" spans="1:12" x14ac:dyDescent="0.3">
      <c r="A1036">
        <v>9641</v>
      </c>
      <c r="B1036" t="s">
        <v>12</v>
      </c>
      <c r="C1036">
        <v>75</v>
      </c>
      <c r="D1036" t="s">
        <v>15</v>
      </c>
      <c r="E1036" t="s">
        <v>15</v>
      </c>
      <c r="F1036" t="s">
        <v>16</v>
      </c>
      <c r="G1036" t="s">
        <v>17</v>
      </c>
      <c r="H1036" t="s">
        <v>22</v>
      </c>
      <c r="I1036">
        <v>105.63</v>
      </c>
      <c r="J1036">
        <v>28.2</v>
      </c>
      <c r="K1036" t="s">
        <v>26</v>
      </c>
      <c r="L1036" t="s">
        <v>15</v>
      </c>
    </row>
    <row r="1037" spans="1:12" x14ac:dyDescent="0.3">
      <c r="A1037">
        <v>10313</v>
      </c>
      <c r="B1037" t="s">
        <v>12</v>
      </c>
      <c r="C1037">
        <v>57</v>
      </c>
      <c r="D1037" t="s">
        <v>15</v>
      </c>
      <c r="E1037" t="s">
        <v>15</v>
      </c>
      <c r="F1037" t="s">
        <v>16</v>
      </c>
      <c r="G1037" t="s">
        <v>17</v>
      </c>
      <c r="H1037" t="s">
        <v>22</v>
      </c>
      <c r="I1037">
        <v>77.930000000000007</v>
      </c>
      <c r="J1037">
        <v>35.700000000000003</v>
      </c>
      <c r="K1037" t="s">
        <v>24</v>
      </c>
      <c r="L1037" t="s">
        <v>15</v>
      </c>
    </row>
    <row r="1038" spans="1:12" x14ac:dyDescent="0.3">
      <c r="A1038">
        <v>12097</v>
      </c>
      <c r="B1038" t="s">
        <v>13</v>
      </c>
      <c r="C1038">
        <v>72</v>
      </c>
      <c r="D1038" t="s">
        <v>15</v>
      </c>
      <c r="E1038" t="s">
        <v>15</v>
      </c>
      <c r="F1038" t="s">
        <v>16</v>
      </c>
      <c r="G1038" t="s">
        <v>17</v>
      </c>
      <c r="H1038" t="s">
        <v>22</v>
      </c>
      <c r="I1038">
        <v>95.2</v>
      </c>
      <c r="J1038">
        <v>35</v>
      </c>
      <c r="K1038" t="s">
        <v>25</v>
      </c>
      <c r="L1038" t="s">
        <v>15</v>
      </c>
    </row>
    <row r="1039" spans="1:12" x14ac:dyDescent="0.3">
      <c r="A1039">
        <v>58037</v>
      </c>
      <c r="B1039" t="s">
        <v>12</v>
      </c>
      <c r="C1039">
        <v>21</v>
      </c>
      <c r="D1039" t="s">
        <v>15</v>
      </c>
      <c r="E1039" t="s">
        <v>15</v>
      </c>
      <c r="F1039" t="s">
        <v>15</v>
      </c>
      <c r="G1039" t="s">
        <v>17</v>
      </c>
      <c r="H1039" t="s">
        <v>23</v>
      </c>
      <c r="I1039">
        <v>78.52</v>
      </c>
      <c r="J1039">
        <v>27.2</v>
      </c>
      <c r="K1039" t="s">
        <v>25</v>
      </c>
      <c r="L1039" t="s">
        <v>15</v>
      </c>
    </row>
    <row r="1040" spans="1:12" x14ac:dyDescent="0.3">
      <c r="A1040">
        <v>45323</v>
      </c>
      <c r="B1040" t="s">
        <v>13</v>
      </c>
      <c r="C1040">
        <v>51</v>
      </c>
      <c r="D1040" t="s">
        <v>15</v>
      </c>
      <c r="E1040" t="s">
        <v>15</v>
      </c>
      <c r="F1040" t="s">
        <v>16</v>
      </c>
      <c r="G1040" t="s">
        <v>17</v>
      </c>
      <c r="H1040" t="s">
        <v>22</v>
      </c>
      <c r="I1040">
        <v>114.89</v>
      </c>
      <c r="J1040">
        <v>23</v>
      </c>
      <c r="K1040" t="s">
        <v>25</v>
      </c>
      <c r="L1040" t="s">
        <v>15</v>
      </c>
    </row>
    <row r="1041" spans="1:12" x14ac:dyDescent="0.3">
      <c r="A1041">
        <v>34281</v>
      </c>
      <c r="B1041" t="s">
        <v>13</v>
      </c>
      <c r="C1041">
        <v>15</v>
      </c>
      <c r="D1041" t="s">
        <v>15</v>
      </c>
      <c r="E1041" t="s">
        <v>15</v>
      </c>
      <c r="F1041" t="s">
        <v>15</v>
      </c>
      <c r="G1041" t="s">
        <v>17</v>
      </c>
      <c r="H1041" t="s">
        <v>23</v>
      </c>
      <c r="I1041">
        <v>95.43</v>
      </c>
      <c r="J1041">
        <v>25</v>
      </c>
      <c r="K1041" t="s">
        <v>27</v>
      </c>
      <c r="L1041" t="s">
        <v>15</v>
      </c>
    </row>
    <row r="1042" spans="1:12" x14ac:dyDescent="0.3">
      <c r="A1042">
        <v>7990</v>
      </c>
      <c r="B1042" t="s">
        <v>13</v>
      </c>
      <c r="C1042">
        <v>24</v>
      </c>
      <c r="D1042" t="s">
        <v>15</v>
      </c>
      <c r="E1042" t="s">
        <v>15</v>
      </c>
      <c r="F1042" t="s">
        <v>16</v>
      </c>
      <c r="G1042" t="s">
        <v>17</v>
      </c>
      <c r="H1042" t="s">
        <v>23</v>
      </c>
      <c r="I1042">
        <v>84.08</v>
      </c>
      <c r="J1042">
        <v>24.5</v>
      </c>
      <c r="K1042" t="s">
        <v>27</v>
      </c>
      <c r="L1042" t="s">
        <v>15</v>
      </c>
    </row>
    <row r="1043" spans="1:12" x14ac:dyDescent="0.3">
      <c r="A1043">
        <v>57622</v>
      </c>
      <c r="B1043" t="s">
        <v>13</v>
      </c>
      <c r="C1043">
        <v>30</v>
      </c>
      <c r="D1043" t="s">
        <v>15</v>
      </c>
      <c r="E1043" t="s">
        <v>15</v>
      </c>
      <c r="F1043" t="s">
        <v>16</v>
      </c>
      <c r="G1043" t="s">
        <v>19</v>
      </c>
      <c r="H1043" t="s">
        <v>23</v>
      </c>
      <c r="I1043">
        <v>110.55</v>
      </c>
      <c r="J1043">
        <v>30.9</v>
      </c>
      <c r="K1043" t="s">
        <v>26</v>
      </c>
      <c r="L1043" t="s">
        <v>15</v>
      </c>
    </row>
    <row r="1044" spans="1:12" x14ac:dyDescent="0.3">
      <c r="A1044">
        <v>39120</v>
      </c>
      <c r="B1044" t="s">
        <v>13</v>
      </c>
      <c r="C1044">
        <v>82</v>
      </c>
      <c r="D1044" t="s">
        <v>15</v>
      </c>
      <c r="E1044" t="s">
        <v>15</v>
      </c>
      <c r="F1044" t="s">
        <v>15</v>
      </c>
      <c r="G1044" t="s">
        <v>18</v>
      </c>
      <c r="H1044" t="s">
        <v>22</v>
      </c>
      <c r="I1044">
        <v>82.21</v>
      </c>
      <c r="J1044">
        <v>26</v>
      </c>
      <c r="K1044" t="s">
        <v>25</v>
      </c>
      <c r="L1044" t="s">
        <v>15</v>
      </c>
    </row>
    <row r="1045" spans="1:12" x14ac:dyDescent="0.3">
      <c r="A1045">
        <v>68344</v>
      </c>
      <c r="B1045" t="s">
        <v>13</v>
      </c>
      <c r="C1045">
        <v>62</v>
      </c>
      <c r="D1045" t="s">
        <v>15</v>
      </c>
      <c r="E1045" t="s">
        <v>15</v>
      </c>
      <c r="F1045" t="s">
        <v>16</v>
      </c>
      <c r="G1045" t="s">
        <v>17</v>
      </c>
      <c r="H1045" t="s">
        <v>22</v>
      </c>
      <c r="I1045">
        <v>82.38</v>
      </c>
      <c r="J1045">
        <v>27.2</v>
      </c>
      <c r="K1045" t="s">
        <v>24</v>
      </c>
      <c r="L1045" t="s">
        <v>15</v>
      </c>
    </row>
    <row r="1046" spans="1:12" x14ac:dyDescent="0.3">
      <c r="A1046">
        <v>66752</v>
      </c>
      <c r="B1046" t="s">
        <v>13</v>
      </c>
      <c r="C1046">
        <v>79</v>
      </c>
      <c r="D1046" t="s">
        <v>15</v>
      </c>
      <c r="E1046" t="s">
        <v>15</v>
      </c>
      <c r="F1046" t="s">
        <v>16</v>
      </c>
      <c r="G1046" t="s">
        <v>19</v>
      </c>
      <c r="H1046" t="s">
        <v>22</v>
      </c>
      <c r="I1046">
        <v>93.89</v>
      </c>
      <c r="J1046">
        <v>30.4</v>
      </c>
      <c r="K1046" t="s">
        <v>25</v>
      </c>
      <c r="L1046" t="s">
        <v>15</v>
      </c>
    </row>
    <row r="1047" spans="1:12" x14ac:dyDescent="0.3">
      <c r="A1047">
        <v>11691</v>
      </c>
      <c r="B1047" t="s">
        <v>13</v>
      </c>
      <c r="C1047">
        <v>19</v>
      </c>
      <c r="D1047" t="s">
        <v>15</v>
      </c>
      <c r="E1047" t="s">
        <v>15</v>
      </c>
      <c r="F1047" t="s">
        <v>15</v>
      </c>
      <c r="G1047" t="s">
        <v>17</v>
      </c>
      <c r="H1047" t="s">
        <v>23</v>
      </c>
      <c r="I1047">
        <v>75.08</v>
      </c>
      <c r="J1047">
        <v>21.7</v>
      </c>
      <c r="K1047" t="s">
        <v>27</v>
      </c>
      <c r="L1047" t="s">
        <v>15</v>
      </c>
    </row>
    <row r="1048" spans="1:12" x14ac:dyDescent="0.3">
      <c r="A1048">
        <v>5077</v>
      </c>
      <c r="B1048" t="s">
        <v>12</v>
      </c>
      <c r="C1048">
        <v>45</v>
      </c>
      <c r="D1048" t="s">
        <v>15</v>
      </c>
      <c r="E1048" t="s">
        <v>15</v>
      </c>
      <c r="F1048" t="s">
        <v>16</v>
      </c>
      <c r="G1048" t="s">
        <v>17</v>
      </c>
      <c r="H1048" t="s">
        <v>22</v>
      </c>
      <c r="I1048">
        <v>76.72</v>
      </c>
      <c r="J1048">
        <v>29.1</v>
      </c>
      <c r="K1048" t="s">
        <v>27</v>
      </c>
      <c r="L1048" t="s">
        <v>15</v>
      </c>
    </row>
    <row r="1049" spans="1:12" x14ac:dyDescent="0.3">
      <c r="A1049">
        <v>13319</v>
      </c>
      <c r="B1049" t="s">
        <v>13</v>
      </c>
      <c r="C1049">
        <v>5</v>
      </c>
      <c r="D1049" t="s">
        <v>15</v>
      </c>
      <c r="E1049" t="s">
        <v>15</v>
      </c>
      <c r="F1049" t="s">
        <v>15</v>
      </c>
      <c r="G1049" t="s">
        <v>20</v>
      </c>
      <c r="H1049" t="s">
        <v>23</v>
      </c>
      <c r="I1049">
        <v>84.93</v>
      </c>
      <c r="J1049">
        <v>17.600000000000001</v>
      </c>
      <c r="K1049" t="s">
        <v>27</v>
      </c>
      <c r="L1049" t="s">
        <v>15</v>
      </c>
    </row>
    <row r="1050" spans="1:12" x14ac:dyDescent="0.3">
      <c r="A1050">
        <v>49279</v>
      </c>
      <c r="B1050" t="s">
        <v>12</v>
      </c>
      <c r="C1050">
        <v>57</v>
      </c>
      <c r="D1050" t="s">
        <v>15</v>
      </c>
      <c r="E1050" t="s">
        <v>16</v>
      </c>
      <c r="F1050" t="s">
        <v>16</v>
      </c>
      <c r="G1050" t="s">
        <v>17</v>
      </c>
      <c r="H1050" t="s">
        <v>22</v>
      </c>
      <c r="I1050">
        <v>76.5</v>
      </c>
      <c r="J1050">
        <v>29.2</v>
      </c>
      <c r="K1050" t="s">
        <v>24</v>
      </c>
      <c r="L1050" t="s">
        <v>15</v>
      </c>
    </row>
    <row r="1051" spans="1:12" x14ac:dyDescent="0.3">
      <c r="A1051">
        <v>53815</v>
      </c>
      <c r="B1051" t="s">
        <v>13</v>
      </c>
      <c r="C1051">
        <v>31</v>
      </c>
      <c r="D1051" t="s">
        <v>15</v>
      </c>
      <c r="E1051" t="s">
        <v>15</v>
      </c>
      <c r="F1051" t="s">
        <v>15</v>
      </c>
      <c r="G1051" t="s">
        <v>17</v>
      </c>
      <c r="H1051" t="s">
        <v>22</v>
      </c>
      <c r="I1051">
        <v>65.47</v>
      </c>
      <c r="J1051">
        <v>28.1</v>
      </c>
      <c r="K1051" t="s">
        <v>25</v>
      </c>
      <c r="L1051" t="s">
        <v>15</v>
      </c>
    </row>
    <row r="1052" spans="1:12" x14ac:dyDescent="0.3">
      <c r="A1052">
        <v>42856</v>
      </c>
      <c r="B1052" t="s">
        <v>12</v>
      </c>
      <c r="C1052">
        <v>61</v>
      </c>
      <c r="D1052" t="s">
        <v>15</v>
      </c>
      <c r="E1052" t="s">
        <v>15</v>
      </c>
      <c r="F1052" t="s">
        <v>16</v>
      </c>
      <c r="G1052" t="s">
        <v>17</v>
      </c>
      <c r="H1052" t="s">
        <v>22</v>
      </c>
      <c r="I1052">
        <v>99.16</v>
      </c>
      <c r="J1052">
        <v>26.6</v>
      </c>
      <c r="K1052" t="s">
        <v>26</v>
      </c>
      <c r="L1052" t="s">
        <v>15</v>
      </c>
    </row>
    <row r="1053" spans="1:12" x14ac:dyDescent="0.3">
      <c r="A1053">
        <v>51579</v>
      </c>
      <c r="B1053" t="s">
        <v>12</v>
      </c>
      <c r="C1053">
        <v>27</v>
      </c>
      <c r="D1053" t="s">
        <v>15</v>
      </c>
      <c r="E1053" t="s">
        <v>15</v>
      </c>
      <c r="F1053" t="s">
        <v>15</v>
      </c>
      <c r="G1053" t="s">
        <v>18</v>
      </c>
      <c r="H1053" t="s">
        <v>23</v>
      </c>
      <c r="I1053">
        <v>63.53</v>
      </c>
      <c r="J1053">
        <v>26.9</v>
      </c>
      <c r="K1053" t="s">
        <v>25</v>
      </c>
      <c r="L1053" t="s">
        <v>15</v>
      </c>
    </row>
    <row r="1054" spans="1:12" x14ac:dyDescent="0.3">
      <c r="A1054">
        <v>10752</v>
      </c>
      <c r="B1054" t="s">
        <v>13</v>
      </c>
      <c r="C1054">
        <v>61</v>
      </c>
      <c r="D1054" t="s">
        <v>15</v>
      </c>
      <c r="E1054" t="s">
        <v>15</v>
      </c>
      <c r="F1054" t="s">
        <v>16</v>
      </c>
      <c r="G1054" t="s">
        <v>17</v>
      </c>
      <c r="H1054" t="s">
        <v>23</v>
      </c>
      <c r="I1054">
        <v>78.650000000000006</v>
      </c>
      <c r="J1054">
        <v>36.200000000000003</v>
      </c>
      <c r="K1054" t="s">
        <v>24</v>
      </c>
      <c r="L1054" t="s">
        <v>15</v>
      </c>
    </row>
    <row r="1055" spans="1:12" x14ac:dyDescent="0.3">
      <c r="A1055">
        <v>42133</v>
      </c>
      <c r="B1055" t="s">
        <v>13</v>
      </c>
      <c r="C1055">
        <v>53</v>
      </c>
      <c r="D1055" t="s">
        <v>15</v>
      </c>
      <c r="E1055" t="s">
        <v>15</v>
      </c>
      <c r="F1055" t="s">
        <v>16</v>
      </c>
      <c r="G1055" t="s">
        <v>18</v>
      </c>
      <c r="H1055" t="s">
        <v>22</v>
      </c>
      <c r="I1055">
        <v>63.78</v>
      </c>
      <c r="J1055">
        <v>25.9</v>
      </c>
      <c r="K1055" t="s">
        <v>25</v>
      </c>
      <c r="L1055" t="s">
        <v>15</v>
      </c>
    </row>
    <row r="1056" spans="1:12" x14ac:dyDescent="0.3">
      <c r="A1056">
        <v>4842</v>
      </c>
      <c r="B1056" t="s">
        <v>13</v>
      </c>
      <c r="C1056">
        <v>76</v>
      </c>
      <c r="D1056" t="s">
        <v>15</v>
      </c>
      <c r="E1056" t="s">
        <v>15</v>
      </c>
      <c r="F1056" t="s">
        <v>15</v>
      </c>
      <c r="G1056" t="s">
        <v>18</v>
      </c>
      <c r="H1056" t="s">
        <v>22</v>
      </c>
      <c r="I1056">
        <v>77.52</v>
      </c>
      <c r="J1056">
        <v>40.9</v>
      </c>
      <c r="K1056" t="s">
        <v>24</v>
      </c>
      <c r="L1056" t="s">
        <v>15</v>
      </c>
    </row>
    <row r="1057" spans="1:12" x14ac:dyDescent="0.3">
      <c r="A1057">
        <v>58138</v>
      </c>
      <c r="B1057" t="s">
        <v>12</v>
      </c>
      <c r="C1057">
        <v>57</v>
      </c>
      <c r="D1057" t="s">
        <v>15</v>
      </c>
      <c r="E1057" t="s">
        <v>15</v>
      </c>
      <c r="F1057" t="s">
        <v>16</v>
      </c>
      <c r="G1057" t="s">
        <v>17</v>
      </c>
      <c r="H1057" t="s">
        <v>23</v>
      </c>
      <c r="I1057">
        <v>111.64</v>
      </c>
      <c r="J1057">
        <v>31.5</v>
      </c>
      <c r="K1057" t="s">
        <v>25</v>
      </c>
      <c r="L1057" t="s">
        <v>15</v>
      </c>
    </row>
    <row r="1058" spans="1:12" x14ac:dyDescent="0.3">
      <c r="A1058">
        <v>58203</v>
      </c>
      <c r="B1058" t="s">
        <v>12</v>
      </c>
      <c r="C1058">
        <v>9</v>
      </c>
      <c r="D1058" t="s">
        <v>15</v>
      </c>
      <c r="E1058" t="s">
        <v>15</v>
      </c>
      <c r="F1058" t="s">
        <v>15</v>
      </c>
      <c r="G1058" t="s">
        <v>20</v>
      </c>
      <c r="H1058" t="s">
        <v>22</v>
      </c>
      <c r="I1058">
        <v>97.84</v>
      </c>
      <c r="J1058">
        <v>23.3</v>
      </c>
      <c r="K1058" t="s">
        <v>27</v>
      </c>
      <c r="L1058" t="s">
        <v>15</v>
      </c>
    </row>
    <row r="1059" spans="1:12" x14ac:dyDescent="0.3">
      <c r="A1059">
        <v>65053</v>
      </c>
      <c r="B1059" t="s">
        <v>13</v>
      </c>
      <c r="C1059">
        <v>34</v>
      </c>
      <c r="D1059" t="s">
        <v>15</v>
      </c>
      <c r="E1059" t="s">
        <v>15</v>
      </c>
      <c r="F1059" t="s">
        <v>16</v>
      </c>
      <c r="G1059" t="s">
        <v>17</v>
      </c>
      <c r="H1059" t="s">
        <v>22</v>
      </c>
      <c r="I1059">
        <v>113.01</v>
      </c>
      <c r="J1059">
        <v>37.6</v>
      </c>
      <c r="K1059" t="s">
        <v>25</v>
      </c>
      <c r="L1059" t="s">
        <v>15</v>
      </c>
    </row>
    <row r="1060" spans="1:12" x14ac:dyDescent="0.3">
      <c r="A1060">
        <v>24168</v>
      </c>
      <c r="B1060" t="s">
        <v>12</v>
      </c>
      <c r="C1060">
        <v>51</v>
      </c>
      <c r="D1060" t="s">
        <v>16</v>
      </c>
      <c r="E1060" t="s">
        <v>15</v>
      </c>
      <c r="F1060" t="s">
        <v>16</v>
      </c>
      <c r="G1060" t="s">
        <v>17</v>
      </c>
      <c r="H1060" t="s">
        <v>22</v>
      </c>
      <c r="I1060">
        <v>56.48</v>
      </c>
      <c r="J1060">
        <v>39.799999999999997</v>
      </c>
      <c r="K1060" t="s">
        <v>25</v>
      </c>
      <c r="L1060" t="s">
        <v>15</v>
      </c>
    </row>
    <row r="1061" spans="1:12" x14ac:dyDescent="0.3">
      <c r="A1061">
        <v>5824</v>
      </c>
      <c r="B1061" t="s">
        <v>12</v>
      </c>
      <c r="C1061">
        <v>61</v>
      </c>
      <c r="D1061" t="s">
        <v>15</v>
      </c>
      <c r="E1061" t="s">
        <v>15</v>
      </c>
      <c r="F1061" t="s">
        <v>16</v>
      </c>
      <c r="G1061" t="s">
        <v>17</v>
      </c>
      <c r="H1061" t="s">
        <v>23</v>
      </c>
      <c r="I1061">
        <v>204.5</v>
      </c>
      <c r="J1061">
        <v>35.1</v>
      </c>
      <c r="K1061" t="s">
        <v>24</v>
      </c>
      <c r="L1061" t="s">
        <v>15</v>
      </c>
    </row>
    <row r="1062" spans="1:12" x14ac:dyDescent="0.3">
      <c r="A1062">
        <v>6965</v>
      </c>
      <c r="B1062" t="s">
        <v>13</v>
      </c>
      <c r="C1062">
        <v>19</v>
      </c>
      <c r="D1062" t="s">
        <v>15</v>
      </c>
      <c r="E1062" t="s">
        <v>15</v>
      </c>
      <c r="F1062" t="s">
        <v>15</v>
      </c>
      <c r="G1062" t="s">
        <v>17</v>
      </c>
      <c r="H1062" t="s">
        <v>23</v>
      </c>
      <c r="I1062">
        <v>96.02</v>
      </c>
      <c r="J1062">
        <v>21.9</v>
      </c>
      <c r="K1062" t="s">
        <v>25</v>
      </c>
      <c r="L1062" t="s">
        <v>15</v>
      </c>
    </row>
    <row r="1063" spans="1:12" x14ac:dyDescent="0.3">
      <c r="A1063">
        <v>8332</v>
      </c>
      <c r="B1063" t="s">
        <v>13</v>
      </c>
      <c r="C1063">
        <v>50</v>
      </c>
      <c r="D1063" t="s">
        <v>15</v>
      </c>
      <c r="E1063" t="s">
        <v>15</v>
      </c>
      <c r="F1063" t="s">
        <v>16</v>
      </c>
      <c r="G1063" t="s">
        <v>17</v>
      </c>
      <c r="H1063" t="s">
        <v>23</v>
      </c>
      <c r="I1063">
        <v>206.25</v>
      </c>
      <c r="J1063">
        <v>53.4</v>
      </c>
      <c r="K1063" t="s">
        <v>24</v>
      </c>
      <c r="L1063" t="s">
        <v>15</v>
      </c>
    </row>
    <row r="1064" spans="1:12" x14ac:dyDescent="0.3">
      <c r="A1064">
        <v>61973</v>
      </c>
      <c r="B1064" t="s">
        <v>13</v>
      </c>
      <c r="C1064">
        <v>80</v>
      </c>
      <c r="D1064" t="s">
        <v>16</v>
      </c>
      <c r="E1064" t="s">
        <v>16</v>
      </c>
      <c r="F1064" t="s">
        <v>16</v>
      </c>
      <c r="G1064" t="s">
        <v>17</v>
      </c>
      <c r="H1064" t="s">
        <v>23</v>
      </c>
      <c r="I1064">
        <v>115.52</v>
      </c>
      <c r="J1064">
        <v>34.4</v>
      </c>
      <c r="K1064" t="s">
        <v>27</v>
      </c>
      <c r="L1064" t="s">
        <v>15</v>
      </c>
    </row>
    <row r="1065" spans="1:12" x14ac:dyDescent="0.3">
      <c r="A1065">
        <v>42821</v>
      </c>
      <c r="B1065" t="s">
        <v>13</v>
      </c>
      <c r="C1065">
        <v>13</v>
      </c>
      <c r="D1065" t="s">
        <v>15</v>
      </c>
      <c r="E1065" t="s">
        <v>15</v>
      </c>
      <c r="F1065" t="s">
        <v>15</v>
      </c>
      <c r="G1065" t="s">
        <v>17</v>
      </c>
      <c r="H1065" t="s">
        <v>23</v>
      </c>
      <c r="I1065">
        <v>60.69</v>
      </c>
      <c r="J1065">
        <v>24</v>
      </c>
      <c r="K1065" t="s">
        <v>26</v>
      </c>
      <c r="L1065" t="s">
        <v>15</v>
      </c>
    </row>
    <row r="1066" spans="1:12" x14ac:dyDescent="0.3">
      <c r="A1066">
        <v>18687</v>
      </c>
      <c r="B1066" t="s">
        <v>12</v>
      </c>
      <c r="C1066">
        <v>55</v>
      </c>
      <c r="D1066" t="s">
        <v>15</v>
      </c>
      <c r="E1066" t="s">
        <v>15</v>
      </c>
      <c r="F1066" t="s">
        <v>16</v>
      </c>
      <c r="G1066" t="s">
        <v>18</v>
      </c>
      <c r="H1066" t="s">
        <v>22</v>
      </c>
      <c r="I1066">
        <v>93.67</v>
      </c>
      <c r="J1066">
        <v>29.3</v>
      </c>
      <c r="K1066" t="s">
        <v>27</v>
      </c>
      <c r="L1066" t="s">
        <v>15</v>
      </c>
    </row>
    <row r="1067" spans="1:12" x14ac:dyDescent="0.3">
      <c r="A1067">
        <v>72642</v>
      </c>
      <c r="B1067" t="s">
        <v>12</v>
      </c>
      <c r="C1067">
        <v>67</v>
      </c>
      <c r="D1067" t="s">
        <v>15</v>
      </c>
      <c r="E1067" t="s">
        <v>15</v>
      </c>
      <c r="F1067" t="s">
        <v>16</v>
      </c>
      <c r="G1067" t="s">
        <v>19</v>
      </c>
      <c r="H1067" t="s">
        <v>22</v>
      </c>
      <c r="I1067">
        <v>67.790000000000006</v>
      </c>
      <c r="J1067">
        <v>26</v>
      </c>
      <c r="K1067" t="s">
        <v>24</v>
      </c>
      <c r="L1067" t="s">
        <v>15</v>
      </c>
    </row>
    <row r="1068" spans="1:12" x14ac:dyDescent="0.3">
      <c r="A1068">
        <v>54782</v>
      </c>
      <c r="B1068" t="s">
        <v>13</v>
      </c>
      <c r="C1068">
        <v>30</v>
      </c>
      <c r="D1068" t="s">
        <v>15</v>
      </c>
      <c r="E1068" t="s">
        <v>15</v>
      </c>
      <c r="F1068" t="s">
        <v>15</v>
      </c>
      <c r="G1068" t="s">
        <v>18</v>
      </c>
      <c r="H1068" t="s">
        <v>23</v>
      </c>
      <c r="I1068">
        <v>56.07</v>
      </c>
      <c r="J1068">
        <v>31.3</v>
      </c>
      <c r="K1068" t="s">
        <v>25</v>
      </c>
      <c r="L1068" t="s">
        <v>15</v>
      </c>
    </row>
    <row r="1069" spans="1:12" x14ac:dyDescent="0.3">
      <c r="A1069">
        <v>55862</v>
      </c>
      <c r="B1069" t="s">
        <v>12</v>
      </c>
      <c r="C1069">
        <v>67</v>
      </c>
      <c r="D1069" t="s">
        <v>16</v>
      </c>
      <c r="E1069" t="s">
        <v>16</v>
      </c>
      <c r="F1069" t="s">
        <v>16</v>
      </c>
      <c r="G1069" t="s">
        <v>17</v>
      </c>
      <c r="H1069" t="s">
        <v>23</v>
      </c>
      <c r="I1069">
        <v>254.63</v>
      </c>
      <c r="J1069">
        <v>31</v>
      </c>
      <c r="K1069" t="s">
        <v>25</v>
      </c>
      <c r="L1069" t="s">
        <v>15</v>
      </c>
    </row>
    <row r="1070" spans="1:12" x14ac:dyDescent="0.3">
      <c r="A1070">
        <v>24437</v>
      </c>
      <c r="B1070" t="s">
        <v>13</v>
      </c>
      <c r="C1070">
        <v>82</v>
      </c>
      <c r="D1070" t="s">
        <v>15</v>
      </c>
      <c r="E1070" t="s">
        <v>15</v>
      </c>
      <c r="F1070" t="s">
        <v>16</v>
      </c>
      <c r="G1070" t="s">
        <v>17</v>
      </c>
      <c r="H1070" t="s">
        <v>23</v>
      </c>
      <c r="I1070">
        <v>96.63</v>
      </c>
      <c r="J1070">
        <v>26.5</v>
      </c>
      <c r="K1070" t="s">
        <v>27</v>
      </c>
      <c r="L1070" t="s">
        <v>15</v>
      </c>
    </row>
    <row r="1071" spans="1:12" x14ac:dyDescent="0.3">
      <c r="A1071">
        <v>10367</v>
      </c>
      <c r="B1071" t="s">
        <v>12</v>
      </c>
      <c r="C1071">
        <v>5</v>
      </c>
      <c r="D1071" t="s">
        <v>15</v>
      </c>
      <c r="E1071" t="s">
        <v>15</v>
      </c>
      <c r="F1071" t="s">
        <v>15</v>
      </c>
      <c r="G1071" t="s">
        <v>20</v>
      </c>
      <c r="H1071" t="s">
        <v>23</v>
      </c>
      <c r="I1071">
        <v>84.3</v>
      </c>
      <c r="J1071">
        <v>16</v>
      </c>
      <c r="K1071" t="s">
        <v>27</v>
      </c>
      <c r="L1071" t="s">
        <v>15</v>
      </c>
    </row>
    <row r="1072" spans="1:12" x14ac:dyDescent="0.3">
      <c r="A1072">
        <v>42550</v>
      </c>
      <c r="B1072" t="s">
        <v>13</v>
      </c>
      <c r="C1072">
        <v>81</v>
      </c>
      <c r="D1072" t="s">
        <v>15</v>
      </c>
      <c r="E1072" t="s">
        <v>15</v>
      </c>
      <c r="F1072" t="s">
        <v>16</v>
      </c>
      <c r="G1072" t="s">
        <v>18</v>
      </c>
      <c r="H1072" t="s">
        <v>23</v>
      </c>
      <c r="I1072">
        <v>246.34</v>
      </c>
      <c r="J1072">
        <v>21.1</v>
      </c>
      <c r="K1072" t="s">
        <v>25</v>
      </c>
      <c r="L1072" t="s">
        <v>15</v>
      </c>
    </row>
    <row r="1073" spans="1:12" x14ac:dyDescent="0.3">
      <c r="A1073">
        <v>14178</v>
      </c>
      <c r="B1073" t="s">
        <v>13</v>
      </c>
      <c r="C1073">
        <v>48</v>
      </c>
      <c r="D1073" t="s">
        <v>15</v>
      </c>
      <c r="E1073" t="s">
        <v>15</v>
      </c>
      <c r="F1073" t="s">
        <v>16</v>
      </c>
      <c r="G1073" t="s">
        <v>17</v>
      </c>
      <c r="H1073" t="s">
        <v>23</v>
      </c>
      <c r="I1073">
        <v>195.16</v>
      </c>
      <c r="J1073">
        <v>42.2</v>
      </c>
      <c r="K1073" t="s">
        <v>27</v>
      </c>
      <c r="L1073" t="s">
        <v>15</v>
      </c>
    </row>
    <row r="1074" spans="1:12" x14ac:dyDescent="0.3">
      <c r="A1074">
        <v>65429</v>
      </c>
      <c r="B1074" t="s">
        <v>13</v>
      </c>
      <c r="C1074">
        <v>66</v>
      </c>
      <c r="D1074" t="s">
        <v>15</v>
      </c>
      <c r="E1074" t="s">
        <v>15</v>
      </c>
      <c r="F1074" t="s">
        <v>16</v>
      </c>
      <c r="G1074" t="s">
        <v>19</v>
      </c>
      <c r="H1074" t="s">
        <v>23</v>
      </c>
      <c r="I1074">
        <v>93.34</v>
      </c>
      <c r="J1074">
        <v>27.7</v>
      </c>
      <c r="K1074" t="s">
        <v>25</v>
      </c>
      <c r="L1074" t="s">
        <v>15</v>
      </c>
    </row>
    <row r="1075" spans="1:12" x14ac:dyDescent="0.3">
      <c r="A1075">
        <v>66530</v>
      </c>
      <c r="B1075" t="s">
        <v>13</v>
      </c>
      <c r="C1075">
        <v>38</v>
      </c>
      <c r="D1075" t="s">
        <v>15</v>
      </c>
      <c r="E1075" t="s">
        <v>15</v>
      </c>
      <c r="F1075" t="s">
        <v>16</v>
      </c>
      <c r="G1075" t="s">
        <v>17</v>
      </c>
      <c r="H1075" t="s">
        <v>22</v>
      </c>
      <c r="I1075">
        <v>162.30000000000001</v>
      </c>
      <c r="J1075">
        <v>23.6</v>
      </c>
      <c r="K1075" t="s">
        <v>25</v>
      </c>
      <c r="L1075" t="s">
        <v>15</v>
      </c>
    </row>
    <row r="1076" spans="1:12" x14ac:dyDescent="0.3">
      <c r="A1076">
        <v>43146</v>
      </c>
      <c r="B1076" t="s">
        <v>12</v>
      </c>
      <c r="C1076">
        <v>8</v>
      </c>
      <c r="D1076" t="s">
        <v>15</v>
      </c>
      <c r="E1076" t="s">
        <v>15</v>
      </c>
      <c r="F1076" t="s">
        <v>15</v>
      </c>
      <c r="G1076" t="s">
        <v>20</v>
      </c>
      <c r="H1076" t="s">
        <v>22</v>
      </c>
      <c r="I1076">
        <v>106.4</v>
      </c>
      <c r="J1076">
        <v>18.3</v>
      </c>
      <c r="K1076" t="s">
        <v>27</v>
      </c>
      <c r="L1076" t="s">
        <v>15</v>
      </c>
    </row>
    <row r="1077" spans="1:12" x14ac:dyDescent="0.3">
      <c r="A1077">
        <v>3509</v>
      </c>
      <c r="B1077" t="s">
        <v>12</v>
      </c>
      <c r="C1077">
        <v>47</v>
      </c>
      <c r="D1077" t="s">
        <v>16</v>
      </c>
      <c r="E1077" t="s">
        <v>15</v>
      </c>
      <c r="F1077" t="s">
        <v>16</v>
      </c>
      <c r="G1077" t="s">
        <v>17</v>
      </c>
      <c r="H1077" t="s">
        <v>22</v>
      </c>
      <c r="I1077">
        <v>110.25</v>
      </c>
      <c r="J1077">
        <v>44.3</v>
      </c>
      <c r="K1077" t="s">
        <v>25</v>
      </c>
      <c r="L1077" t="s">
        <v>15</v>
      </c>
    </row>
    <row r="1078" spans="1:12" x14ac:dyDescent="0.3">
      <c r="A1078">
        <v>57497</v>
      </c>
      <c r="B1078" t="s">
        <v>12</v>
      </c>
      <c r="C1078">
        <v>27</v>
      </c>
      <c r="D1078" t="s">
        <v>15</v>
      </c>
      <c r="E1078" t="s">
        <v>15</v>
      </c>
      <c r="F1078" t="s">
        <v>15</v>
      </c>
      <c r="G1078" t="s">
        <v>17</v>
      </c>
      <c r="H1078" t="s">
        <v>23</v>
      </c>
      <c r="I1078">
        <v>69.7</v>
      </c>
      <c r="J1078">
        <v>27.3</v>
      </c>
      <c r="K1078" t="s">
        <v>25</v>
      </c>
      <c r="L1078" t="s">
        <v>15</v>
      </c>
    </row>
    <row r="1079" spans="1:12" x14ac:dyDescent="0.3">
      <c r="A1079">
        <v>15220</v>
      </c>
      <c r="B1079" t="s">
        <v>13</v>
      </c>
      <c r="C1079">
        <v>53</v>
      </c>
      <c r="D1079" t="s">
        <v>16</v>
      </c>
      <c r="E1079" t="s">
        <v>15</v>
      </c>
      <c r="F1079" t="s">
        <v>16</v>
      </c>
      <c r="G1079" t="s">
        <v>17</v>
      </c>
      <c r="H1079" t="s">
        <v>22</v>
      </c>
      <c r="I1079">
        <v>87.03</v>
      </c>
      <c r="J1079">
        <v>55.2</v>
      </c>
      <c r="K1079" t="s">
        <v>24</v>
      </c>
      <c r="L1079" t="s">
        <v>15</v>
      </c>
    </row>
    <row r="1080" spans="1:12" x14ac:dyDescent="0.3">
      <c r="A1080">
        <v>4813</v>
      </c>
      <c r="B1080" t="s">
        <v>12</v>
      </c>
      <c r="C1080">
        <v>27</v>
      </c>
      <c r="D1080" t="s">
        <v>15</v>
      </c>
      <c r="E1080" t="s">
        <v>15</v>
      </c>
      <c r="F1080" t="s">
        <v>15</v>
      </c>
      <c r="G1080" t="s">
        <v>17</v>
      </c>
      <c r="H1080" t="s">
        <v>22</v>
      </c>
      <c r="I1080">
        <v>112.98</v>
      </c>
      <c r="J1080">
        <v>44.7</v>
      </c>
      <c r="K1080" t="s">
        <v>25</v>
      </c>
      <c r="L1080" t="s">
        <v>15</v>
      </c>
    </row>
    <row r="1081" spans="1:12" x14ac:dyDescent="0.3">
      <c r="A1081">
        <v>31166</v>
      </c>
      <c r="B1081" t="s">
        <v>13</v>
      </c>
      <c r="C1081">
        <v>36</v>
      </c>
      <c r="D1081" t="s">
        <v>15</v>
      </c>
      <c r="E1081" t="s">
        <v>15</v>
      </c>
      <c r="F1081" t="s">
        <v>16</v>
      </c>
      <c r="G1081" t="s">
        <v>19</v>
      </c>
      <c r="H1081" t="s">
        <v>23</v>
      </c>
      <c r="I1081">
        <v>82.47</v>
      </c>
      <c r="J1081">
        <v>33.1</v>
      </c>
      <c r="K1081" t="s">
        <v>26</v>
      </c>
      <c r="L1081" t="s">
        <v>15</v>
      </c>
    </row>
    <row r="1082" spans="1:12" x14ac:dyDescent="0.3">
      <c r="A1082">
        <v>9051</v>
      </c>
      <c r="B1082" t="s">
        <v>13</v>
      </c>
      <c r="C1082">
        <v>50</v>
      </c>
      <c r="D1082" t="s">
        <v>15</v>
      </c>
      <c r="E1082" t="s">
        <v>15</v>
      </c>
      <c r="F1082" t="s">
        <v>16</v>
      </c>
      <c r="G1082" t="s">
        <v>17</v>
      </c>
      <c r="H1082" t="s">
        <v>22</v>
      </c>
      <c r="I1082">
        <v>75.88</v>
      </c>
      <c r="J1082">
        <v>30</v>
      </c>
      <c r="K1082" t="s">
        <v>25</v>
      </c>
      <c r="L1082" t="s">
        <v>15</v>
      </c>
    </row>
    <row r="1083" spans="1:12" x14ac:dyDescent="0.3">
      <c r="A1083">
        <v>28669</v>
      </c>
      <c r="B1083" t="s">
        <v>13</v>
      </c>
      <c r="C1083">
        <v>32</v>
      </c>
      <c r="D1083" t="s">
        <v>15</v>
      </c>
      <c r="E1083" t="s">
        <v>15</v>
      </c>
      <c r="F1083" t="s">
        <v>16</v>
      </c>
      <c r="G1083" t="s">
        <v>17</v>
      </c>
      <c r="H1083" t="s">
        <v>22</v>
      </c>
      <c r="I1083">
        <v>84.63</v>
      </c>
      <c r="J1083">
        <v>40.1</v>
      </c>
      <c r="K1083" t="s">
        <v>27</v>
      </c>
      <c r="L1083" t="s">
        <v>15</v>
      </c>
    </row>
    <row r="1084" spans="1:12" x14ac:dyDescent="0.3">
      <c r="A1084">
        <v>59894</v>
      </c>
      <c r="B1084" t="s">
        <v>13</v>
      </c>
      <c r="C1084">
        <v>58</v>
      </c>
      <c r="D1084" t="s">
        <v>15</v>
      </c>
      <c r="E1084" t="s">
        <v>15</v>
      </c>
      <c r="F1084" t="s">
        <v>16</v>
      </c>
      <c r="G1084" t="s">
        <v>19</v>
      </c>
      <c r="H1084" t="s">
        <v>23</v>
      </c>
      <c r="I1084">
        <v>109.56</v>
      </c>
      <c r="J1084">
        <v>23.1</v>
      </c>
      <c r="K1084" t="s">
        <v>25</v>
      </c>
      <c r="L1084" t="s">
        <v>15</v>
      </c>
    </row>
    <row r="1085" spans="1:12" x14ac:dyDescent="0.3">
      <c r="A1085">
        <v>18684</v>
      </c>
      <c r="B1085" t="s">
        <v>13</v>
      </c>
      <c r="C1085">
        <v>73</v>
      </c>
      <c r="D1085" t="s">
        <v>15</v>
      </c>
      <c r="E1085" t="s">
        <v>15</v>
      </c>
      <c r="F1085" t="s">
        <v>16</v>
      </c>
      <c r="G1085" t="s">
        <v>18</v>
      </c>
      <c r="H1085" t="s">
        <v>23</v>
      </c>
      <c r="I1085">
        <v>89.45</v>
      </c>
      <c r="J1085">
        <v>30.3</v>
      </c>
      <c r="K1085" t="s">
        <v>24</v>
      </c>
      <c r="L1085" t="s">
        <v>15</v>
      </c>
    </row>
    <row r="1086" spans="1:12" x14ac:dyDescent="0.3">
      <c r="A1086">
        <v>35866</v>
      </c>
      <c r="B1086" t="s">
        <v>13</v>
      </c>
      <c r="C1086">
        <v>62</v>
      </c>
      <c r="D1086" t="s">
        <v>15</v>
      </c>
      <c r="E1086" t="s">
        <v>15</v>
      </c>
      <c r="F1086" t="s">
        <v>16</v>
      </c>
      <c r="G1086" t="s">
        <v>17</v>
      </c>
      <c r="H1086" t="s">
        <v>23</v>
      </c>
      <c r="I1086">
        <v>91.65</v>
      </c>
      <c r="J1086">
        <v>30.5</v>
      </c>
      <c r="K1086" t="s">
        <v>25</v>
      </c>
      <c r="L1086" t="s">
        <v>15</v>
      </c>
    </row>
    <row r="1087" spans="1:12" x14ac:dyDescent="0.3">
      <c r="A1087">
        <v>51907</v>
      </c>
      <c r="B1087" t="s">
        <v>13</v>
      </c>
      <c r="C1087">
        <v>50</v>
      </c>
      <c r="D1087" t="s">
        <v>15</v>
      </c>
      <c r="E1087" t="s">
        <v>15</v>
      </c>
      <c r="F1087" t="s">
        <v>16</v>
      </c>
      <c r="G1087" t="s">
        <v>18</v>
      </c>
      <c r="H1087" t="s">
        <v>22</v>
      </c>
      <c r="I1087">
        <v>121.14</v>
      </c>
      <c r="J1087">
        <v>22.8</v>
      </c>
      <c r="K1087" t="s">
        <v>25</v>
      </c>
      <c r="L1087" t="s">
        <v>15</v>
      </c>
    </row>
    <row r="1088" spans="1:12" x14ac:dyDescent="0.3">
      <c r="A1088">
        <v>7250</v>
      </c>
      <c r="B1088" t="s">
        <v>13</v>
      </c>
      <c r="C1088">
        <v>51</v>
      </c>
      <c r="D1088" t="s">
        <v>15</v>
      </c>
      <c r="E1088" t="s">
        <v>15</v>
      </c>
      <c r="F1088" t="s">
        <v>15</v>
      </c>
      <c r="G1088" t="s">
        <v>17</v>
      </c>
      <c r="H1088" t="s">
        <v>23</v>
      </c>
      <c r="I1088">
        <v>87.77</v>
      </c>
      <c r="J1088">
        <v>42</v>
      </c>
      <c r="K1088" t="s">
        <v>27</v>
      </c>
      <c r="L1088" t="s">
        <v>15</v>
      </c>
    </row>
    <row r="1089" spans="1:12" x14ac:dyDescent="0.3">
      <c r="A1089">
        <v>16147</v>
      </c>
      <c r="B1089" t="s">
        <v>13</v>
      </c>
      <c r="C1089">
        <v>19</v>
      </c>
      <c r="D1089" t="s">
        <v>15</v>
      </c>
      <c r="E1089" t="s">
        <v>15</v>
      </c>
      <c r="F1089" t="s">
        <v>15</v>
      </c>
      <c r="G1089" t="s">
        <v>17</v>
      </c>
      <c r="H1089" t="s">
        <v>23</v>
      </c>
      <c r="I1089">
        <v>106.56</v>
      </c>
      <c r="J1089">
        <v>29.9</v>
      </c>
      <c r="K1089" t="s">
        <v>25</v>
      </c>
      <c r="L1089" t="s">
        <v>15</v>
      </c>
    </row>
    <row r="1090" spans="1:12" x14ac:dyDescent="0.3">
      <c r="A1090">
        <v>18306</v>
      </c>
      <c r="B1090" t="s">
        <v>13</v>
      </c>
      <c r="C1090">
        <v>30</v>
      </c>
      <c r="D1090" t="s">
        <v>15</v>
      </c>
      <c r="E1090" t="s">
        <v>15</v>
      </c>
      <c r="F1090" t="s">
        <v>15</v>
      </c>
      <c r="G1090" t="s">
        <v>17</v>
      </c>
      <c r="H1090" t="s">
        <v>23</v>
      </c>
      <c r="I1090">
        <v>93.88</v>
      </c>
      <c r="J1090">
        <v>24</v>
      </c>
      <c r="K1090" t="s">
        <v>24</v>
      </c>
      <c r="L1090" t="s">
        <v>15</v>
      </c>
    </row>
    <row r="1091" spans="1:12" x14ac:dyDescent="0.3">
      <c r="A1091">
        <v>69143</v>
      </c>
      <c r="B1091" t="s">
        <v>13</v>
      </c>
      <c r="C1091">
        <v>45</v>
      </c>
      <c r="D1091" t="s">
        <v>15</v>
      </c>
      <c r="E1091" t="s">
        <v>15</v>
      </c>
      <c r="F1091" t="s">
        <v>15</v>
      </c>
      <c r="G1091" t="s">
        <v>17</v>
      </c>
      <c r="H1091" t="s">
        <v>23</v>
      </c>
      <c r="I1091">
        <v>153.76</v>
      </c>
      <c r="J1091">
        <v>36.700000000000003</v>
      </c>
      <c r="K1091" t="s">
        <v>27</v>
      </c>
      <c r="L1091" t="s">
        <v>15</v>
      </c>
    </row>
    <row r="1092" spans="1:12" x14ac:dyDescent="0.3">
      <c r="A1092">
        <v>61769</v>
      </c>
      <c r="B1092" t="s">
        <v>12</v>
      </c>
      <c r="C1092">
        <v>30</v>
      </c>
      <c r="D1092" t="s">
        <v>15</v>
      </c>
      <c r="E1092" t="s">
        <v>15</v>
      </c>
      <c r="F1092" t="s">
        <v>15</v>
      </c>
      <c r="G1092" t="s">
        <v>17</v>
      </c>
      <c r="H1092" t="s">
        <v>22</v>
      </c>
      <c r="I1092">
        <v>88.65</v>
      </c>
      <c r="J1092">
        <v>22.2</v>
      </c>
      <c r="K1092" t="s">
        <v>25</v>
      </c>
      <c r="L1092" t="s">
        <v>15</v>
      </c>
    </row>
    <row r="1093" spans="1:12" x14ac:dyDescent="0.3">
      <c r="A1093">
        <v>26134</v>
      </c>
      <c r="B1093" t="s">
        <v>13</v>
      </c>
      <c r="C1093">
        <v>28</v>
      </c>
      <c r="D1093" t="s">
        <v>15</v>
      </c>
      <c r="E1093" t="s">
        <v>15</v>
      </c>
      <c r="F1093" t="s">
        <v>16</v>
      </c>
      <c r="G1093" t="s">
        <v>17</v>
      </c>
      <c r="H1093" t="s">
        <v>22</v>
      </c>
      <c r="I1093">
        <v>111.22</v>
      </c>
      <c r="J1093">
        <v>25.5</v>
      </c>
      <c r="K1093" t="s">
        <v>27</v>
      </c>
      <c r="L1093" t="s">
        <v>15</v>
      </c>
    </row>
    <row r="1094" spans="1:12" x14ac:dyDescent="0.3">
      <c r="A1094">
        <v>67603</v>
      </c>
      <c r="B1094" t="s">
        <v>12</v>
      </c>
      <c r="C1094">
        <v>70</v>
      </c>
      <c r="D1094" t="s">
        <v>15</v>
      </c>
      <c r="E1094" t="s">
        <v>15</v>
      </c>
      <c r="F1094" t="s">
        <v>16</v>
      </c>
      <c r="G1094" t="s">
        <v>18</v>
      </c>
      <c r="H1094" t="s">
        <v>22</v>
      </c>
      <c r="I1094">
        <v>223.68</v>
      </c>
      <c r="J1094">
        <v>34.299999999999997</v>
      </c>
      <c r="K1094" t="s">
        <v>24</v>
      </c>
      <c r="L1094" t="s">
        <v>15</v>
      </c>
    </row>
    <row r="1095" spans="1:12" x14ac:dyDescent="0.3">
      <c r="A1095">
        <v>66772</v>
      </c>
      <c r="B1095" t="s">
        <v>13</v>
      </c>
      <c r="C1095">
        <v>0.32</v>
      </c>
      <c r="D1095" t="s">
        <v>15</v>
      </c>
      <c r="E1095" t="s">
        <v>15</v>
      </c>
      <c r="F1095" t="s">
        <v>15</v>
      </c>
      <c r="G1095" t="s">
        <v>20</v>
      </c>
      <c r="H1095" t="s">
        <v>23</v>
      </c>
      <c r="I1095">
        <v>55.86</v>
      </c>
      <c r="J1095">
        <v>16</v>
      </c>
      <c r="K1095" t="s">
        <v>27</v>
      </c>
      <c r="L1095" t="s">
        <v>15</v>
      </c>
    </row>
    <row r="1096" spans="1:12" x14ac:dyDescent="0.3">
      <c r="A1096">
        <v>41861</v>
      </c>
      <c r="B1096" t="s">
        <v>13</v>
      </c>
      <c r="C1096">
        <v>23</v>
      </c>
      <c r="D1096" t="s">
        <v>15</v>
      </c>
      <c r="E1096" t="s">
        <v>15</v>
      </c>
      <c r="F1096" t="s">
        <v>15</v>
      </c>
      <c r="G1096" t="s">
        <v>17</v>
      </c>
      <c r="H1096" t="s">
        <v>23</v>
      </c>
      <c r="I1096">
        <v>63.73</v>
      </c>
      <c r="J1096">
        <v>25.6</v>
      </c>
      <c r="K1096" t="s">
        <v>26</v>
      </c>
      <c r="L1096" t="s">
        <v>15</v>
      </c>
    </row>
    <row r="1097" spans="1:12" x14ac:dyDescent="0.3">
      <c r="A1097">
        <v>954</v>
      </c>
      <c r="B1097" t="s">
        <v>12</v>
      </c>
      <c r="C1097">
        <v>18</v>
      </c>
      <c r="D1097" t="s">
        <v>15</v>
      </c>
      <c r="E1097" t="s">
        <v>15</v>
      </c>
      <c r="F1097" t="s">
        <v>15</v>
      </c>
      <c r="G1097" t="s">
        <v>17</v>
      </c>
      <c r="H1097" t="s">
        <v>23</v>
      </c>
      <c r="I1097">
        <v>103.94</v>
      </c>
      <c r="J1097">
        <v>23.3</v>
      </c>
      <c r="K1097" t="s">
        <v>25</v>
      </c>
      <c r="L1097" t="s">
        <v>15</v>
      </c>
    </row>
    <row r="1098" spans="1:12" x14ac:dyDescent="0.3">
      <c r="A1098">
        <v>37888</v>
      </c>
      <c r="B1098" t="s">
        <v>12</v>
      </c>
      <c r="C1098">
        <v>41</v>
      </c>
      <c r="D1098" t="s">
        <v>15</v>
      </c>
      <c r="E1098" t="s">
        <v>15</v>
      </c>
      <c r="F1098" t="s">
        <v>16</v>
      </c>
      <c r="G1098" t="s">
        <v>17</v>
      </c>
      <c r="H1098" t="s">
        <v>23</v>
      </c>
      <c r="I1098">
        <v>92.49</v>
      </c>
      <c r="J1098">
        <v>41.6</v>
      </c>
      <c r="K1098" t="s">
        <v>27</v>
      </c>
      <c r="L1098" t="s">
        <v>15</v>
      </c>
    </row>
    <row r="1099" spans="1:12" x14ac:dyDescent="0.3">
      <c r="A1099">
        <v>34326</v>
      </c>
      <c r="B1099" t="s">
        <v>12</v>
      </c>
      <c r="C1099">
        <v>52</v>
      </c>
      <c r="D1099" t="s">
        <v>15</v>
      </c>
      <c r="E1099" t="s">
        <v>15</v>
      </c>
      <c r="F1099" t="s">
        <v>16</v>
      </c>
      <c r="G1099" t="s">
        <v>17</v>
      </c>
      <c r="H1099" t="s">
        <v>22</v>
      </c>
      <c r="I1099">
        <v>229.2</v>
      </c>
      <c r="J1099">
        <v>35.6</v>
      </c>
      <c r="K1099" t="s">
        <v>24</v>
      </c>
      <c r="L1099" t="s">
        <v>15</v>
      </c>
    </row>
    <row r="1100" spans="1:12" x14ac:dyDescent="0.3">
      <c r="A1100">
        <v>42329</v>
      </c>
      <c r="B1100" t="s">
        <v>13</v>
      </c>
      <c r="C1100">
        <v>77</v>
      </c>
      <c r="D1100" t="s">
        <v>15</v>
      </c>
      <c r="E1100" t="s">
        <v>15</v>
      </c>
      <c r="F1100" t="s">
        <v>16</v>
      </c>
      <c r="G1100" t="s">
        <v>17</v>
      </c>
      <c r="H1100" t="s">
        <v>23</v>
      </c>
      <c r="I1100">
        <v>75.06</v>
      </c>
      <c r="J1100">
        <v>22</v>
      </c>
      <c r="K1100" t="s">
        <v>27</v>
      </c>
      <c r="L1100" t="s">
        <v>15</v>
      </c>
    </row>
    <row r="1101" spans="1:12" x14ac:dyDescent="0.3">
      <c r="A1101">
        <v>23565</v>
      </c>
      <c r="B1101" t="s">
        <v>12</v>
      </c>
      <c r="C1101">
        <v>34</v>
      </c>
      <c r="D1101" t="s">
        <v>15</v>
      </c>
      <c r="E1101" t="s">
        <v>15</v>
      </c>
      <c r="F1101" t="s">
        <v>16</v>
      </c>
      <c r="G1101" t="s">
        <v>17</v>
      </c>
      <c r="H1101" t="s">
        <v>22</v>
      </c>
      <c r="I1101">
        <v>85.57</v>
      </c>
      <c r="J1101">
        <v>26.8</v>
      </c>
      <c r="K1101" t="s">
        <v>27</v>
      </c>
      <c r="L1101" t="s">
        <v>15</v>
      </c>
    </row>
    <row r="1102" spans="1:12" x14ac:dyDescent="0.3">
      <c r="A1102">
        <v>27323</v>
      </c>
      <c r="B1102" t="s">
        <v>13</v>
      </c>
      <c r="C1102">
        <v>67</v>
      </c>
      <c r="D1102" t="s">
        <v>15</v>
      </c>
      <c r="E1102" t="s">
        <v>15</v>
      </c>
      <c r="F1102" t="s">
        <v>16</v>
      </c>
      <c r="G1102" t="s">
        <v>18</v>
      </c>
      <c r="H1102" t="s">
        <v>22</v>
      </c>
      <c r="I1102">
        <v>68.61</v>
      </c>
      <c r="J1102">
        <v>31.9</v>
      </c>
      <c r="K1102" t="s">
        <v>25</v>
      </c>
      <c r="L1102" t="s">
        <v>15</v>
      </c>
    </row>
    <row r="1103" spans="1:12" x14ac:dyDescent="0.3">
      <c r="A1103">
        <v>57854</v>
      </c>
      <c r="B1103" t="s">
        <v>12</v>
      </c>
      <c r="C1103">
        <v>1.64</v>
      </c>
      <c r="D1103" t="s">
        <v>15</v>
      </c>
      <c r="E1103" t="s">
        <v>15</v>
      </c>
      <c r="F1103" t="s">
        <v>15</v>
      </c>
      <c r="G1103" t="s">
        <v>20</v>
      </c>
      <c r="H1103" t="s">
        <v>22</v>
      </c>
      <c r="I1103">
        <v>56.3</v>
      </c>
      <c r="J1103">
        <v>19.7</v>
      </c>
      <c r="K1103" t="s">
        <v>27</v>
      </c>
      <c r="L1103" t="s">
        <v>15</v>
      </c>
    </row>
    <row r="1104" spans="1:12" x14ac:dyDescent="0.3">
      <c r="A1104">
        <v>18414</v>
      </c>
      <c r="B1104" t="s">
        <v>13</v>
      </c>
      <c r="C1104">
        <v>23</v>
      </c>
      <c r="D1104" t="s">
        <v>15</v>
      </c>
      <c r="E1104" t="s">
        <v>15</v>
      </c>
      <c r="F1104" t="s">
        <v>15</v>
      </c>
      <c r="G1104" t="s">
        <v>17</v>
      </c>
      <c r="H1104" t="s">
        <v>23</v>
      </c>
      <c r="I1104">
        <v>193.22</v>
      </c>
      <c r="K1104" t="s">
        <v>26</v>
      </c>
      <c r="L1104" t="s">
        <v>15</v>
      </c>
    </row>
    <row r="1105" spans="1:12" x14ac:dyDescent="0.3">
      <c r="A1105">
        <v>72836</v>
      </c>
      <c r="B1105" t="s">
        <v>13</v>
      </c>
      <c r="C1105">
        <v>59</v>
      </c>
      <c r="D1105" t="s">
        <v>15</v>
      </c>
      <c r="E1105" t="s">
        <v>15</v>
      </c>
      <c r="F1105" t="s">
        <v>16</v>
      </c>
      <c r="G1105" t="s">
        <v>17</v>
      </c>
      <c r="H1105" t="s">
        <v>22</v>
      </c>
      <c r="I1105">
        <v>65.98</v>
      </c>
      <c r="J1105">
        <v>31.1</v>
      </c>
      <c r="K1105" t="s">
        <v>27</v>
      </c>
      <c r="L1105" t="s">
        <v>15</v>
      </c>
    </row>
    <row r="1106" spans="1:12" x14ac:dyDescent="0.3">
      <c r="A1106">
        <v>17708</v>
      </c>
      <c r="B1106" t="s">
        <v>12</v>
      </c>
      <c r="C1106">
        <v>62</v>
      </c>
      <c r="D1106" t="s">
        <v>15</v>
      </c>
      <c r="E1106" t="s">
        <v>15</v>
      </c>
      <c r="F1106" t="s">
        <v>16</v>
      </c>
      <c r="G1106" t="s">
        <v>19</v>
      </c>
      <c r="H1106" t="s">
        <v>23</v>
      </c>
      <c r="I1106">
        <v>204.57</v>
      </c>
      <c r="J1106">
        <v>34.4</v>
      </c>
      <c r="K1106" t="s">
        <v>27</v>
      </c>
      <c r="L1106" t="s">
        <v>15</v>
      </c>
    </row>
    <row r="1107" spans="1:12" x14ac:dyDescent="0.3">
      <c r="A1107">
        <v>66321</v>
      </c>
      <c r="B1107" t="s">
        <v>12</v>
      </c>
      <c r="C1107">
        <v>47</v>
      </c>
      <c r="D1107" t="s">
        <v>15</v>
      </c>
      <c r="E1107" t="s">
        <v>15</v>
      </c>
      <c r="F1107" t="s">
        <v>16</v>
      </c>
      <c r="G1107" t="s">
        <v>19</v>
      </c>
      <c r="H1107" t="s">
        <v>22</v>
      </c>
      <c r="I1107">
        <v>64.989999999999995</v>
      </c>
      <c r="J1107">
        <v>33.200000000000003</v>
      </c>
      <c r="K1107" t="s">
        <v>25</v>
      </c>
      <c r="L1107" t="s">
        <v>15</v>
      </c>
    </row>
    <row r="1108" spans="1:12" x14ac:dyDescent="0.3">
      <c r="A1108">
        <v>53817</v>
      </c>
      <c r="B1108" t="s">
        <v>13</v>
      </c>
      <c r="C1108">
        <v>71</v>
      </c>
      <c r="D1108" t="s">
        <v>16</v>
      </c>
      <c r="E1108" t="s">
        <v>15</v>
      </c>
      <c r="F1108" t="s">
        <v>16</v>
      </c>
      <c r="G1108" t="s">
        <v>18</v>
      </c>
      <c r="H1108" t="s">
        <v>23</v>
      </c>
      <c r="I1108">
        <v>66.12</v>
      </c>
      <c r="K1108" t="s">
        <v>25</v>
      </c>
      <c r="L1108" t="s">
        <v>15</v>
      </c>
    </row>
    <row r="1109" spans="1:12" x14ac:dyDescent="0.3">
      <c r="A1109">
        <v>66678</v>
      </c>
      <c r="B1109" t="s">
        <v>13</v>
      </c>
      <c r="C1109">
        <v>22</v>
      </c>
      <c r="D1109" t="s">
        <v>15</v>
      </c>
      <c r="E1109" t="s">
        <v>15</v>
      </c>
      <c r="F1109" t="s">
        <v>15</v>
      </c>
      <c r="G1109" t="s">
        <v>17</v>
      </c>
      <c r="H1109" t="s">
        <v>22</v>
      </c>
      <c r="I1109">
        <v>73.400000000000006</v>
      </c>
      <c r="J1109">
        <v>21.6</v>
      </c>
      <c r="K1109" t="s">
        <v>25</v>
      </c>
      <c r="L1109" t="s">
        <v>15</v>
      </c>
    </row>
    <row r="1110" spans="1:12" x14ac:dyDescent="0.3">
      <c r="A1110">
        <v>56734</v>
      </c>
      <c r="B1110" t="s">
        <v>12</v>
      </c>
      <c r="C1110">
        <v>33</v>
      </c>
      <c r="D1110" t="s">
        <v>15</v>
      </c>
      <c r="E1110" t="s">
        <v>15</v>
      </c>
      <c r="F1110" t="s">
        <v>16</v>
      </c>
      <c r="G1110" t="s">
        <v>19</v>
      </c>
      <c r="H1110" t="s">
        <v>22</v>
      </c>
      <c r="I1110">
        <v>82.83</v>
      </c>
      <c r="J1110">
        <v>25.4</v>
      </c>
      <c r="K1110" t="s">
        <v>27</v>
      </c>
      <c r="L1110" t="s">
        <v>15</v>
      </c>
    </row>
    <row r="1111" spans="1:12" x14ac:dyDescent="0.3">
      <c r="A1111">
        <v>32240</v>
      </c>
      <c r="B1111" t="s">
        <v>13</v>
      </c>
      <c r="C1111">
        <v>27</v>
      </c>
      <c r="D1111" t="s">
        <v>15</v>
      </c>
      <c r="E1111" t="s">
        <v>15</v>
      </c>
      <c r="F1111" t="s">
        <v>15</v>
      </c>
      <c r="G1111" t="s">
        <v>17</v>
      </c>
      <c r="H1111" t="s">
        <v>22</v>
      </c>
      <c r="I1111">
        <v>93.55</v>
      </c>
      <c r="J1111">
        <v>41.6</v>
      </c>
      <c r="K1111" t="s">
        <v>25</v>
      </c>
      <c r="L1111" t="s">
        <v>15</v>
      </c>
    </row>
    <row r="1112" spans="1:12" x14ac:dyDescent="0.3">
      <c r="A1112">
        <v>28127</v>
      </c>
      <c r="B1112" t="s">
        <v>13</v>
      </c>
      <c r="C1112">
        <v>44</v>
      </c>
      <c r="D1112" t="s">
        <v>15</v>
      </c>
      <c r="E1112" t="s">
        <v>15</v>
      </c>
      <c r="F1112" t="s">
        <v>16</v>
      </c>
      <c r="G1112" t="s">
        <v>17</v>
      </c>
      <c r="H1112" t="s">
        <v>23</v>
      </c>
      <c r="I1112">
        <v>90.4</v>
      </c>
      <c r="J1112">
        <v>33.1</v>
      </c>
      <c r="K1112" t="s">
        <v>24</v>
      </c>
      <c r="L1112" t="s">
        <v>15</v>
      </c>
    </row>
    <row r="1113" spans="1:12" x14ac:dyDescent="0.3">
      <c r="A1113">
        <v>20347</v>
      </c>
      <c r="B1113" t="s">
        <v>13</v>
      </c>
      <c r="C1113">
        <v>18</v>
      </c>
      <c r="D1113" t="s">
        <v>15</v>
      </c>
      <c r="E1113" t="s">
        <v>15</v>
      </c>
      <c r="F1113" t="s">
        <v>15</v>
      </c>
      <c r="G1113" t="s">
        <v>17</v>
      </c>
      <c r="H1113" t="s">
        <v>23</v>
      </c>
      <c r="I1113">
        <v>98.1</v>
      </c>
      <c r="J1113">
        <v>21.8</v>
      </c>
      <c r="K1113" t="s">
        <v>25</v>
      </c>
      <c r="L1113" t="s">
        <v>15</v>
      </c>
    </row>
    <row r="1114" spans="1:12" x14ac:dyDescent="0.3">
      <c r="A1114">
        <v>40824</v>
      </c>
      <c r="B1114" t="s">
        <v>12</v>
      </c>
      <c r="C1114">
        <v>47</v>
      </c>
      <c r="D1114" t="s">
        <v>15</v>
      </c>
      <c r="E1114" t="s">
        <v>15</v>
      </c>
      <c r="F1114" t="s">
        <v>16</v>
      </c>
      <c r="G1114" t="s">
        <v>17</v>
      </c>
      <c r="H1114" t="s">
        <v>23</v>
      </c>
      <c r="I1114">
        <v>142.02000000000001</v>
      </c>
      <c r="J1114">
        <v>30</v>
      </c>
      <c r="K1114" t="s">
        <v>27</v>
      </c>
      <c r="L1114" t="s">
        <v>15</v>
      </c>
    </row>
    <row r="1115" spans="1:12" x14ac:dyDescent="0.3">
      <c r="A1115">
        <v>38678</v>
      </c>
      <c r="B1115" t="s">
        <v>13</v>
      </c>
      <c r="C1115">
        <v>66</v>
      </c>
      <c r="D1115" t="s">
        <v>15</v>
      </c>
      <c r="E1115" t="s">
        <v>15</v>
      </c>
      <c r="F1115" t="s">
        <v>16</v>
      </c>
      <c r="G1115" t="s">
        <v>18</v>
      </c>
      <c r="H1115" t="s">
        <v>23</v>
      </c>
      <c r="I1115">
        <v>251.46</v>
      </c>
      <c r="J1115">
        <v>35.200000000000003</v>
      </c>
      <c r="K1115" t="s">
        <v>26</v>
      </c>
      <c r="L1115" t="s">
        <v>15</v>
      </c>
    </row>
    <row r="1116" spans="1:12" x14ac:dyDescent="0.3">
      <c r="A1116">
        <v>29380</v>
      </c>
      <c r="B1116" t="s">
        <v>13</v>
      </c>
      <c r="C1116">
        <v>42</v>
      </c>
      <c r="D1116" t="s">
        <v>16</v>
      </c>
      <c r="E1116" t="s">
        <v>15</v>
      </c>
      <c r="F1116" t="s">
        <v>16</v>
      </c>
      <c r="G1116" t="s">
        <v>17</v>
      </c>
      <c r="H1116" t="s">
        <v>23</v>
      </c>
      <c r="I1116">
        <v>89.96</v>
      </c>
      <c r="J1116">
        <v>35.6</v>
      </c>
      <c r="K1116" t="s">
        <v>25</v>
      </c>
      <c r="L1116" t="s">
        <v>15</v>
      </c>
    </row>
    <row r="1117" spans="1:12" x14ac:dyDescent="0.3">
      <c r="A1117">
        <v>809</v>
      </c>
      <c r="B1117" t="s">
        <v>12</v>
      </c>
      <c r="C1117">
        <v>13</v>
      </c>
      <c r="D1117" t="s">
        <v>15</v>
      </c>
      <c r="E1117" t="s">
        <v>15</v>
      </c>
      <c r="F1117" t="s">
        <v>15</v>
      </c>
      <c r="G1117" t="s">
        <v>20</v>
      </c>
      <c r="H1117" t="s">
        <v>22</v>
      </c>
      <c r="I1117">
        <v>71.73</v>
      </c>
      <c r="K1117" t="s">
        <v>27</v>
      </c>
      <c r="L1117" t="s">
        <v>15</v>
      </c>
    </row>
    <row r="1118" spans="1:12" x14ac:dyDescent="0.3">
      <c r="A1118">
        <v>65453</v>
      </c>
      <c r="B1118" t="s">
        <v>13</v>
      </c>
      <c r="C1118">
        <v>56</v>
      </c>
      <c r="D1118" t="s">
        <v>16</v>
      </c>
      <c r="E1118" t="s">
        <v>15</v>
      </c>
      <c r="F1118" t="s">
        <v>16</v>
      </c>
      <c r="G1118" t="s">
        <v>19</v>
      </c>
      <c r="H1118" t="s">
        <v>22</v>
      </c>
      <c r="I1118">
        <v>82.44</v>
      </c>
      <c r="J1118">
        <v>27.8</v>
      </c>
      <c r="K1118" t="s">
        <v>26</v>
      </c>
      <c r="L1118" t="s">
        <v>15</v>
      </c>
    </row>
    <row r="1119" spans="1:12" x14ac:dyDescent="0.3">
      <c r="A1119">
        <v>9415</v>
      </c>
      <c r="B1119" t="s">
        <v>13</v>
      </c>
      <c r="C1119">
        <v>69</v>
      </c>
      <c r="D1119" t="s">
        <v>15</v>
      </c>
      <c r="E1119" t="s">
        <v>15</v>
      </c>
      <c r="F1119" t="s">
        <v>16</v>
      </c>
      <c r="G1119" t="s">
        <v>18</v>
      </c>
      <c r="H1119" t="s">
        <v>22</v>
      </c>
      <c r="I1119">
        <v>80.849999999999994</v>
      </c>
      <c r="J1119">
        <v>29.3</v>
      </c>
      <c r="K1119" t="s">
        <v>24</v>
      </c>
      <c r="L1119" t="s">
        <v>15</v>
      </c>
    </row>
    <row r="1120" spans="1:12" x14ac:dyDescent="0.3">
      <c r="A1120">
        <v>30989</v>
      </c>
      <c r="B1120" t="s">
        <v>13</v>
      </c>
      <c r="C1120">
        <v>65</v>
      </c>
      <c r="D1120" t="s">
        <v>15</v>
      </c>
      <c r="E1120" t="s">
        <v>15</v>
      </c>
      <c r="F1120" t="s">
        <v>16</v>
      </c>
      <c r="G1120" t="s">
        <v>18</v>
      </c>
      <c r="H1120" t="s">
        <v>23</v>
      </c>
      <c r="I1120">
        <v>220.52</v>
      </c>
      <c r="J1120">
        <v>37.200000000000003</v>
      </c>
      <c r="K1120" t="s">
        <v>26</v>
      </c>
      <c r="L1120" t="s">
        <v>15</v>
      </c>
    </row>
    <row r="1121" spans="1:12" x14ac:dyDescent="0.3">
      <c r="A1121">
        <v>65258</v>
      </c>
      <c r="B1121" t="s">
        <v>12</v>
      </c>
      <c r="C1121">
        <v>53</v>
      </c>
      <c r="D1121" t="s">
        <v>15</v>
      </c>
      <c r="E1121" t="s">
        <v>15</v>
      </c>
      <c r="F1121" t="s">
        <v>16</v>
      </c>
      <c r="G1121" t="s">
        <v>17</v>
      </c>
      <c r="H1121" t="s">
        <v>22</v>
      </c>
      <c r="I1121">
        <v>86.73</v>
      </c>
      <c r="J1121">
        <v>26.1</v>
      </c>
      <c r="K1121" t="s">
        <v>27</v>
      </c>
      <c r="L1121" t="s">
        <v>15</v>
      </c>
    </row>
    <row r="1122" spans="1:12" x14ac:dyDescent="0.3">
      <c r="A1122">
        <v>67052</v>
      </c>
      <c r="B1122" t="s">
        <v>13</v>
      </c>
      <c r="C1122">
        <v>36</v>
      </c>
      <c r="D1122" t="s">
        <v>15</v>
      </c>
      <c r="E1122" t="s">
        <v>15</v>
      </c>
      <c r="F1122" t="s">
        <v>16</v>
      </c>
      <c r="G1122" t="s">
        <v>17</v>
      </c>
      <c r="H1122" t="s">
        <v>22</v>
      </c>
      <c r="I1122">
        <v>76.930000000000007</v>
      </c>
      <c r="J1122">
        <v>21.6</v>
      </c>
      <c r="K1122" t="s">
        <v>25</v>
      </c>
      <c r="L1122" t="s">
        <v>15</v>
      </c>
    </row>
    <row r="1123" spans="1:12" x14ac:dyDescent="0.3">
      <c r="A1123">
        <v>62756</v>
      </c>
      <c r="B1123" t="s">
        <v>13</v>
      </c>
      <c r="C1123">
        <v>69</v>
      </c>
      <c r="D1123" t="s">
        <v>15</v>
      </c>
      <c r="E1123" t="s">
        <v>15</v>
      </c>
      <c r="F1123" t="s">
        <v>16</v>
      </c>
      <c r="G1123" t="s">
        <v>18</v>
      </c>
      <c r="H1123" t="s">
        <v>22</v>
      </c>
      <c r="I1123">
        <v>113.1</v>
      </c>
      <c r="J1123">
        <v>22.7</v>
      </c>
      <c r="K1123" t="s">
        <v>25</v>
      </c>
      <c r="L1123" t="s">
        <v>15</v>
      </c>
    </row>
    <row r="1124" spans="1:12" x14ac:dyDescent="0.3">
      <c r="A1124">
        <v>69224</v>
      </c>
      <c r="B1124" t="s">
        <v>12</v>
      </c>
      <c r="C1124">
        <v>19</v>
      </c>
      <c r="D1124" t="s">
        <v>15</v>
      </c>
      <c r="E1124" t="s">
        <v>15</v>
      </c>
      <c r="F1124" t="s">
        <v>15</v>
      </c>
      <c r="G1124" t="s">
        <v>17</v>
      </c>
      <c r="H1124" t="s">
        <v>23</v>
      </c>
      <c r="I1124">
        <v>96.84</v>
      </c>
      <c r="J1124">
        <v>30.2</v>
      </c>
      <c r="K1124" t="s">
        <v>24</v>
      </c>
      <c r="L1124" t="s">
        <v>15</v>
      </c>
    </row>
    <row r="1125" spans="1:12" x14ac:dyDescent="0.3">
      <c r="A1125">
        <v>13323</v>
      </c>
      <c r="B1125" t="s">
        <v>12</v>
      </c>
      <c r="C1125">
        <v>3</v>
      </c>
      <c r="D1125" t="s">
        <v>15</v>
      </c>
      <c r="E1125" t="s">
        <v>15</v>
      </c>
      <c r="F1125" t="s">
        <v>15</v>
      </c>
      <c r="G1125" t="s">
        <v>20</v>
      </c>
      <c r="H1125" t="s">
        <v>22</v>
      </c>
      <c r="I1125">
        <v>100.91</v>
      </c>
      <c r="J1125">
        <v>18</v>
      </c>
      <c r="K1125" t="s">
        <v>27</v>
      </c>
      <c r="L1125" t="s">
        <v>15</v>
      </c>
    </row>
    <row r="1126" spans="1:12" x14ac:dyDescent="0.3">
      <c r="A1126">
        <v>59940</v>
      </c>
      <c r="B1126" t="s">
        <v>12</v>
      </c>
      <c r="C1126">
        <v>15</v>
      </c>
      <c r="D1126" t="s">
        <v>15</v>
      </c>
      <c r="E1126" t="s">
        <v>15</v>
      </c>
      <c r="F1126" t="s">
        <v>15</v>
      </c>
      <c r="G1126" t="s">
        <v>20</v>
      </c>
      <c r="H1126" t="s">
        <v>22</v>
      </c>
      <c r="I1126">
        <v>116.5</v>
      </c>
      <c r="J1126">
        <v>27.8</v>
      </c>
      <c r="K1126" t="s">
        <v>27</v>
      </c>
      <c r="L1126" t="s">
        <v>15</v>
      </c>
    </row>
    <row r="1127" spans="1:12" x14ac:dyDescent="0.3">
      <c r="A1127">
        <v>49042</v>
      </c>
      <c r="B1127" t="s">
        <v>13</v>
      </c>
      <c r="C1127">
        <v>59</v>
      </c>
      <c r="D1127" t="s">
        <v>16</v>
      </c>
      <c r="E1127" t="s">
        <v>15</v>
      </c>
      <c r="F1127" t="s">
        <v>15</v>
      </c>
      <c r="G1127" t="s">
        <v>17</v>
      </c>
      <c r="H1127" t="s">
        <v>23</v>
      </c>
      <c r="I1127">
        <v>57.26</v>
      </c>
      <c r="J1127">
        <v>23.5</v>
      </c>
      <c r="K1127" t="s">
        <v>25</v>
      </c>
      <c r="L1127" t="s">
        <v>15</v>
      </c>
    </row>
    <row r="1128" spans="1:12" x14ac:dyDescent="0.3">
      <c r="A1128">
        <v>66362</v>
      </c>
      <c r="B1128" t="s">
        <v>13</v>
      </c>
      <c r="C1128">
        <v>61</v>
      </c>
      <c r="D1128" t="s">
        <v>15</v>
      </c>
      <c r="E1128" t="s">
        <v>15</v>
      </c>
      <c r="F1128" t="s">
        <v>16</v>
      </c>
      <c r="G1128" t="s">
        <v>17</v>
      </c>
      <c r="H1128" t="s">
        <v>22</v>
      </c>
      <c r="I1128">
        <v>129.31</v>
      </c>
      <c r="J1128">
        <v>41.2</v>
      </c>
      <c r="K1128" t="s">
        <v>27</v>
      </c>
      <c r="L1128" t="s">
        <v>15</v>
      </c>
    </row>
    <row r="1129" spans="1:12" x14ac:dyDescent="0.3">
      <c r="A1129">
        <v>46093</v>
      </c>
      <c r="B1129" t="s">
        <v>13</v>
      </c>
      <c r="C1129">
        <v>28</v>
      </c>
      <c r="D1129" t="s">
        <v>15</v>
      </c>
      <c r="E1129" t="s">
        <v>15</v>
      </c>
      <c r="F1129" t="s">
        <v>16</v>
      </c>
      <c r="G1129" t="s">
        <v>17</v>
      </c>
      <c r="H1129" t="s">
        <v>23</v>
      </c>
      <c r="I1129">
        <v>56.47</v>
      </c>
      <c r="J1129">
        <v>22.7</v>
      </c>
      <c r="K1129" t="s">
        <v>25</v>
      </c>
      <c r="L1129" t="s">
        <v>15</v>
      </c>
    </row>
    <row r="1130" spans="1:12" x14ac:dyDescent="0.3">
      <c r="A1130">
        <v>10370</v>
      </c>
      <c r="B1130" t="s">
        <v>12</v>
      </c>
      <c r="C1130">
        <v>52</v>
      </c>
      <c r="D1130" t="s">
        <v>15</v>
      </c>
      <c r="E1130" t="s">
        <v>15</v>
      </c>
      <c r="F1130" t="s">
        <v>16</v>
      </c>
      <c r="G1130" t="s">
        <v>19</v>
      </c>
      <c r="H1130" t="s">
        <v>22</v>
      </c>
      <c r="I1130">
        <v>86.06</v>
      </c>
      <c r="J1130">
        <v>29.2</v>
      </c>
      <c r="K1130" t="s">
        <v>24</v>
      </c>
      <c r="L1130" t="s">
        <v>15</v>
      </c>
    </row>
    <row r="1131" spans="1:12" x14ac:dyDescent="0.3">
      <c r="A1131">
        <v>156</v>
      </c>
      <c r="B1131" t="s">
        <v>13</v>
      </c>
      <c r="C1131">
        <v>33</v>
      </c>
      <c r="D1131" t="s">
        <v>15</v>
      </c>
      <c r="E1131" t="s">
        <v>15</v>
      </c>
      <c r="F1131" t="s">
        <v>16</v>
      </c>
      <c r="G1131" t="s">
        <v>17</v>
      </c>
      <c r="H1131" t="s">
        <v>23</v>
      </c>
      <c r="I1131">
        <v>86.97</v>
      </c>
      <c r="J1131">
        <v>42.2</v>
      </c>
      <c r="K1131" t="s">
        <v>25</v>
      </c>
      <c r="L1131" t="s">
        <v>15</v>
      </c>
    </row>
    <row r="1132" spans="1:12" x14ac:dyDescent="0.3">
      <c r="A1132">
        <v>11105</v>
      </c>
      <c r="B1132" t="s">
        <v>12</v>
      </c>
      <c r="C1132">
        <v>80</v>
      </c>
      <c r="D1132" t="s">
        <v>15</v>
      </c>
      <c r="E1132" t="s">
        <v>15</v>
      </c>
      <c r="F1132" t="s">
        <v>16</v>
      </c>
      <c r="G1132" t="s">
        <v>17</v>
      </c>
      <c r="H1132" t="s">
        <v>22</v>
      </c>
      <c r="I1132">
        <v>78.78</v>
      </c>
      <c r="J1132">
        <v>24</v>
      </c>
      <c r="K1132" t="s">
        <v>24</v>
      </c>
      <c r="L1132" t="s">
        <v>15</v>
      </c>
    </row>
    <row r="1133" spans="1:12" x14ac:dyDescent="0.3">
      <c r="A1133">
        <v>22363</v>
      </c>
      <c r="B1133" t="s">
        <v>13</v>
      </c>
      <c r="C1133">
        <v>47</v>
      </c>
      <c r="D1133" t="s">
        <v>15</v>
      </c>
      <c r="E1133" t="s">
        <v>15</v>
      </c>
      <c r="F1133" t="s">
        <v>16</v>
      </c>
      <c r="G1133" t="s">
        <v>17</v>
      </c>
      <c r="H1133" t="s">
        <v>23</v>
      </c>
      <c r="I1133">
        <v>195.04</v>
      </c>
      <c r="J1133">
        <v>45.5</v>
      </c>
      <c r="K1133" t="s">
        <v>25</v>
      </c>
      <c r="L1133" t="s">
        <v>15</v>
      </c>
    </row>
    <row r="1134" spans="1:12" x14ac:dyDescent="0.3">
      <c r="A1134">
        <v>46072</v>
      </c>
      <c r="B1134" t="s">
        <v>12</v>
      </c>
      <c r="C1134">
        <v>2</v>
      </c>
      <c r="D1134" t="s">
        <v>15</v>
      </c>
      <c r="E1134" t="s">
        <v>15</v>
      </c>
      <c r="F1134" t="s">
        <v>15</v>
      </c>
      <c r="G1134" t="s">
        <v>20</v>
      </c>
      <c r="H1134" t="s">
        <v>23</v>
      </c>
      <c r="I1134">
        <v>103.25</v>
      </c>
      <c r="J1134">
        <v>19.399999999999999</v>
      </c>
      <c r="K1134" t="s">
        <v>27</v>
      </c>
      <c r="L1134" t="s">
        <v>15</v>
      </c>
    </row>
    <row r="1135" spans="1:12" x14ac:dyDescent="0.3">
      <c r="A1135">
        <v>65667</v>
      </c>
      <c r="B1135" t="s">
        <v>13</v>
      </c>
      <c r="C1135">
        <v>48</v>
      </c>
      <c r="D1135" t="s">
        <v>15</v>
      </c>
      <c r="E1135" t="s">
        <v>15</v>
      </c>
      <c r="F1135" t="s">
        <v>16</v>
      </c>
      <c r="G1135" t="s">
        <v>17</v>
      </c>
      <c r="H1135" t="s">
        <v>23</v>
      </c>
      <c r="I1135">
        <v>134.59</v>
      </c>
      <c r="J1135">
        <v>28.2</v>
      </c>
      <c r="K1135" t="s">
        <v>26</v>
      </c>
      <c r="L1135" t="s">
        <v>15</v>
      </c>
    </row>
    <row r="1136" spans="1:12" x14ac:dyDescent="0.3">
      <c r="A1136">
        <v>47848</v>
      </c>
      <c r="B1136" t="s">
        <v>12</v>
      </c>
      <c r="C1136">
        <v>1.56</v>
      </c>
      <c r="D1136" t="s">
        <v>15</v>
      </c>
      <c r="E1136" t="s">
        <v>15</v>
      </c>
      <c r="F1136" t="s">
        <v>15</v>
      </c>
      <c r="G1136" t="s">
        <v>20</v>
      </c>
      <c r="H1136" t="s">
        <v>23</v>
      </c>
      <c r="I1136">
        <v>93.74</v>
      </c>
      <c r="J1136">
        <v>20.100000000000001</v>
      </c>
      <c r="K1136" t="s">
        <v>27</v>
      </c>
      <c r="L1136" t="s">
        <v>15</v>
      </c>
    </row>
    <row r="1137" spans="1:12" x14ac:dyDescent="0.3">
      <c r="A1137">
        <v>71440</v>
      </c>
      <c r="B1137" t="s">
        <v>13</v>
      </c>
      <c r="C1137">
        <v>26</v>
      </c>
      <c r="D1137" t="s">
        <v>15</v>
      </c>
      <c r="E1137" t="s">
        <v>15</v>
      </c>
      <c r="F1137" t="s">
        <v>16</v>
      </c>
      <c r="G1137" t="s">
        <v>17</v>
      </c>
      <c r="H1137" t="s">
        <v>22</v>
      </c>
      <c r="I1137">
        <v>90.66</v>
      </c>
      <c r="J1137">
        <v>27.2</v>
      </c>
      <c r="K1137" t="s">
        <v>27</v>
      </c>
      <c r="L1137" t="s">
        <v>15</v>
      </c>
    </row>
    <row r="1138" spans="1:12" x14ac:dyDescent="0.3">
      <c r="A1138">
        <v>35231</v>
      </c>
      <c r="B1138" t="s">
        <v>12</v>
      </c>
      <c r="C1138">
        <v>62</v>
      </c>
      <c r="D1138" t="s">
        <v>15</v>
      </c>
      <c r="E1138" t="s">
        <v>15</v>
      </c>
      <c r="F1138" t="s">
        <v>16</v>
      </c>
      <c r="G1138" t="s">
        <v>19</v>
      </c>
      <c r="H1138" t="s">
        <v>22</v>
      </c>
      <c r="I1138">
        <v>91.68</v>
      </c>
      <c r="J1138">
        <v>26.5</v>
      </c>
      <c r="K1138" t="s">
        <v>27</v>
      </c>
      <c r="L1138" t="s">
        <v>15</v>
      </c>
    </row>
    <row r="1139" spans="1:12" x14ac:dyDescent="0.3">
      <c r="A1139">
        <v>59734</v>
      </c>
      <c r="B1139" t="s">
        <v>12</v>
      </c>
      <c r="C1139">
        <v>1.72</v>
      </c>
      <c r="D1139" t="s">
        <v>15</v>
      </c>
      <c r="E1139" t="s">
        <v>15</v>
      </c>
      <c r="F1139" t="s">
        <v>15</v>
      </c>
      <c r="G1139" t="s">
        <v>20</v>
      </c>
      <c r="H1139" t="s">
        <v>22</v>
      </c>
      <c r="I1139">
        <v>75.790000000000006</v>
      </c>
      <c r="J1139">
        <v>17.600000000000001</v>
      </c>
      <c r="K1139" t="s">
        <v>27</v>
      </c>
      <c r="L1139" t="s">
        <v>15</v>
      </c>
    </row>
    <row r="1140" spans="1:12" x14ac:dyDescent="0.3">
      <c r="A1140">
        <v>1893</v>
      </c>
      <c r="B1140" t="s">
        <v>13</v>
      </c>
      <c r="C1140">
        <v>38</v>
      </c>
      <c r="D1140" t="s">
        <v>15</v>
      </c>
      <c r="E1140" t="s">
        <v>15</v>
      </c>
      <c r="F1140" t="s">
        <v>16</v>
      </c>
      <c r="G1140" t="s">
        <v>17</v>
      </c>
      <c r="H1140" t="s">
        <v>22</v>
      </c>
      <c r="I1140">
        <v>91.68</v>
      </c>
      <c r="J1140">
        <v>42.8</v>
      </c>
      <c r="K1140" t="s">
        <v>24</v>
      </c>
      <c r="L1140" t="s">
        <v>15</v>
      </c>
    </row>
    <row r="1141" spans="1:12" x14ac:dyDescent="0.3">
      <c r="A1141">
        <v>32733</v>
      </c>
      <c r="B1141" t="s">
        <v>13</v>
      </c>
      <c r="C1141">
        <v>28</v>
      </c>
      <c r="D1141" t="s">
        <v>15</v>
      </c>
      <c r="E1141" t="s">
        <v>15</v>
      </c>
      <c r="F1141" t="s">
        <v>16</v>
      </c>
      <c r="G1141" t="s">
        <v>17</v>
      </c>
      <c r="H1141" t="s">
        <v>23</v>
      </c>
      <c r="I1141">
        <v>106.68</v>
      </c>
      <c r="J1141">
        <v>29.3</v>
      </c>
      <c r="K1141" t="s">
        <v>25</v>
      </c>
      <c r="L1141" t="s">
        <v>15</v>
      </c>
    </row>
    <row r="1142" spans="1:12" x14ac:dyDescent="0.3">
      <c r="A1142">
        <v>34728</v>
      </c>
      <c r="B1142" t="s">
        <v>13</v>
      </c>
      <c r="C1142">
        <v>67</v>
      </c>
      <c r="D1142" t="s">
        <v>15</v>
      </c>
      <c r="E1142" t="s">
        <v>15</v>
      </c>
      <c r="F1142" t="s">
        <v>16</v>
      </c>
      <c r="G1142" t="s">
        <v>17</v>
      </c>
      <c r="H1142" t="s">
        <v>23</v>
      </c>
      <c r="I1142">
        <v>82.31</v>
      </c>
      <c r="J1142">
        <v>21.3</v>
      </c>
      <c r="K1142" t="s">
        <v>25</v>
      </c>
      <c r="L1142" t="s">
        <v>15</v>
      </c>
    </row>
    <row r="1143" spans="1:12" x14ac:dyDescent="0.3">
      <c r="A1143">
        <v>30352</v>
      </c>
      <c r="B1143" t="s">
        <v>12</v>
      </c>
      <c r="C1143">
        <v>57</v>
      </c>
      <c r="D1143" t="s">
        <v>15</v>
      </c>
      <c r="E1143" t="s">
        <v>15</v>
      </c>
      <c r="F1143" t="s">
        <v>16</v>
      </c>
      <c r="G1143" t="s">
        <v>17</v>
      </c>
      <c r="H1143" t="s">
        <v>23</v>
      </c>
      <c r="I1143">
        <v>90.06</v>
      </c>
      <c r="J1143">
        <v>29.8</v>
      </c>
      <c r="K1143" t="s">
        <v>27</v>
      </c>
      <c r="L1143" t="s">
        <v>15</v>
      </c>
    </row>
    <row r="1144" spans="1:12" x14ac:dyDescent="0.3">
      <c r="A1144">
        <v>61338</v>
      </c>
      <c r="B1144" t="s">
        <v>13</v>
      </c>
      <c r="C1144">
        <v>40</v>
      </c>
      <c r="D1144" t="s">
        <v>15</v>
      </c>
      <c r="E1144" t="s">
        <v>15</v>
      </c>
      <c r="F1144" t="s">
        <v>16</v>
      </c>
      <c r="G1144" t="s">
        <v>17</v>
      </c>
      <c r="H1144" t="s">
        <v>23</v>
      </c>
      <c r="I1144">
        <v>65.47</v>
      </c>
      <c r="J1144">
        <v>24.1</v>
      </c>
      <c r="K1144" t="s">
        <v>26</v>
      </c>
      <c r="L1144" t="s">
        <v>15</v>
      </c>
    </row>
    <row r="1145" spans="1:12" x14ac:dyDescent="0.3">
      <c r="A1145">
        <v>59275</v>
      </c>
      <c r="B1145" t="s">
        <v>12</v>
      </c>
      <c r="C1145">
        <v>10</v>
      </c>
      <c r="D1145" t="s">
        <v>15</v>
      </c>
      <c r="E1145" t="s">
        <v>15</v>
      </c>
      <c r="F1145" t="s">
        <v>15</v>
      </c>
      <c r="G1145" t="s">
        <v>20</v>
      </c>
      <c r="H1145" t="s">
        <v>23</v>
      </c>
      <c r="I1145">
        <v>58.03</v>
      </c>
      <c r="J1145">
        <v>35.200000000000003</v>
      </c>
      <c r="K1145" t="s">
        <v>27</v>
      </c>
      <c r="L1145" t="s">
        <v>15</v>
      </c>
    </row>
    <row r="1146" spans="1:12" x14ac:dyDescent="0.3">
      <c r="A1146">
        <v>45497</v>
      </c>
      <c r="B1146" t="s">
        <v>13</v>
      </c>
      <c r="C1146">
        <v>55</v>
      </c>
      <c r="D1146" t="s">
        <v>15</v>
      </c>
      <c r="E1146" t="s">
        <v>15</v>
      </c>
      <c r="F1146" t="s">
        <v>15</v>
      </c>
      <c r="G1146" t="s">
        <v>17</v>
      </c>
      <c r="H1146" t="s">
        <v>23</v>
      </c>
      <c r="I1146">
        <v>83.09</v>
      </c>
      <c r="J1146">
        <v>18.8</v>
      </c>
      <c r="K1146" t="s">
        <v>25</v>
      </c>
      <c r="L1146" t="s">
        <v>15</v>
      </c>
    </row>
    <row r="1147" spans="1:12" x14ac:dyDescent="0.3">
      <c r="A1147">
        <v>19996</v>
      </c>
      <c r="B1147" t="s">
        <v>13</v>
      </c>
      <c r="C1147">
        <v>7</v>
      </c>
      <c r="D1147" t="s">
        <v>15</v>
      </c>
      <c r="E1147" t="s">
        <v>15</v>
      </c>
      <c r="F1147" t="s">
        <v>15</v>
      </c>
      <c r="G1147" t="s">
        <v>20</v>
      </c>
      <c r="H1147" t="s">
        <v>22</v>
      </c>
      <c r="I1147">
        <v>88.6</v>
      </c>
      <c r="J1147">
        <v>17.399999999999999</v>
      </c>
      <c r="K1147" t="s">
        <v>27</v>
      </c>
      <c r="L1147" t="s">
        <v>15</v>
      </c>
    </row>
    <row r="1148" spans="1:12" x14ac:dyDescent="0.3">
      <c r="A1148">
        <v>50371</v>
      </c>
      <c r="B1148" t="s">
        <v>12</v>
      </c>
      <c r="C1148">
        <v>56</v>
      </c>
      <c r="D1148" t="s">
        <v>15</v>
      </c>
      <c r="E1148" t="s">
        <v>15</v>
      </c>
      <c r="F1148" t="s">
        <v>16</v>
      </c>
      <c r="G1148" t="s">
        <v>17</v>
      </c>
      <c r="H1148" t="s">
        <v>22</v>
      </c>
      <c r="I1148">
        <v>63.18</v>
      </c>
      <c r="J1148">
        <v>31.5</v>
      </c>
      <c r="K1148" t="s">
        <v>27</v>
      </c>
      <c r="L1148" t="s">
        <v>15</v>
      </c>
    </row>
    <row r="1149" spans="1:12" x14ac:dyDescent="0.3">
      <c r="A1149">
        <v>32687</v>
      </c>
      <c r="B1149" t="s">
        <v>12</v>
      </c>
      <c r="C1149">
        <v>37</v>
      </c>
      <c r="D1149" t="s">
        <v>15</v>
      </c>
      <c r="E1149" t="s">
        <v>15</v>
      </c>
      <c r="F1149" t="s">
        <v>16</v>
      </c>
      <c r="G1149" t="s">
        <v>17</v>
      </c>
      <c r="H1149" t="s">
        <v>23</v>
      </c>
      <c r="I1149">
        <v>78.42</v>
      </c>
      <c r="J1149">
        <v>29.9</v>
      </c>
      <c r="K1149" t="s">
        <v>25</v>
      </c>
      <c r="L1149" t="s">
        <v>15</v>
      </c>
    </row>
    <row r="1150" spans="1:12" x14ac:dyDescent="0.3">
      <c r="A1150">
        <v>35295</v>
      </c>
      <c r="B1150" t="s">
        <v>12</v>
      </c>
      <c r="C1150">
        <v>69</v>
      </c>
      <c r="D1150" t="s">
        <v>15</v>
      </c>
      <c r="E1150" t="s">
        <v>15</v>
      </c>
      <c r="F1150" t="s">
        <v>16</v>
      </c>
      <c r="G1150" t="s">
        <v>17</v>
      </c>
      <c r="H1150" t="s">
        <v>22</v>
      </c>
      <c r="I1150">
        <v>65.08</v>
      </c>
      <c r="J1150">
        <v>27.3</v>
      </c>
      <c r="K1150" t="s">
        <v>24</v>
      </c>
      <c r="L1150" t="s">
        <v>15</v>
      </c>
    </row>
    <row r="1151" spans="1:12" x14ac:dyDescent="0.3">
      <c r="A1151">
        <v>15746</v>
      </c>
      <c r="B1151" t="s">
        <v>13</v>
      </c>
      <c r="C1151">
        <v>45</v>
      </c>
      <c r="D1151" t="s">
        <v>15</v>
      </c>
      <c r="E1151" t="s">
        <v>15</v>
      </c>
      <c r="F1151" t="s">
        <v>16</v>
      </c>
      <c r="G1151" t="s">
        <v>19</v>
      </c>
      <c r="H1151" t="s">
        <v>22</v>
      </c>
      <c r="I1151">
        <v>79.47</v>
      </c>
      <c r="J1151">
        <v>28.1</v>
      </c>
      <c r="K1151" t="s">
        <v>25</v>
      </c>
      <c r="L1151" t="s">
        <v>15</v>
      </c>
    </row>
    <row r="1152" spans="1:12" x14ac:dyDescent="0.3">
      <c r="A1152">
        <v>31517</v>
      </c>
      <c r="B1152" t="s">
        <v>13</v>
      </c>
      <c r="C1152">
        <v>28</v>
      </c>
      <c r="D1152" t="s">
        <v>15</v>
      </c>
      <c r="E1152" t="s">
        <v>15</v>
      </c>
      <c r="F1152" t="s">
        <v>16</v>
      </c>
      <c r="G1152" t="s">
        <v>17</v>
      </c>
      <c r="H1152" t="s">
        <v>23</v>
      </c>
      <c r="I1152">
        <v>95.52</v>
      </c>
      <c r="J1152">
        <v>28.9</v>
      </c>
      <c r="K1152" t="s">
        <v>25</v>
      </c>
      <c r="L1152" t="s">
        <v>15</v>
      </c>
    </row>
    <row r="1153" spans="1:12" x14ac:dyDescent="0.3">
      <c r="A1153">
        <v>43268</v>
      </c>
      <c r="B1153" t="s">
        <v>13</v>
      </c>
      <c r="C1153">
        <v>52</v>
      </c>
      <c r="D1153" t="s">
        <v>16</v>
      </c>
      <c r="E1153" t="s">
        <v>15</v>
      </c>
      <c r="F1153" t="s">
        <v>15</v>
      </c>
      <c r="G1153" t="s">
        <v>17</v>
      </c>
      <c r="H1153" t="s">
        <v>22</v>
      </c>
      <c r="I1153">
        <v>73</v>
      </c>
      <c r="J1153">
        <v>25.2</v>
      </c>
      <c r="K1153" t="s">
        <v>26</v>
      </c>
      <c r="L1153" t="s">
        <v>15</v>
      </c>
    </row>
    <row r="1154" spans="1:12" x14ac:dyDescent="0.3">
      <c r="A1154">
        <v>54540</v>
      </c>
      <c r="B1154" t="s">
        <v>12</v>
      </c>
      <c r="C1154">
        <v>46</v>
      </c>
      <c r="D1154" t="s">
        <v>15</v>
      </c>
      <c r="E1154" t="s">
        <v>15</v>
      </c>
      <c r="F1154" t="s">
        <v>16</v>
      </c>
      <c r="G1154" t="s">
        <v>17</v>
      </c>
      <c r="H1154" t="s">
        <v>23</v>
      </c>
      <c r="I1154">
        <v>138.07</v>
      </c>
      <c r="J1154">
        <v>24.3</v>
      </c>
      <c r="K1154" t="s">
        <v>25</v>
      </c>
      <c r="L1154" t="s">
        <v>15</v>
      </c>
    </row>
    <row r="1155" spans="1:12" x14ac:dyDescent="0.3">
      <c r="A1155">
        <v>20973</v>
      </c>
      <c r="B1155" t="s">
        <v>12</v>
      </c>
      <c r="C1155">
        <v>45</v>
      </c>
      <c r="D1155" t="s">
        <v>15</v>
      </c>
      <c r="E1155" t="s">
        <v>15</v>
      </c>
      <c r="F1155" t="s">
        <v>16</v>
      </c>
      <c r="G1155" t="s">
        <v>19</v>
      </c>
      <c r="H1155" t="s">
        <v>23</v>
      </c>
      <c r="I1155">
        <v>86.99</v>
      </c>
      <c r="J1155">
        <v>37.9</v>
      </c>
      <c r="K1155" t="s">
        <v>25</v>
      </c>
      <c r="L1155" t="s">
        <v>15</v>
      </c>
    </row>
    <row r="1156" spans="1:12" x14ac:dyDescent="0.3">
      <c r="A1156">
        <v>56245</v>
      </c>
      <c r="B1156" t="s">
        <v>13</v>
      </c>
      <c r="C1156">
        <v>21</v>
      </c>
      <c r="D1156" t="s">
        <v>15</v>
      </c>
      <c r="E1156" t="s">
        <v>15</v>
      </c>
      <c r="F1156" t="s">
        <v>15</v>
      </c>
      <c r="G1156" t="s">
        <v>17</v>
      </c>
      <c r="H1156" t="s">
        <v>22</v>
      </c>
      <c r="I1156">
        <v>112.07</v>
      </c>
      <c r="J1156">
        <v>28.2</v>
      </c>
      <c r="K1156" t="s">
        <v>25</v>
      </c>
      <c r="L1156" t="s">
        <v>15</v>
      </c>
    </row>
    <row r="1157" spans="1:12" x14ac:dyDescent="0.3">
      <c r="A1157">
        <v>9225</v>
      </c>
      <c r="B1157" t="s">
        <v>12</v>
      </c>
      <c r="C1157">
        <v>4</v>
      </c>
      <c r="D1157" t="s">
        <v>15</v>
      </c>
      <c r="E1157" t="s">
        <v>15</v>
      </c>
      <c r="F1157" t="s">
        <v>15</v>
      </c>
      <c r="G1157" t="s">
        <v>20</v>
      </c>
      <c r="H1157" t="s">
        <v>23</v>
      </c>
      <c r="I1157">
        <v>105.76</v>
      </c>
      <c r="J1157">
        <v>18.399999999999999</v>
      </c>
      <c r="K1157" t="s">
        <v>27</v>
      </c>
      <c r="L1157" t="s">
        <v>15</v>
      </c>
    </row>
    <row r="1158" spans="1:12" x14ac:dyDescent="0.3">
      <c r="A1158">
        <v>45955</v>
      </c>
      <c r="B1158" t="s">
        <v>13</v>
      </c>
      <c r="C1158">
        <v>45</v>
      </c>
      <c r="D1158" t="s">
        <v>15</v>
      </c>
      <c r="E1158" t="s">
        <v>15</v>
      </c>
      <c r="F1158" t="s">
        <v>16</v>
      </c>
      <c r="G1158" t="s">
        <v>17</v>
      </c>
      <c r="H1158" t="s">
        <v>22</v>
      </c>
      <c r="I1158">
        <v>55.67</v>
      </c>
      <c r="J1158">
        <v>23.1</v>
      </c>
      <c r="K1158" t="s">
        <v>26</v>
      </c>
      <c r="L1158" t="s">
        <v>15</v>
      </c>
    </row>
    <row r="1159" spans="1:12" x14ac:dyDescent="0.3">
      <c r="A1159">
        <v>3532</v>
      </c>
      <c r="B1159" t="s">
        <v>13</v>
      </c>
      <c r="C1159">
        <v>71</v>
      </c>
      <c r="D1159" t="s">
        <v>15</v>
      </c>
      <c r="E1159" t="s">
        <v>15</v>
      </c>
      <c r="F1159" t="s">
        <v>16</v>
      </c>
      <c r="G1159" t="s">
        <v>17</v>
      </c>
      <c r="H1159" t="s">
        <v>22</v>
      </c>
      <c r="I1159">
        <v>90.55</v>
      </c>
      <c r="J1159">
        <v>39.4</v>
      </c>
      <c r="K1159" t="s">
        <v>24</v>
      </c>
      <c r="L1159" t="s">
        <v>15</v>
      </c>
    </row>
    <row r="1160" spans="1:12" x14ac:dyDescent="0.3">
      <c r="A1160">
        <v>41291</v>
      </c>
      <c r="B1160" t="s">
        <v>13</v>
      </c>
      <c r="C1160">
        <v>46</v>
      </c>
      <c r="D1160" t="s">
        <v>15</v>
      </c>
      <c r="E1160" t="s">
        <v>15</v>
      </c>
      <c r="F1160" t="s">
        <v>16</v>
      </c>
      <c r="G1160" t="s">
        <v>17</v>
      </c>
      <c r="H1160" t="s">
        <v>23</v>
      </c>
      <c r="I1160">
        <v>218.65</v>
      </c>
      <c r="J1160">
        <v>29.5</v>
      </c>
      <c r="K1160" t="s">
        <v>25</v>
      </c>
      <c r="L1160" t="s">
        <v>15</v>
      </c>
    </row>
    <row r="1161" spans="1:12" x14ac:dyDescent="0.3">
      <c r="A1161">
        <v>53943</v>
      </c>
      <c r="B1161" t="s">
        <v>13</v>
      </c>
      <c r="C1161">
        <v>3</v>
      </c>
      <c r="D1161" t="s">
        <v>15</v>
      </c>
      <c r="E1161" t="s">
        <v>15</v>
      </c>
      <c r="F1161" t="s">
        <v>15</v>
      </c>
      <c r="G1161" t="s">
        <v>20</v>
      </c>
      <c r="H1161" t="s">
        <v>23</v>
      </c>
      <c r="I1161">
        <v>111.21</v>
      </c>
      <c r="J1161">
        <v>18.3</v>
      </c>
      <c r="K1161" t="s">
        <v>27</v>
      </c>
      <c r="L1161" t="s">
        <v>15</v>
      </c>
    </row>
    <row r="1162" spans="1:12" x14ac:dyDescent="0.3">
      <c r="A1162">
        <v>52550</v>
      </c>
      <c r="B1162" t="s">
        <v>13</v>
      </c>
      <c r="C1162">
        <v>79</v>
      </c>
      <c r="D1162" t="s">
        <v>15</v>
      </c>
      <c r="E1162" t="s">
        <v>15</v>
      </c>
      <c r="F1162" t="s">
        <v>16</v>
      </c>
      <c r="G1162" t="s">
        <v>19</v>
      </c>
      <c r="H1162" t="s">
        <v>22</v>
      </c>
      <c r="I1162">
        <v>83.56</v>
      </c>
      <c r="J1162">
        <v>28.7</v>
      </c>
      <c r="K1162" t="s">
        <v>26</v>
      </c>
      <c r="L1162" t="s">
        <v>15</v>
      </c>
    </row>
    <row r="1163" spans="1:12" x14ac:dyDescent="0.3">
      <c r="A1163">
        <v>47414</v>
      </c>
      <c r="B1163" t="s">
        <v>13</v>
      </c>
      <c r="C1163">
        <v>71</v>
      </c>
      <c r="D1163" t="s">
        <v>16</v>
      </c>
      <c r="E1163" t="s">
        <v>15</v>
      </c>
      <c r="F1163" t="s">
        <v>16</v>
      </c>
      <c r="G1163" t="s">
        <v>17</v>
      </c>
      <c r="H1163" t="s">
        <v>22</v>
      </c>
      <c r="I1163">
        <v>116.76</v>
      </c>
      <c r="J1163">
        <v>32.9</v>
      </c>
      <c r="K1163" t="s">
        <v>24</v>
      </c>
      <c r="L1163" t="s">
        <v>15</v>
      </c>
    </row>
    <row r="1164" spans="1:12" x14ac:dyDescent="0.3">
      <c r="A1164">
        <v>38804</v>
      </c>
      <c r="B1164" t="s">
        <v>12</v>
      </c>
      <c r="C1164">
        <v>74</v>
      </c>
      <c r="D1164" t="s">
        <v>15</v>
      </c>
      <c r="E1164" t="s">
        <v>15</v>
      </c>
      <c r="F1164" t="s">
        <v>16</v>
      </c>
      <c r="G1164" t="s">
        <v>17</v>
      </c>
      <c r="H1164" t="s">
        <v>23</v>
      </c>
      <c r="I1164">
        <v>83.5</v>
      </c>
      <c r="J1164">
        <v>26.7</v>
      </c>
      <c r="K1164" t="s">
        <v>27</v>
      </c>
      <c r="L1164" t="s">
        <v>15</v>
      </c>
    </row>
    <row r="1165" spans="1:12" x14ac:dyDescent="0.3">
      <c r="A1165">
        <v>72861</v>
      </c>
      <c r="B1165" t="s">
        <v>13</v>
      </c>
      <c r="C1165">
        <v>52</v>
      </c>
      <c r="D1165" t="s">
        <v>15</v>
      </c>
      <c r="E1165" t="s">
        <v>15</v>
      </c>
      <c r="F1165" t="s">
        <v>16</v>
      </c>
      <c r="G1165" t="s">
        <v>17</v>
      </c>
      <c r="H1165" t="s">
        <v>22</v>
      </c>
      <c r="I1165">
        <v>69.3</v>
      </c>
      <c r="J1165">
        <v>20.100000000000001</v>
      </c>
      <c r="K1165" t="s">
        <v>25</v>
      </c>
      <c r="L1165" t="s">
        <v>15</v>
      </c>
    </row>
    <row r="1166" spans="1:12" x14ac:dyDescent="0.3">
      <c r="A1166">
        <v>53276</v>
      </c>
      <c r="B1166" t="s">
        <v>13</v>
      </c>
      <c r="C1166">
        <v>49</v>
      </c>
      <c r="D1166" t="s">
        <v>15</v>
      </c>
      <c r="E1166" t="s">
        <v>15</v>
      </c>
      <c r="F1166" t="s">
        <v>16</v>
      </c>
      <c r="G1166" t="s">
        <v>17</v>
      </c>
      <c r="H1166" t="s">
        <v>22</v>
      </c>
      <c r="I1166">
        <v>67.55</v>
      </c>
      <c r="J1166">
        <v>17.600000000000001</v>
      </c>
      <c r="K1166" t="s">
        <v>24</v>
      </c>
      <c r="L1166" t="s">
        <v>15</v>
      </c>
    </row>
    <row r="1167" spans="1:12" x14ac:dyDescent="0.3">
      <c r="A1167">
        <v>30944</v>
      </c>
      <c r="B1167" t="s">
        <v>13</v>
      </c>
      <c r="C1167">
        <v>32</v>
      </c>
      <c r="D1167" t="s">
        <v>15</v>
      </c>
      <c r="E1167" t="s">
        <v>15</v>
      </c>
      <c r="F1167" t="s">
        <v>16</v>
      </c>
      <c r="G1167" t="s">
        <v>17</v>
      </c>
      <c r="H1167" t="s">
        <v>23</v>
      </c>
      <c r="I1167">
        <v>80.28</v>
      </c>
      <c r="J1167">
        <v>43.7</v>
      </c>
      <c r="K1167" t="s">
        <v>25</v>
      </c>
      <c r="L1167" t="s">
        <v>15</v>
      </c>
    </row>
    <row r="1168" spans="1:12" x14ac:dyDescent="0.3">
      <c r="A1168">
        <v>33622</v>
      </c>
      <c r="B1168" t="s">
        <v>12</v>
      </c>
      <c r="C1168">
        <v>62</v>
      </c>
      <c r="D1168" t="s">
        <v>16</v>
      </c>
      <c r="E1168" t="s">
        <v>15</v>
      </c>
      <c r="F1168" t="s">
        <v>16</v>
      </c>
      <c r="G1168" t="s">
        <v>17</v>
      </c>
      <c r="H1168" t="s">
        <v>22</v>
      </c>
      <c r="I1168">
        <v>211.49</v>
      </c>
      <c r="J1168">
        <v>41.1</v>
      </c>
      <c r="K1168" t="s">
        <v>27</v>
      </c>
      <c r="L1168" t="s">
        <v>15</v>
      </c>
    </row>
    <row r="1169" spans="1:12" x14ac:dyDescent="0.3">
      <c r="A1169">
        <v>26191</v>
      </c>
      <c r="B1169" t="s">
        <v>13</v>
      </c>
      <c r="C1169">
        <v>78</v>
      </c>
      <c r="D1169" t="s">
        <v>15</v>
      </c>
      <c r="E1169" t="s">
        <v>15</v>
      </c>
      <c r="F1169" t="s">
        <v>15</v>
      </c>
      <c r="G1169" t="s">
        <v>17</v>
      </c>
      <c r="H1169" t="s">
        <v>22</v>
      </c>
      <c r="I1169">
        <v>67.959999999999994</v>
      </c>
      <c r="J1169">
        <v>26.8</v>
      </c>
      <c r="K1169" t="s">
        <v>27</v>
      </c>
      <c r="L1169" t="s">
        <v>15</v>
      </c>
    </row>
    <row r="1170" spans="1:12" x14ac:dyDescent="0.3">
      <c r="A1170">
        <v>69312</v>
      </c>
      <c r="B1170" t="s">
        <v>13</v>
      </c>
      <c r="C1170">
        <v>48</v>
      </c>
      <c r="D1170" t="s">
        <v>15</v>
      </c>
      <c r="E1170" t="s">
        <v>15</v>
      </c>
      <c r="F1170" t="s">
        <v>16</v>
      </c>
      <c r="G1170" t="s">
        <v>18</v>
      </c>
      <c r="H1170" t="s">
        <v>22</v>
      </c>
      <c r="I1170">
        <v>99.29</v>
      </c>
      <c r="J1170">
        <v>31.2</v>
      </c>
      <c r="K1170" t="s">
        <v>25</v>
      </c>
      <c r="L1170" t="s">
        <v>15</v>
      </c>
    </row>
    <row r="1171" spans="1:12" x14ac:dyDescent="0.3">
      <c r="A1171">
        <v>39661</v>
      </c>
      <c r="B1171" t="s">
        <v>12</v>
      </c>
      <c r="C1171">
        <v>18</v>
      </c>
      <c r="D1171" t="s">
        <v>15</v>
      </c>
      <c r="E1171" t="s">
        <v>15</v>
      </c>
      <c r="F1171" t="s">
        <v>16</v>
      </c>
      <c r="G1171" t="s">
        <v>17</v>
      </c>
      <c r="H1171" t="s">
        <v>23</v>
      </c>
      <c r="I1171">
        <v>140.52000000000001</v>
      </c>
      <c r="J1171">
        <v>27.4</v>
      </c>
      <c r="K1171" t="s">
        <v>25</v>
      </c>
      <c r="L1171" t="s">
        <v>15</v>
      </c>
    </row>
    <row r="1172" spans="1:12" x14ac:dyDescent="0.3">
      <c r="A1172">
        <v>20162</v>
      </c>
      <c r="B1172" t="s">
        <v>13</v>
      </c>
      <c r="C1172">
        <v>80</v>
      </c>
      <c r="D1172" t="s">
        <v>15</v>
      </c>
      <c r="E1172" t="s">
        <v>15</v>
      </c>
      <c r="F1172" t="s">
        <v>16</v>
      </c>
      <c r="G1172" t="s">
        <v>17</v>
      </c>
      <c r="H1172" t="s">
        <v>23</v>
      </c>
      <c r="I1172">
        <v>75.62</v>
      </c>
      <c r="J1172">
        <v>25.1</v>
      </c>
      <c r="K1172" t="s">
        <v>26</v>
      </c>
      <c r="L1172" t="s">
        <v>15</v>
      </c>
    </row>
    <row r="1173" spans="1:12" x14ac:dyDescent="0.3">
      <c r="A1173">
        <v>48989</v>
      </c>
      <c r="B1173" t="s">
        <v>13</v>
      </c>
      <c r="C1173">
        <v>34</v>
      </c>
      <c r="D1173" t="s">
        <v>15</v>
      </c>
      <c r="E1173" t="s">
        <v>15</v>
      </c>
      <c r="F1173" t="s">
        <v>15</v>
      </c>
      <c r="G1173" t="s">
        <v>19</v>
      </c>
      <c r="H1173" t="s">
        <v>23</v>
      </c>
      <c r="I1173">
        <v>120.06</v>
      </c>
      <c r="J1173">
        <v>33</v>
      </c>
      <c r="K1173" t="s">
        <v>25</v>
      </c>
      <c r="L1173" t="s">
        <v>15</v>
      </c>
    </row>
    <row r="1174" spans="1:12" x14ac:dyDescent="0.3">
      <c r="A1174">
        <v>30411</v>
      </c>
      <c r="B1174" t="s">
        <v>13</v>
      </c>
      <c r="C1174">
        <v>40</v>
      </c>
      <c r="D1174" t="s">
        <v>15</v>
      </c>
      <c r="E1174" t="s">
        <v>15</v>
      </c>
      <c r="F1174" t="s">
        <v>15</v>
      </c>
      <c r="G1174" t="s">
        <v>17</v>
      </c>
      <c r="H1174" t="s">
        <v>23</v>
      </c>
      <c r="I1174">
        <v>117.45</v>
      </c>
      <c r="J1174">
        <v>30.7</v>
      </c>
      <c r="K1174" t="s">
        <v>26</v>
      </c>
      <c r="L1174" t="s">
        <v>15</v>
      </c>
    </row>
    <row r="1175" spans="1:12" x14ac:dyDescent="0.3">
      <c r="A1175">
        <v>47735</v>
      </c>
      <c r="B1175" t="s">
        <v>13</v>
      </c>
      <c r="C1175">
        <v>59</v>
      </c>
      <c r="D1175" t="s">
        <v>15</v>
      </c>
      <c r="E1175" t="s">
        <v>15</v>
      </c>
      <c r="F1175" t="s">
        <v>16</v>
      </c>
      <c r="G1175" t="s">
        <v>17</v>
      </c>
      <c r="H1175" t="s">
        <v>23</v>
      </c>
      <c r="I1175">
        <v>224.71</v>
      </c>
      <c r="J1175">
        <v>42.9</v>
      </c>
      <c r="K1175" t="s">
        <v>25</v>
      </c>
      <c r="L1175" t="s">
        <v>15</v>
      </c>
    </row>
    <row r="1176" spans="1:12" x14ac:dyDescent="0.3">
      <c r="A1176">
        <v>51162</v>
      </c>
      <c r="B1176" t="s">
        <v>13</v>
      </c>
      <c r="C1176">
        <v>11</v>
      </c>
      <c r="D1176" t="s">
        <v>15</v>
      </c>
      <c r="E1176" t="s">
        <v>15</v>
      </c>
      <c r="F1176" t="s">
        <v>15</v>
      </c>
      <c r="G1176" t="s">
        <v>20</v>
      </c>
      <c r="H1176" t="s">
        <v>23</v>
      </c>
      <c r="I1176">
        <v>122.75</v>
      </c>
      <c r="J1176">
        <v>14.3</v>
      </c>
      <c r="K1176" t="s">
        <v>27</v>
      </c>
      <c r="L1176" t="s">
        <v>15</v>
      </c>
    </row>
    <row r="1177" spans="1:12" x14ac:dyDescent="0.3">
      <c r="A1177">
        <v>8598</v>
      </c>
      <c r="B1177" t="s">
        <v>13</v>
      </c>
      <c r="C1177">
        <v>35</v>
      </c>
      <c r="D1177" t="s">
        <v>15</v>
      </c>
      <c r="E1177" t="s">
        <v>15</v>
      </c>
      <c r="F1177" t="s">
        <v>16</v>
      </c>
      <c r="G1177" t="s">
        <v>19</v>
      </c>
      <c r="H1177" t="s">
        <v>22</v>
      </c>
      <c r="I1177">
        <v>82.39</v>
      </c>
      <c r="J1177">
        <v>33.200000000000003</v>
      </c>
      <c r="K1177" t="s">
        <v>25</v>
      </c>
      <c r="L1177" t="s">
        <v>15</v>
      </c>
    </row>
    <row r="1178" spans="1:12" x14ac:dyDescent="0.3">
      <c r="A1178">
        <v>57347</v>
      </c>
      <c r="B1178" t="s">
        <v>13</v>
      </c>
      <c r="C1178">
        <v>29</v>
      </c>
      <c r="D1178" t="s">
        <v>15</v>
      </c>
      <c r="E1178" t="s">
        <v>15</v>
      </c>
      <c r="F1178" t="s">
        <v>15</v>
      </c>
      <c r="G1178" t="s">
        <v>19</v>
      </c>
      <c r="H1178" t="s">
        <v>23</v>
      </c>
      <c r="I1178">
        <v>57.02</v>
      </c>
      <c r="J1178">
        <v>43</v>
      </c>
      <c r="K1178" t="s">
        <v>24</v>
      </c>
      <c r="L1178" t="s">
        <v>15</v>
      </c>
    </row>
    <row r="1179" spans="1:12" x14ac:dyDescent="0.3">
      <c r="A1179">
        <v>4683</v>
      </c>
      <c r="B1179" t="s">
        <v>12</v>
      </c>
      <c r="C1179">
        <v>23</v>
      </c>
      <c r="D1179" t="s">
        <v>15</v>
      </c>
      <c r="E1179" t="s">
        <v>15</v>
      </c>
      <c r="F1179" t="s">
        <v>15</v>
      </c>
      <c r="G1179" t="s">
        <v>17</v>
      </c>
      <c r="H1179" t="s">
        <v>22</v>
      </c>
      <c r="I1179">
        <v>115.98</v>
      </c>
      <c r="J1179">
        <v>22.3</v>
      </c>
      <c r="K1179" t="s">
        <v>25</v>
      </c>
      <c r="L1179" t="s">
        <v>15</v>
      </c>
    </row>
    <row r="1180" spans="1:12" x14ac:dyDescent="0.3">
      <c r="A1180">
        <v>55775</v>
      </c>
      <c r="B1180" t="s">
        <v>13</v>
      </c>
      <c r="C1180">
        <v>59</v>
      </c>
      <c r="D1180" t="s">
        <v>15</v>
      </c>
      <c r="E1180" t="s">
        <v>15</v>
      </c>
      <c r="F1180" t="s">
        <v>16</v>
      </c>
      <c r="G1180" t="s">
        <v>17</v>
      </c>
      <c r="H1180" t="s">
        <v>23</v>
      </c>
      <c r="I1180">
        <v>226.11</v>
      </c>
      <c r="J1180">
        <v>32.799999999999997</v>
      </c>
      <c r="K1180" t="s">
        <v>24</v>
      </c>
      <c r="L1180" t="s">
        <v>15</v>
      </c>
    </row>
    <row r="1181" spans="1:12" x14ac:dyDescent="0.3">
      <c r="A1181">
        <v>32645</v>
      </c>
      <c r="B1181" t="s">
        <v>13</v>
      </c>
      <c r="C1181">
        <v>44</v>
      </c>
      <c r="D1181" t="s">
        <v>15</v>
      </c>
      <c r="E1181" t="s">
        <v>15</v>
      </c>
      <c r="F1181" t="s">
        <v>16</v>
      </c>
      <c r="G1181" t="s">
        <v>17</v>
      </c>
      <c r="H1181" t="s">
        <v>23</v>
      </c>
      <c r="I1181">
        <v>97.59</v>
      </c>
      <c r="J1181">
        <v>30.5</v>
      </c>
      <c r="K1181" t="s">
        <v>26</v>
      </c>
      <c r="L1181" t="s">
        <v>15</v>
      </c>
    </row>
    <row r="1182" spans="1:12" x14ac:dyDescent="0.3">
      <c r="A1182">
        <v>46643</v>
      </c>
      <c r="B1182" t="s">
        <v>13</v>
      </c>
      <c r="C1182">
        <v>62</v>
      </c>
      <c r="D1182" t="s">
        <v>15</v>
      </c>
      <c r="E1182" t="s">
        <v>15</v>
      </c>
      <c r="F1182" t="s">
        <v>16</v>
      </c>
      <c r="G1182" t="s">
        <v>17</v>
      </c>
      <c r="H1182" t="s">
        <v>23</v>
      </c>
      <c r="I1182">
        <v>82.57</v>
      </c>
      <c r="J1182">
        <v>36</v>
      </c>
      <c r="K1182" t="s">
        <v>24</v>
      </c>
      <c r="L1182" t="s">
        <v>15</v>
      </c>
    </row>
    <row r="1183" spans="1:12" x14ac:dyDescent="0.3">
      <c r="A1183">
        <v>782</v>
      </c>
      <c r="B1183" t="s">
        <v>13</v>
      </c>
      <c r="C1183">
        <v>32</v>
      </c>
      <c r="D1183" t="s">
        <v>15</v>
      </c>
      <c r="E1183" t="s">
        <v>15</v>
      </c>
      <c r="F1183" t="s">
        <v>15</v>
      </c>
      <c r="G1183" t="s">
        <v>17</v>
      </c>
      <c r="H1183" t="s">
        <v>22</v>
      </c>
      <c r="I1183">
        <v>79.34</v>
      </c>
      <c r="J1183">
        <v>26.5</v>
      </c>
      <c r="K1183" t="s">
        <v>24</v>
      </c>
      <c r="L1183" t="s">
        <v>15</v>
      </c>
    </row>
    <row r="1184" spans="1:12" x14ac:dyDescent="0.3">
      <c r="A1184">
        <v>63565</v>
      </c>
      <c r="B1184" t="s">
        <v>13</v>
      </c>
      <c r="C1184">
        <v>2</v>
      </c>
      <c r="D1184" t="s">
        <v>15</v>
      </c>
      <c r="E1184" t="s">
        <v>15</v>
      </c>
      <c r="F1184" t="s">
        <v>15</v>
      </c>
      <c r="G1184" t="s">
        <v>20</v>
      </c>
      <c r="H1184" t="s">
        <v>23</v>
      </c>
      <c r="I1184">
        <v>125.68</v>
      </c>
      <c r="J1184">
        <v>20.100000000000001</v>
      </c>
      <c r="K1184" t="s">
        <v>27</v>
      </c>
      <c r="L1184" t="s">
        <v>15</v>
      </c>
    </row>
    <row r="1185" spans="1:12" x14ac:dyDescent="0.3">
      <c r="A1185">
        <v>13602</v>
      </c>
      <c r="B1185" t="s">
        <v>12</v>
      </c>
      <c r="C1185">
        <v>73</v>
      </c>
      <c r="D1185" t="s">
        <v>16</v>
      </c>
      <c r="E1185" t="s">
        <v>15</v>
      </c>
      <c r="F1185" t="s">
        <v>16</v>
      </c>
      <c r="G1185" t="s">
        <v>18</v>
      </c>
      <c r="H1185" t="s">
        <v>23</v>
      </c>
      <c r="I1185">
        <v>102.06</v>
      </c>
      <c r="K1185" t="s">
        <v>27</v>
      </c>
      <c r="L1185" t="s">
        <v>15</v>
      </c>
    </row>
    <row r="1186" spans="1:12" x14ac:dyDescent="0.3">
      <c r="A1186">
        <v>28326</v>
      </c>
      <c r="B1186" t="s">
        <v>13</v>
      </c>
      <c r="C1186">
        <v>79</v>
      </c>
      <c r="D1186" t="s">
        <v>15</v>
      </c>
      <c r="E1186" t="s">
        <v>15</v>
      </c>
      <c r="F1186" t="s">
        <v>16</v>
      </c>
      <c r="G1186" t="s">
        <v>17</v>
      </c>
      <c r="H1186" t="s">
        <v>22</v>
      </c>
      <c r="I1186">
        <v>65.59</v>
      </c>
      <c r="J1186">
        <v>28.1</v>
      </c>
      <c r="K1186" t="s">
        <v>25</v>
      </c>
      <c r="L1186" t="s">
        <v>15</v>
      </c>
    </row>
    <row r="1187" spans="1:12" x14ac:dyDescent="0.3">
      <c r="A1187">
        <v>26389</v>
      </c>
      <c r="B1187" t="s">
        <v>13</v>
      </c>
      <c r="C1187">
        <v>2</v>
      </c>
      <c r="D1187" t="s">
        <v>15</v>
      </c>
      <c r="E1187" t="s">
        <v>15</v>
      </c>
      <c r="F1187" t="s">
        <v>15</v>
      </c>
      <c r="G1187" t="s">
        <v>20</v>
      </c>
      <c r="H1187" t="s">
        <v>22</v>
      </c>
      <c r="I1187">
        <v>120.85</v>
      </c>
      <c r="J1187">
        <v>16.2</v>
      </c>
      <c r="K1187" t="s">
        <v>27</v>
      </c>
      <c r="L1187" t="s">
        <v>15</v>
      </c>
    </row>
    <row r="1188" spans="1:12" x14ac:dyDescent="0.3">
      <c r="A1188">
        <v>16906</v>
      </c>
      <c r="B1188" t="s">
        <v>12</v>
      </c>
      <c r="C1188">
        <v>43</v>
      </c>
      <c r="D1188" t="s">
        <v>15</v>
      </c>
      <c r="E1188" t="s">
        <v>15</v>
      </c>
      <c r="F1188" t="s">
        <v>16</v>
      </c>
      <c r="G1188" t="s">
        <v>19</v>
      </c>
      <c r="H1188" t="s">
        <v>22</v>
      </c>
      <c r="I1188">
        <v>101.65</v>
      </c>
      <c r="J1188">
        <v>30</v>
      </c>
      <c r="K1188" t="s">
        <v>25</v>
      </c>
      <c r="L1188" t="s">
        <v>15</v>
      </c>
    </row>
    <row r="1189" spans="1:12" x14ac:dyDescent="0.3">
      <c r="A1189">
        <v>35140</v>
      </c>
      <c r="B1189" t="s">
        <v>12</v>
      </c>
      <c r="C1189">
        <v>43</v>
      </c>
      <c r="D1189" t="s">
        <v>15</v>
      </c>
      <c r="E1189" t="s">
        <v>15</v>
      </c>
      <c r="F1189" t="s">
        <v>16</v>
      </c>
      <c r="G1189" t="s">
        <v>19</v>
      </c>
      <c r="H1189" t="s">
        <v>22</v>
      </c>
      <c r="I1189">
        <v>210.94</v>
      </c>
      <c r="J1189">
        <v>31.3</v>
      </c>
      <c r="K1189" t="s">
        <v>25</v>
      </c>
      <c r="L1189" t="s">
        <v>15</v>
      </c>
    </row>
    <row r="1190" spans="1:12" x14ac:dyDescent="0.3">
      <c r="A1190">
        <v>16837</v>
      </c>
      <c r="B1190" t="s">
        <v>12</v>
      </c>
      <c r="C1190">
        <v>62</v>
      </c>
      <c r="D1190" t="s">
        <v>16</v>
      </c>
      <c r="E1190" t="s">
        <v>15</v>
      </c>
      <c r="F1190" t="s">
        <v>16</v>
      </c>
      <c r="G1190" t="s">
        <v>17</v>
      </c>
      <c r="H1190" t="s">
        <v>23</v>
      </c>
      <c r="I1190">
        <v>77.92</v>
      </c>
      <c r="J1190">
        <v>26.7</v>
      </c>
      <c r="K1190" t="s">
        <v>25</v>
      </c>
      <c r="L1190" t="s">
        <v>15</v>
      </c>
    </row>
    <row r="1191" spans="1:12" x14ac:dyDescent="0.3">
      <c r="A1191">
        <v>2750</v>
      </c>
      <c r="B1191" t="s">
        <v>12</v>
      </c>
      <c r="C1191">
        <v>73</v>
      </c>
      <c r="D1191" t="s">
        <v>16</v>
      </c>
      <c r="E1191" t="s">
        <v>16</v>
      </c>
      <c r="F1191" t="s">
        <v>16</v>
      </c>
      <c r="G1191" t="s">
        <v>18</v>
      </c>
      <c r="H1191" t="s">
        <v>23</v>
      </c>
      <c r="I1191">
        <v>230.68</v>
      </c>
      <c r="J1191">
        <v>37.700000000000003</v>
      </c>
      <c r="K1191" t="s">
        <v>27</v>
      </c>
      <c r="L1191" t="s">
        <v>15</v>
      </c>
    </row>
    <row r="1192" spans="1:12" x14ac:dyDescent="0.3">
      <c r="A1192">
        <v>47585</v>
      </c>
      <c r="B1192" t="s">
        <v>13</v>
      </c>
      <c r="C1192">
        <v>31</v>
      </c>
      <c r="D1192" t="s">
        <v>15</v>
      </c>
      <c r="E1192" t="s">
        <v>15</v>
      </c>
      <c r="F1192" t="s">
        <v>15</v>
      </c>
      <c r="G1192" t="s">
        <v>18</v>
      </c>
      <c r="H1192" t="s">
        <v>22</v>
      </c>
      <c r="I1192">
        <v>62.68</v>
      </c>
      <c r="J1192">
        <v>35.799999999999997</v>
      </c>
      <c r="K1192" t="s">
        <v>25</v>
      </c>
      <c r="L1192" t="s">
        <v>15</v>
      </c>
    </row>
    <row r="1193" spans="1:12" x14ac:dyDescent="0.3">
      <c r="A1193">
        <v>37404</v>
      </c>
      <c r="B1193" t="s">
        <v>12</v>
      </c>
      <c r="C1193">
        <v>42</v>
      </c>
      <c r="D1193" t="s">
        <v>15</v>
      </c>
      <c r="E1193" t="s">
        <v>15</v>
      </c>
      <c r="F1193" t="s">
        <v>16</v>
      </c>
      <c r="G1193" t="s">
        <v>17</v>
      </c>
      <c r="H1193" t="s">
        <v>22</v>
      </c>
      <c r="I1193">
        <v>55.22</v>
      </c>
      <c r="J1193">
        <v>27</v>
      </c>
      <c r="K1193" t="s">
        <v>25</v>
      </c>
      <c r="L1193" t="s">
        <v>15</v>
      </c>
    </row>
    <row r="1194" spans="1:12" x14ac:dyDescent="0.3">
      <c r="A1194">
        <v>39518</v>
      </c>
      <c r="B1194" t="s">
        <v>13</v>
      </c>
      <c r="C1194">
        <v>20</v>
      </c>
      <c r="D1194" t="s">
        <v>15</v>
      </c>
      <c r="E1194" t="s">
        <v>15</v>
      </c>
      <c r="F1194" t="s">
        <v>15</v>
      </c>
      <c r="G1194" t="s">
        <v>17</v>
      </c>
      <c r="H1194" t="s">
        <v>23</v>
      </c>
      <c r="I1194">
        <v>78.94</v>
      </c>
      <c r="J1194">
        <v>20.7</v>
      </c>
      <c r="K1194" t="s">
        <v>25</v>
      </c>
      <c r="L1194" t="s">
        <v>15</v>
      </c>
    </row>
    <row r="1195" spans="1:12" x14ac:dyDescent="0.3">
      <c r="A1195">
        <v>70678</v>
      </c>
      <c r="B1195" t="s">
        <v>13</v>
      </c>
      <c r="C1195">
        <v>55</v>
      </c>
      <c r="D1195" t="s">
        <v>15</v>
      </c>
      <c r="E1195" t="s">
        <v>16</v>
      </c>
      <c r="F1195" t="s">
        <v>15</v>
      </c>
      <c r="G1195" t="s">
        <v>17</v>
      </c>
      <c r="H1195" t="s">
        <v>23</v>
      </c>
      <c r="I1195">
        <v>109.69</v>
      </c>
      <c r="J1195">
        <v>22.2</v>
      </c>
      <c r="K1195" t="s">
        <v>26</v>
      </c>
      <c r="L1195" t="s">
        <v>15</v>
      </c>
    </row>
    <row r="1196" spans="1:12" x14ac:dyDescent="0.3">
      <c r="A1196">
        <v>542</v>
      </c>
      <c r="B1196" t="s">
        <v>13</v>
      </c>
      <c r="C1196">
        <v>3</v>
      </c>
      <c r="D1196" t="s">
        <v>15</v>
      </c>
      <c r="E1196" t="s">
        <v>15</v>
      </c>
      <c r="F1196" t="s">
        <v>15</v>
      </c>
      <c r="G1196" t="s">
        <v>20</v>
      </c>
      <c r="H1196" t="s">
        <v>22</v>
      </c>
      <c r="I1196">
        <v>79.63</v>
      </c>
      <c r="K1196" t="s">
        <v>27</v>
      </c>
      <c r="L1196" t="s">
        <v>15</v>
      </c>
    </row>
    <row r="1197" spans="1:12" x14ac:dyDescent="0.3">
      <c r="A1197">
        <v>38649</v>
      </c>
      <c r="B1197" t="s">
        <v>13</v>
      </c>
      <c r="C1197">
        <v>23</v>
      </c>
      <c r="D1197" t="s">
        <v>15</v>
      </c>
      <c r="E1197" t="s">
        <v>15</v>
      </c>
      <c r="F1197" t="s">
        <v>15</v>
      </c>
      <c r="G1197" t="s">
        <v>17</v>
      </c>
      <c r="H1197" t="s">
        <v>23</v>
      </c>
      <c r="I1197">
        <v>79.33</v>
      </c>
      <c r="J1197">
        <v>41.5</v>
      </c>
      <c r="K1197" t="s">
        <v>25</v>
      </c>
      <c r="L1197" t="s">
        <v>15</v>
      </c>
    </row>
    <row r="1198" spans="1:12" x14ac:dyDescent="0.3">
      <c r="A1198">
        <v>53266</v>
      </c>
      <c r="B1198" t="s">
        <v>13</v>
      </c>
      <c r="C1198">
        <v>33</v>
      </c>
      <c r="D1198" t="s">
        <v>15</v>
      </c>
      <c r="E1198" t="s">
        <v>15</v>
      </c>
      <c r="F1198" t="s">
        <v>16</v>
      </c>
      <c r="G1198" t="s">
        <v>17</v>
      </c>
      <c r="H1198" t="s">
        <v>22</v>
      </c>
      <c r="I1198">
        <v>79.91</v>
      </c>
      <c r="J1198">
        <v>33.5</v>
      </c>
      <c r="K1198" t="s">
        <v>25</v>
      </c>
      <c r="L1198" t="s">
        <v>15</v>
      </c>
    </row>
    <row r="1199" spans="1:12" x14ac:dyDescent="0.3">
      <c r="A1199">
        <v>26031</v>
      </c>
      <c r="B1199" t="s">
        <v>13</v>
      </c>
      <c r="C1199">
        <v>14</v>
      </c>
      <c r="D1199" t="s">
        <v>15</v>
      </c>
      <c r="E1199" t="s">
        <v>15</v>
      </c>
      <c r="F1199" t="s">
        <v>15</v>
      </c>
      <c r="G1199" t="s">
        <v>17</v>
      </c>
      <c r="H1199" t="s">
        <v>23</v>
      </c>
      <c r="I1199">
        <v>84.46</v>
      </c>
      <c r="J1199">
        <v>21.8</v>
      </c>
      <c r="K1199" t="s">
        <v>27</v>
      </c>
      <c r="L1199" t="s">
        <v>15</v>
      </c>
    </row>
    <row r="1200" spans="1:12" x14ac:dyDescent="0.3">
      <c r="A1200">
        <v>1191</v>
      </c>
      <c r="B1200" t="s">
        <v>13</v>
      </c>
      <c r="C1200">
        <v>79</v>
      </c>
      <c r="D1200" t="s">
        <v>15</v>
      </c>
      <c r="E1200" t="s">
        <v>16</v>
      </c>
      <c r="F1200" t="s">
        <v>16</v>
      </c>
      <c r="G1200" t="s">
        <v>17</v>
      </c>
      <c r="H1200" t="s">
        <v>22</v>
      </c>
      <c r="I1200">
        <v>68.400000000000006</v>
      </c>
      <c r="J1200">
        <v>22.1</v>
      </c>
      <c r="K1200" t="s">
        <v>24</v>
      </c>
      <c r="L1200" t="s">
        <v>15</v>
      </c>
    </row>
    <row r="1201" spans="1:12" x14ac:dyDescent="0.3">
      <c r="A1201">
        <v>36820</v>
      </c>
      <c r="B1201" t="s">
        <v>12</v>
      </c>
      <c r="C1201">
        <v>64</v>
      </c>
      <c r="D1201" t="s">
        <v>16</v>
      </c>
      <c r="E1201" t="s">
        <v>15</v>
      </c>
      <c r="F1201" t="s">
        <v>16</v>
      </c>
      <c r="G1201" t="s">
        <v>17</v>
      </c>
      <c r="H1201" t="s">
        <v>23</v>
      </c>
      <c r="I1201">
        <v>78.430000000000007</v>
      </c>
      <c r="J1201">
        <v>30.2</v>
      </c>
      <c r="K1201" t="s">
        <v>26</v>
      </c>
      <c r="L1201" t="s">
        <v>15</v>
      </c>
    </row>
    <row r="1202" spans="1:12" x14ac:dyDescent="0.3">
      <c r="A1202">
        <v>62783</v>
      </c>
      <c r="B1202" t="s">
        <v>13</v>
      </c>
      <c r="C1202">
        <v>76</v>
      </c>
      <c r="D1202" t="s">
        <v>15</v>
      </c>
      <c r="E1202" t="s">
        <v>15</v>
      </c>
      <c r="F1202" t="s">
        <v>16</v>
      </c>
      <c r="G1202" t="s">
        <v>17</v>
      </c>
      <c r="H1202" t="s">
        <v>22</v>
      </c>
      <c r="I1202">
        <v>198.02</v>
      </c>
      <c r="J1202">
        <v>38.700000000000003</v>
      </c>
      <c r="K1202" t="s">
        <v>27</v>
      </c>
      <c r="L1202" t="s">
        <v>15</v>
      </c>
    </row>
    <row r="1203" spans="1:12" x14ac:dyDescent="0.3">
      <c r="A1203">
        <v>10133</v>
      </c>
      <c r="B1203" t="s">
        <v>12</v>
      </c>
      <c r="C1203">
        <v>46</v>
      </c>
      <c r="D1203" t="s">
        <v>15</v>
      </c>
      <c r="E1203" t="s">
        <v>15</v>
      </c>
      <c r="F1203" t="s">
        <v>16</v>
      </c>
      <c r="G1203" t="s">
        <v>17</v>
      </c>
      <c r="H1203" t="s">
        <v>22</v>
      </c>
      <c r="I1203">
        <v>85.35</v>
      </c>
      <c r="J1203">
        <v>32.1</v>
      </c>
      <c r="K1203" t="s">
        <v>26</v>
      </c>
      <c r="L1203" t="s">
        <v>15</v>
      </c>
    </row>
    <row r="1204" spans="1:12" x14ac:dyDescent="0.3">
      <c r="A1204">
        <v>19778</v>
      </c>
      <c r="B1204" t="s">
        <v>12</v>
      </c>
      <c r="C1204">
        <v>80</v>
      </c>
      <c r="D1204" t="s">
        <v>15</v>
      </c>
      <c r="E1204" t="s">
        <v>15</v>
      </c>
      <c r="F1204" t="s">
        <v>15</v>
      </c>
      <c r="G1204" t="s">
        <v>18</v>
      </c>
      <c r="H1204" t="s">
        <v>23</v>
      </c>
      <c r="I1204">
        <v>204.17</v>
      </c>
      <c r="J1204">
        <v>41.3</v>
      </c>
      <c r="K1204" t="s">
        <v>24</v>
      </c>
      <c r="L1204" t="s">
        <v>15</v>
      </c>
    </row>
    <row r="1205" spans="1:12" x14ac:dyDescent="0.3">
      <c r="A1205">
        <v>38255</v>
      </c>
      <c r="B1205" t="s">
        <v>12</v>
      </c>
      <c r="C1205">
        <v>21</v>
      </c>
      <c r="D1205" t="s">
        <v>15</v>
      </c>
      <c r="E1205" t="s">
        <v>15</v>
      </c>
      <c r="F1205" t="s">
        <v>15</v>
      </c>
      <c r="G1205" t="s">
        <v>17</v>
      </c>
      <c r="H1205" t="s">
        <v>22</v>
      </c>
      <c r="I1205">
        <v>82.71</v>
      </c>
      <c r="J1205">
        <v>20.100000000000001</v>
      </c>
      <c r="K1205" t="s">
        <v>24</v>
      </c>
      <c r="L1205" t="s">
        <v>15</v>
      </c>
    </row>
    <row r="1206" spans="1:12" x14ac:dyDescent="0.3">
      <c r="A1206">
        <v>41565</v>
      </c>
      <c r="B1206" t="s">
        <v>13</v>
      </c>
      <c r="C1206">
        <v>33</v>
      </c>
      <c r="D1206" t="s">
        <v>15</v>
      </c>
      <c r="E1206" t="s">
        <v>15</v>
      </c>
      <c r="F1206" t="s">
        <v>15</v>
      </c>
      <c r="G1206" t="s">
        <v>17</v>
      </c>
      <c r="H1206" t="s">
        <v>22</v>
      </c>
      <c r="I1206">
        <v>121.19</v>
      </c>
      <c r="J1206">
        <v>22.1</v>
      </c>
      <c r="K1206" t="s">
        <v>25</v>
      </c>
      <c r="L1206" t="s">
        <v>15</v>
      </c>
    </row>
    <row r="1207" spans="1:12" x14ac:dyDescent="0.3">
      <c r="A1207">
        <v>39423</v>
      </c>
      <c r="B1207" t="s">
        <v>13</v>
      </c>
      <c r="C1207">
        <v>32</v>
      </c>
      <c r="D1207" t="s">
        <v>15</v>
      </c>
      <c r="E1207" t="s">
        <v>15</v>
      </c>
      <c r="F1207" t="s">
        <v>16</v>
      </c>
      <c r="G1207" t="s">
        <v>17</v>
      </c>
      <c r="H1207" t="s">
        <v>23</v>
      </c>
      <c r="I1207">
        <v>106.02</v>
      </c>
      <c r="J1207">
        <v>24.9</v>
      </c>
      <c r="K1207" t="s">
        <v>26</v>
      </c>
      <c r="L1207" t="s">
        <v>15</v>
      </c>
    </row>
    <row r="1208" spans="1:12" x14ac:dyDescent="0.3">
      <c r="A1208">
        <v>68908</v>
      </c>
      <c r="B1208" t="s">
        <v>13</v>
      </c>
      <c r="C1208">
        <v>0.72</v>
      </c>
      <c r="D1208" t="s">
        <v>15</v>
      </c>
      <c r="E1208" t="s">
        <v>15</v>
      </c>
      <c r="F1208" t="s">
        <v>15</v>
      </c>
      <c r="G1208" t="s">
        <v>20</v>
      </c>
      <c r="H1208" t="s">
        <v>22</v>
      </c>
      <c r="I1208">
        <v>66.36</v>
      </c>
      <c r="J1208">
        <v>23</v>
      </c>
      <c r="K1208" t="s">
        <v>27</v>
      </c>
      <c r="L1208" t="s">
        <v>15</v>
      </c>
    </row>
    <row r="1209" spans="1:12" x14ac:dyDescent="0.3">
      <c r="A1209">
        <v>22440</v>
      </c>
      <c r="B1209" t="s">
        <v>13</v>
      </c>
      <c r="C1209">
        <v>49</v>
      </c>
      <c r="D1209" t="s">
        <v>15</v>
      </c>
      <c r="E1209" t="s">
        <v>15</v>
      </c>
      <c r="F1209" t="s">
        <v>16</v>
      </c>
      <c r="G1209" t="s">
        <v>17</v>
      </c>
      <c r="H1209" t="s">
        <v>22</v>
      </c>
      <c r="I1209">
        <v>267.76</v>
      </c>
      <c r="J1209">
        <v>29.3</v>
      </c>
      <c r="K1209" t="s">
        <v>24</v>
      </c>
      <c r="L1209" t="s">
        <v>15</v>
      </c>
    </row>
    <row r="1210" spans="1:12" x14ac:dyDescent="0.3">
      <c r="A1210">
        <v>28418</v>
      </c>
      <c r="B1210" t="s">
        <v>13</v>
      </c>
      <c r="C1210">
        <v>41</v>
      </c>
      <c r="D1210" t="s">
        <v>15</v>
      </c>
      <c r="E1210" t="s">
        <v>15</v>
      </c>
      <c r="F1210" t="s">
        <v>16</v>
      </c>
      <c r="G1210" t="s">
        <v>17</v>
      </c>
      <c r="H1210" t="s">
        <v>23</v>
      </c>
      <c r="I1210">
        <v>107.18</v>
      </c>
      <c r="J1210">
        <v>22.8</v>
      </c>
      <c r="K1210" t="s">
        <v>25</v>
      </c>
      <c r="L1210" t="s">
        <v>15</v>
      </c>
    </row>
    <row r="1211" spans="1:12" x14ac:dyDescent="0.3">
      <c r="A1211">
        <v>22566</v>
      </c>
      <c r="B1211" t="s">
        <v>12</v>
      </c>
      <c r="C1211">
        <v>37</v>
      </c>
      <c r="D1211" t="s">
        <v>15</v>
      </c>
      <c r="E1211" t="s">
        <v>15</v>
      </c>
      <c r="F1211" t="s">
        <v>16</v>
      </c>
      <c r="G1211" t="s">
        <v>17</v>
      </c>
      <c r="H1211" t="s">
        <v>23</v>
      </c>
      <c r="I1211">
        <v>74.58</v>
      </c>
      <c r="J1211">
        <v>31.6</v>
      </c>
      <c r="K1211" t="s">
        <v>27</v>
      </c>
      <c r="L1211" t="s">
        <v>15</v>
      </c>
    </row>
    <row r="1212" spans="1:12" x14ac:dyDescent="0.3">
      <c r="A1212">
        <v>7055</v>
      </c>
      <c r="B1212" t="s">
        <v>13</v>
      </c>
      <c r="C1212">
        <v>58</v>
      </c>
      <c r="D1212" t="s">
        <v>15</v>
      </c>
      <c r="E1212" t="s">
        <v>15</v>
      </c>
      <c r="F1212" t="s">
        <v>16</v>
      </c>
      <c r="G1212" t="s">
        <v>17</v>
      </c>
      <c r="H1212" t="s">
        <v>22</v>
      </c>
      <c r="I1212">
        <v>80.92</v>
      </c>
      <c r="J1212">
        <v>19.399999999999999</v>
      </c>
      <c r="K1212" t="s">
        <v>27</v>
      </c>
      <c r="L1212" t="s">
        <v>15</v>
      </c>
    </row>
    <row r="1213" spans="1:12" x14ac:dyDescent="0.3">
      <c r="A1213">
        <v>69177</v>
      </c>
      <c r="B1213" t="s">
        <v>13</v>
      </c>
      <c r="C1213">
        <v>79</v>
      </c>
      <c r="D1213" t="s">
        <v>15</v>
      </c>
      <c r="E1213" t="s">
        <v>15</v>
      </c>
      <c r="F1213" t="s">
        <v>16</v>
      </c>
      <c r="G1213" t="s">
        <v>17</v>
      </c>
      <c r="H1213" t="s">
        <v>23</v>
      </c>
      <c r="I1213">
        <v>90.77</v>
      </c>
      <c r="J1213">
        <v>22.5</v>
      </c>
      <c r="K1213" t="s">
        <v>25</v>
      </c>
      <c r="L1213" t="s">
        <v>15</v>
      </c>
    </row>
    <row r="1214" spans="1:12" x14ac:dyDescent="0.3">
      <c r="A1214">
        <v>33162</v>
      </c>
      <c r="B1214" t="s">
        <v>13</v>
      </c>
      <c r="C1214">
        <v>23</v>
      </c>
      <c r="D1214" t="s">
        <v>15</v>
      </c>
      <c r="E1214" t="s">
        <v>15</v>
      </c>
      <c r="F1214" t="s">
        <v>15</v>
      </c>
      <c r="G1214" t="s">
        <v>17</v>
      </c>
      <c r="H1214" t="s">
        <v>23</v>
      </c>
      <c r="I1214">
        <v>90.84</v>
      </c>
      <c r="J1214">
        <v>31.6</v>
      </c>
      <c r="K1214" t="s">
        <v>25</v>
      </c>
      <c r="L1214" t="s">
        <v>15</v>
      </c>
    </row>
    <row r="1215" spans="1:12" x14ac:dyDescent="0.3">
      <c r="A1215">
        <v>44764</v>
      </c>
      <c r="B1215" t="s">
        <v>13</v>
      </c>
      <c r="C1215">
        <v>78</v>
      </c>
      <c r="D1215" t="s">
        <v>16</v>
      </c>
      <c r="E1215" t="s">
        <v>15</v>
      </c>
      <c r="F1215" t="s">
        <v>16</v>
      </c>
      <c r="G1215" t="s">
        <v>18</v>
      </c>
      <c r="H1215" t="s">
        <v>23</v>
      </c>
      <c r="I1215">
        <v>59.2</v>
      </c>
      <c r="J1215">
        <v>29.1</v>
      </c>
      <c r="K1215" t="s">
        <v>27</v>
      </c>
      <c r="L1215" t="s">
        <v>15</v>
      </c>
    </row>
    <row r="1216" spans="1:12" x14ac:dyDescent="0.3">
      <c r="A1216">
        <v>32157</v>
      </c>
      <c r="B1216" t="s">
        <v>12</v>
      </c>
      <c r="C1216">
        <v>51</v>
      </c>
      <c r="D1216" t="s">
        <v>15</v>
      </c>
      <c r="E1216" t="s">
        <v>15</v>
      </c>
      <c r="F1216" t="s">
        <v>16</v>
      </c>
      <c r="G1216" t="s">
        <v>17</v>
      </c>
      <c r="H1216" t="s">
        <v>23</v>
      </c>
      <c r="I1216">
        <v>217.71</v>
      </c>
      <c r="K1216" t="s">
        <v>24</v>
      </c>
      <c r="L1216" t="s">
        <v>15</v>
      </c>
    </row>
    <row r="1217" spans="1:12" x14ac:dyDescent="0.3">
      <c r="A1217">
        <v>61983</v>
      </c>
      <c r="B1217" t="s">
        <v>13</v>
      </c>
      <c r="C1217">
        <v>41</v>
      </c>
      <c r="D1217" t="s">
        <v>15</v>
      </c>
      <c r="E1217" t="s">
        <v>15</v>
      </c>
      <c r="F1217" t="s">
        <v>16</v>
      </c>
      <c r="G1217" t="s">
        <v>17</v>
      </c>
      <c r="H1217" t="s">
        <v>22</v>
      </c>
      <c r="I1217">
        <v>133.76</v>
      </c>
      <c r="J1217">
        <v>43.4</v>
      </c>
      <c r="K1217" t="s">
        <v>26</v>
      </c>
      <c r="L1217" t="s">
        <v>15</v>
      </c>
    </row>
    <row r="1218" spans="1:12" x14ac:dyDescent="0.3">
      <c r="A1218">
        <v>72268</v>
      </c>
      <c r="B1218" t="s">
        <v>12</v>
      </c>
      <c r="C1218">
        <v>68</v>
      </c>
      <c r="D1218" t="s">
        <v>15</v>
      </c>
      <c r="E1218" t="s">
        <v>15</v>
      </c>
      <c r="F1218" t="s">
        <v>16</v>
      </c>
      <c r="G1218" t="s">
        <v>18</v>
      </c>
      <c r="H1218" t="s">
        <v>22</v>
      </c>
      <c r="I1218">
        <v>61.36</v>
      </c>
      <c r="J1218">
        <v>26.5</v>
      </c>
      <c r="K1218" t="s">
        <v>24</v>
      </c>
      <c r="L1218" t="s">
        <v>15</v>
      </c>
    </row>
    <row r="1219" spans="1:12" x14ac:dyDescent="0.3">
      <c r="A1219">
        <v>39467</v>
      </c>
      <c r="B1219" t="s">
        <v>13</v>
      </c>
      <c r="C1219">
        <v>30</v>
      </c>
      <c r="D1219" t="s">
        <v>15</v>
      </c>
      <c r="E1219" t="s">
        <v>15</v>
      </c>
      <c r="F1219" t="s">
        <v>15</v>
      </c>
      <c r="G1219" t="s">
        <v>17</v>
      </c>
      <c r="H1219" t="s">
        <v>23</v>
      </c>
      <c r="I1219">
        <v>118.62</v>
      </c>
      <c r="J1219">
        <v>29.7</v>
      </c>
      <c r="K1219" t="s">
        <v>27</v>
      </c>
      <c r="L1219" t="s">
        <v>15</v>
      </c>
    </row>
    <row r="1220" spans="1:12" x14ac:dyDescent="0.3">
      <c r="A1220">
        <v>20282</v>
      </c>
      <c r="B1220" t="s">
        <v>12</v>
      </c>
      <c r="C1220">
        <v>1.88</v>
      </c>
      <c r="D1220" t="s">
        <v>15</v>
      </c>
      <c r="E1220" t="s">
        <v>15</v>
      </c>
      <c r="F1220" t="s">
        <v>15</v>
      </c>
      <c r="G1220" t="s">
        <v>20</v>
      </c>
      <c r="H1220" t="s">
        <v>23</v>
      </c>
      <c r="I1220">
        <v>77.91</v>
      </c>
      <c r="J1220">
        <v>21.8</v>
      </c>
      <c r="K1220" t="s">
        <v>27</v>
      </c>
      <c r="L1220" t="s">
        <v>15</v>
      </c>
    </row>
    <row r="1221" spans="1:12" x14ac:dyDescent="0.3">
      <c r="A1221">
        <v>51159</v>
      </c>
      <c r="B1221" t="s">
        <v>13</v>
      </c>
      <c r="C1221">
        <v>32</v>
      </c>
      <c r="D1221" t="s">
        <v>15</v>
      </c>
      <c r="E1221" t="s">
        <v>15</v>
      </c>
      <c r="F1221" t="s">
        <v>15</v>
      </c>
      <c r="G1221" t="s">
        <v>19</v>
      </c>
      <c r="H1221" t="s">
        <v>22</v>
      </c>
      <c r="I1221">
        <v>68.98</v>
      </c>
      <c r="J1221">
        <v>23.4</v>
      </c>
      <c r="K1221" t="s">
        <v>24</v>
      </c>
      <c r="L1221" t="s">
        <v>15</v>
      </c>
    </row>
    <row r="1222" spans="1:12" x14ac:dyDescent="0.3">
      <c r="A1222">
        <v>7167</v>
      </c>
      <c r="B1222" t="s">
        <v>13</v>
      </c>
      <c r="C1222">
        <v>20</v>
      </c>
      <c r="D1222" t="s">
        <v>15</v>
      </c>
      <c r="E1222" t="s">
        <v>15</v>
      </c>
      <c r="F1222" t="s">
        <v>15</v>
      </c>
      <c r="G1222" t="s">
        <v>17</v>
      </c>
      <c r="H1222" t="s">
        <v>23</v>
      </c>
      <c r="I1222">
        <v>112.08</v>
      </c>
      <c r="J1222">
        <v>23</v>
      </c>
      <c r="K1222" t="s">
        <v>25</v>
      </c>
      <c r="L1222" t="s">
        <v>15</v>
      </c>
    </row>
    <row r="1223" spans="1:12" x14ac:dyDescent="0.3">
      <c r="A1223">
        <v>59147</v>
      </c>
      <c r="B1223" t="s">
        <v>12</v>
      </c>
      <c r="C1223">
        <v>20</v>
      </c>
      <c r="D1223" t="s">
        <v>15</v>
      </c>
      <c r="E1223" t="s">
        <v>15</v>
      </c>
      <c r="F1223" t="s">
        <v>15</v>
      </c>
      <c r="G1223" t="s">
        <v>17</v>
      </c>
      <c r="H1223" t="s">
        <v>22</v>
      </c>
      <c r="I1223">
        <v>96.2</v>
      </c>
      <c r="J1223">
        <v>21.5</v>
      </c>
      <c r="K1223" t="s">
        <v>25</v>
      </c>
      <c r="L1223" t="s">
        <v>15</v>
      </c>
    </row>
    <row r="1224" spans="1:12" x14ac:dyDescent="0.3">
      <c r="A1224">
        <v>18192</v>
      </c>
      <c r="B1224" t="s">
        <v>12</v>
      </c>
      <c r="C1224">
        <v>10</v>
      </c>
      <c r="D1224" t="s">
        <v>15</v>
      </c>
      <c r="E1224" t="s">
        <v>15</v>
      </c>
      <c r="F1224" t="s">
        <v>15</v>
      </c>
      <c r="G1224" t="s">
        <v>20</v>
      </c>
      <c r="H1224" t="s">
        <v>23</v>
      </c>
      <c r="I1224">
        <v>93.11</v>
      </c>
      <c r="J1224">
        <v>14.6</v>
      </c>
      <c r="K1224" t="s">
        <v>27</v>
      </c>
      <c r="L1224" t="s">
        <v>15</v>
      </c>
    </row>
    <row r="1225" spans="1:12" x14ac:dyDescent="0.3">
      <c r="A1225">
        <v>14049</v>
      </c>
      <c r="B1225" t="s">
        <v>12</v>
      </c>
      <c r="C1225">
        <v>8</v>
      </c>
      <c r="D1225" t="s">
        <v>15</v>
      </c>
      <c r="E1225" t="s">
        <v>15</v>
      </c>
      <c r="F1225" t="s">
        <v>15</v>
      </c>
      <c r="G1225" t="s">
        <v>20</v>
      </c>
      <c r="H1225" t="s">
        <v>23</v>
      </c>
      <c r="I1225">
        <v>115.54</v>
      </c>
      <c r="J1225">
        <v>28.5</v>
      </c>
      <c r="K1225" t="s">
        <v>27</v>
      </c>
      <c r="L1225" t="s">
        <v>15</v>
      </c>
    </row>
    <row r="1226" spans="1:12" x14ac:dyDescent="0.3">
      <c r="A1226">
        <v>35927</v>
      </c>
      <c r="B1226" t="s">
        <v>12</v>
      </c>
      <c r="C1226">
        <v>65</v>
      </c>
      <c r="D1226" t="s">
        <v>15</v>
      </c>
      <c r="E1226" t="s">
        <v>15</v>
      </c>
      <c r="F1226" t="s">
        <v>16</v>
      </c>
      <c r="G1226" t="s">
        <v>17</v>
      </c>
      <c r="H1226" t="s">
        <v>22</v>
      </c>
      <c r="I1226">
        <v>88.57</v>
      </c>
      <c r="J1226">
        <v>29</v>
      </c>
      <c r="K1226" t="s">
        <v>26</v>
      </c>
      <c r="L1226" t="s">
        <v>15</v>
      </c>
    </row>
    <row r="1227" spans="1:12" x14ac:dyDescent="0.3">
      <c r="A1227">
        <v>28150</v>
      </c>
      <c r="B1227" t="s">
        <v>13</v>
      </c>
      <c r="C1227">
        <v>65</v>
      </c>
      <c r="D1227" t="s">
        <v>16</v>
      </c>
      <c r="E1227" t="s">
        <v>15</v>
      </c>
      <c r="F1227" t="s">
        <v>16</v>
      </c>
      <c r="G1227" t="s">
        <v>17</v>
      </c>
      <c r="H1227" t="s">
        <v>22</v>
      </c>
      <c r="I1227">
        <v>180.76</v>
      </c>
      <c r="J1227">
        <v>26.9</v>
      </c>
      <c r="K1227" t="s">
        <v>27</v>
      </c>
      <c r="L1227" t="s">
        <v>15</v>
      </c>
    </row>
    <row r="1228" spans="1:12" x14ac:dyDescent="0.3">
      <c r="A1228">
        <v>8727</v>
      </c>
      <c r="B1228" t="s">
        <v>12</v>
      </c>
      <c r="C1228">
        <v>46</v>
      </c>
      <c r="D1228" t="s">
        <v>15</v>
      </c>
      <c r="E1228" t="s">
        <v>15</v>
      </c>
      <c r="F1228" t="s">
        <v>16</v>
      </c>
      <c r="G1228" t="s">
        <v>18</v>
      </c>
      <c r="H1228" t="s">
        <v>22</v>
      </c>
      <c r="I1228">
        <v>83.12</v>
      </c>
      <c r="J1228">
        <v>29.6</v>
      </c>
      <c r="K1228" t="s">
        <v>24</v>
      </c>
      <c r="L1228" t="s">
        <v>15</v>
      </c>
    </row>
    <row r="1229" spans="1:12" x14ac:dyDescent="0.3">
      <c r="A1229">
        <v>7516</v>
      </c>
      <c r="B1229" t="s">
        <v>12</v>
      </c>
      <c r="C1229">
        <v>53</v>
      </c>
      <c r="D1229" t="s">
        <v>15</v>
      </c>
      <c r="E1229" t="s">
        <v>15</v>
      </c>
      <c r="F1229" t="s">
        <v>16</v>
      </c>
      <c r="G1229" t="s">
        <v>18</v>
      </c>
      <c r="H1229" t="s">
        <v>22</v>
      </c>
      <c r="I1229">
        <v>94.89</v>
      </c>
      <c r="J1229">
        <v>28.5</v>
      </c>
      <c r="K1229" t="s">
        <v>25</v>
      </c>
      <c r="L1229" t="s">
        <v>15</v>
      </c>
    </row>
    <row r="1230" spans="1:12" x14ac:dyDescent="0.3">
      <c r="A1230">
        <v>6419</v>
      </c>
      <c r="B1230" t="s">
        <v>13</v>
      </c>
      <c r="C1230">
        <v>79</v>
      </c>
      <c r="D1230" t="s">
        <v>15</v>
      </c>
      <c r="E1230" t="s">
        <v>15</v>
      </c>
      <c r="F1230" t="s">
        <v>15</v>
      </c>
      <c r="G1230" t="s">
        <v>17</v>
      </c>
      <c r="H1230" t="s">
        <v>23</v>
      </c>
      <c r="I1230">
        <v>239.52</v>
      </c>
      <c r="J1230">
        <v>25.5</v>
      </c>
      <c r="K1230" t="s">
        <v>25</v>
      </c>
      <c r="L1230" t="s">
        <v>15</v>
      </c>
    </row>
    <row r="1231" spans="1:12" x14ac:dyDescent="0.3">
      <c r="A1231">
        <v>20425</v>
      </c>
      <c r="B1231" t="s">
        <v>12</v>
      </c>
      <c r="C1231">
        <v>43</v>
      </c>
      <c r="D1231" t="s">
        <v>15</v>
      </c>
      <c r="E1231" t="s">
        <v>15</v>
      </c>
      <c r="F1231" t="s">
        <v>16</v>
      </c>
      <c r="G1231" t="s">
        <v>18</v>
      </c>
      <c r="H1231" t="s">
        <v>23</v>
      </c>
      <c r="I1231">
        <v>99.15</v>
      </c>
      <c r="J1231">
        <v>30.5</v>
      </c>
      <c r="K1231" t="s">
        <v>24</v>
      </c>
      <c r="L1231" t="s">
        <v>15</v>
      </c>
    </row>
    <row r="1232" spans="1:12" x14ac:dyDescent="0.3">
      <c r="A1232">
        <v>59878</v>
      </c>
      <c r="B1232" t="s">
        <v>13</v>
      </c>
      <c r="C1232">
        <v>56</v>
      </c>
      <c r="D1232" t="s">
        <v>15</v>
      </c>
      <c r="E1232" t="s">
        <v>15</v>
      </c>
      <c r="F1232" t="s">
        <v>16</v>
      </c>
      <c r="G1232" t="s">
        <v>18</v>
      </c>
      <c r="H1232" t="s">
        <v>22</v>
      </c>
      <c r="I1232">
        <v>124.16</v>
      </c>
      <c r="J1232">
        <v>23</v>
      </c>
      <c r="K1232" t="s">
        <v>25</v>
      </c>
      <c r="L1232" t="s">
        <v>15</v>
      </c>
    </row>
    <row r="1233" spans="1:12" x14ac:dyDescent="0.3">
      <c r="A1233">
        <v>69355</v>
      </c>
      <c r="B1233" t="s">
        <v>12</v>
      </c>
      <c r="C1233">
        <v>3</v>
      </c>
      <c r="D1233" t="s">
        <v>15</v>
      </c>
      <c r="E1233" t="s">
        <v>15</v>
      </c>
      <c r="F1233" t="s">
        <v>15</v>
      </c>
      <c r="G1233" t="s">
        <v>20</v>
      </c>
      <c r="H1233" t="s">
        <v>23</v>
      </c>
      <c r="I1233">
        <v>86.38</v>
      </c>
      <c r="J1233">
        <v>22.8</v>
      </c>
      <c r="K1233" t="s">
        <v>27</v>
      </c>
      <c r="L1233" t="s">
        <v>15</v>
      </c>
    </row>
    <row r="1234" spans="1:12" x14ac:dyDescent="0.3">
      <c r="A1234">
        <v>5858</v>
      </c>
      <c r="B1234" t="s">
        <v>12</v>
      </c>
      <c r="C1234">
        <v>32</v>
      </c>
      <c r="D1234" t="s">
        <v>15</v>
      </c>
      <c r="E1234" t="s">
        <v>15</v>
      </c>
      <c r="F1234" t="s">
        <v>15</v>
      </c>
      <c r="G1234" t="s">
        <v>17</v>
      </c>
      <c r="H1234" t="s">
        <v>23</v>
      </c>
      <c r="I1234">
        <v>93.68</v>
      </c>
      <c r="J1234">
        <v>31.4</v>
      </c>
      <c r="K1234" t="s">
        <v>25</v>
      </c>
      <c r="L1234" t="s">
        <v>15</v>
      </c>
    </row>
    <row r="1235" spans="1:12" x14ac:dyDescent="0.3">
      <c r="A1235">
        <v>39823</v>
      </c>
      <c r="B1235" t="s">
        <v>13</v>
      </c>
      <c r="C1235">
        <v>41</v>
      </c>
      <c r="D1235" t="s">
        <v>15</v>
      </c>
      <c r="E1235" t="s">
        <v>15</v>
      </c>
      <c r="F1235" t="s">
        <v>16</v>
      </c>
      <c r="G1235" t="s">
        <v>19</v>
      </c>
      <c r="H1235" t="s">
        <v>23</v>
      </c>
      <c r="I1235">
        <v>229.86</v>
      </c>
      <c r="J1235">
        <v>35.200000000000003</v>
      </c>
      <c r="K1235" t="s">
        <v>26</v>
      </c>
      <c r="L1235" t="s">
        <v>15</v>
      </c>
    </row>
    <row r="1236" spans="1:12" x14ac:dyDescent="0.3">
      <c r="A1236">
        <v>37053</v>
      </c>
      <c r="B1236" t="s">
        <v>12</v>
      </c>
      <c r="C1236">
        <v>53</v>
      </c>
      <c r="D1236" t="s">
        <v>15</v>
      </c>
      <c r="E1236" t="s">
        <v>15</v>
      </c>
      <c r="F1236" t="s">
        <v>16</v>
      </c>
      <c r="G1236" t="s">
        <v>19</v>
      </c>
      <c r="H1236" t="s">
        <v>23</v>
      </c>
      <c r="I1236">
        <v>78.73</v>
      </c>
      <c r="J1236">
        <v>23.3</v>
      </c>
      <c r="K1236" t="s">
        <v>25</v>
      </c>
      <c r="L1236" t="s">
        <v>15</v>
      </c>
    </row>
    <row r="1237" spans="1:12" x14ac:dyDescent="0.3">
      <c r="A1237">
        <v>2082</v>
      </c>
      <c r="B1237" t="s">
        <v>12</v>
      </c>
      <c r="C1237">
        <v>35</v>
      </c>
      <c r="D1237" t="s">
        <v>15</v>
      </c>
      <c r="E1237" t="s">
        <v>15</v>
      </c>
      <c r="F1237" t="s">
        <v>16</v>
      </c>
      <c r="G1237" t="s">
        <v>17</v>
      </c>
      <c r="H1237" t="s">
        <v>23</v>
      </c>
      <c r="I1237">
        <v>115.92</v>
      </c>
      <c r="K1237" t="s">
        <v>24</v>
      </c>
      <c r="L1237" t="s">
        <v>15</v>
      </c>
    </row>
    <row r="1238" spans="1:12" x14ac:dyDescent="0.3">
      <c r="A1238">
        <v>48073</v>
      </c>
      <c r="B1238" t="s">
        <v>12</v>
      </c>
      <c r="C1238">
        <v>67</v>
      </c>
      <c r="D1238" t="s">
        <v>15</v>
      </c>
      <c r="E1238" t="s">
        <v>15</v>
      </c>
      <c r="F1238" t="s">
        <v>16</v>
      </c>
      <c r="G1238" t="s">
        <v>19</v>
      </c>
      <c r="H1238" t="s">
        <v>23</v>
      </c>
      <c r="I1238">
        <v>93.71</v>
      </c>
      <c r="J1238">
        <v>31.2</v>
      </c>
      <c r="K1238" t="s">
        <v>24</v>
      </c>
      <c r="L1238" t="s">
        <v>15</v>
      </c>
    </row>
    <row r="1239" spans="1:12" x14ac:dyDescent="0.3">
      <c r="A1239">
        <v>16449</v>
      </c>
      <c r="B1239" t="s">
        <v>13</v>
      </c>
      <c r="C1239">
        <v>33</v>
      </c>
      <c r="D1239" t="s">
        <v>15</v>
      </c>
      <c r="E1239" t="s">
        <v>15</v>
      </c>
      <c r="F1239" t="s">
        <v>16</v>
      </c>
      <c r="G1239" t="s">
        <v>19</v>
      </c>
      <c r="H1239" t="s">
        <v>23</v>
      </c>
      <c r="I1239">
        <v>76.66</v>
      </c>
      <c r="J1239">
        <v>24.8</v>
      </c>
      <c r="K1239" t="s">
        <v>25</v>
      </c>
      <c r="L1239" t="s">
        <v>15</v>
      </c>
    </row>
    <row r="1240" spans="1:12" x14ac:dyDescent="0.3">
      <c r="A1240">
        <v>5447</v>
      </c>
      <c r="B1240" t="s">
        <v>13</v>
      </c>
      <c r="C1240">
        <v>21</v>
      </c>
      <c r="D1240" t="s">
        <v>15</v>
      </c>
      <c r="E1240" t="s">
        <v>15</v>
      </c>
      <c r="F1240" t="s">
        <v>15</v>
      </c>
      <c r="G1240" t="s">
        <v>17</v>
      </c>
      <c r="H1240" t="s">
        <v>23</v>
      </c>
      <c r="I1240">
        <v>112.38</v>
      </c>
      <c r="J1240">
        <v>25.8</v>
      </c>
      <c r="K1240" t="s">
        <v>27</v>
      </c>
      <c r="L1240" t="s">
        <v>15</v>
      </c>
    </row>
    <row r="1241" spans="1:12" x14ac:dyDescent="0.3">
      <c r="A1241">
        <v>27145</v>
      </c>
      <c r="B1241" t="s">
        <v>13</v>
      </c>
      <c r="C1241">
        <v>26</v>
      </c>
      <c r="D1241" t="s">
        <v>15</v>
      </c>
      <c r="E1241" t="s">
        <v>15</v>
      </c>
      <c r="F1241" t="s">
        <v>15</v>
      </c>
      <c r="G1241" t="s">
        <v>17</v>
      </c>
      <c r="H1241" t="s">
        <v>23</v>
      </c>
      <c r="I1241">
        <v>89.3</v>
      </c>
      <c r="J1241">
        <v>48.4</v>
      </c>
      <c r="K1241" t="s">
        <v>26</v>
      </c>
      <c r="L1241" t="s">
        <v>15</v>
      </c>
    </row>
    <row r="1242" spans="1:12" x14ac:dyDescent="0.3">
      <c r="A1242">
        <v>30328</v>
      </c>
      <c r="B1242" t="s">
        <v>13</v>
      </c>
      <c r="C1242">
        <v>69</v>
      </c>
      <c r="D1242" t="s">
        <v>16</v>
      </c>
      <c r="E1242" t="s">
        <v>15</v>
      </c>
      <c r="F1242" t="s">
        <v>16</v>
      </c>
      <c r="G1242" t="s">
        <v>19</v>
      </c>
      <c r="H1242" t="s">
        <v>23</v>
      </c>
      <c r="I1242">
        <v>103.44</v>
      </c>
      <c r="J1242">
        <v>43.1</v>
      </c>
      <c r="K1242" t="s">
        <v>24</v>
      </c>
      <c r="L1242" t="s">
        <v>15</v>
      </c>
    </row>
    <row r="1243" spans="1:12" x14ac:dyDescent="0.3">
      <c r="A1243">
        <v>739</v>
      </c>
      <c r="B1243" t="s">
        <v>13</v>
      </c>
      <c r="C1243">
        <v>73</v>
      </c>
      <c r="D1243" t="s">
        <v>15</v>
      </c>
      <c r="E1243" t="s">
        <v>15</v>
      </c>
      <c r="F1243" t="s">
        <v>16</v>
      </c>
      <c r="G1243" t="s">
        <v>18</v>
      </c>
      <c r="H1243" t="s">
        <v>23</v>
      </c>
      <c r="I1243">
        <v>79.69</v>
      </c>
      <c r="K1243" t="s">
        <v>24</v>
      </c>
      <c r="L1243" t="s">
        <v>15</v>
      </c>
    </row>
    <row r="1244" spans="1:12" x14ac:dyDescent="0.3">
      <c r="A1244">
        <v>44224</v>
      </c>
      <c r="B1244" t="s">
        <v>12</v>
      </c>
      <c r="C1244">
        <v>15</v>
      </c>
      <c r="D1244" t="s">
        <v>15</v>
      </c>
      <c r="E1244" t="s">
        <v>15</v>
      </c>
      <c r="F1244" t="s">
        <v>15</v>
      </c>
      <c r="G1244" t="s">
        <v>17</v>
      </c>
      <c r="H1244" t="s">
        <v>23</v>
      </c>
      <c r="I1244">
        <v>61.61</v>
      </c>
      <c r="J1244">
        <v>27.8</v>
      </c>
      <c r="K1244" t="s">
        <v>25</v>
      </c>
      <c r="L1244" t="s">
        <v>15</v>
      </c>
    </row>
    <row r="1245" spans="1:12" x14ac:dyDescent="0.3">
      <c r="A1245">
        <v>533</v>
      </c>
      <c r="B1245" t="s">
        <v>13</v>
      </c>
      <c r="C1245">
        <v>3</v>
      </c>
      <c r="D1245" t="s">
        <v>15</v>
      </c>
      <c r="E1245" t="s">
        <v>15</v>
      </c>
      <c r="F1245" t="s">
        <v>15</v>
      </c>
      <c r="G1245" t="s">
        <v>20</v>
      </c>
      <c r="H1245" t="s">
        <v>23</v>
      </c>
      <c r="I1245">
        <v>94.12</v>
      </c>
      <c r="J1245">
        <v>21.4</v>
      </c>
      <c r="K1245" t="s">
        <v>27</v>
      </c>
      <c r="L1245" t="s">
        <v>15</v>
      </c>
    </row>
    <row r="1246" spans="1:12" x14ac:dyDescent="0.3">
      <c r="A1246">
        <v>45554</v>
      </c>
      <c r="B1246" t="s">
        <v>13</v>
      </c>
      <c r="C1246">
        <v>1.24</v>
      </c>
      <c r="D1246" t="s">
        <v>15</v>
      </c>
      <c r="E1246" t="s">
        <v>15</v>
      </c>
      <c r="F1246" t="s">
        <v>15</v>
      </c>
      <c r="G1246" t="s">
        <v>20</v>
      </c>
      <c r="H1246" t="s">
        <v>22</v>
      </c>
      <c r="I1246">
        <v>62.4</v>
      </c>
      <c r="J1246">
        <v>22.1</v>
      </c>
      <c r="K1246" t="s">
        <v>27</v>
      </c>
      <c r="L1246" t="s">
        <v>15</v>
      </c>
    </row>
    <row r="1247" spans="1:12" x14ac:dyDescent="0.3">
      <c r="A1247">
        <v>32884</v>
      </c>
      <c r="B1247" t="s">
        <v>13</v>
      </c>
      <c r="C1247">
        <v>80</v>
      </c>
      <c r="D1247" t="s">
        <v>16</v>
      </c>
      <c r="E1247" t="s">
        <v>15</v>
      </c>
      <c r="F1247" t="s">
        <v>16</v>
      </c>
      <c r="G1247" t="s">
        <v>17</v>
      </c>
      <c r="H1247" t="s">
        <v>22</v>
      </c>
      <c r="I1247">
        <v>210.96</v>
      </c>
      <c r="J1247">
        <v>31.8</v>
      </c>
      <c r="K1247" t="s">
        <v>25</v>
      </c>
      <c r="L1247" t="s">
        <v>15</v>
      </c>
    </row>
    <row r="1248" spans="1:12" x14ac:dyDescent="0.3">
      <c r="A1248">
        <v>55744</v>
      </c>
      <c r="B1248" t="s">
        <v>12</v>
      </c>
      <c r="C1248">
        <v>2</v>
      </c>
      <c r="D1248" t="s">
        <v>15</v>
      </c>
      <c r="E1248" t="s">
        <v>15</v>
      </c>
      <c r="F1248" t="s">
        <v>15</v>
      </c>
      <c r="G1248" t="s">
        <v>20</v>
      </c>
      <c r="H1248" t="s">
        <v>22</v>
      </c>
      <c r="I1248">
        <v>76.25</v>
      </c>
      <c r="J1248">
        <v>20.100000000000001</v>
      </c>
      <c r="K1248" t="s">
        <v>27</v>
      </c>
      <c r="L1248" t="s">
        <v>15</v>
      </c>
    </row>
    <row r="1249" spans="1:12" x14ac:dyDescent="0.3">
      <c r="A1249">
        <v>28414</v>
      </c>
      <c r="B1249" t="s">
        <v>12</v>
      </c>
      <c r="C1249">
        <v>50</v>
      </c>
      <c r="D1249" t="s">
        <v>15</v>
      </c>
      <c r="E1249" t="s">
        <v>15</v>
      </c>
      <c r="F1249" t="s">
        <v>16</v>
      </c>
      <c r="G1249" t="s">
        <v>17</v>
      </c>
      <c r="H1249" t="s">
        <v>22</v>
      </c>
      <c r="I1249">
        <v>103.48</v>
      </c>
      <c r="J1249">
        <v>29.1</v>
      </c>
      <c r="K1249" t="s">
        <v>26</v>
      </c>
      <c r="L1249" t="s">
        <v>15</v>
      </c>
    </row>
    <row r="1250" spans="1:12" x14ac:dyDescent="0.3">
      <c r="A1250">
        <v>25767</v>
      </c>
      <c r="B1250" t="s">
        <v>13</v>
      </c>
      <c r="C1250">
        <v>30</v>
      </c>
      <c r="D1250" t="s">
        <v>15</v>
      </c>
      <c r="E1250" t="s">
        <v>15</v>
      </c>
      <c r="F1250" t="s">
        <v>15</v>
      </c>
      <c r="G1250" t="s">
        <v>17</v>
      </c>
      <c r="H1250" t="s">
        <v>22</v>
      </c>
      <c r="I1250">
        <v>96.42</v>
      </c>
      <c r="J1250">
        <v>22.6</v>
      </c>
      <c r="K1250" t="s">
        <v>27</v>
      </c>
      <c r="L1250" t="s">
        <v>15</v>
      </c>
    </row>
    <row r="1251" spans="1:12" x14ac:dyDescent="0.3">
      <c r="A1251">
        <v>71319</v>
      </c>
      <c r="B1251" t="s">
        <v>12</v>
      </c>
      <c r="C1251">
        <v>15</v>
      </c>
      <c r="D1251" t="s">
        <v>15</v>
      </c>
      <c r="E1251" t="s">
        <v>15</v>
      </c>
      <c r="F1251" t="s">
        <v>15</v>
      </c>
      <c r="G1251" t="s">
        <v>17</v>
      </c>
      <c r="H1251" t="s">
        <v>23</v>
      </c>
      <c r="I1251">
        <v>78.59</v>
      </c>
      <c r="J1251">
        <v>25.1</v>
      </c>
      <c r="K1251" t="s">
        <v>27</v>
      </c>
      <c r="L1251" t="s">
        <v>15</v>
      </c>
    </row>
    <row r="1252" spans="1:12" x14ac:dyDescent="0.3">
      <c r="A1252">
        <v>70031</v>
      </c>
      <c r="B1252" t="s">
        <v>13</v>
      </c>
      <c r="C1252">
        <v>71</v>
      </c>
      <c r="D1252" t="s">
        <v>16</v>
      </c>
      <c r="E1252" t="s">
        <v>15</v>
      </c>
      <c r="F1252" t="s">
        <v>16</v>
      </c>
      <c r="G1252" t="s">
        <v>17</v>
      </c>
      <c r="H1252" t="s">
        <v>23</v>
      </c>
      <c r="I1252">
        <v>195.25</v>
      </c>
      <c r="J1252">
        <v>33.299999999999997</v>
      </c>
      <c r="K1252" t="s">
        <v>25</v>
      </c>
      <c r="L1252" t="s">
        <v>15</v>
      </c>
    </row>
    <row r="1253" spans="1:12" x14ac:dyDescent="0.3">
      <c r="A1253">
        <v>23604</v>
      </c>
      <c r="B1253" t="s">
        <v>12</v>
      </c>
      <c r="C1253">
        <v>4</v>
      </c>
      <c r="D1253" t="s">
        <v>15</v>
      </c>
      <c r="E1253" t="s">
        <v>15</v>
      </c>
      <c r="F1253" t="s">
        <v>15</v>
      </c>
      <c r="G1253" t="s">
        <v>20</v>
      </c>
      <c r="H1253" t="s">
        <v>23</v>
      </c>
      <c r="I1253">
        <v>103.76</v>
      </c>
      <c r="J1253">
        <v>15.9</v>
      </c>
      <c r="K1253" t="s">
        <v>27</v>
      </c>
      <c r="L1253" t="s">
        <v>15</v>
      </c>
    </row>
    <row r="1254" spans="1:12" x14ac:dyDescent="0.3">
      <c r="A1254">
        <v>46576</v>
      </c>
      <c r="B1254" t="s">
        <v>12</v>
      </c>
      <c r="C1254">
        <v>2</v>
      </c>
      <c r="D1254" t="s">
        <v>15</v>
      </c>
      <c r="E1254" t="s">
        <v>15</v>
      </c>
      <c r="F1254" t="s">
        <v>15</v>
      </c>
      <c r="G1254" t="s">
        <v>20</v>
      </c>
      <c r="H1254" t="s">
        <v>23</v>
      </c>
      <c r="I1254">
        <v>68.52</v>
      </c>
      <c r="J1254">
        <v>20.8</v>
      </c>
      <c r="K1254" t="s">
        <v>27</v>
      </c>
      <c r="L1254" t="s">
        <v>15</v>
      </c>
    </row>
    <row r="1255" spans="1:12" x14ac:dyDescent="0.3">
      <c r="A1255">
        <v>31293</v>
      </c>
      <c r="B1255" t="s">
        <v>12</v>
      </c>
      <c r="C1255">
        <v>11</v>
      </c>
      <c r="D1255" t="s">
        <v>15</v>
      </c>
      <c r="E1255" t="s">
        <v>15</v>
      </c>
      <c r="F1255" t="s">
        <v>15</v>
      </c>
      <c r="G1255" t="s">
        <v>20</v>
      </c>
      <c r="H1255" t="s">
        <v>22</v>
      </c>
      <c r="I1255">
        <v>92.17</v>
      </c>
      <c r="J1255">
        <v>19.5</v>
      </c>
      <c r="K1255" t="s">
        <v>27</v>
      </c>
      <c r="L1255" t="s">
        <v>15</v>
      </c>
    </row>
    <row r="1256" spans="1:12" x14ac:dyDescent="0.3">
      <c r="A1256">
        <v>70610</v>
      </c>
      <c r="B1256" t="s">
        <v>13</v>
      </c>
      <c r="C1256">
        <v>45</v>
      </c>
      <c r="D1256" t="s">
        <v>15</v>
      </c>
      <c r="E1256" t="s">
        <v>15</v>
      </c>
      <c r="F1256" t="s">
        <v>16</v>
      </c>
      <c r="G1256" t="s">
        <v>17</v>
      </c>
      <c r="H1256" t="s">
        <v>23</v>
      </c>
      <c r="I1256">
        <v>81.02</v>
      </c>
      <c r="J1256">
        <v>39</v>
      </c>
      <c r="K1256" t="s">
        <v>25</v>
      </c>
      <c r="L1256" t="s">
        <v>15</v>
      </c>
    </row>
    <row r="1257" spans="1:12" x14ac:dyDescent="0.3">
      <c r="A1257">
        <v>6044</v>
      </c>
      <c r="B1257" t="s">
        <v>12</v>
      </c>
      <c r="C1257">
        <v>22</v>
      </c>
      <c r="D1257" t="s">
        <v>15</v>
      </c>
      <c r="E1257" t="s">
        <v>15</v>
      </c>
      <c r="F1257" t="s">
        <v>15</v>
      </c>
      <c r="G1257" t="s">
        <v>19</v>
      </c>
      <c r="H1257" t="s">
        <v>23</v>
      </c>
      <c r="I1257">
        <v>94.33</v>
      </c>
      <c r="J1257">
        <v>23.1</v>
      </c>
      <c r="K1257" t="s">
        <v>25</v>
      </c>
      <c r="L1257" t="s">
        <v>15</v>
      </c>
    </row>
    <row r="1258" spans="1:12" x14ac:dyDescent="0.3">
      <c r="A1258">
        <v>62284</v>
      </c>
      <c r="B1258" t="s">
        <v>12</v>
      </c>
      <c r="C1258">
        <v>63</v>
      </c>
      <c r="D1258" t="s">
        <v>15</v>
      </c>
      <c r="E1258" t="s">
        <v>15</v>
      </c>
      <c r="F1258" t="s">
        <v>16</v>
      </c>
      <c r="G1258" t="s">
        <v>18</v>
      </c>
      <c r="H1258" t="s">
        <v>23</v>
      </c>
      <c r="I1258">
        <v>78.430000000000007</v>
      </c>
      <c r="J1258">
        <v>18.8</v>
      </c>
      <c r="K1258" t="s">
        <v>25</v>
      </c>
      <c r="L1258" t="s">
        <v>15</v>
      </c>
    </row>
    <row r="1259" spans="1:12" x14ac:dyDescent="0.3">
      <c r="A1259">
        <v>5821</v>
      </c>
      <c r="B1259" t="s">
        <v>13</v>
      </c>
      <c r="C1259">
        <v>50</v>
      </c>
      <c r="D1259" t="s">
        <v>15</v>
      </c>
      <c r="E1259" t="s">
        <v>15</v>
      </c>
      <c r="F1259" t="s">
        <v>16</v>
      </c>
      <c r="G1259" t="s">
        <v>17</v>
      </c>
      <c r="H1259" t="s">
        <v>23</v>
      </c>
      <c r="I1259">
        <v>217.39</v>
      </c>
      <c r="J1259">
        <v>50.6</v>
      </c>
      <c r="K1259" t="s">
        <v>27</v>
      </c>
      <c r="L1259" t="s">
        <v>15</v>
      </c>
    </row>
    <row r="1260" spans="1:12" x14ac:dyDescent="0.3">
      <c r="A1260">
        <v>22295</v>
      </c>
      <c r="B1260" t="s">
        <v>13</v>
      </c>
      <c r="C1260">
        <v>25</v>
      </c>
      <c r="D1260" t="s">
        <v>15</v>
      </c>
      <c r="E1260" t="s">
        <v>15</v>
      </c>
      <c r="F1260" t="s">
        <v>15</v>
      </c>
      <c r="G1260" t="s">
        <v>17</v>
      </c>
      <c r="H1260" t="s">
        <v>22</v>
      </c>
      <c r="I1260">
        <v>82.77</v>
      </c>
      <c r="J1260">
        <v>36.299999999999997</v>
      </c>
      <c r="K1260" t="s">
        <v>27</v>
      </c>
      <c r="L1260" t="s">
        <v>15</v>
      </c>
    </row>
    <row r="1261" spans="1:12" x14ac:dyDescent="0.3">
      <c r="A1261">
        <v>27583</v>
      </c>
      <c r="B1261" t="s">
        <v>12</v>
      </c>
      <c r="C1261">
        <v>49</v>
      </c>
      <c r="D1261" t="s">
        <v>15</v>
      </c>
      <c r="E1261" t="s">
        <v>15</v>
      </c>
      <c r="F1261" t="s">
        <v>16</v>
      </c>
      <c r="G1261" t="s">
        <v>17</v>
      </c>
      <c r="H1261" t="s">
        <v>23</v>
      </c>
      <c r="I1261">
        <v>88.13</v>
      </c>
      <c r="J1261">
        <v>32.799999999999997</v>
      </c>
      <c r="K1261" t="s">
        <v>25</v>
      </c>
      <c r="L1261" t="s">
        <v>15</v>
      </c>
    </row>
    <row r="1262" spans="1:12" x14ac:dyDescent="0.3">
      <c r="A1262">
        <v>9696</v>
      </c>
      <c r="B1262" t="s">
        <v>12</v>
      </c>
      <c r="C1262">
        <v>39</v>
      </c>
      <c r="D1262" t="s">
        <v>15</v>
      </c>
      <c r="E1262" t="s">
        <v>15</v>
      </c>
      <c r="F1262" t="s">
        <v>16</v>
      </c>
      <c r="G1262" t="s">
        <v>17</v>
      </c>
      <c r="H1262" t="s">
        <v>22</v>
      </c>
      <c r="I1262">
        <v>102.77</v>
      </c>
      <c r="J1262">
        <v>35.799999999999997</v>
      </c>
      <c r="K1262" t="s">
        <v>26</v>
      </c>
      <c r="L1262" t="s">
        <v>15</v>
      </c>
    </row>
    <row r="1263" spans="1:12" x14ac:dyDescent="0.3">
      <c r="A1263">
        <v>1164</v>
      </c>
      <c r="B1263" t="s">
        <v>13</v>
      </c>
      <c r="C1263">
        <v>43</v>
      </c>
      <c r="D1263" t="s">
        <v>15</v>
      </c>
      <c r="E1263" t="s">
        <v>15</v>
      </c>
      <c r="F1263" t="s">
        <v>15</v>
      </c>
      <c r="G1263" t="s">
        <v>17</v>
      </c>
      <c r="H1263" t="s">
        <v>23</v>
      </c>
      <c r="I1263">
        <v>101.75</v>
      </c>
      <c r="J1263">
        <v>26.7</v>
      </c>
      <c r="K1263" t="s">
        <v>26</v>
      </c>
      <c r="L1263" t="s">
        <v>15</v>
      </c>
    </row>
    <row r="1264" spans="1:12" x14ac:dyDescent="0.3">
      <c r="A1264">
        <v>48781</v>
      </c>
      <c r="B1264" t="s">
        <v>12</v>
      </c>
      <c r="C1264">
        <v>67</v>
      </c>
      <c r="D1264" t="s">
        <v>15</v>
      </c>
      <c r="E1264" t="s">
        <v>15</v>
      </c>
      <c r="F1264" t="s">
        <v>16</v>
      </c>
      <c r="G1264" t="s">
        <v>17</v>
      </c>
      <c r="H1264" t="s">
        <v>23</v>
      </c>
      <c r="I1264">
        <v>113.34</v>
      </c>
      <c r="J1264">
        <v>26.3</v>
      </c>
      <c r="K1264" t="s">
        <v>24</v>
      </c>
      <c r="L1264" t="s">
        <v>15</v>
      </c>
    </row>
    <row r="1265" spans="1:12" x14ac:dyDescent="0.3">
      <c r="A1265">
        <v>50947</v>
      </c>
      <c r="B1265" t="s">
        <v>12</v>
      </c>
      <c r="C1265">
        <v>48</v>
      </c>
      <c r="D1265" t="s">
        <v>15</v>
      </c>
      <c r="E1265" t="s">
        <v>15</v>
      </c>
      <c r="F1265" t="s">
        <v>16</v>
      </c>
      <c r="G1265" t="s">
        <v>17</v>
      </c>
      <c r="H1265" t="s">
        <v>22</v>
      </c>
      <c r="I1265">
        <v>63.33</v>
      </c>
      <c r="J1265">
        <v>26.5</v>
      </c>
      <c r="K1265" t="s">
        <v>26</v>
      </c>
      <c r="L1265" t="s">
        <v>15</v>
      </c>
    </row>
    <row r="1266" spans="1:12" x14ac:dyDescent="0.3">
      <c r="A1266">
        <v>47844</v>
      </c>
      <c r="B1266" t="s">
        <v>13</v>
      </c>
      <c r="C1266">
        <v>38</v>
      </c>
      <c r="D1266" t="s">
        <v>15</v>
      </c>
      <c r="E1266" t="s">
        <v>15</v>
      </c>
      <c r="F1266" t="s">
        <v>16</v>
      </c>
      <c r="G1266" t="s">
        <v>17</v>
      </c>
      <c r="H1266" t="s">
        <v>22</v>
      </c>
      <c r="I1266">
        <v>69.34</v>
      </c>
      <c r="J1266">
        <v>43.7</v>
      </c>
      <c r="K1266" t="s">
        <v>25</v>
      </c>
      <c r="L1266" t="s">
        <v>15</v>
      </c>
    </row>
    <row r="1267" spans="1:12" x14ac:dyDescent="0.3">
      <c r="A1267">
        <v>45209</v>
      </c>
      <c r="B1267" t="s">
        <v>13</v>
      </c>
      <c r="C1267">
        <v>14</v>
      </c>
      <c r="D1267" t="s">
        <v>15</v>
      </c>
      <c r="E1267" t="s">
        <v>15</v>
      </c>
      <c r="F1267" t="s">
        <v>15</v>
      </c>
      <c r="G1267" t="s">
        <v>17</v>
      </c>
      <c r="H1267" t="s">
        <v>23</v>
      </c>
      <c r="I1267">
        <v>118.81</v>
      </c>
      <c r="J1267">
        <v>24.7</v>
      </c>
      <c r="K1267" t="s">
        <v>27</v>
      </c>
      <c r="L1267" t="s">
        <v>15</v>
      </c>
    </row>
    <row r="1268" spans="1:12" x14ac:dyDescent="0.3">
      <c r="A1268">
        <v>49412</v>
      </c>
      <c r="B1268" t="s">
        <v>12</v>
      </c>
      <c r="C1268">
        <v>63</v>
      </c>
      <c r="D1268" t="s">
        <v>15</v>
      </c>
      <c r="E1268" t="s">
        <v>15</v>
      </c>
      <c r="F1268" t="s">
        <v>16</v>
      </c>
      <c r="G1268" t="s">
        <v>19</v>
      </c>
      <c r="H1268" t="s">
        <v>22</v>
      </c>
      <c r="I1268">
        <v>66.13</v>
      </c>
      <c r="J1268">
        <v>46.2</v>
      </c>
      <c r="K1268" t="s">
        <v>25</v>
      </c>
      <c r="L1268" t="s">
        <v>15</v>
      </c>
    </row>
    <row r="1269" spans="1:12" x14ac:dyDescent="0.3">
      <c r="A1269">
        <v>43088</v>
      </c>
      <c r="B1269" t="s">
        <v>12</v>
      </c>
      <c r="C1269">
        <v>37</v>
      </c>
      <c r="D1269" t="s">
        <v>15</v>
      </c>
      <c r="E1269" t="s">
        <v>15</v>
      </c>
      <c r="F1269" t="s">
        <v>15</v>
      </c>
      <c r="G1269" t="s">
        <v>17</v>
      </c>
      <c r="H1269" t="s">
        <v>22</v>
      </c>
      <c r="I1269">
        <v>67.53</v>
      </c>
      <c r="J1269">
        <v>49.5</v>
      </c>
      <c r="K1269" t="s">
        <v>24</v>
      </c>
      <c r="L1269" t="s">
        <v>15</v>
      </c>
    </row>
    <row r="1270" spans="1:12" x14ac:dyDescent="0.3">
      <c r="A1270">
        <v>16355</v>
      </c>
      <c r="B1270" t="s">
        <v>12</v>
      </c>
      <c r="C1270">
        <v>20</v>
      </c>
      <c r="D1270" t="s">
        <v>15</v>
      </c>
      <c r="E1270" t="s">
        <v>15</v>
      </c>
      <c r="F1270" t="s">
        <v>15</v>
      </c>
      <c r="G1270" t="s">
        <v>17</v>
      </c>
      <c r="H1270" t="s">
        <v>22</v>
      </c>
      <c r="I1270">
        <v>96.58</v>
      </c>
      <c r="J1270">
        <v>43.3</v>
      </c>
      <c r="K1270" t="s">
        <v>25</v>
      </c>
      <c r="L1270" t="s">
        <v>15</v>
      </c>
    </row>
    <row r="1271" spans="1:12" x14ac:dyDescent="0.3">
      <c r="A1271">
        <v>43172</v>
      </c>
      <c r="B1271" t="s">
        <v>13</v>
      </c>
      <c r="C1271">
        <v>60</v>
      </c>
      <c r="D1271" t="s">
        <v>15</v>
      </c>
      <c r="E1271" t="s">
        <v>15</v>
      </c>
      <c r="F1271" t="s">
        <v>16</v>
      </c>
      <c r="G1271" t="s">
        <v>17</v>
      </c>
      <c r="H1271" t="s">
        <v>22</v>
      </c>
      <c r="I1271">
        <v>57.89</v>
      </c>
      <c r="J1271">
        <v>30.9</v>
      </c>
      <c r="K1271" t="s">
        <v>24</v>
      </c>
      <c r="L1271" t="s">
        <v>15</v>
      </c>
    </row>
    <row r="1272" spans="1:12" x14ac:dyDescent="0.3">
      <c r="A1272">
        <v>43155</v>
      </c>
      <c r="B1272" t="s">
        <v>13</v>
      </c>
      <c r="C1272">
        <v>13</v>
      </c>
      <c r="D1272" t="s">
        <v>15</v>
      </c>
      <c r="E1272" t="s">
        <v>15</v>
      </c>
      <c r="F1272" t="s">
        <v>15</v>
      </c>
      <c r="G1272" t="s">
        <v>20</v>
      </c>
      <c r="H1272" t="s">
        <v>23</v>
      </c>
      <c r="I1272">
        <v>78.38</v>
      </c>
      <c r="J1272">
        <v>38.700000000000003</v>
      </c>
      <c r="K1272" t="s">
        <v>27</v>
      </c>
      <c r="L1272" t="s">
        <v>15</v>
      </c>
    </row>
    <row r="1273" spans="1:12" x14ac:dyDescent="0.3">
      <c r="A1273">
        <v>11882</v>
      </c>
      <c r="B1273" t="s">
        <v>12</v>
      </c>
      <c r="C1273">
        <v>34</v>
      </c>
      <c r="D1273" t="s">
        <v>15</v>
      </c>
      <c r="E1273" t="s">
        <v>15</v>
      </c>
      <c r="F1273" t="s">
        <v>15</v>
      </c>
      <c r="G1273" t="s">
        <v>17</v>
      </c>
      <c r="H1273" t="s">
        <v>22</v>
      </c>
      <c r="I1273">
        <v>94.15</v>
      </c>
      <c r="J1273">
        <v>28.6</v>
      </c>
      <c r="K1273" t="s">
        <v>25</v>
      </c>
      <c r="L1273" t="s">
        <v>15</v>
      </c>
    </row>
    <row r="1274" spans="1:12" x14ac:dyDescent="0.3">
      <c r="A1274">
        <v>45669</v>
      </c>
      <c r="B1274" t="s">
        <v>12</v>
      </c>
      <c r="C1274">
        <v>22</v>
      </c>
      <c r="D1274" t="s">
        <v>15</v>
      </c>
      <c r="E1274" t="s">
        <v>15</v>
      </c>
      <c r="F1274" t="s">
        <v>15</v>
      </c>
      <c r="G1274" t="s">
        <v>17</v>
      </c>
      <c r="H1274" t="s">
        <v>22</v>
      </c>
      <c r="I1274">
        <v>89.53</v>
      </c>
      <c r="J1274">
        <v>30.2</v>
      </c>
      <c r="K1274" t="s">
        <v>27</v>
      </c>
      <c r="L1274" t="s">
        <v>15</v>
      </c>
    </row>
    <row r="1275" spans="1:12" x14ac:dyDescent="0.3">
      <c r="A1275">
        <v>65339</v>
      </c>
      <c r="B1275" t="s">
        <v>13</v>
      </c>
      <c r="C1275">
        <v>46</v>
      </c>
      <c r="D1275" t="s">
        <v>15</v>
      </c>
      <c r="E1275" t="s">
        <v>15</v>
      </c>
      <c r="F1275" t="s">
        <v>16</v>
      </c>
      <c r="G1275" t="s">
        <v>17</v>
      </c>
      <c r="H1275" t="s">
        <v>22</v>
      </c>
      <c r="I1275">
        <v>127.75</v>
      </c>
      <c r="J1275">
        <v>30.5</v>
      </c>
      <c r="K1275" t="s">
        <v>25</v>
      </c>
      <c r="L1275" t="s">
        <v>15</v>
      </c>
    </row>
    <row r="1276" spans="1:12" x14ac:dyDescent="0.3">
      <c r="A1276">
        <v>60399</v>
      </c>
      <c r="B1276" t="s">
        <v>12</v>
      </c>
      <c r="C1276">
        <v>53</v>
      </c>
      <c r="D1276" t="s">
        <v>15</v>
      </c>
      <c r="E1276" t="s">
        <v>15</v>
      </c>
      <c r="F1276" t="s">
        <v>16</v>
      </c>
      <c r="G1276" t="s">
        <v>18</v>
      </c>
      <c r="H1276" t="s">
        <v>23</v>
      </c>
      <c r="I1276">
        <v>76.790000000000006</v>
      </c>
      <c r="J1276">
        <v>33.9</v>
      </c>
      <c r="K1276" t="s">
        <v>27</v>
      </c>
      <c r="L1276" t="s">
        <v>15</v>
      </c>
    </row>
    <row r="1277" spans="1:12" x14ac:dyDescent="0.3">
      <c r="A1277">
        <v>59604</v>
      </c>
      <c r="B1277" t="s">
        <v>13</v>
      </c>
      <c r="C1277">
        <v>28</v>
      </c>
      <c r="D1277" t="s">
        <v>15</v>
      </c>
      <c r="E1277" t="s">
        <v>15</v>
      </c>
      <c r="F1277" t="s">
        <v>16</v>
      </c>
      <c r="G1277" t="s">
        <v>17</v>
      </c>
      <c r="H1277" t="s">
        <v>23</v>
      </c>
      <c r="I1277">
        <v>141.15</v>
      </c>
      <c r="J1277">
        <v>28.6</v>
      </c>
      <c r="K1277" t="s">
        <v>25</v>
      </c>
      <c r="L1277" t="s">
        <v>15</v>
      </c>
    </row>
    <row r="1278" spans="1:12" x14ac:dyDescent="0.3">
      <c r="A1278">
        <v>22488</v>
      </c>
      <c r="B1278" t="s">
        <v>13</v>
      </c>
      <c r="C1278">
        <v>62</v>
      </c>
      <c r="D1278" t="s">
        <v>15</v>
      </c>
      <c r="E1278" t="s">
        <v>15</v>
      </c>
      <c r="F1278" t="s">
        <v>16</v>
      </c>
      <c r="G1278" t="s">
        <v>19</v>
      </c>
      <c r="H1278" t="s">
        <v>22</v>
      </c>
      <c r="I1278">
        <v>88.63</v>
      </c>
      <c r="J1278">
        <v>24.5</v>
      </c>
      <c r="K1278" t="s">
        <v>25</v>
      </c>
      <c r="L1278" t="s">
        <v>15</v>
      </c>
    </row>
    <row r="1279" spans="1:12" x14ac:dyDescent="0.3">
      <c r="A1279">
        <v>33187</v>
      </c>
      <c r="B1279" t="s">
        <v>13</v>
      </c>
      <c r="C1279">
        <v>6</v>
      </c>
      <c r="D1279" t="s">
        <v>15</v>
      </c>
      <c r="E1279" t="s">
        <v>15</v>
      </c>
      <c r="F1279" t="s">
        <v>15</v>
      </c>
      <c r="G1279" t="s">
        <v>20</v>
      </c>
      <c r="H1279" t="s">
        <v>22</v>
      </c>
      <c r="I1279">
        <v>201.25</v>
      </c>
      <c r="K1279" t="s">
        <v>27</v>
      </c>
      <c r="L1279" t="s">
        <v>15</v>
      </c>
    </row>
    <row r="1280" spans="1:12" x14ac:dyDescent="0.3">
      <c r="A1280">
        <v>44192</v>
      </c>
      <c r="B1280" t="s">
        <v>13</v>
      </c>
      <c r="C1280">
        <v>11</v>
      </c>
      <c r="D1280" t="s">
        <v>15</v>
      </c>
      <c r="E1280" t="s">
        <v>15</v>
      </c>
      <c r="F1280" t="s">
        <v>15</v>
      </c>
      <c r="G1280" t="s">
        <v>20</v>
      </c>
      <c r="H1280" t="s">
        <v>22</v>
      </c>
      <c r="I1280">
        <v>130.15</v>
      </c>
      <c r="J1280">
        <v>17.2</v>
      </c>
      <c r="K1280" t="s">
        <v>27</v>
      </c>
      <c r="L1280" t="s">
        <v>15</v>
      </c>
    </row>
    <row r="1281" spans="1:12" x14ac:dyDescent="0.3">
      <c r="A1281">
        <v>16114</v>
      </c>
      <c r="B1281" t="s">
        <v>12</v>
      </c>
      <c r="C1281">
        <v>66</v>
      </c>
      <c r="D1281" t="s">
        <v>15</v>
      </c>
      <c r="E1281" t="s">
        <v>15</v>
      </c>
      <c r="F1281" t="s">
        <v>15</v>
      </c>
      <c r="G1281" t="s">
        <v>17</v>
      </c>
      <c r="H1281" t="s">
        <v>22</v>
      </c>
      <c r="I1281">
        <v>108.03</v>
      </c>
      <c r="J1281">
        <v>27.2</v>
      </c>
      <c r="K1281" t="s">
        <v>25</v>
      </c>
      <c r="L1281" t="s">
        <v>15</v>
      </c>
    </row>
    <row r="1282" spans="1:12" x14ac:dyDescent="0.3">
      <c r="A1282">
        <v>35293</v>
      </c>
      <c r="B1282" t="s">
        <v>13</v>
      </c>
      <c r="C1282">
        <v>80</v>
      </c>
      <c r="D1282" t="s">
        <v>15</v>
      </c>
      <c r="E1282" t="s">
        <v>15</v>
      </c>
      <c r="F1282" t="s">
        <v>16</v>
      </c>
      <c r="G1282" t="s">
        <v>18</v>
      </c>
      <c r="H1282" t="s">
        <v>23</v>
      </c>
      <c r="I1282">
        <v>104.07</v>
      </c>
      <c r="J1282">
        <v>19.3</v>
      </c>
      <c r="K1282" t="s">
        <v>24</v>
      </c>
      <c r="L1282" t="s">
        <v>15</v>
      </c>
    </row>
    <row r="1283" spans="1:12" x14ac:dyDescent="0.3">
      <c r="A1283">
        <v>728</v>
      </c>
      <c r="B1283" t="s">
        <v>12</v>
      </c>
      <c r="C1283">
        <v>8</v>
      </c>
      <c r="D1283" t="s">
        <v>15</v>
      </c>
      <c r="E1283" t="s">
        <v>15</v>
      </c>
      <c r="F1283" t="s">
        <v>15</v>
      </c>
      <c r="G1283" t="s">
        <v>20</v>
      </c>
      <c r="H1283" t="s">
        <v>22</v>
      </c>
      <c r="I1283">
        <v>88.83</v>
      </c>
      <c r="J1283">
        <v>18.5</v>
      </c>
      <c r="K1283" t="s">
        <v>27</v>
      </c>
      <c r="L1283" t="s">
        <v>15</v>
      </c>
    </row>
    <row r="1284" spans="1:12" x14ac:dyDescent="0.3">
      <c r="A1284">
        <v>45788</v>
      </c>
      <c r="B1284" t="s">
        <v>12</v>
      </c>
      <c r="C1284">
        <v>53</v>
      </c>
      <c r="D1284" t="s">
        <v>15</v>
      </c>
      <c r="E1284" t="s">
        <v>16</v>
      </c>
      <c r="F1284" t="s">
        <v>16</v>
      </c>
      <c r="G1284" t="s">
        <v>17</v>
      </c>
      <c r="H1284" t="s">
        <v>23</v>
      </c>
      <c r="I1284">
        <v>197.79</v>
      </c>
      <c r="J1284">
        <v>32</v>
      </c>
      <c r="K1284" t="s">
        <v>27</v>
      </c>
      <c r="L1284" t="s">
        <v>15</v>
      </c>
    </row>
    <row r="1285" spans="1:12" x14ac:dyDescent="0.3">
      <c r="A1285">
        <v>52150</v>
      </c>
      <c r="B1285" t="s">
        <v>12</v>
      </c>
      <c r="C1285">
        <v>63</v>
      </c>
      <c r="D1285" t="s">
        <v>16</v>
      </c>
      <c r="E1285" t="s">
        <v>16</v>
      </c>
      <c r="F1285" t="s">
        <v>16</v>
      </c>
      <c r="G1285" t="s">
        <v>17</v>
      </c>
      <c r="H1285" t="s">
        <v>22</v>
      </c>
      <c r="I1285">
        <v>150.44999999999999</v>
      </c>
      <c r="J1285">
        <v>44.5</v>
      </c>
      <c r="K1285" t="s">
        <v>24</v>
      </c>
      <c r="L1285" t="s">
        <v>15</v>
      </c>
    </row>
    <row r="1286" spans="1:12" x14ac:dyDescent="0.3">
      <c r="A1286">
        <v>26172</v>
      </c>
      <c r="B1286" t="s">
        <v>12</v>
      </c>
      <c r="C1286">
        <v>31</v>
      </c>
      <c r="D1286" t="s">
        <v>15</v>
      </c>
      <c r="E1286" t="s">
        <v>15</v>
      </c>
      <c r="F1286" t="s">
        <v>16</v>
      </c>
      <c r="G1286" t="s">
        <v>17</v>
      </c>
      <c r="H1286" t="s">
        <v>23</v>
      </c>
      <c r="I1286">
        <v>100.39</v>
      </c>
      <c r="J1286">
        <v>37</v>
      </c>
      <c r="K1286" t="s">
        <v>25</v>
      </c>
      <c r="L1286" t="s">
        <v>15</v>
      </c>
    </row>
    <row r="1287" spans="1:12" x14ac:dyDescent="0.3">
      <c r="A1287">
        <v>67814</v>
      </c>
      <c r="B1287" t="s">
        <v>12</v>
      </c>
      <c r="C1287">
        <v>43</v>
      </c>
      <c r="D1287" t="s">
        <v>15</v>
      </c>
      <c r="E1287" t="s">
        <v>15</v>
      </c>
      <c r="F1287" t="s">
        <v>16</v>
      </c>
      <c r="G1287" t="s">
        <v>19</v>
      </c>
      <c r="H1287" t="s">
        <v>23</v>
      </c>
      <c r="I1287">
        <v>79.92</v>
      </c>
      <c r="J1287">
        <v>30.8</v>
      </c>
      <c r="K1287" t="s">
        <v>24</v>
      </c>
      <c r="L1287" t="s">
        <v>15</v>
      </c>
    </row>
    <row r="1288" spans="1:12" x14ac:dyDescent="0.3">
      <c r="A1288">
        <v>12618</v>
      </c>
      <c r="B1288" t="s">
        <v>12</v>
      </c>
      <c r="C1288">
        <v>79</v>
      </c>
      <c r="D1288" t="s">
        <v>15</v>
      </c>
      <c r="E1288" t="s">
        <v>16</v>
      </c>
      <c r="F1288" t="s">
        <v>16</v>
      </c>
      <c r="G1288" t="s">
        <v>18</v>
      </c>
      <c r="H1288" t="s">
        <v>22</v>
      </c>
      <c r="I1288">
        <v>96.79</v>
      </c>
      <c r="J1288">
        <v>24.7</v>
      </c>
      <c r="K1288" t="s">
        <v>27</v>
      </c>
      <c r="L1288" t="s">
        <v>15</v>
      </c>
    </row>
    <row r="1289" spans="1:12" x14ac:dyDescent="0.3">
      <c r="A1289">
        <v>28952</v>
      </c>
      <c r="B1289" t="s">
        <v>12</v>
      </c>
      <c r="C1289">
        <v>8</v>
      </c>
      <c r="D1289" t="s">
        <v>15</v>
      </c>
      <c r="E1289" t="s">
        <v>15</v>
      </c>
      <c r="F1289" t="s">
        <v>15</v>
      </c>
      <c r="G1289" t="s">
        <v>20</v>
      </c>
      <c r="H1289" t="s">
        <v>23</v>
      </c>
      <c r="I1289">
        <v>86.84</v>
      </c>
      <c r="J1289">
        <v>18.3</v>
      </c>
      <c r="K1289" t="s">
        <v>27</v>
      </c>
      <c r="L1289" t="s">
        <v>15</v>
      </c>
    </row>
    <row r="1290" spans="1:12" x14ac:dyDescent="0.3">
      <c r="A1290">
        <v>39123</v>
      </c>
      <c r="B1290" t="s">
        <v>12</v>
      </c>
      <c r="C1290">
        <v>38</v>
      </c>
      <c r="D1290" t="s">
        <v>15</v>
      </c>
      <c r="E1290" t="s">
        <v>15</v>
      </c>
      <c r="F1290" t="s">
        <v>16</v>
      </c>
      <c r="G1290" t="s">
        <v>17</v>
      </c>
      <c r="H1290" t="s">
        <v>23</v>
      </c>
      <c r="I1290">
        <v>61.27</v>
      </c>
      <c r="J1290">
        <v>44</v>
      </c>
      <c r="K1290" t="s">
        <v>27</v>
      </c>
      <c r="L1290" t="s">
        <v>15</v>
      </c>
    </row>
    <row r="1291" spans="1:12" x14ac:dyDescent="0.3">
      <c r="A1291">
        <v>53967</v>
      </c>
      <c r="B1291" t="s">
        <v>13</v>
      </c>
      <c r="C1291">
        <v>80</v>
      </c>
      <c r="D1291" t="s">
        <v>15</v>
      </c>
      <c r="E1291" t="s">
        <v>15</v>
      </c>
      <c r="F1291" t="s">
        <v>16</v>
      </c>
      <c r="G1291" t="s">
        <v>18</v>
      </c>
      <c r="H1291" t="s">
        <v>23</v>
      </c>
      <c r="I1291">
        <v>72.61</v>
      </c>
      <c r="J1291">
        <v>27.6</v>
      </c>
      <c r="K1291" t="s">
        <v>25</v>
      </c>
      <c r="L1291" t="s">
        <v>15</v>
      </c>
    </row>
    <row r="1292" spans="1:12" x14ac:dyDescent="0.3">
      <c r="A1292">
        <v>34772</v>
      </c>
      <c r="B1292" t="s">
        <v>13</v>
      </c>
      <c r="C1292">
        <v>49</v>
      </c>
      <c r="D1292" t="s">
        <v>15</v>
      </c>
      <c r="E1292" t="s">
        <v>15</v>
      </c>
      <c r="F1292" t="s">
        <v>16</v>
      </c>
      <c r="G1292" t="s">
        <v>17</v>
      </c>
      <c r="H1292" t="s">
        <v>23</v>
      </c>
      <c r="I1292">
        <v>82.41</v>
      </c>
      <c r="J1292">
        <v>45.4</v>
      </c>
      <c r="K1292" t="s">
        <v>26</v>
      </c>
      <c r="L1292" t="s">
        <v>15</v>
      </c>
    </row>
    <row r="1293" spans="1:12" x14ac:dyDescent="0.3">
      <c r="A1293">
        <v>43124</v>
      </c>
      <c r="B1293" t="s">
        <v>13</v>
      </c>
      <c r="C1293">
        <v>50</v>
      </c>
      <c r="D1293" t="s">
        <v>15</v>
      </c>
      <c r="E1293" t="s">
        <v>15</v>
      </c>
      <c r="F1293" t="s">
        <v>16</v>
      </c>
      <c r="G1293" t="s">
        <v>19</v>
      </c>
      <c r="H1293" t="s">
        <v>22</v>
      </c>
      <c r="I1293">
        <v>74.72</v>
      </c>
      <c r="J1293">
        <v>28.5</v>
      </c>
      <c r="K1293" t="s">
        <v>25</v>
      </c>
      <c r="L1293" t="s">
        <v>15</v>
      </c>
    </row>
    <row r="1294" spans="1:12" x14ac:dyDescent="0.3">
      <c r="A1294">
        <v>51916</v>
      </c>
      <c r="B1294" t="s">
        <v>12</v>
      </c>
      <c r="C1294">
        <v>13</v>
      </c>
      <c r="D1294" t="s">
        <v>15</v>
      </c>
      <c r="E1294" t="s">
        <v>15</v>
      </c>
      <c r="F1294" t="s">
        <v>15</v>
      </c>
      <c r="G1294" t="s">
        <v>20</v>
      </c>
      <c r="H1294" t="s">
        <v>23</v>
      </c>
      <c r="I1294">
        <v>57.37</v>
      </c>
      <c r="J1294">
        <v>17.600000000000001</v>
      </c>
      <c r="K1294" t="s">
        <v>27</v>
      </c>
      <c r="L1294" t="s">
        <v>15</v>
      </c>
    </row>
    <row r="1295" spans="1:12" x14ac:dyDescent="0.3">
      <c r="A1295">
        <v>68003</v>
      </c>
      <c r="B1295" t="s">
        <v>12</v>
      </c>
      <c r="C1295">
        <v>46</v>
      </c>
      <c r="D1295" t="s">
        <v>16</v>
      </c>
      <c r="E1295" t="s">
        <v>15</v>
      </c>
      <c r="F1295" t="s">
        <v>16</v>
      </c>
      <c r="G1295" t="s">
        <v>17</v>
      </c>
      <c r="H1295" t="s">
        <v>23</v>
      </c>
      <c r="I1295">
        <v>73.72</v>
      </c>
      <c r="K1295" t="s">
        <v>26</v>
      </c>
      <c r="L1295" t="s">
        <v>15</v>
      </c>
    </row>
    <row r="1296" spans="1:12" x14ac:dyDescent="0.3">
      <c r="A1296">
        <v>59157</v>
      </c>
      <c r="B1296" t="s">
        <v>12</v>
      </c>
      <c r="C1296">
        <v>73</v>
      </c>
      <c r="D1296" t="s">
        <v>16</v>
      </c>
      <c r="E1296" t="s">
        <v>15</v>
      </c>
      <c r="F1296" t="s">
        <v>16</v>
      </c>
      <c r="G1296" t="s">
        <v>17</v>
      </c>
      <c r="H1296" t="s">
        <v>22</v>
      </c>
      <c r="I1296">
        <v>88.34</v>
      </c>
      <c r="J1296">
        <v>27.5</v>
      </c>
      <c r="K1296" t="s">
        <v>25</v>
      </c>
      <c r="L1296" t="s">
        <v>15</v>
      </c>
    </row>
    <row r="1297" spans="1:12" x14ac:dyDescent="0.3">
      <c r="A1297">
        <v>54383</v>
      </c>
      <c r="B1297" t="s">
        <v>12</v>
      </c>
      <c r="C1297">
        <v>60</v>
      </c>
      <c r="D1297" t="s">
        <v>15</v>
      </c>
      <c r="E1297" t="s">
        <v>15</v>
      </c>
      <c r="F1297" t="s">
        <v>16</v>
      </c>
      <c r="G1297" t="s">
        <v>17</v>
      </c>
      <c r="H1297" t="s">
        <v>23</v>
      </c>
      <c r="I1297">
        <v>101.34</v>
      </c>
      <c r="J1297">
        <v>32.799999999999997</v>
      </c>
      <c r="K1297" t="s">
        <v>25</v>
      </c>
      <c r="L1297" t="s">
        <v>15</v>
      </c>
    </row>
    <row r="1298" spans="1:12" x14ac:dyDescent="0.3">
      <c r="A1298">
        <v>6928</v>
      </c>
      <c r="B1298" t="s">
        <v>12</v>
      </c>
      <c r="C1298">
        <v>44</v>
      </c>
      <c r="D1298" t="s">
        <v>15</v>
      </c>
      <c r="E1298" t="s">
        <v>15</v>
      </c>
      <c r="F1298" t="s">
        <v>16</v>
      </c>
      <c r="G1298" t="s">
        <v>17</v>
      </c>
      <c r="H1298" t="s">
        <v>23</v>
      </c>
      <c r="I1298">
        <v>119.01</v>
      </c>
      <c r="J1298">
        <v>29.5</v>
      </c>
      <c r="K1298" t="s">
        <v>25</v>
      </c>
      <c r="L1298" t="s">
        <v>15</v>
      </c>
    </row>
    <row r="1299" spans="1:12" x14ac:dyDescent="0.3">
      <c r="A1299">
        <v>321</v>
      </c>
      <c r="B1299" t="s">
        <v>13</v>
      </c>
      <c r="C1299">
        <v>79</v>
      </c>
      <c r="D1299" t="s">
        <v>15</v>
      </c>
      <c r="E1299" t="s">
        <v>15</v>
      </c>
      <c r="F1299" t="s">
        <v>15</v>
      </c>
      <c r="G1299" t="s">
        <v>18</v>
      </c>
      <c r="H1299" t="s">
        <v>23</v>
      </c>
      <c r="I1299">
        <v>71.98</v>
      </c>
      <c r="J1299">
        <v>36.4</v>
      </c>
      <c r="K1299" t="s">
        <v>25</v>
      </c>
      <c r="L1299" t="s">
        <v>15</v>
      </c>
    </row>
    <row r="1300" spans="1:12" x14ac:dyDescent="0.3">
      <c r="A1300">
        <v>21857</v>
      </c>
      <c r="B1300" t="s">
        <v>13</v>
      </c>
      <c r="C1300">
        <v>5</v>
      </c>
      <c r="D1300" t="s">
        <v>15</v>
      </c>
      <c r="E1300" t="s">
        <v>15</v>
      </c>
      <c r="F1300" t="s">
        <v>15</v>
      </c>
      <c r="G1300" t="s">
        <v>20</v>
      </c>
      <c r="H1300" t="s">
        <v>22</v>
      </c>
      <c r="I1300">
        <v>84.91</v>
      </c>
      <c r="J1300">
        <v>26.1</v>
      </c>
      <c r="K1300" t="s">
        <v>27</v>
      </c>
      <c r="L1300" t="s">
        <v>15</v>
      </c>
    </row>
    <row r="1301" spans="1:12" x14ac:dyDescent="0.3">
      <c r="A1301">
        <v>33526</v>
      </c>
      <c r="B1301" t="s">
        <v>13</v>
      </c>
      <c r="C1301">
        <v>51</v>
      </c>
      <c r="D1301" t="s">
        <v>15</v>
      </c>
      <c r="E1301" t="s">
        <v>15</v>
      </c>
      <c r="F1301" t="s">
        <v>16</v>
      </c>
      <c r="G1301" t="s">
        <v>18</v>
      </c>
      <c r="H1301" t="s">
        <v>23</v>
      </c>
      <c r="I1301">
        <v>91.63</v>
      </c>
      <c r="J1301">
        <v>35.299999999999997</v>
      </c>
      <c r="K1301" t="s">
        <v>27</v>
      </c>
      <c r="L1301" t="s">
        <v>15</v>
      </c>
    </row>
    <row r="1302" spans="1:12" x14ac:dyDescent="0.3">
      <c r="A1302">
        <v>37327</v>
      </c>
      <c r="B1302" t="s">
        <v>13</v>
      </c>
      <c r="C1302">
        <v>71</v>
      </c>
      <c r="D1302" t="s">
        <v>15</v>
      </c>
      <c r="E1302" t="s">
        <v>15</v>
      </c>
      <c r="F1302" t="s">
        <v>16</v>
      </c>
      <c r="G1302" t="s">
        <v>17</v>
      </c>
      <c r="H1302" t="s">
        <v>22</v>
      </c>
      <c r="I1302">
        <v>214.77</v>
      </c>
      <c r="K1302" t="s">
        <v>27</v>
      </c>
      <c r="L1302" t="s">
        <v>15</v>
      </c>
    </row>
    <row r="1303" spans="1:12" x14ac:dyDescent="0.3">
      <c r="A1303">
        <v>55976</v>
      </c>
      <c r="B1303" t="s">
        <v>12</v>
      </c>
      <c r="C1303">
        <v>5</v>
      </c>
      <c r="D1303" t="s">
        <v>15</v>
      </c>
      <c r="E1303" t="s">
        <v>15</v>
      </c>
      <c r="F1303" t="s">
        <v>15</v>
      </c>
      <c r="G1303" t="s">
        <v>20</v>
      </c>
      <c r="H1303" t="s">
        <v>23</v>
      </c>
      <c r="I1303">
        <v>145.71</v>
      </c>
      <c r="J1303">
        <v>18.100000000000001</v>
      </c>
      <c r="K1303" t="s">
        <v>27</v>
      </c>
      <c r="L1303" t="s">
        <v>15</v>
      </c>
    </row>
    <row r="1304" spans="1:12" x14ac:dyDescent="0.3">
      <c r="A1304">
        <v>56090</v>
      </c>
      <c r="B1304" t="s">
        <v>13</v>
      </c>
      <c r="C1304">
        <v>65</v>
      </c>
      <c r="D1304" t="s">
        <v>15</v>
      </c>
      <c r="E1304" t="s">
        <v>15</v>
      </c>
      <c r="F1304" t="s">
        <v>16</v>
      </c>
      <c r="G1304" t="s">
        <v>18</v>
      </c>
      <c r="H1304" t="s">
        <v>23</v>
      </c>
      <c r="I1304">
        <v>167.31</v>
      </c>
      <c r="J1304">
        <v>27.1</v>
      </c>
      <c r="K1304" t="s">
        <v>25</v>
      </c>
      <c r="L1304" t="s">
        <v>15</v>
      </c>
    </row>
    <row r="1305" spans="1:12" x14ac:dyDescent="0.3">
      <c r="A1305">
        <v>38350</v>
      </c>
      <c r="B1305" t="s">
        <v>13</v>
      </c>
      <c r="C1305">
        <v>81</v>
      </c>
      <c r="D1305" t="s">
        <v>15</v>
      </c>
      <c r="E1305" t="s">
        <v>15</v>
      </c>
      <c r="F1305" t="s">
        <v>16</v>
      </c>
      <c r="G1305" t="s">
        <v>18</v>
      </c>
      <c r="H1305" t="s">
        <v>22</v>
      </c>
      <c r="I1305">
        <v>63.65</v>
      </c>
      <c r="J1305">
        <v>23</v>
      </c>
      <c r="K1305" t="s">
        <v>27</v>
      </c>
      <c r="L1305" t="s">
        <v>15</v>
      </c>
    </row>
    <row r="1306" spans="1:12" x14ac:dyDescent="0.3">
      <c r="A1306">
        <v>6040</v>
      </c>
      <c r="B1306" t="s">
        <v>13</v>
      </c>
      <c r="C1306">
        <v>46</v>
      </c>
      <c r="D1306" t="s">
        <v>15</v>
      </c>
      <c r="E1306" t="s">
        <v>15</v>
      </c>
      <c r="F1306" t="s">
        <v>15</v>
      </c>
      <c r="G1306" t="s">
        <v>17</v>
      </c>
      <c r="H1306" t="s">
        <v>23</v>
      </c>
      <c r="I1306">
        <v>79.63</v>
      </c>
      <c r="J1306">
        <v>55</v>
      </c>
      <c r="K1306" t="s">
        <v>27</v>
      </c>
      <c r="L1306" t="s">
        <v>15</v>
      </c>
    </row>
    <row r="1307" spans="1:12" x14ac:dyDescent="0.3">
      <c r="A1307">
        <v>17639</v>
      </c>
      <c r="B1307" t="s">
        <v>12</v>
      </c>
      <c r="C1307">
        <v>44</v>
      </c>
      <c r="D1307" t="s">
        <v>15</v>
      </c>
      <c r="E1307" t="s">
        <v>15</v>
      </c>
      <c r="F1307" t="s">
        <v>16</v>
      </c>
      <c r="G1307" t="s">
        <v>19</v>
      </c>
      <c r="H1307" t="s">
        <v>23</v>
      </c>
      <c r="I1307">
        <v>87.49</v>
      </c>
      <c r="J1307">
        <v>26.6</v>
      </c>
      <c r="K1307" t="s">
        <v>25</v>
      </c>
      <c r="L1307" t="s">
        <v>15</v>
      </c>
    </row>
    <row r="1308" spans="1:12" x14ac:dyDescent="0.3">
      <c r="A1308">
        <v>1678</v>
      </c>
      <c r="B1308" t="s">
        <v>13</v>
      </c>
      <c r="C1308">
        <v>54</v>
      </c>
      <c r="D1308" t="s">
        <v>16</v>
      </c>
      <c r="E1308" t="s">
        <v>15</v>
      </c>
      <c r="F1308" t="s">
        <v>16</v>
      </c>
      <c r="G1308" t="s">
        <v>17</v>
      </c>
      <c r="H1308" t="s">
        <v>23</v>
      </c>
      <c r="I1308">
        <v>98.74</v>
      </c>
      <c r="K1308" t="s">
        <v>25</v>
      </c>
      <c r="L1308" t="s">
        <v>15</v>
      </c>
    </row>
    <row r="1309" spans="1:12" x14ac:dyDescent="0.3">
      <c r="A1309">
        <v>27572</v>
      </c>
      <c r="B1309" t="s">
        <v>13</v>
      </c>
      <c r="C1309">
        <v>25</v>
      </c>
      <c r="D1309" t="s">
        <v>15</v>
      </c>
      <c r="E1309" t="s">
        <v>15</v>
      </c>
      <c r="F1309" t="s">
        <v>15</v>
      </c>
      <c r="G1309" t="s">
        <v>17</v>
      </c>
      <c r="H1309" t="s">
        <v>23</v>
      </c>
      <c r="I1309">
        <v>92.82</v>
      </c>
      <c r="J1309">
        <v>24.1</v>
      </c>
      <c r="K1309" t="s">
        <v>25</v>
      </c>
      <c r="L1309" t="s">
        <v>15</v>
      </c>
    </row>
    <row r="1310" spans="1:12" x14ac:dyDescent="0.3">
      <c r="A1310">
        <v>57668</v>
      </c>
      <c r="B1310" t="s">
        <v>12</v>
      </c>
      <c r="C1310">
        <v>49</v>
      </c>
      <c r="D1310" t="s">
        <v>15</v>
      </c>
      <c r="E1310" t="s">
        <v>15</v>
      </c>
      <c r="F1310" t="s">
        <v>16</v>
      </c>
      <c r="G1310" t="s">
        <v>19</v>
      </c>
      <c r="H1310" t="s">
        <v>22</v>
      </c>
      <c r="I1310">
        <v>72.2</v>
      </c>
      <c r="J1310">
        <v>30.3</v>
      </c>
      <c r="K1310" t="s">
        <v>24</v>
      </c>
      <c r="L1310" t="s">
        <v>15</v>
      </c>
    </row>
    <row r="1311" spans="1:12" x14ac:dyDescent="0.3">
      <c r="A1311">
        <v>22001</v>
      </c>
      <c r="B1311" t="s">
        <v>12</v>
      </c>
      <c r="C1311">
        <v>80</v>
      </c>
      <c r="D1311" t="s">
        <v>15</v>
      </c>
      <c r="E1311" t="s">
        <v>16</v>
      </c>
      <c r="F1311" t="s">
        <v>16</v>
      </c>
      <c r="G1311" t="s">
        <v>19</v>
      </c>
      <c r="H1311" t="s">
        <v>23</v>
      </c>
      <c r="I1311">
        <v>181.23</v>
      </c>
      <c r="J1311">
        <v>32.200000000000003</v>
      </c>
      <c r="K1311" t="s">
        <v>24</v>
      </c>
      <c r="L1311" t="s">
        <v>15</v>
      </c>
    </row>
    <row r="1312" spans="1:12" x14ac:dyDescent="0.3">
      <c r="A1312">
        <v>54184</v>
      </c>
      <c r="B1312" t="s">
        <v>13</v>
      </c>
      <c r="C1312">
        <v>22</v>
      </c>
      <c r="D1312" t="s">
        <v>15</v>
      </c>
      <c r="E1312" t="s">
        <v>15</v>
      </c>
      <c r="F1312" t="s">
        <v>15</v>
      </c>
      <c r="G1312" t="s">
        <v>17</v>
      </c>
      <c r="H1312" t="s">
        <v>22</v>
      </c>
      <c r="I1312">
        <v>63.37</v>
      </c>
      <c r="J1312">
        <v>26.5</v>
      </c>
      <c r="K1312" t="s">
        <v>25</v>
      </c>
      <c r="L1312" t="s">
        <v>15</v>
      </c>
    </row>
    <row r="1313" spans="1:12" x14ac:dyDescent="0.3">
      <c r="A1313">
        <v>27966</v>
      </c>
      <c r="B1313" t="s">
        <v>13</v>
      </c>
      <c r="C1313">
        <v>61</v>
      </c>
      <c r="D1313" t="s">
        <v>15</v>
      </c>
      <c r="E1313" t="s">
        <v>15</v>
      </c>
      <c r="F1313" t="s">
        <v>16</v>
      </c>
      <c r="G1313" t="s">
        <v>17</v>
      </c>
      <c r="H1313" t="s">
        <v>22</v>
      </c>
      <c r="I1313">
        <v>74.819999999999993</v>
      </c>
      <c r="J1313">
        <v>30.6</v>
      </c>
      <c r="K1313" t="s">
        <v>25</v>
      </c>
      <c r="L1313" t="s">
        <v>15</v>
      </c>
    </row>
    <row r="1314" spans="1:12" x14ac:dyDescent="0.3">
      <c r="A1314">
        <v>4702</v>
      </c>
      <c r="B1314" t="s">
        <v>13</v>
      </c>
      <c r="C1314">
        <v>3</v>
      </c>
      <c r="D1314" t="s">
        <v>15</v>
      </c>
      <c r="E1314" t="s">
        <v>15</v>
      </c>
      <c r="F1314" t="s">
        <v>15</v>
      </c>
      <c r="G1314" t="s">
        <v>20</v>
      </c>
      <c r="H1314" t="s">
        <v>23</v>
      </c>
      <c r="I1314">
        <v>97.6</v>
      </c>
      <c r="J1314">
        <v>25.8</v>
      </c>
      <c r="K1314" t="s">
        <v>27</v>
      </c>
      <c r="L1314" t="s">
        <v>15</v>
      </c>
    </row>
    <row r="1315" spans="1:12" x14ac:dyDescent="0.3">
      <c r="A1315">
        <v>38123</v>
      </c>
      <c r="B1315" t="s">
        <v>12</v>
      </c>
      <c r="C1315">
        <v>50</v>
      </c>
      <c r="D1315" t="s">
        <v>15</v>
      </c>
      <c r="E1315" t="s">
        <v>15</v>
      </c>
      <c r="F1315" t="s">
        <v>16</v>
      </c>
      <c r="G1315" t="s">
        <v>17</v>
      </c>
      <c r="H1315" t="s">
        <v>23</v>
      </c>
      <c r="I1315">
        <v>93.04</v>
      </c>
      <c r="J1315">
        <v>41.9</v>
      </c>
      <c r="K1315" t="s">
        <v>26</v>
      </c>
      <c r="L1315" t="s">
        <v>15</v>
      </c>
    </row>
    <row r="1316" spans="1:12" x14ac:dyDescent="0.3">
      <c r="A1316">
        <v>47345</v>
      </c>
      <c r="B1316" t="s">
        <v>12</v>
      </c>
      <c r="C1316">
        <v>45</v>
      </c>
      <c r="D1316" t="s">
        <v>15</v>
      </c>
      <c r="E1316" t="s">
        <v>15</v>
      </c>
      <c r="F1316" t="s">
        <v>16</v>
      </c>
      <c r="G1316" t="s">
        <v>17</v>
      </c>
      <c r="H1316" t="s">
        <v>23</v>
      </c>
      <c r="I1316">
        <v>97.12</v>
      </c>
      <c r="J1316">
        <v>29.2</v>
      </c>
      <c r="K1316" t="s">
        <v>25</v>
      </c>
      <c r="L1316" t="s">
        <v>15</v>
      </c>
    </row>
    <row r="1317" spans="1:12" x14ac:dyDescent="0.3">
      <c r="A1317">
        <v>17222</v>
      </c>
      <c r="B1317" t="s">
        <v>12</v>
      </c>
      <c r="C1317">
        <v>55</v>
      </c>
      <c r="D1317" t="s">
        <v>16</v>
      </c>
      <c r="E1317" t="s">
        <v>15</v>
      </c>
      <c r="F1317" t="s">
        <v>16</v>
      </c>
      <c r="G1317" t="s">
        <v>18</v>
      </c>
      <c r="H1317" t="s">
        <v>23</v>
      </c>
      <c r="I1317">
        <v>82.81</v>
      </c>
      <c r="J1317">
        <v>44.3</v>
      </c>
      <c r="K1317" t="s">
        <v>25</v>
      </c>
      <c r="L1317" t="s">
        <v>15</v>
      </c>
    </row>
    <row r="1318" spans="1:12" x14ac:dyDescent="0.3">
      <c r="A1318">
        <v>45048</v>
      </c>
      <c r="B1318" t="s">
        <v>13</v>
      </c>
      <c r="C1318">
        <v>21</v>
      </c>
      <c r="D1318" t="s">
        <v>15</v>
      </c>
      <c r="E1318" t="s">
        <v>15</v>
      </c>
      <c r="F1318" t="s">
        <v>15</v>
      </c>
      <c r="G1318" t="s">
        <v>17</v>
      </c>
      <c r="H1318" t="s">
        <v>22</v>
      </c>
      <c r="I1318">
        <v>134.44999999999999</v>
      </c>
      <c r="J1318">
        <v>29.1</v>
      </c>
      <c r="K1318" t="s">
        <v>25</v>
      </c>
      <c r="L1318" t="s">
        <v>15</v>
      </c>
    </row>
    <row r="1319" spans="1:12" x14ac:dyDescent="0.3">
      <c r="A1319">
        <v>30084</v>
      </c>
      <c r="B1319" t="s">
        <v>12</v>
      </c>
      <c r="C1319">
        <v>0.8</v>
      </c>
      <c r="D1319" t="s">
        <v>15</v>
      </c>
      <c r="E1319" t="s">
        <v>15</v>
      </c>
      <c r="F1319" t="s">
        <v>15</v>
      </c>
      <c r="G1319" t="s">
        <v>20</v>
      </c>
      <c r="H1319" t="s">
        <v>23</v>
      </c>
      <c r="I1319">
        <v>98.67</v>
      </c>
      <c r="J1319">
        <v>17.5</v>
      </c>
      <c r="K1319" t="s">
        <v>27</v>
      </c>
      <c r="L1319" t="s">
        <v>15</v>
      </c>
    </row>
    <row r="1320" spans="1:12" x14ac:dyDescent="0.3">
      <c r="A1320">
        <v>7195</v>
      </c>
      <c r="B1320" t="s">
        <v>12</v>
      </c>
      <c r="C1320">
        <v>50</v>
      </c>
      <c r="D1320" t="s">
        <v>15</v>
      </c>
      <c r="E1320" t="s">
        <v>16</v>
      </c>
      <c r="F1320" t="s">
        <v>15</v>
      </c>
      <c r="G1320" t="s">
        <v>17</v>
      </c>
      <c r="H1320" t="s">
        <v>22</v>
      </c>
      <c r="I1320">
        <v>85.82</v>
      </c>
      <c r="J1320">
        <v>31.9</v>
      </c>
      <c r="K1320" t="s">
        <v>25</v>
      </c>
      <c r="L1320" t="s">
        <v>15</v>
      </c>
    </row>
    <row r="1321" spans="1:12" x14ac:dyDescent="0.3">
      <c r="A1321">
        <v>16260</v>
      </c>
      <c r="B1321" t="s">
        <v>12</v>
      </c>
      <c r="C1321">
        <v>73</v>
      </c>
      <c r="D1321" t="s">
        <v>15</v>
      </c>
      <c r="E1321" t="s">
        <v>16</v>
      </c>
      <c r="F1321" t="s">
        <v>16</v>
      </c>
      <c r="G1321" t="s">
        <v>18</v>
      </c>
      <c r="H1321" t="s">
        <v>23</v>
      </c>
      <c r="I1321">
        <v>189.45</v>
      </c>
      <c r="J1321">
        <v>32.200000000000003</v>
      </c>
      <c r="K1321" t="s">
        <v>25</v>
      </c>
      <c r="L1321" t="s">
        <v>15</v>
      </c>
    </row>
    <row r="1322" spans="1:12" x14ac:dyDescent="0.3">
      <c r="A1322">
        <v>52457</v>
      </c>
      <c r="B1322" t="s">
        <v>13</v>
      </c>
      <c r="C1322">
        <v>58</v>
      </c>
      <c r="D1322" t="s">
        <v>15</v>
      </c>
      <c r="E1322" t="s">
        <v>16</v>
      </c>
      <c r="F1322" t="s">
        <v>16</v>
      </c>
      <c r="G1322" t="s">
        <v>17</v>
      </c>
      <c r="H1322" t="s">
        <v>23</v>
      </c>
      <c r="I1322">
        <v>144.16</v>
      </c>
      <c r="J1322">
        <v>26</v>
      </c>
      <c r="K1322" t="s">
        <v>26</v>
      </c>
      <c r="L1322" t="s">
        <v>15</v>
      </c>
    </row>
    <row r="1323" spans="1:12" x14ac:dyDescent="0.3">
      <c r="A1323">
        <v>50650</v>
      </c>
      <c r="B1323" t="s">
        <v>12</v>
      </c>
      <c r="C1323">
        <v>30</v>
      </c>
      <c r="D1323" t="s">
        <v>15</v>
      </c>
      <c r="E1323" t="s">
        <v>15</v>
      </c>
      <c r="F1323" t="s">
        <v>15</v>
      </c>
      <c r="G1323" t="s">
        <v>17</v>
      </c>
      <c r="H1323" t="s">
        <v>23</v>
      </c>
      <c r="I1323">
        <v>82.56</v>
      </c>
      <c r="J1323">
        <v>25.4</v>
      </c>
      <c r="K1323" t="s">
        <v>24</v>
      </c>
      <c r="L1323" t="s">
        <v>15</v>
      </c>
    </row>
    <row r="1324" spans="1:12" x14ac:dyDescent="0.3">
      <c r="A1324">
        <v>35913</v>
      </c>
      <c r="B1324" t="s">
        <v>13</v>
      </c>
      <c r="C1324">
        <v>55</v>
      </c>
      <c r="D1324" t="s">
        <v>16</v>
      </c>
      <c r="E1324" t="s">
        <v>15</v>
      </c>
      <c r="F1324" t="s">
        <v>16</v>
      </c>
      <c r="G1324" t="s">
        <v>17</v>
      </c>
      <c r="H1324" t="s">
        <v>22</v>
      </c>
      <c r="I1324">
        <v>206.4</v>
      </c>
      <c r="J1324">
        <v>54.8</v>
      </c>
      <c r="K1324" t="s">
        <v>25</v>
      </c>
      <c r="L1324" t="s">
        <v>15</v>
      </c>
    </row>
    <row r="1325" spans="1:12" x14ac:dyDescent="0.3">
      <c r="A1325">
        <v>52306</v>
      </c>
      <c r="B1325" t="s">
        <v>12</v>
      </c>
      <c r="C1325">
        <v>57</v>
      </c>
      <c r="D1325" t="s">
        <v>15</v>
      </c>
      <c r="E1325" t="s">
        <v>15</v>
      </c>
      <c r="F1325" t="s">
        <v>16</v>
      </c>
      <c r="G1325" t="s">
        <v>18</v>
      </c>
      <c r="H1325" t="s">
        <v>22</v>
      </c>
      <c r="I1325">
        <v>67.97</v>
      </c>
      <c r="J1325">
        <v>27.9</v>
      </c>
      <c r="K1325" t="s">
        <v>25</v>
      </c>
      <c r="L1325" t="s">
        <v>15</v>
      </c>
    </row>
    <row r="1326" spans="1:12" x14ac:dyDescent="0.3">
      <c r="A1326">
        <v>132</v>
      </c>
      <c r="B1326" t="s">
        <v>13</v>
      </c>
      <c r="C1326">
        <v>80</v>
      </c>
      <c r="D1326" t="s">
        <v>15</v>
      </c>
      <c r="E1326" t="s">
        <v>15</v>
      </c>
      <c r="F1326" t="s">
        <v>16</v>
      </c>
      <c r="G1326" t="s">
        <v>19</v>
      </c>
      <c r="H1326" t="s">
        <v>22</v>
      </c>
      <c r="I1326">
        <v>84.86</v>
      </c>
      <c r="K1326" t="s">
        <v>27</v>
      </c>
      <c r="L1326" t="s">
        <v>15</v>
      </c>
    </row>
    <row r="1327" spans="1:12" x14ac:dyDescent="0.3">
      <c r="A1327">
        <v>8951</v>
      </c>
      <c r="B1327" t="s">
        <v>13</v>
      </c>
      <c r="C1327">
        <v>77</v>
      </c>
      <c r="D1327" t="s">
        <v>16</v>
      </c>
      <c r="E1327" t="s">
        <v>15</v>
      </c>
      <c r="F1327" t="s">
        <v>16</v>
      </c>
      <c r="G1327" t="s">
        <v>18</v>
      </c>
      <c r="H1327" t="s">
        <v>22</v>
      </c>
      <c r="I1327">
        <v>71.7</v>
      </c>
      <c r="J1327">
        <v>32.799999999999997</v>
      </c>
      <c r="K1327" t="s">
        <v>25</v>
      </c>
      <c r="L1327" t="s">
        <v>15</v>
      </c>
    </row>
    <row r="1328" spans="1:12" x14ac:dyDescent="0.3">
      <c r="A1328">
        <v>64752</v>
      </c>
      <c r="B1328" t="s">
        <v>13</v>
      </c>
      <c r="C1328">
        <v>29</v>
      </c>
      <c r="D1328" t="s">
        <v>15</v>
      </c>
      <c r="E1328" t="s">
        <v>15</v>
      </c>
      <c r="F1328" t="s">
        <v>15</v>
      </c>
      <c r="G1328" t="s">
        <v>17</v>
      </c>
      <c r="H1328" t="s">
        <v>22</v>
      </c>
      <c r="I1328">
        <v>72.02</v>
      </c>
      <c r="J1328">
        <v>34</v>
      </c>
      <c r="K1328" t="s">
        <v>24</v>
      </c>
      <c r="L1328" t="s">
        <v>15</v>
      </c>
    </row>
    <row r="1329" spans="1:12" x14ac:dyDescent="0.3">
      <c r="A1329">
        <v>51285</v>
      </c>
      <c r="B1329" t="s">
        <v>13</v>
      </c>
      <c r="C1329">
        <v>46</v>
      </c>
      <c r="D1329" t="s">
        <v>15</v>
      </c>
      <c r="E1329" t="s">
        <v>15</v>
      </c>
      <c r="F1329" t="s">
        <v>16</v>
      </c>
      <c r="G1329" t="s">
        <v>17</v>
      </c>
      <c r="H1329" t="s">
        <v>22</v>
      </c>
      <c r="I1329">
        <v>61.81</v>
      </c>
      <c r="J1329">
        <v>25.5</v>
      </c>
      <c r="K1329" t="s">
        <v>27</v>
      </c>
      <c r="L1329" t="s">
        <v>15</v>
      </c>
    </row>
    <row r="1330" spans="1:12" x14ac:dyDescent="0.3">
      <c r="A1330">
        <v>14349</v>
      </c>
      <c r="B1330" t="s">
        <v>13</v>
      </c>
      <c r="C1330">
        <v>40</v>
      </c>
      <c r="D1330" t="s">
        <v>15</v>
      </c>
      <c r="E1330" t="s">
        <v>15</v>
      </c>
      <c r="F1330" t="s">
        <v>16</v>
      </c>
      <c r="G1330" t="s">
        <v>17</v>
      </c>
      <c r="H1330" t="s">
        <v>22</v>
      </c>
      <c r="I1330">
        <v>103.09</v>
      </c>
      <c r="J1330">
        <v>35.6</v>
      </c>
      <c r="K1330" t="s">
        <v>27</v>
      </c>
      <c r="L1330" t="s">
        <v>15</v>
      </c>
    </row>
    <row r="1331" spans="1:12" x14ac:dyDescent="0.3">
      <c r="A1331">
        <v>40571</v>
      </c>
      <c r="B1331" t="s">
        <v>12</v>
      </c>
      <c r="C1331">
        <v>29</v>
      </c>
      <c r="D1331" t="s">
        <v>15</v>
      </c>
      <c r="E1331" t="s">
        <v>15</v>
      </c>
      <c r="F1331" t="s">
        <v>15</v>
      </c>
      <c r="G1331" t="s">
        <v>17</v>
      </c>
      <c r="H1331" t="s">
        <v>22</v>
      </c>
      <c r="I1331">
        <v>73.75</v>
      </c>
      <c r="J1331">
        <v>28.3</v>
      </c>
      <c r="K1331" t="s">
        <v>25</v>
      </c>
      <c r="L1331" t="s">
        <v>15</v>
      </c>
    </row>
    <row r="1332" spans="1:12" x14ac:dyDescent="0.3">
      <c r="A1332">
        <v>40624</v>
      </c>
      <c r="B1332" t="s">
        <v>13</v>
      </c>
      <c r="C1332">
        <v>37</v>
      </c>
      <c r="D1332" t="s">
        <v>15</v>
      </c>
      <c r="E1332" t="s">
        <v>15</v>
      </c>
      <c r="F1332" t="s">
        <v>16</v>
      </c>
      <c r="G1332" t="s">
        <v>17</v>
      </c>
      <c r="H1332" t="s">
        <v>23</v>
      </c>
      <c r="I1332">
        <v>156.69999999999999</v>
      </c>
      <c r="J1332">
        <v>36.9</v>
      </c>
      <c r="K1332" t="s">
        <v>25</v>
      </c>
      <c r="L1332" t="s">
        <v>15</v>
      </c>
    </row>
    <row r="1333" spans="1:12" x14ac:dyDescent="0.3">
      <c r="A1333">
        <v>13072</v>
      </c>
      <c r="B1333" t="s">
        <v>13</v>
      </c>
      <c r="C1333">
        <v>35</v>
      </c>
      <c r="D1333" t="s">
        <v>15</v>
      </c>
      <c r="E1333" t="s">
        <v>15</v>
      </c>
      <c r="F1333" t="s">
        <v>16</v>
      </c>
      <c r="G1333" t="s">
        <v>18</v>
      </c>
      <c r="H1333" t="s">
        <v>22</v>
      </c>
      <c r="I1333">
        <v>70.87</v>
      </c>
      <c r="J1333">
        <v>22.1</v>
      </c>
      <c r="K1333" t="s">
        <v>24</v>
      </c>
      <c r="L1333" t="s">
        <v>15</v>
      </c>
    </row>
    <row r="1334" spans="1:12" x14ac:dyDescent="0.3">
      <c r="A1334">
        <v>66310</v>
      </c>
      <c r="B1334" t="s">
        <v>12</v>
      </c>
      <c r="C1334">
        <v>54</v>
      </c>
      <c r="D1334" t="s">
        <v>15</v>
      </c>
      <c r="E1334" t="s">
        <v>15</v>
      </c>
      <c r="F1334" t="s">
        <v>16</v>
      </c>
      <c r="G1334" t="s">
        <v>18</v>
      </c>
      <c r="H1334" t="s">
        <v>23</v>
      </c>
      <c r="I1334">
        <v>138.47</v>
      </c>
      <c r="J1334">
        <v>31.5</v>
      </c>
      <c r="K1334" t="s">
        <v>25</v>
      </c>
      <c r="L1334" t="s">
        <v>15</v>
      </c>
    </row>
    <row r="1335" spans="1:12" x14ac:dyDescent="0.3">
      <c r="A1335">
        <v>58101</v>
      </c>
      <c r="B1335" t="s">
        <v>13</v>
      </c>
      <c r="C1335">
        <v>56</v>
      </c>
      <c r="D1335" t="s">
        <v>15</v>
      </c>
      <c r="E1335" t="s">
        <v>16</v>
      </c>
      <c r="F1335" t="s">
        <v>16</v>
      </c>
      <c r="G1335" t="s">
        <v>17</v>
      </c>
      <c r="H1335" t="s">
        <v>23</v>
      </c>
      <c r="I1335">
        <v>64.66</v>
      </c>
      <c r="J1335">
        <v>26.7</v>
      </c>
      <c r="K1335" t="s">
        <v>24</v>
      </c>
      <c r="L1335" t="s">
        <v>15</v>
      </c>
    </row>
    <row r="1336" spans="1:12" x14ac:dyDescent="0.3">
      <c r="A1336">
        <v>22969</v>
      </c>
      <c r="B1336" t="s">
        <v>13</v>
      </c>
      <c r="C1336">
        <v>26</v>
      </c>
      <c r="D1336" t="s">
        <v>15</v>
      </c>
      <c r="E1336" t="s">
        <v>15</v>
      </c>
      <c r="F1336" t="s">
        <v>16</v>
      </c>
      <c r="G1336" t="s">
        <v>17</v>
      </c>
      <c r="H1336" t="s">
        <v>23</v>
      </c>
      <c r="I1336">
        <v>91.88</v>
      </c>
      <c r="J1336">
        <v>24.9</v>
      </c>
      <c r="K1336" t="s">
        <v>24</v>
      </c>
      <c r="L1336" t="s">
        <v>15</v>
      </c>
    </row>
    <row r="1337" spans="1:12" x14ac:dyDescent="0.3">
      <c r="A1337">
        <v>28904</v>
      </c>
      <c r="B1337" t="s">
        <v>13</v>
      </c>
      <c r="C1337">
        <v>75</v>
      </c>
      <c r="D1337" t="s">
        <v>15</v>
      </c>
      <c r="E1337" t="s">
        <v>15</v>
      </c>
      <c r="F1337" t="s">
        <v>16</v>
      </c>
      <c r="G1337" t="s">
        <v>18</v>
      </c>
      <c r="H1337" t="s">
        <v>23</v>
      </c>
      <c r="I1337">
        <v>74.790000000000006</v>
      </c>
      <c r="J1337">
        <v>32.4</v>
      </c>
      <c r="K1337" t="s">
        <v>25</v>
      </c>
      <c r="L1337" t="s">
        <v>15</v>
      </c>
    </row>
    <row r="1338" spans="1:12" x14ac:dyDescent="0.3">
      <c r="A1338">
        <v>6563</v>
      </c>
      <c r="B1338" t="s">
        <v>13</v>
      </c>
      <c r="C1338">
        <v>44</v>
      </c>
      <c r="D1338" t="s">
        <v>15</v>
      </c>
      <c r="E1338" t="s">
        <v>15</v>
      </c>
      <c r="F1338" t="s">
        <v>15</v>
      </c>
      <c r="G1338" t="s">
        <v>17</v>
      </c>
      <c r="H1338" t="s">
        <v>23</v>
      </c>
      <c r="I1338">
        <v>78.180000000000007</v>
      </c>
      <c r="J1338">
        <v>32.200000000000003</v>
      </c>
      <c r="K1338" t="s">
        <v>25</v>
      </c>
      <c r="L1338" t="s">
        <v>15</v>
      </c>
    </row>
    <row r="1339" spans="1:12" x14ac:dyDescent="0.3">
      <c r="A1339">
        <v>55315</v>
      </c>
      <c r="B1339" t="s">
        <v>12</v>
      </c>
      <c r="C1339">
        <v>63</v>
      </c>
      <c r="D1339" t="s">
        <v>15</v>
      </c>
      <c r="E1339" t="s">
        <v>15</v>
      </c>
      <c r="F1339" t="s">
        <v>16</v>
      </c>
      <c r="G1339" t="s">
        <v>17</v>
      </c>
      <c r="H1339" t="s">
        <v>23</v>
      </c>
      <c r="I1339">
        <v>77.819999999999993</v>
      </c>
      <c r="J1339">
        <v>30.3</v>
      </c>
      <c r="K1339" t="s">
        <v>27</v>
      </c>
      <c r="L1339" t="s">
        <v>15</v>
      </c>
    </row>
    <row r="1340" spans="1:12" x14ac:dyDescent="0.3">
      <c r="A1340">
        <v>47537</v>
      </c>
      <c r="B1340" t="s">
        <v>13</v>
      </c>
      <c r="C1340">
        <v>17</v>
      </c>
      <c r="D1340" t="s">
        <v>15</v>
      </c>
      <c r="E1340" t="s">
        <v>15</v>
      </c>
      <c r="F1340" t="s">
        <v>15</v>
      </c>
      <c r="G1340" t="s">
        <v>17</v>
      </c>
      <c r="H1340" t="s">
        <v>23</v>
      </c>
      <c r="I1340">
        <v>112.23</v>
      </c>
      <c r="J1340">
        <v>28.7</v>
      </c>
      <c r="K1340" t="s">
        <v>25</v>
      </c>
      <c r="L1340" t="s">
        <v>15</v>
      </c>
    </row>
    <row r="1341" spans="1:12" x14ac:dyDescent="0.3">
      <c r="A1341">
        <v>45945</v>
      </c>
      <c r="B1341" t="s">
        <v>12</v>
      </c>
      <c r="C1341">
        <v>46</v>
      </c>
      <c r="D1341" t="s">
        <v>15</v>
      </c>
      <c r="E1341" t="s">
        <v>16</v>
      </c>
      <c r="F1341" t="s">
        <v>16</v>
      </c>
      <c r="G1341" t="s">
        <v>17</v>
      </c>
      <c r="H1341" t="s">
        <v>22</v>
      </c>
      <c r="I1341">
        <v>178.76</v>
      </c>
      <c r="J1341">
        <v>24.1</v>
      </c>
      <c r="K1341" t="s">
        <v>25</v>
      </c>
      <c r="L1341" t="s">
        <v>15</v>
      </c>
    </row>
    <row r="1342" spans="1:12" x14ac:dyDescent="0.3">
      <c r="A1342">
        <v>65849</v>
      </c>
      <c r="B1342" t="s">
        <v>13</v>
      </c>
      <c r="C1342">
        <v>47</v>
      </c>
      <c r="D1342" t="s">
        <v>15</v>
      </c>
      <c r="E1342" t="s">
        <v>15</v>
      </c>
      <c r="F1342" t="s">
        <v>16</v>
      </c>
      <c r="G1342" t="s">
        <v>17</v>
      </c>
      <c r="H1342" t="s">
        <v>23</v>
      </c>
      <c r="I1342">
        <v>121.43</v>
      </c>
      <c r="J1342">
        <v>25.3</v>
      </c>
      <c r="K1342" t="s">
        <v>25</v>
      </c>
      <c r="L1342" t="s">
        <v>15</v>
      </c>
    </row>
    <row r="1343" spans="1:12" x14ac:dyDescent="0.3">
      <c r="A1343">
        <v>31125</v>
      </c>
      <c r="B1343" t="s">
        <v>13</v>
      </c>
      <c r="C1343">
        <v>50</v>
      </c>
      <c r="D1343" t="s">
        <v>15</v>
      </c>
      <c r="E1343" t="s">
        <v>15</v>
      </c>
      <c r="F1343" t="s">
        <v>16</v>
      </c>
      <c r="G1343" t="s">
        <v>17</v>
      </c>
      <c r="H1343" t="s">
        <v>23</v>
      </c>
      <c r="I1343">
        <v>94.22</v>
      </c>
      <c r="J1343">
        <v>24.8</v>
      </c>
      <c r="K1343" t="s">
        <v>25</v>
      </c>
      <c r="L1343" t="s">
        <v>15</v>
      </c>
    </row>
    <row r="1344" spans="1:12" x14ac:dyDescent="0.3">
      <c r="A1344">
        <v>5103</v>
      </c>
      <c r="B1344" t="s">
        <v>13</v>
      </c>
      <c r="C1344">
        <v>49</v>
      </c>
      <c r="D1344" t="s">
        <v>15</v>
      </c>
      <c r="E1344" t="s">
        <v>15</v>
      </c>
      <c r="F1344" t="s">
        <v>16</v>
      </c>
      <c r="G1344" t="s">
        <v>17</v>
      </c>
      <c r="H1344" t="s">
        <v>23</v>
      </c>
      <c r="I1344">
        <v>67.27</v>
      </c>
      <c r="K1344" t="s">
        <v>24</v>
      </c>
      <c r="L1344" t="s">
        <v>15</v>
      </c>
    </row>
    <row r="1345" spans="1:12" x14ac:dyDescent="0.3">
      <c r="A1345">
        <v>54526</v>
      </c>
      <c r="B1345" t="s">
        <v>12</v>
      </c>
      <c r="C1345">
        <v>76</v>
      </c>
      <c r="D1345" t="s">
        <v>16</v>
      </c>
      <c r="E1345" t="s">
        <v>15</v>
      </c>
      <c r="F1345" t="s">
        <v>16</v>
      </c>
      <c r="G1345" t="s">
        <v>18</v>
      </c>
      <c r="H1345" t="s">
        <v>23</v>
      </c>
      <c r="I1345">
        <v>197.58</v>
      </c>
      <c r="J1345">
        <v>34.799999999999997</v>
      </c>
      <c r="K1345" t="s">
        <v>24</v>
      </c>
      <c r="L1345" t="s">
        <v>15</v>
      </c>
    </row>
    <row r="1346" spans="1:12" x14ac:dyDescent="0.3">
      <c r="A1346">
        <v>67309</v>
      </c>
      <c r="B1346" t="s">
        <v>12</v>
      </c>
      <c r="C1346">
        <v>47</v>
      </c>
      <c r="D1346" t="s">
        <v>15</v>
      </c>
      <c r="E1346" t="s">
        <v>15</v>
      </c>
      <c r="F1346" t="s">
        <v>16</v>
      </c>
      <c r="G1346" t="s">
        <v>17</v>
      </c>
      <c r="H1346" t="s">
        <v>23</v>
      </c>
      <c r="I1346">
        <v>86.37</v>
      </c>
      <c r="J1346">
        <v>39.200000000000003</v>
      </c>
      <c r="K1346" t="s">
        <v>26</v>
      </c>
      <c r="L1346" t="s">
        <v>15</v>
      </c>
    </row>
    <row r="1347" spans="1:12" x14ac:dyDescent="0.3">
      <c r="A1347">
        <v>2275</v>
      </c>
      <c r="B1347" t="s">
        <v>13</v>
      </c>
      <c r="C1347">
        <v>47</v>
      </c>
      <c r="D1347" t="s">
        <v>15</v>
      </c>
      <c r="E1347" t="s">
        <v>15</v>
      </c>
      <c r="F1347" t="s">
        <v>16</v>
      </c>
      <c r="G1347" t="s">
        <v>17</v>
      </c>
      <c r="H1347" t="s">
        <v>22</v>
      </c>
      <c r="I1347">
        <v>112.09</v>
      </c>
      <c r="J1347">
        <v>24.7</v>
      </c>
      <c r="K1347" t="s">
        <v>26</v>
      </c>
      <c r="L1347" t="s">
        <v>15</v>
      </c>
    </row>
    <row r="1348" spans="1:12" x14ac:dyDescent="0.3">
      <c r="A1348">
        <v>29869</v>
      </c>
      <c r="B1348" t="s">
        <v>12</v>
      </c>
      <c r="C1348">
        <v>49</v>
      </c>
      <c r="D1348" t="s">
        <v>15</v>
      </c>
      <c r="E1348" t="s">
        <v>15</v>
      </c>
      <c r="F1348" t="s">
        <v>16</v>
      </c>
      <c r="G1348" t="s">
        <v>17</v>
      </c>
      <c r="H1348" t="s">
        <v>22</v>
      </c>
      <c r="I1348">
        <v>199.96</v>
      </c>
      <c r="J1348">
        <v>28.6</v>
      </c>
      <c r="K1348" t="s">
        <v>25</v>
      </c>
      <c r="L1348" t="s">
        <v>15</v>
      </c>
    </row>
    <row r="1349" spans="1:12" x14ac:dyDescent="0.3">
      <c r="A1349">
        <v>15757</v>
      </c>
      <c r="B1349" t="s">
        <v>12</v>
      </c>
      <c r="C1349">
        <v>71</v>
      </c>
      <c r="D1349" t="s">
        <v>15</v>
      </c>
      <c r="E1349" t="s">
        <v>15</v>
      </c>
      <c r="F1349" t="s">
        <v>16</v>
      </c>
      <c r="G1349" t="s">
        <v>17</v>
      </c>
      <c r="H1349" t="s">
        <v>22</v>
      </c>
      <c r="I1349">
        <v>85.33</v>
      </c>
      <c r="J1349">
        <v>27.7</v>
      </c>
      <c r="K1349" t="s">
        <v>25</v>
      </c>
      <c r="L1349" t="s">
        <v>15</v>
      </c>
    </row>
    <row r="1350" spans="1:12" x14ac:dyDescent="0.3">
      <c r="A1350">
        <v>38523</v>
      </c>
      <c r="B1350" t="s">
        <v>13</v>
      </c>
      <c r="C1350">
        <v>65</v>
      </c>
      <c r="D1350" t="s">
        <v>15</v>
      </c>
      <c r="E1350" t="s">
        <v>15</v>
      </c>
      <c r="F1350" t="s">
        <v>15</v>
      </c>
      <c r="G1350" t="s">
        <v>18</v>
      </c>
      <c r="H1350" t="s">
        <v>23</v>
      </c>
      <c r="I1350">
        <v>86.33</v>
      </c>
      <c r="J1350">
        <v>33.1</v>
      </c>
      <c r="K1350" t="s">
        <v>25</v>
      </c>
      <c r="L1350" t="s">
        <v>15</v>
      </c>
    </row>
    <row r="1351" spans="1:12" x14ac:dyDescent="0.3">
      <c r="A1351">
        <v>65388</v>
      </c>
      <c r="B1351" t="s">
        <v>13</v>
      </c>
      <c r="C1351">
        <v>40</v>
      </c>
      <c r="D1351" t="s">
        <v>15</v>
      </c>
      <c r="E1351" t="s">
        <v>15</v>
      </c>
      <c r="F1351" t="s">
        <v>15</v>
      </c>
      <c r="G1351" t="s">
        <v>17</v>
      </c>
      <c r="H1351" t="s">
        <v>22</v>
      </c>
      <c r="I1351">
        <v>80.47</v>
      </c>
      <c r="J1351">
        <v>27.3</v>
      </c>
      <c r="K1351" t="s">
        <v>26</v>
      </c>
      <c r="L1351" t="s">
        <v>15</v>
      </c>
    </row>
    <row r="1352" spans="1:12" x14ac:dyDescent="0.3">
      <c r="A1352">
        <v>60816</v>
      </c>
      <c r="B1352" t="s">
        <v>13</v>
      </c>
      <c r="C1352">
        <v>82</v>
      </c>
      <c r="D1352" t="s">
        <v>16</v>
      </c>
      <c r="E1352" t="s">
        <v>15</v>
      </c>
      <c r="F1352" t="s">
        <v>16</v>
      </c>
      <c r="G1352" t="s">
        <v>17</v>
      </c>
      <c r="H1352" t="s">
        <v>22</v>
      </c>
      <c r="I1352">
        <v>62.46</v>
      </c>
      <c r="J1352">
        <v>20.3</v>
      </c>
      <c r="K1352" t="s">
        <v>24</v>
      </c>
      <c r="L1352" t="s">
        <v>15</v>
      </c>
    </row>
    <row r="1353" spans="1:12" x14ac:dyDescent="0.3">
      <c r="A1353">
        <v>67350</v>
      </c>
      <c r="B1353" t="s">
        <v>13</v>
      </c>
      <c r="C1353">
        <v>64</v>
      </c>
      <c r="D1353" t="s">
        <v>15</v>
      </c>
      <c r="E1353" t="s">
        <v>15</v>
      </c>
      <c r="F1353" t="s">
        <v>16</v>
      </c>
      <c r="G1353" t="s">
        <v>19</v>
      </c>
      <c r="H1353" t="s">
        <v>23</v>
      </c>
      <c r="I1353">
        <v>78.849999999999994</v>
      </c>
      <c r="J1353">
        <v>33.9</v>
      </c>
      <c r="K1353" t="s">
        <v>25</v>
      </c>
      <c r="L1353" t="s">
        <v>15</v>
      </c>
    </row>
    <row r="1354" spans="1:12" x14ac:dyDescent="0.3">
      <c r="A1354">
        <v>40124</v>
      </c>
      <c r="B1354" t="s">
        <v>12</v>
      </c>
      <c r="C1354">
        <v>72</v>
      </c>
      <c r="D1354" t="s">
        <v>15</v>
      </c>
      <c r="E1354" t="s">
        <v>15</v>
      </c>
      <c r="F1354" t="s">
        <v>16</v>
      </c>
      <c r="G1354" t="s">
        <v>18</v>
      </c>
      <c r="H1354" t="s">
        <v>23</v>
      </c>
      <c r="I1354">
        <v>72.09</v>
      </c>
      <c r="K1354" t="s">
        <v>26</v>
      </c>
      <c r="L1354" t="s">
        <v>15</v>
      </c>
    </row>
    <row r="1355" spans="1:12" x14ac:dyDescent="0.3">
      <c r="A1355">
        <v>20370</v>
      </c>
      <c r="B1355" t="s">
        <v>13</v>
      </c>
      <c r="C1355">
        <v>50</v>
      </c>
      <c r="D1355" t="s">
        <v>15</v>
      </c>
      <c r="E1355" t="s">
        <v>15</v>
      </c>
      <c r="F1355" t="s">
        <v>16</v>
      </c>
      <c r="G1355" t="s">
        <v>18</v>
      </c>
      <c r="H1355" t="s">
        <v>23</v>
      </c>
      <c r="I1355">
        <v>103.81</v>
      </c>
      <c r="J1355">
        <v>28.3</v>
      </c>
      <c r="K1355" t="s">
        <v>25</v>
      </c>
      <c r="L1355" t="s">
        <v>15</v>
      </c>
    </row>
    <row r="1356" spans="1:12" x14ac:dyDescent="0.3">
      <c r="A1356">
        <v>35188</v>
      </c>
      <c r="B1356" t="s">
        <v>13</v>
      </c>
      <c r="C1356">
        <v>40</v>
      </c>
      <c r="D1356" t="s">
        <v>15</v>
      </c>
      <c r="E1356" t="s">
        <v>15</v>
      </c>
      <c r="F1356" t="s">
        <v>15</v>
      </c>
      <c r="G1356" t="s">
        <v>17</v>
      </c>
      <c r="H1356" t="s">
        <v>22</v>
      </c>
      <c r="I1356">
        <v>78.040000000000006</v>
      </c>
      <c r="J1356">
        <v>32.4</v>
      </c>
      <c r="K1356" t="s">
        <v>26</v>
      </c>
      <c r="L1356" t="s">
        <v>15</v>
      </c>
    </row>
    <row r="1357" spans="1:12" x14ac:dyDescent="0.3">
      <c r="A1357">
        <v>28716</v>
      </c>
      <c r="B1357" t="s">
        <v>13</v>
      </c>
      <c r="C1357">
        <v>74</v>
      </c>
      <c r="D1357" t="s">
        <v>15</v>
      </c>
      <c r="E1357" t="s">
        <v>15</v>
      </c>
      <c r="F1357" t="s">
        <v>16</v>
      </c>
      <c r="G1357" t="s">
        <v>18</v>
      </c>
      <c r="H1357" t="s">
        <v>23</v>
      </c>
      <c r="I1357">
        <v>94.67</v>
      </c>
      <c r="J1357">
        <v>19.7</v>
      </c>
      <c r="K1357" t="s">
        <v>27</v>
      </c>
      <c r="L1357" t="s">
        <v>15</v>
      </c>
    </row>
    <row r="1358" spans="1:12" x14ac:dyDescent="0.3">
      <c r="A1358">
        <v>56166</v>
      </c>
      <c r="B1358" t="s">
        <v>13</v>
      </c>
      <c r="C1358">
        <v>30</v>
      </c>
      <c r="D1358" t="s">
        <v>15</v>
      </c>
      <c r="E1358" t="s">
        <v>15</v>
      </c>
      <c r="F1358" t="s">
        <v>16</v>
      </c>
      <c r="G1358" t="s">
        <v>19</v>
      </c>
      <c r="H1358" t="s">
        <v>23</v>
      </c>
      <c r="I1358">
        <v>62.25</v>
      </c>
      <c r="J1358">
        <v>33.700000000000003</v>
      </c>
      <c r="K1358" t="s">
        <v>25</v>
      </c>
      <c r="L1358" t="s">
        <v>15</v>
      </c>
    </row>
    <row r="1359" spans="1:12" x14ac:dyDescent="0.3">
      <c r="A1359">
        <v>47159</v>
      </c>
      <c r="B1359" t="s">
        <v>12</v>
      </c>
      <c r="C1359">
        <v>68</v>
      </c>
      <c r="D1359" t="s">
        <v>15</v>
      </c>
      <c r="E1359" t="s">
        <v>15</v>
      </c>
      <c r="F1359" t="s">
        <v>16</v>
      </c>
      <c r="G1359" t="s">
        <v>17</v>
      </c>
      <c r="H1359" t="s">
        <v>22</v>
      </c>
      <c r="I1359">
        <v>155.16999999999999</v>
      </c>
      <c r="J1359">
        <v>35.5</v>
      </c>
      <c r="K1359" t="s">
        <v>25</v>
      </c>
      <c r="L1359" t="s">
        <v>15</v>
      </c>
    </row>
    <row r="1360" spans="1:12" x14ac:dyDescent="0.3">
      <c r="A1360">
        <v>26242</v>
      </c>
      <c r="B1360" t="s">
        <v>12</v>
      </c>
      <c r="C1360">
        <v>6</v>
      </c>
      <c r="D1360" t="s">
        <v>15</v>
      </c>
      <c r="E1360" t="s">
        <v>15</v>
      </c>
      <c r="F1360" t="s">
        <v>15</v>
      </c>
      <c r="G1360" t="s">
        <v>20</v>
      </c>
      <c r="H1360" t="s">
        <v>22</v>
      </c>
      <c r="I1360">
        <v>83.28</v>
      </c>
      <c r="J1360">
        <v>20</v>
      </c>
      <c r="K1360" t="s">
        <v>27</v>
      </c>
      <c r="L1360" t="s">
        <v>15</v>
      </c>
    </row>
    <row r="1361" spans="1:12" x14ac:dyDescent="0.3">
      <c r="A1361">
        <v>36226</v>
      </c>
      <c r="B1361" t="s">
        <v>12</v>
      </c>
      <c r="C1361">
        <v>4</v>
      </c>
      <c r="D1361" t="s">
        <v>15</v>
      </c>
      <c r="E1361" t="s">
        <v>15</v>
      </c>
      <c r="F1361" t="s">
        <v>15</v>
      </c>
      <c r="G1361" t="s">
        <v>20</v>
      </c>
      <c r="H1361" t="s">
        <v>22</v>
      </c>
      <c r="I1361">
        <v>132.41</v>
      </c>
      <c r="J1361">
        <v>16.3</v>
      </c>
      <c r="K1361" t="s">
        <v>27</v>
      </c>
      <c r="L1361" t="s">
        <v>15</v>
      </c>
    </row>
    <row r="1362" spans="1:12" x14ac:dyDescent="0.3">
      <c r="A1362">
        <v>47357</v>
      </c>
      <c r="B1362" t="s">
        <v>13</v>
      </c>
      <c r="C1362">
        <v>60</v>
      </c>
      <c r="D1362" t="s">
        <v>15</v>
      </c>
      <c r="E1362" t="s">
        <v>15</v>
      </c>
      <c r="F1362" t="s">
        <v>16</v>
      </c>
      <c r="G1362" t="s">
        <v>17</v>
      </c>
      <c r="H1362" t="s">
        <v>23</v>
      </c>
      <c r="I1362">
        <v>62.78</v>
      </c>
      <c r="J1362">
        <v>36.4</v>
      </c>
      <c r="K1362" t="s">
        <v>27</v>
      </c>
      <c r="L1362" t="s">
        <v>15</v>
      </c>
    </row>
    <row r="1363" spans="1:12" x14ac:dyDescent="0.3">
      <c r="A1363">
        <v>33167</v>
      </c>
      <c r="B1363" t="s">
        <v>13</v>
      </c>
      <c r="C1363">
        <v>59</v>
      </c>
      <c r="D1363" t="s">
        <v>15</v>
      </c>
      <c r="E1363" t="s">
        <v>15</v>
      </c>
      <c r="F1363" t="s">
        <v>16</v>
      </c>
      <c r="G1363" t="s">
        <v>17</v>
      </c>
      <c r="H1363" t="s">
        <v>22</v>
      </c>
      <c r="I1363">
        <v>89.96</v>
      </c>
      <c r="J1363">
        <v>28.1</v>
      </c>
      <c r="K1363" t="s">
        <v>27</v>
      </c>
      <c r="L1363" t="s">
        <v>15</v>
      </c>
    </row>
    <row r="1364" spans="1:12" x14ac:dyDescent="0.3">
      <c r="A1364">
        <v>21042</v>
      </c>
      <c r="B1364" t="s">
        <v>13</v>
      </c>
      <c r="C1364">
        <v>72</v>
      </c>
      <c r="D1364" t="s">
        <v>15</v>
      </c>
      <c r="E1364" t="s">
        <v>15</v>
      </c>
      <c r="F1364" t="s">
        <v>16</v>
      </c>
      <c r="G1364" t="s">
        <v>18</v>
      </c>
      <c r="H1364" t="s">
        <v>23</v>
      </c>
      <c r="I1364">
        <v>103.25</v>
      </c>
      <c r="J1364">
        <v>26.9</v>
      </c>
      <c r="K1364" t="s">
        <v>24</v>
      </c>
      <c r="L1364" t="s">
        <v>15</v>
      </c>
    </row>
    <row r="1365" spans="1:12" x14ac:dyDescent="0.3">
      <c r="A1365">
        <v>71062</v>
      </c>
      <c r="B1365" t="s">
        <v>13</v>
      </c>
      <c r="C1365">
        <v>62</v>
      </c>
      <c r="D1365" t="s">
        <v>15</v>
      </c>
      <c r="E1365" t="s">
        <v>15</v>
      </c>
      <c r="F1365" t="s">
        <v>16</v>
      </c>
      <c r="G1365" t="s">
        <v>17</v>
      </c>
      <c r="H1365" t="s">
        <v>23</v>
      </c>
      <c r="I1365">
        <v>126.99</v>
      </c>
      <c r="J1365">
        <v>29.4</v>
      </c>
      <c r="K1365" t="s">
        <v>24</v>
      </c>
      <c r="L1365" t="s">
        <v>15</v>
      </c>
    </row>
    <row r="1366" spans="1:12" x14ac:dyDescent="0.3">
      <c r="A1366">
        <v>32723</v>
      </c>
      <c r="B1366" t="s">
        <v>13</v>
      </c>
      <c r="C1366">
        <v>13</v>
      </c>
      <c r="D1366" t="s">
        <v>15</v>
      </c>
      <c r="E1366" t="s">
        <v>15</v>
      </c>
      <c r="F1366" t="s">
        <v>15</v>
      </c>
      <c r="G1366" t="s">
        <v>20</v>
      </c>
      <c r="H1366" t="s">
        <v>23</v>
      </c>
      <c r="I1366">
        <v>102.27</v>
      </c>
      <c r="J1366">
        <v>17.2</v>
      </c>
      <c r="K1366" t="s">
        <v>25</v>
      </c>
      <c r="L1366" t="s">
        <v>15</v>
      </c>
    </row>
    <row r="1367" spans="1:12" x14ac:dyDescent="0.3">
      <c r="A1367">
        <v>49646</v>
      </c>
      <c r="B1367" t="s">
        <v>12</v>
      </c>
      <c r="C1367">
        <v>72</v>
      </c>
      <c r="D1367" t="s">
        <v>15</v>
      </c>
      <c r="E1367" t="s">
        <v>16</v>
      </c>
      <c r="F1367" t="s">
        <v>16</v>
      </c>
      <c r="G1367" t="s">
        <v>18</v>
      </c>
      <c r="H1367" t="s">
        <v>23</v>
      </c>
      <c r="I1367">
        <v>113.63</v>
      </c>
      <c r="J1367">
        <v>26.5</v>
      </c>
      <c r="K1367" t="s">
        <v>27</v>
      </c>
      <c r="L1367" t="s">
        <v>15</v>
      </c>
    </row>
    <row r="1368" spans="1:12" x14ac:dyDescent="0.3">
      <c r="A1368">
        <v>35737</v>
      </c>
      <c r="B1368" t="s">
        <v>12</v>
      </c>
      <c r="C1368">
        <v>1.08</v>
      </c>
      <c r="D1368" t="s">
        <v>15</v>
      </c>
      <c r="E1368" t="s">
        <v>15</v>
      </c>
      <c r="F1368" t="s">
        <v>15</v>
      </c>
      <c r="G1368" t="s">
        <v>20</v>
      </c>
      <c r="H1368" t="s">
        <v>22</v>
      </c>
      <c r="I1368">
        <v>86.09</v>
      </c>
      <c r="J1368">
        <v>19.5</v>
      </c>
      <c r="K1368" t="s">
        <v>27</v>
      </c>
      <c r="L1368" t="s">
        <v>15</v>
      </c>
    </row>
    <row r="1369" spans="1:12" x14ac:dyDescent="0.3">
      <c r="A1369">
        <v>24256</v>
      </c>
      <c r="B1369" t="s">
        <v>12</v>
      </c>
      <c r="C1369">
        <v>35</v>
      </c>
      <c r="D1369" t="s">
        <v>15</v>
      </c>
      <c r="E1369" t="s">
        <v>15</v>
      </c>
      <c r="F1369" t="s">
        <v>16</v>
      </c>
      <c r="G1369" t="s">
        <v>17</v>
      </c>
      <c r="H1369" t="s">
        <v>23</v>
      </c>
      <c r="I1369">
        <v>108.08</v>
      </c>
      <c r="J1369">
        <v>30.6</v>
      </c>
      <c r="K1369" t="s">
        <v>24</v>
      </c>
      <c r="L1369" t="s">
        <v>15</v>
      </c>
    </row>
    <row r="1370" spans="1:12" x14ac:dyDescent="0.3">
      <c r="A1370">
        <v>62340</v>
      </c>
      <c r="B1370" t="s">
        <v>12</v>
      </c>
      <c r="C1370">
        <v>54</v>
      </c>
      <c r="D1370" t="s">
        <v>15</v>
      </c>
      <c r="E1370" t="s">
        <v>15</v>
      </c>
      <c r="F1370" t="s">
        <v>16</v>
      </c>
      <c r="G1370" t="s">
        <v>17</v>
      </c>
      <c r="H1370" t="s">
        <v>22</v>
      </c>
      <c r="I1370">
        <v>108.34</v>
      </c>
      <c r="J1370">
        <v>31.9</v>
      </c>
      <c r="K1370" t="s">
        <v>25</v>
      </c>
      <c r="L1370" t="s">
        <v>15</v>
      </c>
    </row>
    <row r="1371" spans="1:12" x14ac:dyDescent="0.3">
      <c r="A1371">
        <v>39927</v>
      </c>
      <c r="B1371" t="s">
        <v>12</v>
      </c>
      <c r="C1371">
        <v>40</v>
      </c>
      <c r="D1371" t="s">
        <v>15</v>
      </c>
      <c r="E1371" t="s">
        <v>15</v>
      </c>
      <c r="F1371" t="s">
        <v>16</v>
      </c>
      <c r="G1371" t="s">
        <v>17</v>
      </c>
      <c r="H1371" t="s">
        <v>23</v>
      </c>
      <c r="I1371">
        <v>56.07</v>
      </c>
      <c r="J1371">
        <v>26.6</v>
      </c>
      <c r="K1371" t="s">
        <v>25</v>
      </c>
      <c r="L1371" t="s">
        <v>15</v>
      </c>
    </row>
    <row r="1372" spans="1:12" x14ac:dyDescent="0.3">
      <c r="A1372">
        <v>30677</v>
      </c>
      <c r="B1372" t="s">
        <v>13</v>
      </c>
      <c r="C1372">
        <v>3</v>
      </c>
      <c r="D1372" t="s">
        <v>15</v>
      </c>
      <c r="E1372" t="s">
        <v>15</v>
      </c>
      <c r="F1372" t="s">
        <v>15</v>
      </c>
      <c r="G1372" t="s">
        <v>20</v>
      </c>
      <c r="H1372" t="s">
        <v>22</v>
      </c>
      <c r="I1372">
        <v>82.91</v>
      </c>
      <c r="J1372">
        <v>19.899999999999999</v>
      </c>
      <c r="K1372" t="s">
        <v>27</v>
      </c>
      <c r="L1372" t="s">
        <v>15</v>
      </c>
    </row>
    <row r="1373" spans="1:12" x14ac:dyDescent="0.3">
      <c r="A1373">
        <v>50453</v>
      </c>
      <c r="B1373" t="s">
        <v>12</v>
      </c>
      <c r="C1373">
        <v>2</v>
      </c>
      <c r="D1373" t="s">
        <v>15</v>
      </c>
      <c r="E1373" t="s">
        <v>15</v>
      </c>
      <c r="F1373" t="s">
        <v>15</v>
      </c>
      <c r="G1373" t="s">
        <v>20</v>
      </c>
      <c r="H1373" t="s">
        <v>22</v>
      </c>
      <c r="I1373">
        <v>94.75</v>
      </c>
      <c r="J1373">
        <v>18</v>
      </c>
      <c r="K1373" t="s">
        <v>27</v>
      </c>
      <c r="L1373" t="s">
        <v>15</v>
      </c>
    </row>
    <row r="1374" spans="1:12" x14ac:dyDescent="0.3">
      <c r="A1374">
        <v>17398</v>
      </c>
      <c r="B1374" t="s">
        <v>12</v>
      </c>
      <c r="C1374">
        <v>41</v>
      </c>
      <c r="D1374" t="s">
        <v>15</v>
      </c>
      <c r="E1374" t="s">
        <v>15</v>
      </c>
      <c r="F1374" t="s">
        <v>16</v>
      </c>
      <c r="G1374" t="s">
        <v>17</v>
      </c>
      <c r="H1374" t="s">
        <v>23</v>
      </c>
      <c r="I1374">
        <v>101.79</v>
      </c>
      <c r="J1374">
        <v>26.7</v>
      </c>
      <c r="K1374" t="s">
        <v>27</v>
      </c>
      <c r="L1374" t="s">
        <v>15</v>
      </c>
    </row>
    <row r="1375" spans="1:12" x14ac:dyDescent="0.3">
      <c r="A1375">
        <v>20938</v>
      </c>
      <c r="B1375" t="s">
        <v>13</v>
      </c>
      <c r="C1375">
        <v>61</v>
      </c>
      <c r="D1375" t="s">
        <v>15</v>
      </c>
      <c r="E1375" t="s">
        <v>15</v>
      </c>
      <c r="F1375" t="s">
        <v>16</v>
      </c>
      <c r="G1375" t="s">
        <v>17</v>
      </c>
      <c r="H1375" t="s">
        <v>23</v>
      </c>
      <c r="I1375">
        <v>88.41</v>
      </c>
      <c r="J1375">
        <v>25.3</v>
      </c>
      <c r="K1375" t="s">
        <v>24</v>
      </c>
      <c r="L1375" t="s">
        <v>15</v>
      </c>
    </row>
    <row r="1376" spans="1:12" x14ac:dyDescent="0.3">
      <c r="A1376">
        <v>21850</v>
      </c>
      <c r="B1376" t="s">
        <v>12</v>
      </c>
      <c r="C1376">
        <v>58</v>
      </c>
      <c r="D1376" t="s">
        <v>15</v>
      </c>
      <c r="E1376" t="s">
        <v>15</v>
      </c>
      <c r="F1376" t="s">
        <v>16</v>
      </c>
      <c r="G1376" t="s">
        <v>19</v>
      </c>
      <c r="H1376" t="s">
        <v>22</v>
      </c>
      <c r="I1376">
        <v>101.05</v>
      </c>
      <c r="J1376">
        <v>31.4</v>
      </c>
      <c r="K1376" t="s">
        <v>27</v>
      </c>
      <c r="L1376" t="s">
        <v>15</v>
      </c>
    </row>
    <row r="1377" spans="1:12" x14ac:dyDescent="0.3">
      <c r="A1377">
        <v>14241</v>
      </c>
      <c r="B1377" t="s">
        <v>12</v>
      </c>
      <c r="C1377">
        <v>17</v>
      </c>
      <c r="D1377" t="s">
        <v>15</v>
      </c>
      <c r="E1377" t="s">
        <v>15</v>
      </c>
      <c r="F1377" t="s">
        <v>15</v>
      </c>
      <c r="G1377" t="s">
        <v>17</v>
      </c>
      <c r="H1377" t="s">
        <v>22</v>
      </c>
      <c r="I1377">
        <v>85.07</v>
      </c>
      <c r="J1377">
        <v>21.1</v>
      </c>
      <c r="K1377" t="s">
        <v>25</v>
      </c>
      <c r="L1377" t="s">
        <v>15</v>
      </c>
    </row>
    <row r="1378" spans="1:12" x14ac:dyDescent="0.3">
      <c r="A1378">
        <v>43905</v>
      </c>
      <c r="B1378" t="s">
        <v>13</v>
      </c>
      <c r="C1378">
        <v>64</v>
      </c>
      <c r="D1378" t="s">
        <v>15</v>
      </c>
      <c r="E1378" t="s">
        <v>15</v>
      </c>
      <c r="F1378" t="s">
        <v>15</v>
      </c>
      <c r="G1378" t="s">
        <v>19</v>
      </c>
      <c r="H1378" t="s">
        <v>23</v>
      </c>
      <c r="I1378">
        <v>108.1</v>
      </c>
      <c r="J1378">
        <v>17.899999999999999</v>
      </c>
      <c r="K1378" t="s">
        <v>25</v>
      </c>
      <c r="L1378" t="s">
        <v>15</v>
      </c>
    </row>
    <row r="1379" spans="1:12" x14ac:dyDescent="0.3">
      <c r="A1379">
        <v>40144</v>
      </c>
      <c r="B1379" t="s">
        <v>13</v>
      </c>
      <c r="C1379">
        <v>32</v>
      </c>
      <c r="D1379" t="s">
        <v>15</v>
      </c>
      <c r="E1379" t="s">
        <v>15</v>
      </c>
      <c r="F1379" t="s">
        <v>15</v>
      </c>
      <c r="G1379" t="s">
        <v>18</v>
      </c>
      <c r="H1379" t="s">
        <v>23</v>
      </c>
      <c r="I1379">
        <v>93.17</v>
      </c>
      <c r="J1379">
        <v>27.5</v>
      </c>
      <c r="K1379" t="s">
        <v>26</v>
      </c>
      <c r="L1379" t="s">
        <v>15</v>
      </c>
    </row>
    <row r="1380" spans="1:12" x14ac:dyDescent="0.3">
      <c r="A1380">
        <v>7806</v>
      </c>
      <c r="B1380" t="s">
        <v>13</v>
      </c>
      <c r="C1380">
        <v>42</v>
      </c>
      <c r="D1380" t="s">
        <v>15</v>
      </c>
      <c r="E1380" t="s">
        <v>15</v>
      </c>
      <c r="F1380" t="s">
        <v>16</v>
      </c>
      <c r="G1380" t="s">
        <v>17</v>
      </c>
      <c r="H1380" t="s">
        <v>22</v>
      </c>
      <c r="I1380">
        <v>158.88999999999999</v>
      </c>
      <c r="J1380">
        <v>37.6</v>
      </c>
      <c r="K1380" t="s">
        <v>26</v>
      </c>
      <c r="L1380" t="s">
        <v>15</v>
      </c>
    </row>
    <row r="1381" spans="1:12" x14ac:dyDescent="0.3">
      <c r="A1381">
        <v>63984</v>
      </c>
      <c r="B1381" t="s">
        <v>12</v>
      </c>
      <c r="C1381">
        <v>39</v>
      </c>
      <c r="D1381" t="s">
        <v>15</v>
      </c>
      <c r="E1381" t="s">
        <v>15</v>
      </c>
      <c r="F1381" t="s">
        <v>16</v>
      </c>
      <c r="G1381" t="s">
        <v>17</v>
      </c>
      <c r="H1381" t="s">
        <v>23</v>
      </c>
      <c r="I1381">
        <v>205.77</v>
      </c>
      <c r="J1381">
        <v>24.1</v>
      </c>
      <c r="K1381" t="s">
        <v>25</v>
      </c>
      <c r="L1381" t="s">
        <v>15</v>
      </c>
    </row>
    <row r="1382" spans="1:12" x14ac:dyDescent="0.3">
      <c r="A1382">
        <v>13504</v>
      </c>
      <c r="B1382" t="s">
        <v>13</v>
      </c>
      <c r="C1382">
        <v>10</v>
      </c>
      <c r="D1382" t="s">
        <v>15</v>
      </c>
      <c r="E1382" t="s">
        <v>15</v>
      </c>
      <c r="F1382" t="s">
        <v>15</v>
      </c>
      <c r="G1382" t="s">
        <v>20</v>
      </c>
      <c r="H1382" t="s">
        <v>22</v>
      </c>
      <c r="I1382">
        <v>112.34</v>
      </c>
      <c r="J1382">
        <v>18.100000000000001</v>
      </c>
      <c r="K1382" t="s">
        <v>27</v>
      </c>
      <c r="L1382" t="s">
        <v>15</v>
      </c>
    </row>
    <row r="1383" spans="1:12" x14ac:dyDescent="0.3">
      <c r="A1383">
        <v>62272</v>
      </c>
      <c r="B1383" t="s">
        <v>13</v>
      </c>
      <c r="C1383">
        <v>78</v>
      </c>
      <c r="D1383" t="s">
        <v>15</v>
      </c>
      <c r="E1383" t="s">
        <v>15</v>
      </c>
      <c r="F1383" t="s">
        <v>16</v>
      </c>
      <c r="G1383" t="s">
        <v>17</v>
      </c>
      <c r="H1383" t="s">
        <v>22</v>
      </c>
      <c r="I1383">
        <v>119.03</v>
      </c>
      <c r="J1383">
        <v>31</v>
      </c>
      <c r="K1383" t="s">
        <v>25</v>
      </c>
      <c r="L1383" t="s">
        <v>15</v>
      </c>
    </row>
    <row r="1384" spans="1:12" x14ac:dyDescent="0.3">
      <c r="A1384">
        <v>5878</v>
      </c>
      <c r="B1384" t="s">
        <v>13</v>
      </c>
      <c r="C1384">
        <v>68</v>
      </c>
      <c r="D1384" t="s">
        <v>15</v>
      </c>
      <c r="E1384" t="s">
        <v>15</v>
      </c>
      <c r="F1384" t="s">
        <v>16</v>
      </c>
      <c r="G1384" t="s">
        <v>17</v>
      </c>
      <c r="H1384" t="s">
        <v>22</v>
      </c>
      <c r="I1384">
        <v>237.21</v>
      </c>
      <c r="J1384">
        <v>26.6</v>
      </c>
      <c r="K1384" t="s">
        <v>26</v>
      </c>
      <c r="L1384" t="s">
        <v>15</v>
      </c>
    </row>
    <row r="1385" spans="1:12" x14ac:dyDescent="0.3">
      <c r="A1385">
        <v>62767</v>
      </c>
      <c r="B1385" t="s">
        <v>13</v>
      </c>
      <c r="C1385">
        <v>24</v>
      </c>
      <c r="D1385" t="s">
        <v>15</v>
      </c>
      <c r="E1385" t="s">
        <v>15</v>
      </c>
      <c r="F1385" t="s">
        <v>16</v>
      </c>
      <c r="G1385" t="s">
        <v>17</v>
      </c>
      <c r="H1385" t="s">
        <v>22</v>
      </c>
      <c r="I1385">
        <v>89.68</v>
      </c>
      <c r="J1385">
        <v>38.700000000000003</v>
      </c>
      <c r="K1385" t="s">
        <v>25</v>
      </c>
      <c r="L1385" t="s">
        <v>15</v>
      </c>
    </row>
    <row r="1386" spans="1:12" x14ac:dyDescent="0.3">
      <c r="A1386">
        <v>239</v>
      </c>
      <c r="B1386" t="s">
        <v>12</v>
      </c>
      <c r="C1386">
        <v>59</v>
      </c>
      <c r="D1386" t="s">
        <v>16</v>
      </c>
      <c r="E1386" t="s">
        <v>16</v>
      </c>
      <c r="F1386" t="s">
        <v>16</v>
      </c>
      <c r="G1386" t="s">
        <v>17</v>
      </c>
      <c r="H1386" t="s">
        <v>23</v>
      </c>
      <c r="I1386">
        <v>246.53</v>
      </c>
      <c r="J1386">
        <v>27.2</v>
      </c>
      <c r="K1386" t="s">
        <v>24</v>
      </c>
      <c r="L1386" t="s">
        <v>15</v>
      </c>
    </row>
    <row r="1387" spans="1:12" x14ac:dyDescent="0.3">
      <c r="A1387">
        <v>3184</v>
      </c>
      <c r="B1387" t="s">
        <v>13</v>
      </c>
      <c r="C1387">
        <v>45</v>
      </c>
      <c r="D1387" t="s">
        <v>15</v>
      </c>
      <c r="E1387" t="s">
        <v>15</v>
      </c>
      <c r="F1387" t="s">
        <v>16</v>
      </c>
      <c r="G1387" t="s">
        <v>17</v>
      </c>
      <c r="H1387" t="s">
        <v>22</v>
      </c>
      <c r="I1387">
        <v>89.05</v>
      </c>
      <c r="J1387">
        <v>27.8</v>
      </c>
      <c r="K1387" t="s">
        <v>24</v>
      </c>
      <c r="L1387" t="s">
        <v>15</v>
      </c>
    </row>
    <row r="1388" spans="1:12" x14ac:dyDescent="0.3">
      <c r="A1388">
        <v>51959</v>
      </c>
      <c r="B1388" t="s">
        <v>12</v>
      </c>
      <c r="C1388">
        <v>12</v>
      </c>
      <c r="D1388" t="s">
        <v>15</v>
      </c>
      <c r="E1388" t="s">
        <v>15</v>
      </c>
      <c r="F1388" t="s">
        <v>15</v>
      </c>
      <c r="G1388" t="s">
        <v>20</v>
      </c>
      <c r="H1388" t="s">
        <v>23</v>
      </c>
      <c r="I1388">
        <v>81.739999999999995</v>
      </c>
      <c r="J1388">
        <v>28.3</v>
      </c>
      <c r="K1388" t="s">
        <v>27</v>
      </c>
      <c r="L1388" t="s">
        <v>15</v>
      </c>
    </row>
    <row r="1389" spans="1:12" x14ac:dyDescent="0.3">
      <c r="A1389">
        <v>2092</v>
      </c>
      <c r="B1389" t="s">
        <v>13</v>
      </c>
      <c r="C1389">
        <v>37</v>
      </c>
      <c r="D1389" t="s">
        <v>15</v>
      </c>
      <c r="E1389" t="s">
        <v>15</v>
      </c>
      <c r="F1389" t="s">
        <v>16</v>
      </c>
      <c r="G1389" t="s">
        <v>17</v>
      </c>
      <c r="H1389" t="s">
        <v>23</v>
      </c>
      <c r="I1389">
        <v>98.12</v>
      </c>
      <c r="J1389">
        <v>27.5</v>
      </c>
      <c r="K1389" t="s">
        <v>25</v>
      </c>
      <c r="L1389" t="s">
        <v>15</v>
      </c>
    </row>
    <row r="1390" spans="1:12" x14ac:dyDescent="0.3">
      <c r="A1390">
        <v>69239</v>
      </c>
      <c r="B1390" t="s">
        <v>13</v>
      </c>
      <c r="C1390">
        <v>43</v>
      </c>
      <c r="D1390" t="s">
        <v>15</v>
      </c>
      <c r="E1390" t="s">
        <v>15</v>
      </c>
      <c r="F1390" t="s">
        <v>16</v>
      </c>
      <c r="G1390" t="s">
        <v>18</v>
      </c>
      <c r="H1390" t="s">
        <v>23</v>
      </c>
      <c r="I1390">
        <v>105.59</v>
      </c>
      <c r="J1390">
        <v>43.3</v>
      </c>
      <c r="K1390" t="s">
        <v>26</v>
      </c>
      <c r="L1390" t="s">
        <v>15</v>
      </c>
    </row>
    <row r="1391" spans="1:12" x14ac:dyDescent="0.3">
      <c r="A1391">
        <v>68235</v>
      </c>
      <c r="B1391" t="s">
        <v>12</v>
      </c>
      <c r="C1391">
        <v>12</v>
      </c>
      <c r="D1391" t="s">
        <v>15</v>
      </c>
      <c r="E1391" t="s">
        <v>15</v>
      </c>
      <c r="F1391" t="s">
        <v>15</v>
      </c>
      <c r="G1391" t="s">
        <v>20</v>
      </c>
      <c r="H1391" t="s">
        <v>23</v>
      </c>
      <c r="I1391">
        <v>86</v>
      </c>
      <c r="J1391">
        <v>20.100000000000001</v>
      </c>
      <c r="K1391" t="s">
        <v>24</v>
      </c>
      <c r="L1391" t="s">
        <v>15</v>
      </c>
    </row>
    <row r="1392" spans="1:12" x14ac:dyDescent="0.3">
      <c r="A1392">
        <v>3956</v>
      </c>
      <c r="B1392" t="s">
        <v>12</v>
      </c>
      <c r="C1392">
        <v>13</v>
      </c>
      <c r="D1392" t="s">
        <v>15</v>
      </c>
      <c r="E1392" t="s">
        <v>15</v>
      </c>
      <c r="F1392" t="s">
        <v>15</v>
      </c>
      <c r="G1392" t="s">
        <v>20</v>
      </c>
      <c r="H1392" t="s">
        <v>22</v>
      </c>
      <c r="I1392">
        <v>65.510000000000005</v>
      </c>
      <c r="J1392">
        <v>25.9</v>
      </c>
      <c r="K1392" t="s">
        <v>27</v>
      </c>
      <c r="L1392" t="s">
        <v>15</v>
      </c>
    </row>
    <row r="1393" spans="1:12" x14ac:dyDescent="0.3">
      <c r="A1393">
        <v>42703</v>
      </c>
      <c r="B1393" t="s">
        <v>12</v>
      </c>
      <c r="C1393">
        <v>74</v>
      </c>
      <c r="D1393" t="s">
        <v>15</v>
      </c>
      <c r="E1393" t="s">
        <v>15</v>
      </c>
      <c r="F1393" t="s">
        <v>16</v>
      </c>
      <c r="G1393" t="s">
        <v>18</v>
      </c>
      <c r="H1393" t="s">
        <v>22</v>
      </c>
      <c r="I1393">
        <v>61.78</v>
      </c>
      <c r="J1393">
        <v>25.8</v>
      </c>
      <c r="K1393" t="s">
        <v>27</v>
      </c>
      <c r="L1393" t="s">
        <v>15</v>
      </c>
    </row>
    <row r="1394" spans="1:12" x14ac:dyDescent="0.3">
      <c r="A1394">
        <v>34436</v>
      </c>
      <c r="B1394" t="s">
        <v>13</v>
      </c>
      <c r="C1394">
        <v>2</v>
      </c>
      <c r="D1394" t="s">
        <v>15</v>
      </c>
      <c r="E1394" t="s">
        <v>15</v>
      </c>
      <c r="F1394" t="s">
        <v>15</v>
      </c>
      <c r="G1394" t="s">
        <v>20</v>
      </c>
      <c r="H1394" t="s">
        <v>23</v>
      </c>
      <c r="I1394">
        <v>109.56</v>
      </c>
      <c r="J1394">
        <v>16.399999999999999</v>
      </c>
      <c r="K1394" t="s">
        <v>27</v>
      </c>
      <c r="L1394" t="s">
        <v>15</v>
      </c>
    </row>
    <row r="1395" spans="1:12" x14ac:dyDescent="0.3">
      <c r="A1395">
        <v>39258</v>
      </c>
      <c r="B1395" t="s">
        <v>13</v>
      </c>
      <c r="C1395">
        <v>59</v>
      </c>
      <c r="D1395" t="s">
        <v>15</v>
      </c>
      <c r="E1395" t="s">
        <v>15</v>
      </c>
      <c r="F1395" t="s">
        <v>16</v>
      </c>
      <c r="G1395" t="s">
        <v>18</v>
      </c>
      <c r="H1395" t="s">
        <v>22</v>
      </c>
      <c r="I1395">
        <v>65.819999999999993</v>
      </c>
      <c r="J1395">
        <v>29.4</v>
      </c>
      <c r="K1395" t="s">
        <v>25</v>
      </c>
      <c r="L1395" t="s">
        <v>15</v>
      </c>
    </row>
    <row r="1396" spans="1:12" x14ac:dyDescent="0.3">
      <c r="A1396">
        <v>40513</v>
      </c>
      <c r="B1396" t="s">
        <v>13</v>
      </c>
      <c r="C1396">
        <v>21</v>
      </c>
      <c r="D1396" t="s">
        <v>15</v>
      </c>
      <c r="E1396" t="s">
        <v>15</v>
      </c>
      <c r="F1396" t="s">
        <v>15</v>
      </c>
      <c r="G1396" t="s">
        <v>17</v>
      </c>
      <c r="H1396" t="s">
        <v>22</v>
      </c>
      <c r="I1396">
        <v>90.16</v>
      </c>
      <c r="J1396">
        <v>28.9</v>
      </c>
      <c r="K1396" t="s">
        <v>26</v>
      </c>
      <c r="L1396" t="s">
        <v>15</v>
      </c>
    </row>
    <row r="1397" spans="1:12" x14ac:dyDescent="0.3">
      <c r="A1397">
        <v>48648</v>
      </c>
      <c r="B1397" t="s">
        <v>13</v>
      </c>
      <c r="C1397">
        <v>55</v>
      </c>
      <c r="D1397" t="s">
        <v>15</v>
      </c>
      <c r="E1397" t="s">
        <v>15</v>
      </c>
      <c r="F1397" t="s">
        <v>16</v>
      </c>
      <c r="G1397" t="s">
        <v>17</v>
      </c>
      <c r="H1397" t="s">
        <v>22</v>
      </c>
      <c r="I1397">
        <v>64.45</v>
      </c>
      <c r="J1397">
        <v>26.7</v>
      </c>
      <c r="K1397" t="s">
        <v>25</v>
      </c>
      <c r="L1397" t="s">
        <v>15</v>
      </c>
    </row>
    <row r="1398" spans="1:12" x14ac:dyDescent="0.3">
      <c r="A1398">
        <v>48836</v>
      </c>
      <c r="B1398" t="s">
        <v>13</v>
      </c>
      <c r="C1398">
        <v>14</v>
      </c>
      <c r="D1398" t="s">
        <v>15</v>
      </c>
      <c r="E1398" t="s">
        <v>15</v>
      </c>
      <c r="F1398" t="s">
        <v>15</v>
      </c>
      <c r="G1398" t="s">
        <v>20</v>
      </c>
      <c r="H1398" t="s">
        <v>22</v>
      </c>
      <c r="I1398">
        <v>91.85</v>
      </c>
      <c r="J1398">
        <v>27.8</v>
      </c>
      <c r="K1398" t="s">
        <v>25</v>
      </c>
      <c r="L1398" t="s">
        <v>15</v>
      </c>
    </row>
    <row r="1399" spans="1:12" x14ac:dyDescent="0.3">
      <c r="A1399">
        <v>71444</v>
      </c>
      <c r="B1399" t="s">
        <v>13</v>
      </c>
      <c r="C1399">
        <v>53</v>
      </c>
      <c r="D1399" t="s">
        <v>15</v>
      </c>
      <c r="E1399" t="s">
        <v>15</v>
      </c>
      <c r="F1399" t="s">
        <v>16</v>
      </c>
      <c r="G1399" t="s">
        <v>17</v>
      </c>
      <c r="H1399" t="s">
        <v>23</v>
      </c>
      <c r="I1399">
        <v>97.89</v>
      </c>
      <c r="J1399">
        <v>38.700000000000003</v>
      </c>
      <c r="K1399" t="s">
        <v>24</v>
      </c>
      <c r="L1399" t="s">
        <v>15</v>
      </c>
    </row>
    <row r="1400" spans="1:12" x14ac:dyDescent="0.3">
      <c r="A1400">
        <v>33983</v>
      </c>
      <c r="B1400" t="s">
        <v>12</v>
      </c>
      <c r="C1400">
        <v>75</v>
      </c>
      <c r="D1400" t="s">
        <v>15</v>
      </c>
      <c r="E1400" t="s">
        <v>15</v>
      </c>
      <c r="F1400" t="s">
        <v>16</v>
      </c>
      <c r="G1400" t="s">
        <v>19</v>
      </c>
      <c r="H1400" t="s">
        <v>23</v>
      </c>
      <c r="I1400">
        <v>206.33</v>
      </c>
      <c r="J1400">
        <v>26.8</v>
      </c>
      <c r="K1400" t="s">
        <v>25</v>
      </c>
      <c r="L1400" t="s">
        <v>15</v>
      </c>
    </row>
    <row r="1401" spans="1:12" x14ac:dyDescent="0.3">
      <c r="A1401">
        <v>35372</v>
      </c>
      <c r="B1401" t="s">
        <v>12</v>
      </c>
      <c r="C1401">
        <v>37</v>
      </c>
      <c r="D1401" t="s">
        <v>15</v>
      </c>
      <c r="E1401" t="s">
        <v>15</v>
      </c>
      <c r="F1401" t="s">
        <v>16</v>
      </c>
      <c r="G1401" t="s">
        <v>19</v>
      </c>
      <c r="H1401" t="s">
        <v>23</v>
      </c>
      <c r="I1401">
        <v>74.290000000000006</v>
      </c>
      <c r="J1401">
        <v>36.1</v>
      </c>
      <c r="K1401" t="s">
        <v>25</v>
      </c>
      <c r="L1401" t="s">
        <v>15</v>
      </c>
    </row>
    <row r="1402" spans="1:12" x14ac:dyDescent="0.3">
      <c r="A1402">
        <v>31849</v>
      </c>
      <c r="B1402" t="s">
        <v>13</v>
      </c>
      <c r="C1402">
        <v>49</v>
      </c>
      <c r="D1402" t="s">
        <v>15</v>
      </c>
      <c r="E1402" t="s">
        <v>15</v>
      </c>
      <c r="F1402" t="s">
        <v>16</v>
      </c>
      <c r="G1402" t="s">
        <v>17</v>
      </c>
      <c r="H1402" t="s">
        <v>23</v>
      </c>
      <c r="I1402">
        <v>107.4</v>
      </c>
      <c r="J1402">
        <v>26.7</v>
      </c>
      <c r="K1402" t="s">
        <v>26</v>
      </c>
      <c r="L1402" t="s">
        <v>15</v>
      </c>
    </row>
    <row r="1403" spans="1:12" x14ac:dyDescent="0.3">
      <c r="A1403">
        <v>2772</v>
      </c>
      <c r="B1403" t="s">
        <v>12</v>
      </c>
      <c r="C1403">
        <v>55</v>
      </c>
      <c r="D1403" t="s">
        <v>15</v>
      </c>
      <c r="E1403" t="s">
        <v>15</v>
      </c>
      <c r="F1403" t="s">
        <v>16</v>
      </c>
      <c r="G1403" t="s">
        <v>17</v>
      </c>
      <c r="H1403" t="s">
        <v>22</v>
      </c>
      <c r="I1403">
        <v>87.72</v>
      </c>
      <c r="J1403">
        <v>27</v>
      </c>
      <c r="K1403" t="s">
        <v>27</v>
      </c>
      <c r="L1403" t="s">
        <v>15</v>
      </c>
    </row>
    <row r="1404" spans="1:12" x14ac:dyDescent="0.3">
      <c r="A1404">
        <v>11148</v>
      </c>
      <c r="B1404" t="s">
        <v>12</v>
      </c>
      <c r="C1404">
        <v>57</v>
      </c>
      <c r="D1404" t="s">
        <v>15</v>
      </c>
      <c r="E1404" t="s">
        <v>15</v>
      </c>
      <c r="F1404" t="s">
        <v>16</v>
      </c>
      <c r="G1404" t="s">
        <v>17</v>
      </c>
      <c r="H1404" t="s">
        <v>23</v>
      </c>
      <c r="I1404">
        <v>85.99</v>
      </c>
      <c r="J1404">
        <v>21.2</v>
      </c>
      <c r="K1404" t="s">
        <v>27</v>
      </c>
      <c r="L1404" t="s">
        <v>15</v>
      </c>
    </row>
    <row r="1405" spans="1:12" x14ac:dyDescent="0.3">
      <c r="A1405">
        <v>62387</v>
      </c>
      <c r="B1405" t="s">
        <v>13</v>
      </c>
      <c r="C1405">
        <v>45</v>
      </c>
      <c r="D1405" t="s">
        <v>15</v>
      </c>
      <c r="E1405" t="s">
        <v>15</v>
      </c>
      <c r="F1405" t="s">
        <v>16</v>
      </c>
      <c r="G1405" t="s">
        <v>17</v>
      </c>
      <c r="H1405" t="s">
        <v>22</v>
      </c>
      <c r="I1405">
        <v>100.84</v>
      </c>
      <c r="J1405">
        <v>21</v>
      </c>
      <c r="K1405" t="s">
        <v>25</v>
      </c>
      <c r="L1405" t="s">
        <v>15</v>
      </c>
    </row>
    <row r="1406" spans="1:12" x14ac:dyDescent="0.3">
      <c r="A1406">
        <v>50775</v>
      </c>
      <c r="B1406" t="s">
        <v>12</v>
      </c>
      <c r="C1406">
        <v>46</v>
      </c>
      <c r="D1406" t="s">
        <v>15</v>
      </c>
      <c r="E1406" t="s">
        <v>15</v>
      </c>
      <c r="F1406" t="s">
        <v>15</v>
      </c>
      <c r="G1406" t="s">
        <v>17</v>
      </c>
      <c r="H1406" t="s">
        <v>22</v>
      </c>
      <c r="I1406">
        <v>124.61</v>
      </c>
      <c r="J1406">
        <v>37.4</v>
      </c>
      <c r="K1406" t="s">
        <v>27</v>
      </c>
      <c r="L1406" t="s">
        <v>15</v>
      </c>
    </row>
    <row r="1407" spans="1:12" x14ac:dyDescent="0.3">
      <c r="A1407">
        <v>3807</v>
      </c>
      <c r="B1407" t="s">
        <v>13</v>
      </c>
      <c r="C1407">
        <v>12</v>
      </c>
      <c r="D1407" t="s">
        <v>15</v>
      </c>
      <c r="E1407" t="s">
        <v>15</v>
      </c>
      <c r="F1407" t="s">
        <v>15</v>
      </c>
      <c r="G1407" t="s">
        <v>20</v>
      </c>
      <c r="H1407" t="s">
        <v>22</v>
      </c>
      <c r="I1407">
        <v>86.55</v>
      </c>
      <c r="J1407">
        <v>26.5</v>
      </c>
      <c r="K1407" t="s">
        <v>27</v>
      </c>
      <c r="L1407" t="s">
        <v>15</v>
      </c>
    </row>
    <row r="1408" spans="1:12" x14ac:dyDescent="0.3">
      <c r="A1408">
        <v>51339</v>
      </c>
      <c r="B1408" t="s">
        <v>12</v>
      </c>
      <c r="C1408">
        <v>12</v>
      </c>
      <c r="D1408" t="s">
        <v>15</v>
      </c>
      <c r="E1408" t="s">
        <v>15</v>
      </c>
      <c r="F1408" t="s">
        <v>15</v>
      </c>
      <c r="G1408" t="s">
        <v>20</v>
      </c>
      <c r="H1408" t="s">
        <v>23</v>
      </c>
      <c r="I1408">
        <v>90.42</v>
      </c>
      <c r="J1408">
        <v>28.9</v>
      </c>
      <c r="K1408" t="s">
        <v>27</v>
      </c>
      <c r="L1408" t="s">
        <v>15</v>
      </c>
    </row>
    <row r="1409" spans="1:12" x14ac:dyDescent="0.3">
      <c r="A1409">
        <v>69259</v>
      </c>
      <c r="B1409" t="s">
        <v>13</v>
      </c>
      <c r="C1409">
        <v>77</v>
      </c>
      <c r="D1409" t="s">
        <v>15</v>
      </c>
      <c r="E1409" t="s">
        <v>15</v>
      </c>
      <c r="F1409" t="s">
        <v>16</v>
      </c>
      <c r="G1409" t="s">
        <v>17</v>
      </c>
      <c r="H1409" t="s">
        <v>23</v>
      </c>
      <c r="I1409">
        <v>100.85</v>
      </c>
      <c r="J1409">
        <v>29.5</v>
      </c>
      <c r="K1409" t="s">
        <v>26</v>
      </c>
      <c r="L1409" t="s">
        <v>15</v>
      </c>
    </row>
    <row r="1410" spans="1:12" x14ac:dyDescent="0.3">
      <c r="A1410">
        <v>32826</v>
      </c>
      <c r="B1410" t="s">
        <v>12</v>
      </c>
      <c r="C1410">
        <v>6</v>
      </c>
      <c r="D1410" t="s">
        <v>15</v>
      </c>
      <c r="E1410" t="s">
        <v>15</v>
      </c>
      <c r="F1410" t="s">
        <v>15</v>
      </c>
      <c r="G1410" t="s">
        <v>20</v>
      </c>
      <c r="H1410" t="s">
        <v>22</v>
      </c>
      <c r="I1410">
        <v>87.74</v>
      </c>
      <c r="J1410">
        <v>17.7</v>
      </c>
      <c r="K1410" t="s">
        <v>27</v>
      </c>
      <c r="L1410" t="s">
        <v>15</v>
      </c>
    </row>
    <row r="1411" spans="1:12" x14ac:dyDescent="0.3">
      <c r="A1411">
        <v>12414</v>
      </c>
      <c r="B1411" t="s">
        <v>12</v>
      </c>
      <c r="C1411">
        <v>76</v>
      </c>
      <c r="D1411" t="s">
        <v>16</v>
      </c>
      <c r="E1411" t="s">
        <v>15</v>
      </c>
      <c r="F1411" t="s">
        <v>16</v>
      </c>
      <c r="G1411" t="s">
        <v>17</v>
      </c>
      <c r="H1411" t="s">
        <v>23</v>
      </c>
      <c r="I1411">
        <v>80.150000000000006</v>
      </c>
      <c r="J1411">
        <v>34.9</v>
      </c>
      <c r="K1411" t="s">
        <v>24</v>
      </c>
      <c r="L1411" t="s">
        <v>15</v>
      </c>
    </row>
    <row r="1412" spans="1:12" x14ac:dyDescent="0.3">
      <c r="A1412">
        <v>21381</v>
      </c>
      <c r="B1412" t="s">
        <v>13</v>
      </c>
      <c r="C1412">
        <v>52</v>
      </c>
      <c r="D1412" t="s">
        <v>15</v>
      </c>
      <c r="E1412" t="s">
        <v>15</v>
      </c>
      <c r="F1412" t="s">
        <v>16</v>
      </c>
      <c r="G1412" t="s">
        <v>17</v>
      </c>
      <c r="H1412" t="s">
        <v>22</v>
      </c>
      <c r="I1412">
        <v>107.29</v>
      </c>
      <c r="J1412">
        <v>28.1</v>
      </c>
      <c r="K1412" t="s">
        <v>25</v>
      </c>
      <c r="L1412" t="s">
        <v>15</v>
      </c>
    </row>
    <row r="1413" spans="1:12" x14ac:dyDescent="0.3">
      <c r="A1413">
        <v>29375</v>
      </c>
      <c r="B1413" t="s">
        <v>12</v>
      </c>
      <c r="C1413">
        <v>62</v>
      </c>
      <c r="D1413" t="s">
        <v>15</v>
      </c>
      <c r="E1413" t="s">
        <v>15</v>
      </c>
      <c r="F1413" t="s">
        <v>16</v>
      </c>
      <c r="G1413" t="s">
        <v>17</v>
      </c>
      <c r="H1413" t="s">
        <v>22</v>
      </c>
      <c r="I1413">
        <v>206.98</v>
      </c>
      <c r="J1413">
        <v>36.799999999999997</v>
      </c>
      <c r="K1413" t="s">
        <v>26</v>
      </c>
      <c r="L1413" t="s">
        <v>15</v>
      </c>
    </row>
    <row r="1414" spans="1:12" x14ac:dyDescent="0.3">
      <c r="A1414">
        <v>62452</v>
      </c>
      <c r="B1414" t="s">
        <v>12</v>
      </c>
      <c r="C1414">
        <v>82</v>
      </c>
      <c r="D1414" t="s">
        <v>16</v>
      </c>
      <c r="E1414" t="s">
        <v>15</v>
      </c>
      <c r="F1414" t="s">
        <v>16</v>
      </c>
      <c r="G1414" t="s">
        <v>17</v>
      </c>
      <c r="H1414" t="s">
        <v>23</v>
      </c>
      <c r="I1414">
        <v>227.28</v>
      </c>
      <c r="J1414">
        <v>33.299999999999997</v>
      </c>
      <c r="K1414" t="s">
        <v>25</v>
      </c>
      <c r="L1414" t="s">
        <v>15</v>
      </c>
    </row>
    <row r="1415" spans="1:12" x14ac:dyDescent="0.3">
      <c r="A1415">
        <v>68650</v>
      </c>
      <c r="B1415" t="s">
        <v>12</v>
      </c>
      <c r="C1415">
        <v>69</v>
      </c>
      <c r="D1415" t="s">
        <v>15</v>
      </c>
      <c r="E1415" t="s">
        <v>16</v>
      </c>
      <c r="F1415" t="s">
        <v>16</v>
      </c>
      <c r="G1415" t="s">
        <v>17</v>
      </c>
      <c r="H1415" t="s">
        <v>23</v>
      </c>
      <c r="I1415">
        <v>80.430000000000007</v>
      </c>
      <c r="J1415">
        <v>29.2</v>
      </c>
      <c r="K1415" t="s">
        <v>27</v>
      </c>
      <c r="L1415" t="s">
        <v>15</v>
      </c>
    </row>
    <row r="1416" spans="1:12" x14ac:dyDescent="0.3">
      <c r="A1416">
        <v>47622</v>
      </c>
      <c r="B1416" t="s">
        <v>12</v>
      </c>
      <c r="C1416">
        <v>78</v>
      </c>
      <c r="D1416" t="s">
        <v>15</v>
      </c>
      <c r="E1416" t="s">
        <v>16</v>
      </c>
      <c r="F1416" t="s">
        <v>16</v>
      </c>
      <c r="G1416" t="s">
        <v>18</v>
      </c>
      <c r="H1416" t="s">
        <v>22</v>
      </c>
      <c r="I1416">
        <v>228.7</v>
      </c>
      <c r="J1416">
        <v>34</v>
      </c>
      <c r="K1416" t="s">
        <v>27</v>
      </c>
      <c r="L1416" t="s">
        <v>15</v>
      </c>
    </row>
    <row r="1417" spans="1:12" x14ac:dyDescent="0.3">
      <c r="A1417">
        <v>57124</v>
      </c>
      <c r="B1417" t="s">
        <v>12</v>
      </c>
      <c r="C1417">
        <v>37</v>
      </c>
      <c r="D1417" t="s">
        <v>15</v>
      </c>
      <c r="E1417" t="s">
        <v>15</v>
      </c>
      <c r="F1417" t="s">
        <v>16</v>
      </c>
      <c r="G1417" t="s">
        <v>17</v>
      </c>
      <c r="H1417" t="s">
        <v>22</v>
      </c>
      <c r="I1417">
        <v>120.07</v>
      </c>
      <c r="J1417">
        <v>33.9</v>
      </c>
      <c r="K1417" t="s">
        <v>26</v>
      </c>
      <c r="L1417" t="s">
        <v>15</v>
      </c>
    </row>
    <row r="1418" spans="1:12" x14ac:dyDescent="0.3">
      <c r="A1418">
        <v>19382</v>
      </c>
      <c r="B1418" t="s">
        <v>13</v>
      </c>
      <c r="C1418">
        <v>50</v>
      </c>
      <c r="D1418" t="s">
        <v>15</v>
      </c>
      <c r="E1418" t="s">
        <v>15</v>
      </c>
      <c r="F1418" t="s">
        <v>16</v>
      </c>
      <c r="G1418" t="s">
        <v>17</v>
      </c>
      <c r="H1418" t="s">
        <v>23</v>
      </c>
      <c r="I1418">
        <v>93.47</v>
      </c>
      <c r="J1418">
        <v>28.7</v>
      </c>
      <c r="K1418" t="s">
        <v>25</v>
      </c>
      <c r="L1418" t="s">
        <v>15</v>
      </c>
    </row>
    <row r="1419" spans="1:12" x14ac:dyDescent="0.3">
      <c r="A1419">
        <v>44179</v>
      </c>
      <c r="B1419" t="s">
        <v>13</v>
      </c>
      <c r="C1419">
        <v>41</v>
      </c>
      <c r="D1419" t="s">
        <v>15</v>
      </c>
      <c r="E1419" t="s">
        <v>15</v>
      </c>
      <c r="F1419" t="s">
        <v>16</v>
      </c>
      <c r="G1419" t="s">
        <v>17</v>
      </c>
      <c r="H1419" t="s">
        <v>22</v>
      </c>
      <c r="I1419">
        <v>80.77</v>
      </c>
      <c r="J1419">
        <v>21.1</v>
      </c>
      <c r="K1419" t="s">
        <v>25</v>
      </c>
      <c r="L1419" t="s">
        <v>15</v>
      </c>
    </row>
    <row r="1420" spans="1:12" x14ac:dyDescent="0.3">
      <c r="A1420">
        <v>50098</v>
      </c>
      <c r="B1420" t="s">
        <v>12</v>
      </c>
      <c r="C1420">
        <v>54</v>
      </c>
      <c r="D1420" t="s">
        <v>15</v>
      </c>
      <c r="E1420" t="s">
        <v>15</v>
      </c>
      <c r="F1420" t="s">
        <v>16</v>
      </c>
      <c r="G1420" t="s">
        <v>17</v>
      </c>
      <c r="H1420" t="s">
        <v>23</v>
      </c>
      <c r="I1420">
        <v>150.27000000000001</v>
      </c>
      <c r="J1420">
        <v>38.200000000000003</v>
      </c>
      <c r="K1420" t="s">
        <v>26</v>
      </c>
      <c r="L1420" t="s">
        <v>15</v>
      </c>
    </row>
    <row r="1421" spans="1:12" x14ac:dyDescent="0.3">
      <c r="A1421">
        <v>24674</v>
      </c>
      <c r="B1421" t="s">
        <v>12</v>
      </c>
      <c r="C1421">
        <v>43</v>
      </c>
      <c r="D1421" t="s">
        <v>15</v>
      </c>
      <c r="E1421" t="s">
        <v>15</v>
      </c>
      <c r="F1421" t="s">
        <v>16</v>
      </c>
      <c r="G1421" t="s">
        <v>17</v>
      </c>
      <c r="H1421" t="s">
        <v>22</v>
      </c>
      <c r="I1421">
        <v>81.94</v>
      </c>
      <c r="J1421">
        <v>27.7</v>
      </c>
      <c r="K1421" t="s">
        <v>26</v>
      </c>
      <c r="L1421" t="s">
        <v>15</v>
      </c>
    </row>
    <row r="1422" spans="1:12" x14ac:dyDescent="0.3">
      <c r="A1422">
        <v>72361</v>
      </c>
      <c r="B1422" t="s">
        <v>13</v>
      </c>
      <c r="C1422">
        <v>37</v>
      </c>
      <c r="D1422" t="s">
        <v>15</v>
      </c>
      <c r="E1422" t="s">
        <v>15</v>
      </c>
      <c r="F1422" t="s">
        <v>16</v>
      </c>
      <c r="G1422" t="s">
        <v>17</v>
      </c>
      <c r="H1422" t="s">
        <v>22</v>
      </c>
      <c r="I1422">
        <v>70.75</v>
      </c>
      <c r="J1422">
        <v>35.799999999999997</v>
      </c>
      <c r="K1422" t="s">
        <v>27</v>
      </c>
      <c r="L1422" t="s">
        <v>15</v>
      </c>
    </row>
    <row r="1423" spans="1:12" x14ac:dyDescent="0.3">
      <c r="A1423">
        <v>14563</v>
      </c>
      <c r="B1423" t="s">
        <v>12</v>
      </c>
      <c r="C1423">
        <v>9</v>
      </c>
      <c r="D1423" t="s">
        <v>15</v>
      </c>
      <c r="E1423" t="s">
        <v>15</v>
      </c>
      <c r="F1423" t="s">
        <v>15</v>
      </c>
      <c r="G1423" t="s">
        <v>20</v>
      </c>
      <c r="H1423" t="s">
        <v>22</v>
      </c>
      <c r="I1423">
        <v>83.83</v>
      </c>
      <c r="J1423">
        <v>27.1</v>
      </c>
      <c r="K1423" t="s">
        <v>27</v>
      </c>
      <c r="L1423" t="s">
        <v>15</v>
      </c>
    </row>
    <row r="1424" spans="1:12" x14ac:dyDescent="0.3">
      <c r="A1424">
        <v>40237</v>
      </c>
      <c r="B1424" t="s">
        <v>13</v>
      </c>
      <c r="C1424">
        <v>11</v>
      </c>
      <c r="D1424" t="s">
        <v>15</v>
      </c>
      <c r="E1424" t="s">
        <v>15</v>
      </c>
      <c r="F1424" t="s">
        <v>15</v>
      </c>
      <c r="G1424" t="s">
        <v>20</v>
      </c>
      <c r="H1424" t="s">
        <v>22</v>
      </c>
      <c r="I1424">
        <v>73.66</v>
      </c>
      <c r="J1424">
        <v>20.5</v>
      </c>
      <c r="K1424" t="s">
        <v>25</v>
      </c>
      <c r="L1424" t="s">
        <v>15</v>
      </c>
    </row>
    <row r="1425" spans="1:12" x14ac:dyDescent="0.3">
      <c r="A1425">
        <v>36523</v>
      </c>
      <c r="B1425" t="s">
        <v>12</v>
      </c>
      <c r="C1425">
        <v>56</v>
      </c>
      <c r="D1425" t="s">
        <v>16</v>
      </c>
      <c r="E1425" t="s">
        <v>15</v>
      </c>
      <c r="F1425" t="s">
        <v>16</v>
      </c>
      <c r="G1425" t="s">
        <v>17</v>
      </c>
      <c r="H1425" t="s">
        <v>22</v>
      </c>
      <c r="I1425">
        <v>102.37</v>
      </c>
      <c r="J1425">
        <v>35.6</v>
      </c>
      <c r="K1425" t="s">
        <v>25</v>
      </c>
      <c r="L1425" t="s">
        <v>15</v>
      </c>
    </row>
    <row r="1426" spans="1:12" x14ac:dyDescent="0.3">
      <c r="A1426">
        <v>65970</v>
      </c>
      <c r="B1426" t="s">
        <v>13</v>
      </c>
      <c r="C1426">
        <v>5</v>
      </c>
      <c r="D1426" t="s">
        <v>15</v>
      </c>
      <c r="E1426" t="s">
        <v>15</v>
      </c>
      <c r="F1426" t="s">
        <v>15</v>
      </c>
      <c r="G1426" t="s">
        <v>20</v>
      </c>
      <c r="H1426" t="s">
        <v>23</v>
      </c>
      <c r="I1426">
        <v>77.83</v>
      </c>
      <c r="J1426">
        <v>15.6</v>
      </c>
      <c r="K1426" t="s">
        <v>27</v>
      </c>
      <c r="L1426" t="s">
        <v>15</v>
      </c>
    </row>
    <row r="1427" spans="1:12" x14ac:dyDescent="0.3">
      <c r="A1427">
        <v>1577</v>
      </c>
      <c r="B1427" t="s">
        <v>13</v>
      </c>
      <c r="C1427">
        <v>17</v>
      </c>
      <c r="D1427" t="s">
        <v>15</v>
      </c>
      <c r="E1427" t="s">
        <v>15</v>
      </c>
      <c r="F1427" t="s">
        <v>15</v>
      </c>
      <c r="G1427" t="s">
        <v>17</v>
      </c>
      <c r="H1427" t="s">
        <v>22</v>
      </c>
      <c r="I1427">
        <v>70.010000000000005</v>
      </c>
      <c r="J1427">
        <v>43</v>
      </c>
      <c r="K1427" t="s">
        <v>27</v>
      </c>
      <c r="L1427" t="s">
        <v>15</v>
      </c>
    </row>
    <row r="1428" spans="1:12" x14ac:dyDescent="0.3">
      <c r="A1428">
        <v>51109</v>
      </c>
      <c r="B1428" t="s">
        <v>13</v>
      </c>
      <c r="C1428">
        <v>6</v>
      </c>
      <c r="D1428" t="s">
        <v>15</v>
      </c>
      <c r="E1428" t="s">
        <v>15</v>
      </c>
      <c r="F1428" t="s">
        <v>15</v>
      </c>
      <c r="G1428" t="s">
        <v>20</v>
      </c>
      <c r="H1428" t="s">
        <v>23</v>
      </c>
      <c r="I1428">
        <v>119.88</v>
      </c>
      <c r="J1428">
        <v>17.8</v>
      </c>
      <c r="K1428" t="s">
        <v>27</v>
      </c>
      <c r="L1428" t="s">
        <v>15</v>
      </c>
    </row>
    <row r="1429" spans="1:12" x14ac:dyDescent="0.3">
      <c r="A1429">
        <v>5984</v>
      </c>
      <c r="B1429" t="s">
        <v>12</v>
      </c>
      <c r="C1429">
        <v>25</v>
      </c>
      <c r="D1429" t="s">
        <v>15</v>
      </c>
      <c r="E1429" t="s">
        <v>15</v>
      </c>
      <c r="F1429" t="s">
        <v>16</v>
      </c>
      <c r="G1429" t="s">
        <v>17</v>
      </c>
      <c r="H1429" t="s">
        <v>23</v>
      </c>
      <c r="I1429">
        <v>78.290000000000006</v>
      </c>
      <c r="K1429" t="s">
        <v>26</v>
      </c>
      <c r="L1429" t="s">
        <v>15</v>
      </c>
    </row>
    <row r="1430" spans="1:12" x14ac:dyDescent="0.3">
      <c r="A1430">
        <v>46373</v>
      </c>
      <c r="B1430" t="s">
        <v>13</v>
      </c>
      <c r="C1430">
        <v>57</v>
      </c>
      <c r="D1430" t="s">
        <v>15</v>
      </c>
      <c r="E1430" t="s">
        <v>15</v>
      </c>
      <c r="F1430" t="s">
        <v>16</v>
      </c>
      <c r="G1430" t="s">
        <v>17</v>
      </c>
      <c r="H1430" t="s">
        <v>23</v>
      </c>
      <c r="I1430">
        <v>169.97</v>
      </c>
      <c r="J1430">
        <v>25.8</v>
      </c>
      <c r="K1430" t="s">
        <v>25</v>
      </c>
      <c r="L1430" t="s">
        <v>15</v>
      </c>
    </row>
    <row r="1431" spans="1:12" x14ac:dyDescent="0.3">
      <c r="A1431">
        <v>13062</v>
      </c>
      <c r="B1431" t="s">
        <v>12</v>
      </c>
      <c r="C1431">
        <v>18</v>
      </c>
      <c r="D1431" t="s">
        <v>15</v>
      </c>
      <c r="E1431" t="s">
        <v>15</v>
      </c>
      <c r="F1431" t="s">
        <v>15</v>
      </c>
      <c r="G1431" t="s">
        <v>17</v>
      </c>
      <c r="H1431" t="s">
        <v>23</v>
      </c>
      <c r="I1431">
        <v>123.79</v>
      </c>
      <c r="J1431">
        <v>20.5</v>
      </c>
      <c r="K1431" t="s">
        <v>27</v>
      </c>
      <c r="L1431" t="s">
        <v>15</v>
      </c>
    </row>
    <row r="1432" spans="1:12" x14ac:dyDescent="0.3">
      <c r="A1432">
        <v>47770</v>
      </c>
      <c r="B1432" t="s">
        <v>12</v>
      </c>
      <c r="C1432">
        <v>2</v>
      </c>
      <c r="D1432" t="s">
        <v>15</v>
      </c>
      <c r="E1432" t="s">
        <v>15</v>
      </c>
      <c r="F1432" t="s">
        <v>15</v>
      </c>
      <c r="G1432" t="s">
        <v>20</v>
      </c>
      <c r="H1432" t="s">
        <v>22</v>
      </c>
      <c r="I1432">
        <v>80.98</v>
      </c>
      <c r="J1432">
        <v>19.899999999999999</v>
      </c>
      <c r="K1432" t="s">
        <v>27</v>
      </c>
      <c r="L1432" t="s">
        <v>15</v>
      </c>
    </row>
    <row r="1433" spans="1:12" x14ac:dyDescent="0.3">
      <c r="A1433">
        <v>32459</v>
      </c>
      <c r="B1433" t="s">
        <v>13</v>
      </c>
      <c r="C1433">
        <v>76</v>
      </c>
      <c r="D1433" t="s">
        <v>15</v>
      </c>
      <c r="E1433" t="s">
        <v>15</v>
      </c>
      <c r="F1433" t="s">
        <v>16</v>
      </c>
      <c r="G1433" t="s">
        <v>19</v>
      </c>
      <c r="H1433" t="s">
        <v>23</v>
      </c>
      <c r="I1433">
        <v>84.21</v>
      </c>
      <c r="J1433">
        <v>24.4</v>
      </c>
      <c r="K1433" t="s">
        <v>25</v>
      </c>
      <c r="L1433" t="s">
        <v>15</v>
      </c>
    </row>
    <row r="1434" spans="1:12" x14ac:dyDescent="0.3">
      <c r="A1434">
        <v>12687</v>
      </c>
      <c r="B1434" t="s">
        <v>12</v>
      </c>
      <c r="C1434">
        <v>1</v>
      </c>
      <c r="D1434" t="s">
        <v>15</v>
      </c>
      <c r="E1434" t="s">
        <v>15</v>
      </c>
      <c r="F1434" t="s">
        <v>15</v>
      </c>
      <c r="G1434" t="s">
        <v>20</v>
      </c>
      <c r="H1434" t="s">
        <v>22</v>
      </c>
      <c r="I1434">
        <v>101.31</v>
      </c>
      <c r="J1434">
        <v>18.3</v>
      </c>
      <c r="K1434" t="s">
        <v>27</v>
      </c>
      <c r="L1434" t="s">
        <v>15</v>
      </c>
    </row>
    <row r="1435" spans="1:12" x14ac:dyDescent="0.3">
      <c r="A1435">
        <v>7725</v>
      </c>
      <c r="B1435" t="s">
        <v>12</v>
      </c>
      <c r="C1435">
        <v>54</v>
      </c>
      <c r="D1435" t="s">
        <v>15</v>
      </c>
      <c r="E1435" t="s">
        <v>15</v>
      </c>
      <c r="F1435" t="s">
        <v>16</v>
      </c>
      <c r="G1435" t="s">
        <v>17</v>
      </c>
      <c r="H1435" t="s">
        <v>22</v>
      </c>
      <c r="I1435">
        <v>86.26</v>
      </c>
      <c r="J1435">
        <v>35.1</v>
      </c>
      <c r="K1435" t="s">
        <v>24</v>
      </c>
      <c r="L1435" t="s">
        <v>15</v>
      </c>
    </row>
    <row r="1436" spans="1:12" x14ac:dyDescent="0.3">
      <c r="A1436">
        <v>67217</v>
      </c>
      <c r="B1436" t="s">
        <v>13</v>
      </c>
      <c r="C1436">
        <v>45</v>
      </c>
      <c r="D1436" t="s">
        <v>15</v>
      </c>
      <c r="E1436" t="s">
        <v>15</v>
      </c>
      <c r="F1436" t="s">
        <v>16</v>
      </c>
      <c r="G1436" t="s">
        <v>17</v>
      </c>
      <c r="H1436" t="s">
        <v>22</v>
      </c>
      <c r="I1436">
        <v>92.86</v>
      </c>
      <c r="J1436">
        <v>35.1</v>
      </c>
      <c r="K1436" t="s">
        <v>24</v>
      </c>
      <c r="L1436" t="s">
        <v>15</v>
      </c>
    </row>
    <row r="1437" spans="1:12" x14ac:dyDescent="0.3">
      <c r="A1437">
        <v>49976</v>
      </c>
      <c r="B1437" t="s">
        <v>13</v>
      </c>
      <c r="C1437">
        <v>54</v>
      </c>
      <c r="D1437" t="s">
        <v>15</v>
      </c>
      <c r="E1437" t="s">
        <v>16</v>
      </c>
      <c r="F1437" t="s">
        <v>16</v>
      </c>
      <c r="G1437" t="s">
        <v>17</v>
      </c>
      <c r="H1437" t="s">
        <v>22</v>
      </c>
      <c r="I1437">
        <v>140.28</v>
      </c>
      <c r="J1437">
        <v>37.1</v>
      </c>
      <c r="K1437" t="s">
        <v>24</v>
      </c>
      <c r="L1437" t="s">
        <v>15</v>
      </c>
    </row>
    <row r="1438" spans="1:12" x14ac:dyDescent="0.3">
      <c r="A1438">
        <v>71318</v>
      </c>
      <c r="B1438" t="s">
        <v>12</v>
      </c>
      <c r="C1438">
        <v>67</v>
      </c>
      <c r="D1438" t="s">
        <v>15</v>
      </c>
      <c r="E1438" t="s">
        <v>15</v>
      </c>
      <c r="F1438" t="s">
        <v>16</v>
      </c>
      <c r="G1438" t="s">
        <v>19</v>
      </c>
      <c r="H1438" t="s">
        <v>23</v>
      </c>
      <c r="I1438">
        <v>244.28</v>
      </c>
      <c r="J1438">
        <v>29.4</v>
      </c>
      <c r="K1438" t="s">
        <v>24</v>
      </c>
      <c r="L1438" t="s">
        <v>15</v>
      </c>
    </row>
    <row r="1439" spans="1:12" x14ac:dyDescent="0.3">
      <c r="A1439">
        <v>42201</v>
      </c>
      <c r="B1439" t="s">
        <v>12</v>
      </c>
      <c r="C1439">
        <v>53</v>
      </c>
      <c r="D1439" t="s">
        <v>15</v>
      </c>
      <c r="E1439" t="s">
        <v>15</v>
      </c>
      <c r="F1439" t="s">
        <v>16</v>
      </c>
      <c r="G1439" t="s">
        <v>17</v>
      </c>
      <c r="H1439" t="s">
        <v>22</v>
      </c>
      <c r="I1439">
        <v>124.16</v>
      </c>
      <c r="J1439">
        <v>31.7</v>
      </c>
      <c r="K1439" t="s">
        <v>25</v>
      </c>
      <c r="L1439" t="s">
        <v>15</v>
      </c>
    </row>
    <row r="1440" spans="1:12" x14ac:dyDescent="0.3">
      <c r="A1440">
        <v>11232</v>
      </c>
      <c r="B1440" t="s">
        <v>12</v>
      </c>
      <c r="C1440">
        <v>47</v>
      </c>
      <c r="D1440" t="s">
        <v>15</v>
      </c>
      <c r="E1440" t="s">
        <v>15</v>
      </c>
      <c r="F1440" t="s">
        <v>16</v>
      </c>
      <c r="G1440" t="s">
        <v>17</v>
      </c>
      <c r="H1440" t="s">
        <v>23</v>
      </c>
      <c r="I1440">
        <v>93.55</v>
      </c>
      <c r="J1440">
        <v>31.4</v>
      </c>
      <c r="K1440" t="s">
        <v>25</v>
      </c>
      <c r="L1440" t="s">
        <v>15</v>
      </c>
    </row>
    <row r="1441" spans="1:12" x14ac:dyDescent="0.3">
      <c r="A1441">
        <v>14709</v>
      </c>
      <c r="B1441" t="s">
        <v>12</v>
      </c>
      <c r="C1441">
        <v>44</v>
      </c>
      <c r="D1441" t="s">
        <v>15</v>
      </c>
      <c r="E1441" t="s">
        <v>15</v>
      </c>
      <c r="F1441" t="s">
        <v>16</v>
      </c>
      <c r="G1441" t="s">
        <v>17</v>
      </c>
      <c r="H1441" t="s">
        <v>22</v>
      </c>
      <c r="I1441">
        <v>99.34</v>
      </c>
      <c r="J1441">
        <v>33.1</v>
      </c>
      <c r="K1441" t="s">
        <v>25</v>
      </c>
      <c r="L1441" t="s">
        <v>15</v>
      </c>
    </row>
    <row r="1442" spans="1:12" x14ac:dyDescent="0.3">
      <c r="A1442">
        <v>57137</v>
      </c>
      <c r="B1442" t="s">
        <v>12</v>
      </c>
      <c r="C1442">
        <v>65</v>
      </c>
      <c r="D1442" t="s">
        <v>15</v>
      </c>
      <c r="E1442" t="s">
        <v>15</v>
      </c>
      <c r="F1442" t="s">
        <v>16</v>
      </c>
      <c r="G1442" t="s">
        <v>17</v>
      </c>
      <c r="H1442" t="s">
        <v>22</v>
      </c>
      <c r="I1442">
        <v>59.87</v>
      </c>
      <c r="J1442">
        <v>28.5</v>
      </c>
      <c r="K1442" t="s">
        <v>26</v>
      </c>
      <c r="L1442" t="s">
        <v>15</v>
      </c>
    </row>
    <row r="1443" spans="1:12" x14ac:dyDescent="0.3">
      <c r="A1443">
        <v>36858</v>
      </c>
      <c r="B1443" t="s">
        <v>13</v>
      </c>
      <c r="C1443">
        <v>40</v>
      </c>
      <c r="D1443" t="s">
        <v>15</v>
      </c>
      <c r="E1443" t="s">
        <v>15</v>
      </c>
      <c r="F1443" t="s">
        <v>16</v>
      </c>
      <c r="G1443" t="s">
        <v>17</v>
      </c>
      <c r="H1443" t="s">
        <v>23</v>
      </c>
      <c r="I1443">
        <v>72.760000000000005</v>
      </c>
      <c r="J1443">
        <v>24</v>
      </c>
      <c r="K1443" t="s">
        <v>24</v>
      </c>
      <c r="L1443" t="s">
        <v>15</v>
      </c>
    </row>
    <row r="1444" spans="1:12" x14ac:dyDescent="0.3">
      <c r="A1444">
        <v>50373</v>
      </c>
      <c r="B1444" t="s">
        <v>13</v>
      </c>
      <c r="C1444">
        <v>3</v>
      </c>
      <c r="D1444" t="s">
        <v>15</v>
      </c>
      <c r="E1444" t="s">
        <v>15</v>
      </c>
      <c r="F1444" t="s">
        <v>15</v>
      </c>
      <c r="G1444" t="s">
        <v>20</v>
      </c>
      <c r="H1444" t="s">
        <v>23</v>
      </c>
      <c r="I1444">
        <v>68.34</v>
      </c>
      <c r="J1444">
        <v>18</v>
      </c>
      <c r="K1444" t="s">
        <v>27</v>
      </c>
      <c r="L1444" t="s">
        <v>15</v>
      </c>
    </row>
    <row r="1445" spans="1:12" x14ac:dyDescent="0.3">
      <c r="A1445">
        <v>51124</v>
      </c>
      <c r="B1445" t="s">
        <v>12</v>
      </c>
      <c r="C1445">
        <v>81</v>
      </c>
      <c r="D1445" t="s">
        <v>15</v>
      </c>
      <c r="E1445" t="s">
        <v>15</v>
      </c>
      <c r="F1445" t="s">
        <v>16</v>
      </c>
      <c r="G1445" t="s">
        <v>18</v>
      </c>
      <c r="H1445" t="s">
        <v>22</v>
      </c>
      <c r="I1445">
        <v>61.1</v>
      </c>
      <c r="J1445">
        <v>27.6</v>
      </c>
      <c r="K1445" t="s">
        <v>26</v>
      </c>
      <c r="L1445" t="s">
        <v>15</v>
      </c>
    </row>
    <row r="1446" spans="1:12" x14ac:dyDescent="0.3">
      <c r="A1446">
        <v>13191</v>
      </c>
      <c r="B1446" t="s">
        <v>13</v>
      </c>
      <c r="C1446">
        <v>24</v>
      </c>
      <c r="D1446" t="s">
        <v>15</v>
      </c>
      <c r="E1446" t="s">
        <v>15</v>
      </c>
      <c r="F1446" t="s">
        <v>15</v>
      </c>
      <c r="G1446" t="s">
        <v>17</v>
      </c>
      <c r="H1446" t="s">
        <v>23</v>
      </c>
      <c r="I1446">
        <v>120.77</v>
      </c>
      <c r="J1446">
        <v>16.899999999999999</v>
      </c>
      <c r="K1446" t="s">
        <v>25</v>
      </c>
      <c r="L1446" t="s">
        <v>15</v>
      </c>
    </row>
    <row r="1447" spans="1:12" x14ac:dyDescent="0.3">
      <c r="A1447">
        <v>47330</v>
      </c>
      <c r="B1447" t="s">
        <v>12</v>
      </c>
      <c r="C1447">
        <v>9</v>
      </c>
      <c r="D1447" t="s">
        <v>15</v>
      </c>
      <c r="E1447" t="s">
        <v>15</v>
      </c>
      <c r="F1447" t="s">
        <v>15</v>
      </c>
      <c r="G1447" t="s">
        <v>20</v>
      </c>
      <c r="H1447" t="s">
        <v>23</v>
      </c>
      <c r="I1447">
        <v>60.39</v>
      </c>
      <c r="J1447">
        <v>16.399999999999999</v>
      </c>
      <c r="K1447" t="s">
        <v>27</v>
      </c>
      <c r="L1447" t="s">
        <v>15</v>
      </c>
    </row>
    <row r="1448" spans="1:12" x14ac:dyDescent="0.3">
      <c r="A1448">
        <v>42191</v>
      </c>
      <c r="B1448" t="s">
        <v>13</v>
      </c>
      <c r="C1448">
        <v>52</v>
      </c>
      <c r="D1448" t="s">
        <v>15</v>
      </c>
      <c r="E1448" t="s">
        <v>15</v>
      </c>
      <c r="F1448" t="s">
        <v>16</v>
      </c>
      <c r="G1448" t="s">
        <v>19</v>
      </c>
      <c r="H1448" t="s">
        <v>22</v>
      </c>
      <c r="I1448">
        <v>126.34</v>
      </c>
      <c r="J1448">
        <v>35.1</v>
      </c>
      <c r="K1448" t="s">
        <v>25</v>
      </c>
      <c r="L1448" t="s">
        <v>15</v>
      </c>
    </row>
    <row r="1449" spans="1:12" x14ac:dyDescent="0.3">
      <c r="A1449">
        <v>35332</v>
      </c>
      <c r="B1449" t="s">
        <v>13</v>
      </c>
      <c r="C1449">
        <v>63</v>
      </c>
      <c r="D1449" t="s">
        <v>15</v>
      </c>
      <c r="E1449" t="s">
        <v>15</v>
      </c>
      <c r="F1449" t="s">
        <v>16</v>
      </c>
      <c r="G1449" t="s">
        <v>17</v>
      </c>
      <c r="H1449" t="s">
        <v>23</v>
      </c>
      <c r="I1449">
        <v>93.24</v>
      </c>
      <c r="J1449">
        <v>28.8</v>
      </c>
      <c r="K1449" t="s">
        <v>25</v>
      </c>
      <c r="L1449" t="s">
        <v>15</v>
      </c>
    </row>
    <row r="1450" spans="1:12" x14ac:dyDescent="0.3">
      <c r="A1450">
        <v>49341</v>
      </c>
      <c r="B1450" t="s">
        <v>13</v>
      </c>
      <c r="C1450">
        <v>78</v>
      </c>
      <c r="D1450" t="s">
        <v>15</v>
      </c>
      <c r="E1450" t="s">
        <v>15</v>
      </c>
      <c r="F1450" t="s">
        <v>16</v>
      </c>
      <c r="G1450" t="s">
        <v>17</v>
      </c>
      <c r="H1450" t="s">
        <v>23</v>
      </c>
      <c r="I1450">
        <v>154.75</v>
      </c>
      <c r="J1450">
        <v>17.600000000000001</v>
      </c>
      <c r="K1450" t="s">
        <v>25</v>
      </c>
      <c r="L1450" t="s">
        <v>15</v>
      </c>
    </row>
    <row r="1451" spans="1:12" x14ac:dyDescent="0.3">
      <c r="A1451">
        <v>64750</v>
      </c>
      <c r="B1451" t="s">
        <v>13</v>
      </c>
      <c r="C1451">
        <v>22</v>
      </c>
      <c r="D1451" t="s">
        <v>15</v>
      </c>
      <c r="E1451" t="s">
        <v>15</v>
      </c>
      <c r="F1451" t="s">
        <v>15</v>
      </c>
      <c r="G1451" t="s">
        <v>17</v>
      </c>
      <c r="H1451" t="s">
        <v>23</v>
      </c>
      <c r="I1451">
        <v>62.81</v>
      </c>
      <c r="J1451">
        <v>21.3</v>
      </c>
      <c r="K1451" t="s">
        <v>25</v>
      </c>
      <c r="L1451" t="s">
        <v>15</v>
      </c>
    </row>
    <row r="1452" spans="1:12" x14ac:dyDescent="0.3">
      <c r="A1452">
        <v>70259</v>
      </c>
      <c r="B1452" t="s">
        <v>13</v>
      </c>
      <c r="C1452">
        <v>2</v>
      </c>
      <c r="D1452" t="s">
        <v>15</v>
      </c>
      <c r="E1452" t="s">
        <v>15</v>
      </c>
      <c r="F1452" t="s">
        <v>15</v>
      </c>
      <c r="G1452" t="s">
        <v>20</v>
      </c>
      <c r="H1452" t="s">
        <v>23</v>
      </c>
      <c r="I1452">
        <v>65.959999999999994</v>
      </c>
      <c r="J1452">
        <v>19.7</v>
      </c>
      <c r="K1452" t="s">
        <v>27</v>
      </c>
      <c r="L1452" t="s">
        <v>15</v>
      </c>
    </row>
    <row r="1453" spans="1:12" x14ac:dyDescent="0.3">
      <c r="A1453">
        <v>36960</v>
      </c>
      <c r="B1453" t="s">
        <v>13</v>
      </c>
      <c r="C1453">
        <v>79</v>
      </c>
      <c r="D1453" t="s">
        <v>15</v>
      </c>
      <c r="E1453" t="s">
        <v>15</v>
      </c>
      <c r="F1453" t="s">
        <v>16</v>
      </c>
      <c r="G1453" t="s">
        <v>17</v>
      </c>
      <c r="H1453" t="s">
        <v>23</v>
      </c>
      <c r="I1453">
        <v>79.53</v>
      </c>
      <c r="J1453">
        <v>37.299999999999997</v>
      </c>
      <c r="K1453" t="s">
        <v>25</v>
      </c>
      <c r="L1453" t="s">
        <v>15</v>
      </c>
    </row>
    <row r="1454" spans="1:12" x14ac:dyDescent="0.3">
      <c r="A1454">
        <v>12992</v>
      </c>
      <c r="B1454" t="s">
        <v>13</v>
      </c>
      <c r="C1454">
        <v>49</v>
      </c>
      <c r="D1454" t="s">
        <v>15</v>
      </c>
      <c r="E1454" t="s">
        <v>15</v>
      </c>
      <c r="F1454" t="s">
        <v>16</v>
      </c>
      <c r="G1454" t="s">
        <v>17</v>
      </c>
      <c r="H1454" t="s">
        <v>23</v>
      </c>
      <c r="I1454">
        <v>96.85</v>
      </c>
      <c r="J1454">
        <v>35.5</v>
      </c>
      <c r="K1454" t="s">
        <v>25</v>
      </c>
      <c r="L1454" t="s">
        <v>15</v>
      </c>
    </row>
    <row r="1455" spans="1:12" x14ac:dyDescent="0.3">
      <c r="A1455">
        <v>4692</v>
      </c>
      <c r="B1455" t="s">
        <v>13</v>
      </c>
      <c r="C1455">
        <v>74</v>
      </c>
      <c r="D1455" t="s">
        <v>15</v>
      </c>
      <c r="E1455" t="s">
        <v>15</v>
      </c>
      <c r="F1455" t="s">
        <v>16</v>
      </c>
      <c r="G1455" t="s">
        <v>19</v>
      </c>
      <c r="H1455" t="s">
        <v>22</v>
      </c>
      <c r="I1455">
        <v>251.99</v>
      </c>
      <c r="J1455">
        <v>25.5</v>
      </c>
      <c r="K1455" t="s">
        <v>25</v>
      </c>
      <c r="L1455" t="s">
        <v>15</v>
      </c>
    </row>
    <row r="1456" spans="1:12" x14ac:dyDescent="0.3">
      <c r="A1456">
        <v>62460</v>
      </c>
      <c r="B1456" t="s">
        <v>12</v>
      </c>
      <c r="C1456">
        <v>62</v>
      </c>
      <c r="D1456" t="s">
        <v>15</v>
      </c>
      <c r="E1456" t="s">
        <v>15</v>
      </c>
      <c r="F1456" t="s">
        <v>16</v>
      </c>
      <c r="G1456" t="s">
        <v>17</v>
      </c>
      <c r="H1456" t="s">
        <v>23</v>
      </c>
      <c r="I1456">
        <v>115.13</v>
      </c>
      <c r="J1456">
        <v>30</v>
      </c>
      <c r="K1456" t="s">
        <v>26</v>
      </c>
      <c r="L1456" t="s">
        <v>15</v>
      </c>
    </row>
    <row r="1457" spans="1:12" x14ac:dyDescent="0.3">
      <c r="A1457">
        <v>72132</v>
      </c>
      <c r="B1457" t="s">
        <v>12</v>
      </c>
      <c r="C1457">
        <v>16</v>
      </c>
      <c r="D1457" t="s">
        <v>15</v>
      </c>
      <c r="E1457" t="s">
        <v>15</v>
      </c>
      <c r="F1457" t="s">
        <v>15</v>
      </c>
      <c r="G1457" t="s">
        <v>20</v>
      </c>
      <c r="H1457" t="s">
        <v>22</v>
      </c>
      <c r="I1457">
        <v>102.3</v>
      </c>
      <c r="J1457">
        <v>21.9</v>
      </c>
      <c r="K1457" t="s">
        <v>27</v>
      </c>
      <c r="L1457" t="s">
        <v>15</v>
      </c>
    </row>
    <row r="1458" spans="1:12" x14ac:dyDescent="0.3">
      <c r="A1458">
        <v>41402</v>
      </c>
      <c r="B1458" t="s">
        <v>12</v>
      </c>
      <c r="C1458">
        <v>62</v>
      </c>
      <c r="D1458" t="s">
        <v>15</v>
      </c>
      <c r="E1458" t="s">
        <v>15</v>
      </c>
      <c r="F1458" t="s">
        <v>16</v>
      </c>
      <c r="G1458" t="s">
        <v>18</v>
      </c>
      <c r="H1458" t="s">
        <v>22</v>
      </c>
      <c r="I1458">
        <v>78.989999999999995</v>
      </c>
      <c r="J1458">
        <v>45.5</v>
      </c>
      <c r="K1458" t="s">
        <v>25</v>
      </c>
      <c r="L1458" t="s">
        <v>15</v>
      </c>
    </row>
    <row r="1459" spans="1:12" x14ac:dyDescent="0.3">
      <c r="A1459">
        <v>40253</v>
      </c>
      <c r="B1459" t="s">
        <v>12</v>
      </c>
      <c r="C1459">
        <v>27</v>
      </c>
      <c r="D1459" t="s">
        <v>15</v>
      </c>
      <c r="E1459" t="s">
        <v>15</v>
      </c>
      <c r="F1459" t="s">
        <v>15</v>
      </c>
      <c r="G1459" t="s">
        <v>17</v>
      </c>
      <c r="H1459" t="s">
        <v>23</v>
      </c>
      <c r="I1459">
        <v>191.79</v>
      </c>
      <c r="K1459" t="s">
        <v>26</v>
      </c>
      <c r="L1459" t="s">
        <v>15</v>
      </c>
    </row>
    <row r="1460" spans="1:12" x14ac:dyDescent="0.3">
      <c r="A1460">
        <v>63577</v>
      </c>
      <c r="B1460" t="s">
        <v>13</v>
      </c>
      <c r="C1460">
        <v>50</v>
      </c>
      <c r="D1460" t="s">
        <v>16</v>
      </c>
      <c r="E1460" t="s">
        <v>15</v>
      </c>
      <c r="F1460" t="s">
        <v>16</v>
      </c>
      <c r="G1460" t="s">
        <v>18</v>
      </c>
      <c r="H1460" t="s">
        <v>23</v>
      </c>
      <c r="I1460">
        <v>68.8</v>
      </c>
      <c r="J1460">
        <v>34.9</v>
      </c>
      <c r="K1460" t="s">
        <v>25</v>
      </c>
      <c r="L1460" t="s">
        <v>15</v>
      </c>
    </row>
    <row r="1461" spans="1:12" x14ac:dyDescent="0.3">
      <c r="A1461">
        <v>11726</v>
      </c>
      <c r="B1461" t="s">
        <v>13</v>
      </c>
      <c r="C1461">
        <v>49</v>
      </c>
      <c r="D1461" t="s">
        <v>15</v>
      </c>
      <c r="E1461" t="s">
        <v>15</v>
      </c>
      <c r="F1461" t="s">
        <v>16</v>
      </c>
      <c r="G1461" t="s">
        <v>19</v>
      </c>
      <c r="H1461" t="s">
        <v>23</v>
      </c>
      <c r="I1461">
        <v>83.84</v>
      </c>
      <c r="J1461">
        <v>19.3</v>
      </c>
      <c r="K1461" t="s">
        <v>24</v>
      </c>
      <c r="L1461" t="s">
        <v>15</v>
      </c>
    </row>
    <row r="1462" spans="1:12" x14ac:dyDescent="0.3">
      <c r="A1462">
        <v>13736</v>
      </c>
      <c r="B1462" t="s">
        <v>12</v>
      </c>
      <c r="C1462">
        <v>24</v>
      </c>
      <c r="D1462" t="s">
        <v>15</v>
      </c>
      <c r="E1462" t="s">
        <v>15</v>
      </c>
      <c r="F1462" t="s">
        <v>16</v>
      </c>
      <c r="G1462" t="s">
        <v>17</v>
      </c>
      <c r="H1462" t="s">
        <v>22</v>
      </c>
      <c r="I1462">
        <v>94.66</v>
      </c>
      <c r="J1462">
        <v>32.1</v>
      </c>
      <c r="K1462" t="s">
        <v>24</v>
      </c>
      <c r="L1462" t="s">
        <v>15</v>
      </c>
    </row>
    <row r="1463" spans="1:12" x14ac:dyDescent="0.3">
      <c r="A1463">
        <v>43913</v>
      </c>
      <c r="B1463" t="s">
        <v>13</v>
      </c>
      <c r="C1463">
        <v>21</v>
      </c>
      <c r="D1463" t="s">
        <v>15</v>
      </c>
      <c r="E1463" t="s">
        <v>15</v>
      </c>
      <c r="F1463" t="s">
        <v>15</v>
      </c>
      <c r="G1463" t="s">
        <v>17</v>
      </c>
      <c r="H1463" t="s">
        <v>23</v>
      </c>
      <c r="I1463">
        <v>107.98</v>
      </c>
      <c r="J1463">
        <v>26.9</v>
      </c>
      <c r="K1463" t="s">
        <v>25</v>
      </c>
      <c r="L1463" t="s">
        <v>15</v>
      </c>
    </row>
    <row r="1464" spans="1:12" x14ac:dyDescent="0.3">
      <c r="A1464">
        <v>41870</v>
      </c>
      <c r="B1464" t="s">
        <v>12</v>
      </c>
      <c r="C1464">
        <v>17</v>
      </c>
      <c r="D1464" t="s">
        <v>15</v>
      </c>
      <c r="E1464" t="s">
        <v>15</v>
      </c>
      <c r="F1464" t="s">
        <v>15</v>
      </c>
      <c r="G1464" t="s">
        <v>21</v>
      </c>
      <c r="H1464" t="s">
        <v>23</v>
      </c>
      <c r="I1464">
        <v>61.01</v>
      </c>
      <c r="J1464">
        <v>32.5</v>
      </c>
      <c r="K1464" t="s">
        <v>27</v>
      </c>
      <c r="L1464" t="s">
        <v>15</v>
      </c>
    </row>
    <row r="1465" spans="1:12" x14ac:dyDescent="0.3">
      <c r="A1465">
        <v>37907</v>
      </c>
      <c r="B1465" t="s">
        <v>13</v>
      </c>
      <c r="C1465">
        <v>22</v>
      </c>
      <c r="D1465" t="s">
        <v>15</v>
      </c>
      <c r="E1465" t="s">
        <v>15</v>
      </c>
      <c r="F1465" t="s">
        <v>15</v>
      </c>
      <c r="G1465" t="s">
        <v>17</v>
      </c>
      <c r="H1465" t="s">
        <v>22</v>
      </c>
      <c r="I1465">
        <v>135.63999999999999</v>
      </c>
      <c r="J1465">
        <v>19.5</v>
      </c>
      <c r="K1465" t="s">
        <v>25</v>
      </c>
      <c r="L1465" t="s">
        <v>15</v>
      </c>
    </row>
    <row r="1466" spans="1:12" x14ac:dyDescent="0.3">
      <c r="A1466">
        <v>15987</v>
      </c>
      <c r="B1466" t="s">
        <v>12</v>
      </c>
      <c r="C1466">
        <v>13</v>
      </c>
      <c r="D1466" t="s">
        <v>15</v>
      </c>
      <c r="E1466" t="s">
        <v>15</v>
      </c>
      <c r="F1466" t="s">
        <v>15</v>
      </c>
      <c r="G1466" t="s">
        <v>20</v>
      </c>
      <c r="H1466" t="s">
        <v>22</v>
      </c>
      <c r="I1466">
        <v>92.65</v>
      </c>
      <c r="J1466">
        <v>31.7</v>
      </c>
      <c r="K1466" t="s">
        <v>25</v>
      </c>
      <c r="L1466" t="s">
        <v>15</v>
      </c>
    </row>
    <row r="1467" spans="1:12" x14ac:dyDescent="0.3">
      <c r="A1467">
        <v>57166</v>
      </c>
      <c r="B1467" t="s">
        <v>13</v>
      </c>
      <c r="C1467">
        <v>21</v>
      </c>
      <c r="D1467" t="s">
        <v>15</v>
      </c>
      <c r="E1467" t="s">
        <v>15</v>
      </c>
      <c r="F1467" t="s">
        <v>15</v>
      </c>
      <c r="G1467" t="s">
        <v>17</v>
      </c>
      <c r="H1467" t="s">
        <v>23</v>
      </c>
      <c r="I1467">
        <v>121.11</v>
      </c>
      <c r="J1467">
        <v>21</v>
      </c>
      <c r="K1467" t="s">
        <v>27</v>
      </c>
      <c r="L1467" t="s">
        <v>15</v>
      </c>
    </row>
    <row r="1468" spans="1:12" x14ac:dyDescent="0.3">
      <c r="A1468">
        <v>44950</v>
      </c>
      <c r="B1468" t="s">
        <v>12</v>
      </c>
      <c r="C1468">
        <v>51</v>
      </c>
      <c r="D1468" t="s">
        <v>16</v>
      </c>
      <c r="E1468" t="s">
        <v>15</v>
      </c>
      <c r="F1468" t="s">
        <v>16</v>
      </c>
      <c r="G1468" t="s">
        <v>17</v>
      </c>
      <c r="H1468" t="s">
        <v>23</v>
      </c>
      <c r="I1468">
        <v>163.56</v>
      </c>
      <c r="K1468" t="s">
        <v>24</v>
      </c>
      <c r="L1468" t="s">
        <v>15</v>
      </c>
    </row>
    <row r="1469" spans="1:12" x14ac:dyDescent="0.3">
      <c r="A1469">
        <v>47627</v>
      </c>
      <c r="B1469" t="s">
        <v>12</v>
      </c>
      <c r="C1469">
        <v>8</v>
      </c>
      <c r="D1469" t="s">
        <v>15</v>
      </c>
      <c r="E1469" t="s">
        <v>15</v>
      </c>
      <c r="F1469" t="s">
        <v>15</v>
      </c>
      <c r="G1469" t="s">
        <v>20</v>
      </c>
      <c r="H1469" t="s">
        <v>22</v>
      </c>
      <c r="I1469">
        <v>107.69</v>
      </c>
      <c r="J1469">
        <v>20.3</v>
      </c>
      <c r="K1469" t="s">
        <v>27</v>
      </c>
      <c r="L1469" t="s">
        <v>15</v>
      </c>
    </row>
    <row r="1470" spans="1:12" x14ac:dyDescent="0.3">
      <c r="A1470">
        <v>42460</v>
      </c>
      <c r="B1470" t="s">
        <v>12</v>
      </c>
      <c r="C1470">
        <v>48</v>
      </c>
      <c r="D1470" t="s">
        <v>15</v>
      </c>
      <c r="E1470" t="s">
        <v>15</v>
      </c>
      <c r="F1470" t="s">
        <v>16</v>
      </c>
      <c r="G1470" t="s">
        <v>18</v>
      </c>
      <c r="H1470" t="s">
        <v>23</v>
      </c>
      <c r="I1470">
        <v>216.88</v>
      </c>
      <c r="K1470" t="s">
        <v>26</v>
      </c>
      <c r="L1470" t="s">
        <v>15</v>
      </c>
    </row>
    <row r="1471" spans="1:12" x14ac:dyDescent="0.3">
      <c r="A1471">
        <v>8723</v>
      </c>
      <c r="B1471" t="s">
        <v>13</v>
      </c>
      <c r="C1471">
        <v>16</v>
      </c>
      <c r="D1471" t="s">
        <v>15</v>
      </c>
      <c r="E1471" t="s">
        <v>15</v>
      </c>
      <c r="F1471" t="s">
        <v>15</v>
      </c>
      <c r="G1471" t="s">
        <v>17</v>
      </c>
      <c r="H1471" t="s">
        <v>23</v>
      </c>
      <c r="I1471">
        <v>70.150000000000006</v>
      </c>
      <c r="J1471">
        <v>21.5</v>
      </c>
      <c r="K1471" t="s">
        <v>27</v>
      </c>
      <c r="L1471" t="s">
        <v>15</v>
      </c>
    </row>
    <row r="1472" spans="1:12" x14ac:dyDescent="0.3">
      <c r="A1472">
        <v>52559</v>
      </c>
      <c r="B1472" t="s">
        <v>12</v>
      </c>
      <c r="C1472">
        <v>18</v>
      </c>
      <c r="D1472" t="s">
        <v>15</v>
      </c>
      <c r="E1472" t="s">
        <v>15</v>
      </c>
      <c r="F1472" t="s">
        <v>15</v>
      </c>
      <c r="G1472" t="s">
        <v>17</v>
      </c>
      <c r="H1472" t="s">
        <v>22</v>
      </c>
      <c r="I1472">
        <v>83.02</v>
      </c>
      <c r="J1472">
        <v>40.4</v>
      </c>
      <c r="K1472" t="s">
        <v>27</v>
      </c>
      <c r="L1472" t="s">
        <v>15</v>
      </c>
    </row>
    <row r="1473" spans="1:12" x14ac:dyDescent="0.3">
      <c r="A1473">
        <v>937</v>
      </c>
      <c r="B1473" t="s">
        <v>12</v>
      </c>
      <c r="C1473">
        <v>7</v>
      </c>
      <c r="D1473" t="s">
        <v>15</v>
      </c>
      <c r="E1473" t="s">
        <v>15</v>
      </c>
      <c r="F1473" t="s">
        <v>15</v>
      </c>
      <c r="G1473" t="s">
        <v>20</v>
      </c>
      <c r="H1473" t="s">
        <v>22</v>
      </c>
      <c r="I1473">
        <v>87.94</v>
      </c>
      <c r="K1473" t="s">
        <v>27</v>
      </c>
      <c r="L1473" t="s">
        <v>15</v>
      </c>
    </row>
    <row r="1474" spans="1:12" x14ac:dyDescent="0.3">
      <c r="A1474">
        <v>41271</v>
      </c>
      <c r="B1474" t="s">
        <v>12</v>
      </c>
      <c r="C1474">
        <v>68</v>
      </c>
      <c r="D1474" t="s">
        <v>16</v>
      </c>
      <c r="E1474" t="s">
        <v>15</v>
      </c>
      <c r="F1474" t="s">
        <v>16</v>
      </c>
      <c r="G1474" t="s">
        <v>19</v>
      </c>
      <c r="H1474" t="s">
        <v>22</v>
      </c>
      <c r="I1474">
        <v>222.29</v>
      </c>
      <c r="J1474">
        <v>30.1</v>
      </c>
      <c r="K1474" t="s">
        <v>25</v>
      </c>
      <c r="L1474" t="s">
        <v>15</v>
      </c>
    </row>
    <row r="1475" spans="1:12" x14ac:dyDescent="0.3">
      <c r="A1475">
        <v>66893</v>
      </c>
      <c r="B1475" t="s">
        <v>12</v>
      </c>
      <c r="C1475">
        <v>49</v>
      </c>
      <c r="D1475" t="s">
        <v>16</v>
      </c>
      <c r="E1475" t="s">
        <v>15</v>
      </c>
      <c r="F1475" t="s">
        <v>16</v>
      </c>
      <c r="G1475" t="s">
        <v>19</v>
      </c>
      <c r="H1475" t="s">
        <v>22</v>
      </c>
      <c r="I1475">
        <v>139.43</v>
      </c>
      <c r="J1475">
        <v>40.200000000000003</v>
      </c>
      <c r="K1475" t="s">
        <v>24</v>
      </c>
      <c r="L1475" t="s">
        <v>15</v>
      </c>
    </row>
    <row r="1476" spans="1:12" x14ac:dyDescent="0.3">
      <c r="A1476">
        <v>21491</v>
      </c>
      <c r="B1476" t="s">
        <v>13</v>
      </c>
      <c r="C1476">
        <v>80</v>
      </c>
      <c r="D1476" t="s">
        <v>15</v>
      </c>
      <c r="E1476" t="s">
        <v>15</v>
      </c>
      <c r="F1476" t="s">
        <v>16</v>
      </c>
      <c r="G1476" t="s">
        <v>17</v>
      </c>
      <c r="H1476" t="s">
        <v>22</v>
      </c>
      <c r="I1476">
        <v>213.11</v>
      </c>
      <c r="J1476">
        <v>34.700000000000003</v>
      </c>
      <c r="K1476" t="s">
        <v>25</v>
      </c>
      <c r="L1476" t="s">
        <v>15</v>
      </c>
    </row>
    <row r="1477" spans="1:12" x14ac:dyDescent="0.3">
      <c r="A1477">
        <v>51806</v>
      </c>
      <c r="B1477" t="s">
        <v>12</v>
      </c>
      <c r="C1477">
        <v>31</v>
      </c>
      <c r="D1477" t="s">
        <v>15</v>
      </c>
      <c r="E1477" t="s">
        <v>15</v>
      </c>
      <c r="F1477" t="s">
        <v>16</v>
      </c>
      <c r="G1477" t="s">
        <v>17</v>
      </c>
      <c r="H1477" t="s">
        <v>23</v>
      </c>
      <c r="I1477">
        <v>77.23</v>
      </c>
      <c r="J1477">
        <v>25.9</v>
      </c>
      <c r="K1477" t="s">
        <v>26</v>
      </c>
      <c r="L1477" t="s">
        <v>15</v>
      </c>
    </row>
    <row r="1478" spans="1:12" x14ac:dyDescent="0.3">
      <c r="A1478">
        <v>59412</v>
      </c>
      <c r="B1478" t="s">
        <v>13</v>
      </c>
      <c r="C1478">
        <v>25</v>
      </c>
      <c r="D1478" t="s">
        <v>15</v>
      </c>
      <c r="E1478" t="s">
        <v>15</v>
      </c>
      <c r="F1478" t="s">
        <v>16</v>
      </c>
      <c r="G1478" t="s">
        <v>17</v>
      </c>
      <c r="H1478" t="s">
        <v>22</v>
      </c>
      <c r="I1478">
        <v>58.48</v>
      </c>
      <c r="J1478">
        <v>23.7</v>
      </c>
      <c r="K1478" t="s">
        <v>25</v>
      </c>
      <c r="L1478" t="s">
        <v>15</v>
      </c>
    </row>
    <row r="1479" spans="1:12" x14ac:dyDescent="0.3">
      <c r="A1479">
        <v>742</v>
      </c>
      <c r="B1479" t="s">
        <v>13</v>
      </c>
      <c r="C1479">
        <v>39</v>
      </c>
      <c r="D1479" t="s">
        <v>15</v>
      </c>
      <c r="E1479" t="s">
        <v>15</v>
      </c>
      <c r="F1479" t="s">
        <v>15</v>
      </c>
      <c r="G1479" t="s">
        <v>19</v>
      </c>
      <c r="H1479" t="s">
        <v>23</v>
      </c>
      <c r="I1479">
        <v>87.33</v>
      </c>
      <c r="J1479">
        <v>34.299999999999997</v>
      </c>
      <c r="K1479" t="s">
        <v>25</v>
      </c>
      <c r="L1479" t="s">
        <v>15</v>
      </c>
    </row>
    <row r="1480" spans="1:12" x14ac:dyDescent="0.3">
      <c r="A1480">
        <v>42902</v>
      </c>
      <c r="B1480" t="s">
        <v>12</v>
      </c>
      <c r="C1480">
        <v>35</v>
      </c>
      <c r="D1480" t="s">
        <v>15</v>
      </c>
      <c r="E1480" t="s">
        <v>15</v>
      </c>
      <c r="F1480" t="s">
        <v>16</v>
      </c>
      <c r="G1480" t="s">
        <v>17</v>
      </c>
      <c r="H1480" t="s">
        <v>23</v>
      </c>
      <c r="I1480">
        <v>102.34</v>
      </c>
      <c r="J1480">
        <v>34.299999999999997</v>
      </c>
      <c r="K1480" t="s">
        <v>25</v>
      </c>
      <c r="L1480" t="s">
        <v>15</v>
      </c>
    </row>
    <row r="1481" spans="1:12" x14ac:dyDescent="0.3">
      <c r="A1481">
        <v>43059</v>
      </c>
      <c r="B1481" t="s">
        <v>13</v>
      </c>
      <c r="C1481">
        <v>71</v>
      </c>
      <c r="D1481" t="s">
        <v>15</v>
      </c>
      <c r="E1481" t="s">
        <v>15</v>
      </c>
      <c r="F1481" t="s">
        <v>16</v>
      </c>
      <c r="G1481" t="s">
        <v>18</v>
      </c>
      <c r="H1481" t="s">
        <v>23</v>
      </c>
      <c r="I1481">
        <v>151.30000000000001</v>
      </c>
      <c r="J1481">
        <v>26.3</v>
      </c>
      <c r="K1481" t="s">
        <v>25</v>
      </c>
      <c r="L1481" t="s">
        <v>15</v>
      </c>
    </row>
    <row r="1482" spans="1:12" x14ac:dyDescent="0.3">
      <c r="A1482">
        <v>61512</v>
      </c>
      <c r="B1482" t="s">
        <v>13</v>
      </c>
      <c r="C1482">
        <v>71</v>
      </c>
      <c r="D1482" t="s">
        <v>15</v>
      </c>
      <c r="E1482" t="s">
        <v>15</v>
      </c>
      <c r="F1482" t="s">
        <v>16</v>
      </c>
      <c r="G1482" t="s">
        <v>18</v>
      </c>
      <c r="H1482" t="s">
        <v>22</v>
      </c>
      <c r="I1482">
        <v>144.22999999999999</v>
      </c>
      <c r="J1482">
        <v>22.1</v>
      </c>
      <c r="K1482" t="s">
        <v>24</v>
      </c>
      <c r="L1482" t="s">
        <v>15</v>
      </c>
    </row>
    <row r="1483" spans="1:12" x14ac:dyDescent="0.3">
      <c r="A1483">
        <v>10943</v>
      </c>
      <c r="B1483" t="s">
        <v>13</v>
      </c>
      <c r="C1483">
        <v>40</v>
      </c>
      <c r="D1483" t="s">
        <v>15</v>
      </c>
      <c r="E1483" t="s">
        <v>15</v>
      </c>
      <c r="F1483" t="s">
        <v>16</v>
      </c>
      <c r="G1483" t="s">
        <v>19</v>
      </c>
      <c r="H1483" t="s">
        <v>23</v>
      </c>
      <c r="I1483">
        <v>110.6</v>
      </c>
      <c r="J1483">
        <v>33.299999999999997</v>
      </c>
      <c r="K1483" t="s">
        <v>24</v>
      </c>
      <c r="L1483" t="s">
        <v>15</v>
      </c>
    </row>
    <row r="1484" spans="1:12" x14ac:dyDescent="0.3">
      <c r="A1484">
        <v>11447</v>
      </c>
      <c r="B1484" t="s">
        <v>13</v>
      </c>
      <c r="C1484">
        <v>41</v>
      </c>
      <c r="D1484" t="s">
        <v>15</v>
      </c>
      <c r="E1484" t="s">
        <v>15</v>
      </c>
      <c r="F1484" t="s">
        <v>16</v>
      </c>
      <c r="G1484" t="s">
        <v>19</v>
      </c>
      <c r="H1484" t="s">
        <v>22</v>
      </c>
      <c r="I1484">
        <v>80.28</v>
      </c>
      <c r="J1484">
        <v>37.299999999999997</v>
      </c>
      <c r="K1484" t="s">
        <v>25</v>
      </c>
      <c r="L1484" t="s">
        <v>15</v>
      </c>
    </row>
    <row r="1485" spans="1:12" x14ac:dyDescent="0.3">
      <c r="A1485">
        <v>29233</v>
      </c>
      <c r="B1485" t="s">
        <v>12</v>
      </c>
      <c r="C1485">
        <v>2</v>
      </c>
      <c r="D1485" t="s">
        <v>15</v>
      </c>
      <c r="E1485" t="s">
        <v>15</v>
      </c>
      <c r="F1485" t="s">
        <v>15</v>
      </c>
      <c r="G1485" t="s">
        <v>20</v>
      </c>
      <c r="H1485" t="s">
        <v>23</v>
      </c>
      <c r="I1485">
        <v>111.02</v>
      </c>
      <c r="J1485">
        <v>20.5</v>
      </c>
      <c r="K1485" t="s">
        <v>27</v>
      </c>
      <c r="L1485" t="s">
        <v>15</v>
      </c>
    </row>
    <row r="1486" spans="1:12" x14ac:dyDescent="0.3">
      <c r="A1486">
        <v>17762</v>
      </c>
      <c r="B1486" t="s">
        <v>13</v>
      </c>
      <c r="C1486">
        <v>3</v>
      </c>
      <c r="D1486" t="s">
        <v>15</v>
      </c>
      <c r="E1486" t="s">
        <v>15</v>
      </c>
      <c r="F1486" t="s">
        <v>15</v>
      </c>
      <c r="G1486" t="s">
        <v>20</v>
      </c>
      <c r="H1486" t="s">
        <v>23</v>
      </c>
      <c r="I1486">
        <v>114.88</v>
      </c>
      <c r="J1486">
        <v>19.100000000000001</v>
      </c>
      <c r="K1486" t="s">
        <v>27</v>
      </c>
      <c r="L1486" t="s">
        <v>15</v>
      </c>
    </row>
    <row r="1487" spans="1:12" x14ac:dyDescent="0.3">
      <c r="A1487">
        <v>46284</v>
      </c>
      <c r="B1487" t="s">
        <v>12</v>
      </c>
      <c r="C1487">
        <v>53</v>
      </c>
      <c r="D1487" t="s">
        <v>16</v>
      </c>
      <c r="E1487" t="s">
        <v>15</v>
      </c>
      <c r="F1487" t="s">
        <v>16</v>
      </c>
      <c r="G1487" t="s">
        <v>18</v>
      </c>
      <c r="H1487" t="s">
        <v>22</v>
      </c>
      <c r="I1487">
        <v>227.51</v>
      </c>
      <c r="J1487">
        <v>34.700000000000003</v>
      </c>
      <c r="K1487" t="s">
        <v>24</v>
      </c>
      <c r="L1487" t="s">
        <v>15</v>
      </c>
    </row>
    <row r="1488" spans="1:12" x14ac:dyDescent="0.3">
      <c r="A1488">
        <v>1405</v>
      </c>
      <c r="B1488" t="s">
        <v>12</v>
      </c>
      <c r="C1488">
        <v>1.88</v>
      </c>
      <c r="D1488" t="s">
        <v>15</v>
      </c>
      <c r="E1488" t="s">
        <v>15</v>
      </c>
      <c r="F1488" t="s">
        <v>15</v>
      </c>
      <c r="G1488" t="s">
        <v>20</v>
      </c>
      <c r="H1488" t="s">
        <v>22</v>
      </c>
      <c r="I1488">
        <v>111.65</v>
      </c>
      <c r="J1488">
        <v>16.3</v>
      </c>
      <c r="K1488" t="s">
        <v>27</v>
      </c>
      <c r="L1488" t="s">
        <v>15</v>
      </c>
    </row>
    <row r="1489" spans="1:12" x14ac:dyDescent="0.3">
      <c r="A1489">
        <v>38493</v>
      </c>
      <c r="B1489" t="s">
        <v>12</v>
      </c>
      <c r="C1489">
        <v>60</v>
      </c>
      <c r="D1489" t="s">
        <v>16</v>
      </c>
      <c r="E1489" t="s">
        <v>16</v>
      </c>
      <c r="F1489" t="s">
        <v>16</v>
      </c>
      <c r="G1489" t="s">
        <v>17</v>
      </c>
      <c r="H1489" t="s">
        <v>22</v>
      </c>
      <c r="I1489">
        <v>201.01</v>
      </c>
      <c r="J1489">
        <v>28</v>
      </c>
      <c r="K1489" t="s">
        <v>25</v>
      </c>
      <c r="L1489" t="s">
        <v>15</v>
      </c>
    </row>
    <row r="1490" spans="1:12" x14ac:dyDescent="0.3">
      <c r="A1490">
        <v>57953</v>
      </c>
      <c r="B1490" t="s">
        <v>13</v>
      </c>
      <c r="C1490">
        <v>5</v>
      </c>
      <c r="D1490" t="s">
        <v>15</v>
      </c>
      <c r="E1490" t="s">
        <v>15</v>
      </c>
      <c r="F1490" t="s">
        <v>15</v>
      </c>
      <c r="G1490" t="s">
        <v>20</v>
      </c>
      <c r="H1490" t="s">
        <v>22</v>
      </c>
      <c r="I1490">
        <v>129.01</v>
      </c>
      <c r="J1490">
        <v>17.2</v>
      </c>
      <c r="K1490" t="s">
        <v>27</v>
      </c>
      <c r="L1490" t="s">
        <v>15</v>
      </c>
    </row>
    <row r="1491" spans="1:12" x14ac:dyDescent="0.3">
      <c r="A1491">
        <v>30746</v>
      </c>
      <c r="B1491" t="s">
        <v>13</v>
      </c>
      <c r="C1491">
        <v>30</v>
      </c>
      <c r="D1491" t="s">
        <v>15</v>
      </c>
      <c r="E1491" t="s">
        <v>15</v>
      </c>
      <c r="F1491" t="s">
        <v>16</v>
      </c>
      <c r="G1491" t="s">
        <v>17</v>
      </c>
      <c r="H1491" t="s">
        <v>23</v>
      </c>
      <c r="I1491">
        <v>124.08</v>
      </c>
      <c r="J1491">
        <v>41.1</v>
      </c>
      <c r="K1491" t="s">
        <v>27</v>
      </c>
      <c r="L1491" t="s">
        <v>15</v>
      </c>
    </row>
    <row r="1492" spans="1:12" x14ac:dyDescent="0.3">
      <c r="A1492">
        <v>16949</v>
      </c>
      <c r="B1492" t="s">
        <v>13</v>
      </c>
      <c r="C1492">
        <v>49</v>
      </c>
      <c r="D1492" t="s">
        <v>16</v>
      </c>
      <c r="E1492" t="s">
        <v>15</v>
      </c>
      <c r="F1492" t="s">
        <v>16</v>
      </c>
      <c r="G1492" t="s">
        <v>19</v>
      </c>
      <c r="H1492" t="s">
        <v>23</v>
      </c>
      <c r="I1492">
        <v>107.91</v>
      </c>
      <c r="J1492">
        <v>25</v>
      </c>
      <c r="K1492" t="s">
        <v>27</v>
      </c>
      <c r="L1492" t="s">
        <v>15</v>
      </c>
    </row>
    <row r="1493" spans="1:12" x14ac:dyDescent="0.3">
      <c r="A1493">
        <v>45297</v>
      </c>
      <c r="B1493" t="s">
        <v>12</v>
      </c>
      <c r="C1493">
        <v>68</v>
      </c>
      <c r="D1493" t="s">
        <v>16</v>
      </c>
      <c r="E1493" t="s">
        <v>15</v>
      </c>
      <c r="F1493" t="s">
        <v>16</v>
      </c>
      <c r="G1493" t="s">
        <v>17</v>
      </c>
      <c r="H1493" t="s">
        <v>23</v>
      </c>
      <c r="I1493">
        <v>95.4</v>
      </c>
      <c r="J1493">
        <v>27.5</v>
      </c>
      <c r="K1493" t="s">
        <v>25</v>
      </c>
      <c r="L1493" t="s">
        <v>15</v>
      </c>
    </row>
    <row r="1494" spans="1:12" x14ac:dyDescent="0.3">
      <c r="A1494">
        <v>40251</v>
      </c>
      <c r="B1494" t="s">
        <v>13</v>
      </c>
      <c r="C1494">
        <v>23</v>
      </c>
      <c r="D1494" t="s">
        <v>15</v>
      </c>
      <c r="E1494" t="s">
        <v>15</v>
      </c>
      <c r="F1494" t="s">
        <v>15</v>
      </c>
      <c r="G1494" t="s">
        <v>17</v>
      </c>
      <c r="H1494" t="s">
        <v>23</v>
      </c>
      <c r="I1494">
        <v>65.900000000000006</v>
      </c>
      <c r="J1494">
        <v>21.5</v>
      </c>
      <c r="K1494" t="s">
        <v>25</v>
      </c>
      <c r="L1494" t="s">
        <v>15</v>
      </c>
    </row>
    <row r="1495" spans="1:12" x14ac:dyDescent="0.3">
      <c r="A1495">
        <v>27013</v>
      </c>
      <c r="B1495" t="s">
        <v>12</v>
      </c>
      <c r="C1495">
        <v>2</v>
      </c>
      <c r="D1495" t="s">
        <v>15</v>
      </c>
      <c r="E1495" t="s">
        <v>15</v>
      </c>
      <c r="F1495" t="s">
        <v>15</v>
      </c>
      <c r="G1495" t="s">
        <v>20</v>
      </c>
      <c r="H1495" t="s">
        <v>22</v>
      </c>
      <c r="I1495">
        <v>78.98</v>
      </c>
      <c r="J1495">
        <v>15.1</v>
      </c>
      <c r="K1495" t="s">
        <v>27</v>
      </c>
      <c r="L1495" t="s">
        <v>15</v>
      </c>
    </row>
    <row r="1496" spans="1:12" x14ac:dyDescent="0.3">
      <c r="A1496">
        <v>7586</v>
      </c>
      <c r="B1496" t="s">
        <v>12</v>
      </c>
      <c r="C1496">
        <v>24</v>
      </c>
      <c r="D1496" t="s">
        <v>15</v>
      </c>
      <c r="E1496" t="s">
        <v>15</v>
      </c>
      <c r="F1496" t="s">
        <v>15</v>
      </c>
      <c r="G1496" t="s">
        <v>18</v>
      </c>
      <c r="H1496" t="s">
        <v>23</v>
      </c>
      <c r="I1496">
        <v>111.33</v>
      </c>
      <c r="J1496">
        <v>29.6</v>
      </c>
      <c r="K1496" t="s">
        <v>24</v>
      </c>
      <c r="L1496" t="s">
        <v>15</v>
      </c>
    </row>
    <row r="1497" spans="1:12" x14ac:dyDescent="0.3">
      <c r="A1497">
        <v>26452</v>
      </c>
      <c r="B1497" t="s">
        <v>13</v>
      </c>
      <c r="C1497">
        <v>41</v>
      </c>
      <c r="D1497" t="s">
        <v>15</v>
      </c>
      <c r="E1497" t="s">
        <v>15</v>
      </c>
      <c r="F1497" t="s">
        <v>16</v>
      </c>
      <c r="G1497" t="s">
        <v>17</v>
      </c>
      <c r="H1497" t="s">
        <v>23</v>
      </c>
      <c r="I1497">
        <v>104.36</v>
      </c>
      <c r="J1497">
        <v>30.2</v>
      </c>
      <c r="K1497" t="s">
        <v>25</v>
      </c>
      <c r="L1497" t="s">
        <v>15</v>
      </c>
    </row>
    <row r="1498" spans="1:12" x14ac:dyDescent="0.3">
      <c r="A1498">
        <v>16378</v>
      </c>
      <c r="B1498" t="s">
        <v>13</v>
      </c>
      <c r="C1498">
        <v>63</v>
      </c>
      <c r="D1498" t="s">
        <v>15</v>
      </c>
      <c r="E1498" t="s">
        <v>15</v>
      </c>
      <c r="F1498" t="s">
        <v>16</v>
      </c>
      <c r="G1498" t="s">
        <v>19</v>
      </c>
      <c r="H1498" t="s">
        <v>22</v>
      </c>
      <c r="I1498">
        <v>123.87</v>
      </c>
      <c r="J1498">
        <v>34.9</v>
      </c>
      <c r="K1498" t="s">
        <v>27</v>
      </c>
      <c r="L1498" t="s">
        <v>15</v>
      </c>
    </row>
    <row r="1499" spans="1:12" x14ac:dyDescent="0.3">
      <c r="A1499">
        <v>5137</v>
      </c>
      <c r="B1499" t="s">
        <v>12</v>
      </c>
      <c r="C1499">
        <v>64</v>
      </c>
      <c r="D1499" t="s">
        <v>15</v>
      </c>
      <c r="E1499" t="s">
        <v>15</v>
      </c>
      <c r="F1499" t="s">
        <v>16</v>
      </c>
      <c r="G1499" t="s">
        <v>18</v>
      </c>
      <c r="H1499" t="s">
        <v>23</v>
      </c>
      <c r="I1499">
        <v>210</v>
      </c>
      <c r="J1499">
        <v>30.7</v>
      </c>
      <c r="K1499" t="s">
        <v>24</v>
      </c>
      <c r="L1499" t="s">
        <v>15</v>
      </c>
    </row>
    <row r="1500" spans="1:12" x14ac:dyDescent="0.3">
      <c r="A1500">
        <v>4559</v>
      </c>
      <c r="B1500" t="s">
        <v>12</v>
      </c>
      <c r="C1500">
        <v>38</v>
      </c>
      <c r="D1500" t="s">
        <v>15</v>
      </c>
      <c r="E1500" t="s">
        <v>15</v>
      </c>
      <c r="F1500" t="s">
        <v>15</v>
      </c>
      <c r="G1500" t="s">
        <v>17</v>
      </c>
      <c r="H1500" t="s">
        <v>23</v>
      </c>
      <c r="I1500">
        <v>86.86</v>
      </c>
      <c r="J1500">
        <v>36.5</v>
      </c>
      <c r="K1500" t="s">
        <v>27</v>
      </c>
      <c r="L1500" t="s">
        <v>15</v>
      </c>
    </row>
    <row r="1501" spans="1:12" x14ac:dyDescent="0.3">
      <c r="A1501">
        <v>45357</v>
      </c>
      <c r="B1501" t="s">
        <v>13</v>
      </c>
      <c r="C1501">
        <v>1.24</v>
      </c>
      <c r="D1501" t="s">
        <v>15</v>
      </c>
      <c r="E1501" t="s">
        <v>15</v>
      </c>
      <c r="F1501" t="s">
        <v>15</v>
      </c>
      <c r="G1501" t="s">
        <v>20</v>
      </c>
      <c r="H1501" t="s">
        <v>23</v>
      </c>
      <c r="I1501">
        <v>113.96</v>
      </c>
      <c r="J1501">
        <v>21.5</v>
      </c>
      <c r="K1501" t="s">
        <v>27</v>
      </c>
      <c r="L1501" t="s">
        <v>15</v>
      </c>
    </row>
    <row r="1502" spans="1:12" x14ac:dyDescent="0.3">
      <c r="A1502">
        <v>45257</v>
      </c>
      <c r="B1502" t="s">
        <v>13</v>
      </c>
      <c r="C1502">
        <v>38</v>
      </c>
      <c r="D1502" t="s">
        <v>15</v>
      </c>
      <c r="E1502" t="s">
        <v>15</v>
      </c>
      <c r="F1502" t="s">
        <v>16</v>
      </c>
      <c r="G1502" t="s">
        <v>17</v>
      </c>
      <c r="H1502" t="s">
        <v>23</v>
      </c>
      <c r="I1502">
        <v>81.28</v>
      </c>
      <c r="J1502">
        <v>33.200000000000003</v>
      </c>
      <c r="K1502" t="s">
        <v>26</v>
      </c>
      <c r="L1502" t="s">
        <v>15</v>
      </c>
    </row>
    <row r="1503" spans="1:12" x14ac:dyDescent="0.3">
      <c r="A1503">
        <v>34386</v>
      </c>
      <c r="B1503" t="s">
        <v>13</v>
      </c>
      <c r="C1503">
        <v>43</v>
      </c>
      <c r="D1503" t="s">
        <v>15</v>
      </c>
      <c r="E1503" t="s">
        <v>15</v>
      </c>
      <c r="F1503" t="s">
        <v>16</v>
      </c>
      <c r="G1503" t="s">
        <v>17</v>
      </c>
      <c r="H1503" t="s">
        <v>23</v>
      </c>
      <c r="I1503">
        <v>102.5</v>
      </c>
      <c r="J1503">
        <v>50.2</v>
      </c>
      <c r="K1503" t="s">
        <v>25</v>
      </c>
      <c r="L1503" t="s">
        <v>15</v>
      </c>
    </row>
    <row r="1504" spans="1:12" x14ac:dyDescent="0.3">
      <c r="A1504">
        <v>15219</v>
      </c>
      <c r="B1504" t="s">
        <v>13</v>
      </c>
      <c r="C1504">
        <v>27</v>
      </c>
      <c r="D1504" t="s">
        <v>15</v>
      </c>
      <c r="E1504" t="s">
        <v>15</v>
      </c>
      <c r="F1504" t="s">
        <v>15</v>
      </c>
      <c r="G1504" t="s">
        <v>17</v>
      </c>
      <c r="H1504" t="s">
        <v>23</v>
      </c>
      <c r="I1504">
        <v>78.05</v>
      </c>
      <c r="J1504">
        <v>22.3</v>
      </c>
      <c r="K1504" t="s">
        <v>25</v>
      </c>
      <c r="L1504" t="s">
        <v>15</v>
      </c>
    </row>
    <row r="1505" spans="1:12" x14ac:dyDescent="0.3">
      <c r="A1505">
        <v>39202</v>
      </c>
      <c r="B1505" t="s">
        <v>13</v>
      </c>
      <c r="C1505">
        <v>61</v>
      </c>
      <c r="D1505" t="s">
        <v>16</v>
      </c>
      <c r="E1505" t="s">
        <v>16</v>
      </c>
      <c r="F1505" t="s">
        <v>16</v>
      </c>
      <c r="G1505" t="s">
        <v>17</v>
      </c>
      <c r="H1505" t="s">
        <v>22</v>
      </c>
      <c r="I1505">
        <v>237.58</v>
      </c>
      <c r="K1505" t="s">
        <v>24</v>
      </c>
      <c r="L1505" t="s">
        <v>15</v>
      </c>
    </row>
    <row r="1506" spans="1:12" x14ac:dyDescent="0.3">
      <c r="A1506">
        <v>9076</v>
      </c>
      <c r="B1506" t="s">
        <v>12</v>
      </c>
      <c r="C1506">
        <v>42</v>
      </c>
      <c r="D1506" t="s">
        <v>15</v>
      </c>
      <c r="E1506" t="s">
        <v>15</v>
      </c>
      <c r="F1506" t="s">
        <v>16</v>
      </c>
      <c r="G1506" t="s">
        <v>18</v>
      </c>
      <c r="H1506" t="s">
        <v>22</v>
      </c>
      <c r="I1506">
        <v>86.07</v>
      </c>
      <c r="J1506">
        <v>27.3</v>
      </c>
      <c r="K1506" t="s">
        <v>27</v>
      </c>
      <c r="L1506" t="s">
        <v>15</v>
      </c>
    </row>
    <row r="1507" spans="1:12" x14ac:dyDescent="0.3">
      <c r="A1507">
        <v>72824</v>
      </c>
      <c r="B1507" t="s">
        <v>12</v>
      </c>
      <c r="C1507">
        <v>46</v>
      </c>
      <c r="D1507" t="s">
        <v>15</v>
      </c>
      <c r="E1507" t="s">
        <v>15</v>
      </c>
      <c r="F1507" t="s">
        <v>16</v>
      </c>
      <c r="G1507" t="s">
        <v>17</v>
      </c>
      <c r="H1507" t="s">
        <v>23</v>
      </c>
      <c r="I1507">
        <v>59.05</v>
      </c>
      <c r="J1507">
        <v>28.3</v>
      </c>
      <c r="K1507" t="s">
        <v>24</v>
      </c>
      <c r="L1507" t="s">
        <v>15</v>
      </c>
    </row>
    <row r="1508" spans="1:12" x14ac:dyDescent="0.3">
      <c r="A1508">
        <v>64132</v>
      </c>
      <c r="B1508" t="s">
        <v>12</v>
      </c>
      <c r="C1508">
        <v>67</v>
      </c>
      <c r="D1508" t="s">
        <v>15</v>
      </c>
      <c r="E1508" t="s">
        <v>16</v>
      </c>
      <c r="F1508" t="s">
        <v>16</v>
      </c>
      <c r="G1508" t="s">
        <v>18</v>
      </c>
      <c r="H1508" t="s">
        <v>23</v>
      </c>
      <c r="I1508">
        <v>95.88</v>
      </c>
      <c r="J1508">
        <v>31.9</v>
      </c>
      <c r="K1508" t="s">
        <v>27</v>
      </c>
      <c r="L1508" t="s">
        <v>15</v>
      </c>
    </row>
    <row r="1509" spans="1:12" x14ac:dyDescent="0.3">
      <c r="A1509">
        <v>52987</v>
      </c>
      <c r="B1509" t="s">
        <v>13</v>
      </c>
      <c r="C1509">
        <v>34</v>
      </c>
      <c r="D1509" t="s">
        <v>15</v>
      </c>
      <c r="E1509" t="s">
        <v>15</v>
      </c>
      <c r="F1509" t="s">
        <v>16</v>
      </c>
      <c r="G1509" t="s">
        <v>19</v>
      </c>
      <c r="H1509" t="s">
        <v>23</v>
      </c>
      <c r="I1509">
        <v>70.180000000000007</v>
      </c>
      <c r="J1509">
        <v>24.9</v>
      </c>
      <c r="K1509" t="s">
        <v>27</v>
      </c>
      <c r="L1509" t="s">
        <v>15</v>
      </c>
    </row>
    <row r="1510" spans="1:12" x14ac:dyDescent="0.3">
      <c r="A1510">
        <v>17827</v>
      </c>
      <c r="B1510" t="s">
        <v>12</v>
      </c>
      <c r="C1510">
        <v>51</v>
      </c>
      <c r="D1510" t="s">
        <v>15</v>
      </c>
      <c r="E1510" t="s">
        <v>15</v>
      </c>
      <c r="F1510" t="s">
        <v>16</v>
      </c>
      <c r="G1510" t="s">
        <v>17</v>
      </c>
      <c r="H1510" t="s">
        <v>23</v>
      </c>
      <c r="I1510">
        <v>111.13</v>
      </c>
      <c r="J1510">
        <v>32.700000000000003</v>
      </c>
      <c r="K1510" t="s">
        <v>24</v>
      </c>
      <c r="L1510" t="s">
        <v>15</v>
      </c>
    </row>
    <row r="1511" spans="1:12" x14ac:dyDescent="0.3">
      <c r="A1511">
        <v>29378</v>
      </c>
      <c r="B1511" t="s">
        <v>13</v>
      </c>
      <c r="C1511">
        <v>77</v>
      </c>
      <c r="D1511" t="s">
        <v>15</v>
      </c>
      <c r="E1511" t="s">
        <v>15</v>
      </c>
      <c r="F1511" t="s">
        <v>16</v>
      </c>
      <c r="G1511" t="s">
        <v>17</v>
      </c>
      <c r="H1511" t="s">
        <v>22</v>
      </c>
      <c r="I1511">
        <v>79.3</v>
      </c>
      <c r="J1511">
        <v>26.4</v>
      </c>
      <c r="K1511" t="s">
        <v>27</v>
      </c>
      <c r="L1511" t="s">
        <v>15</v>
      </c>
    </row>
    <row r="1512" spans="1:12" x14ac:dyDescent="0.3">
      <c r="A1512">
        <v>29327</v>
      </c>
      <c r="B1512" t="s">
        <v>13</v>
      </c>
      <c r="C1512">
        <v>30</v>
      </c>
      <c r="D1512" t="s">
        <v>15</v>
      </c>
      <c r="E1512" t="s">
        <v>15</v>
      </c>
      <c r="F1512" t="s">
        <v>15</v>
      </c>
      <c r="G1512" t="s">
        <v>18</v>
      </c>
      <c r="H1512" t="s">
        <v>22</v>
      </c>
      <c r="I1512">
        <v>65.84</v>
      </c>
      <c r="J1512">
        <v>24.8</v>
      </c>
      <c r="K1512" t="s">
        <v>26</v>
      </c>
      <c r="L1512" t="s">
        <v>15</v>
      </c>
    </row>
    <row r="1513" spans="1:12" x14ac:dyDescent="0.3">
      <c r="A1513">
        <v>48609</v>
      </c>
      <c r="B1513" t="s">
        <v>13</v>
      </c>
      <c r="C1513">
        <v>81</v>
      </c>
      <c r="D1513" t="s">
        <v>15</v>
      </c>
      <c r="E1513" t="s">
        <v>16</v>
      </c>
      <c r="F1513" t="s">
        <v>16</v>
      </c>
      <c r="G1513" t="s">
        <v>17</v>
      </c>
      <c r="H1513" t="s">
        <v>23</v>
      </c>
      <c r="I1513">
        <v>123.49</v>
      </c>
      <c r="J1513">
        <v>30.7</v>
      </c>
      <c r="K1513" t="s">
        <v>26</v>
      </c>
      <c r="L1513" t="s">
        <v>15</v>
      </c>
    </row>
    <row r="1514" spans="1:12" x14ac:dyDescent="0.3">
      <c r="A1514">
        <v>4833</v>
      </c>
      <c r="B1514" t="s">
        <v>13</v>
      </c>
      <c r="C1514">
        <v>12</v>
      </c>
      <c r="D1514" t="s">
        <v>15</v>
      </c>
      <c r="E1514" t="s">
        <v>15</v>
      </c>
      <c r="F1514" t="s">
        <v>15</v>
      </c>
      <c r="G1514" t="s">
        <v>20</v>
      </c>
      <c r="H1514" t="s">
        <v>23</v>
      </c>
      <c r="I1514">
        <v>207.45</v>
      </c>
      <c r="J1514">
        <v>25.4</v>
      </c>
      <c r="K1514" t="s">
        <v>26</v>
      </c>
      <c r="L1514" t="s">
        <v>15</v>
      </c>
    </row>
    <row r="1515" spans="1:12" x14ac:dyDescent="0.3">
      <c r="A1515">
        <v>8085</v>
      </c>
      <c r="B1515" t="s">
        <v>12</v>
      </c>
      <c r="C1515">
        <v>18</v>
      </c>
      <c r="D1515" t="s">
        <v>15</v>
      </c>
      <c r="E1515" t="s">
        <v>15</v>
      </c>
      <c r="F1515" t="s">
        <v>15</v>
      </c>
      <c r="G1515" t="s">
        <v>17</v>
      </c>
      <c r="H1515" t="s">
        <v>23</v>
      </c>
      <c r="I1515">
        <v>143.44999999999999</v>
      </c>
      <c r="J1515">
        <v>32</v>
      </c>
      <c r="K1515" t="s">
        <v>26</v>
      </c>
      <c r="L1515" t="s">
        <v>15</v>
      </c>
    </row>
    <row r="1516" spans="1:12" x14ac:dyDescent="0.3">
      <c r="A1516">
        <v>41820</v>
      </c>
      <c r="B1516" t="s">
        <v>13</v>
      </c>
      <c r="C1516">
        <v>35</v>
      </c>
      <c r="D1516" t="s">
        <v>15</v>
      </c>
      <c r="E1516" t="s">
        <v>15</v>
      </c>
      <c r="F1516" t="s">
        <v>16</v>
      </c>
      <c r="G1516" t="s">
        <v>19</v>
      </c>
      <c r="H1516" t="s">
        <v>23</v>
      </c>
      <c r="I1516">
        <v>89.11</v>
      </c>
      <c r="J1516">
        <v>24.4</v>
      </c>
      <c r="K1516" t="s">
        <v>25</v>
      </c>
      <c r="L1516" t="s">
        <v>15</v>
      </c>
    </row>
    <row r="1517" spans="1:12" x14ac:dyDescent="0.3">
      <c r="A1517">
        <v>72474</v>
      </c>
      <c r="B1517" t="s">
        <v>13</v>
      </c>
      <c r="C1517">
        <v>82</v>
      </c>
      <c r="D1517" t="s">
        <v>15</v>
      </c>
      <c r="E1517" t="s">
        <v>15</v>
      </c>
      <c r="F1517" t="s">
        <v>16</v>
      </c>
      <c r="G1517" t="s">
        <v>19</v>
      </c>
      <c r="H1517" t="s">
        <v>23</v>
      </c>
      <c r="I1517">
        <v>58.3</v>
      </c>
      <c r="J1517">
        <v>20.399999999999999</v>
      </c>
      <c r="K1517" t="s">
        <v>25</v>
      </c>
      <c r="L1517" t="s">
        <v>15</v>
      </c>
    </row>
    <row r="1518" spans="1:12" x14ac:dyDescent="0.3">
      <c r="A1518">
        <v>32094</v>
      </c>
      <c r="B1518" t="s">
        <v>12</v>
      </c>
      <c r="C1518">
        <v>53</v>
      </c>
      <c r="D1518" t="s">
        <v>16</v>
      </c>
      <c r="E1518" t="s">
        <v>15</v>
      </c>
      <c r="F1518" t="s">
        <v>16</v>
      </c>
      <c r="G1518" t="s">
        <v>18</v>
      </c>
      <c r="H1518" t="s">
        <v>22</v>
      </c>
      <c r="I1518">
        <v>78.680000000000007</v>
      </c>
      <c r="J1518">
        <v>29.5</v>
      </c>
      <c r="K1518" t="s">
        <v>25</v>
      </c>
      <c r="L1518" t="s">
        <v>15</v>
      </c>
    </row>
    <row r="1519" spans="1:12" x14ac:dyDescent="0.3">
      <c r="A1519">
        <v>66818</v>
      </c>
      <c r="B1519" t="s">
        <v>12</v>
      </c>
      <c r="C1519">
        <v>75</v>
      </c>
      <c r="D1519" t="s">
        <v>15</v>
      </c>
      <c r="E1519" t="s">
        <v>15</v>
      </c>
      <c r="F1519" t="s">
        <v>16</v>
      </c>
      <c r="G1519" t="s">
        <v>19</v>
      </c>
      <c r="H1519" t="s">
        <v>22</v>
      </c>
      <c r="I1519">
        <v>98.91</v>
      </c>
      <c r="J1519">
        <v>24.4</v>
      </c>
      <c r="K1519" t="s">
        <v>25</v>
      </c>
      <c r="L1519" t="s">
        <v>15</v>
      </c>
    </row>
    <row r="1520" spans="1:12" x14ac:dyDescent="0.3">
      <c r="A1520">
        <v>49057</v>
      </c>
      <c r="B1520" t="s">
        <v>13</v>
      </c>
      <c r="C1520">
        <v>32</v>
      </c>
      <c r="D1520" t="s">
        <v>15</v>
      </c>
      <c r="E1520" t="s">
        <v>15</v>
      </c>
      <c r="F1520" t="s">
        <v>15</v>
      </c>
      <c r="G1520" t="s">
        <v>17</v>
      </c>
      <c r="H1520" t="s">
        <v>23</v>
      </c>
      <c r="I1520">
        <v>67.92</v>
      </c>
      <c r="J1520">
        <v>22.8</v>
      </c>
      <c r="K1520" t="s">
        <v>26</v>
      </c>
      <c r="L1520" t="s">
        <v>15</v>
      </c>
    </row>
    <row r="1521" spans="1:12" x14ac:dyDescent="0.3">
      <c r="A1521">
        <v>18070</v>
      </c>
      <c r="B1521" t="s">
        <v>13</v>
      </c>
      <c r="C1521">
        <v>27</v>
      </c>
      <c r="D1521" t="s">
        <v>15</v>
      </c>
      <c r="E1521" t="s">
        <v>15</v>
      </c>
      <c r="F1521" t="s">
        <v>15</v>
      </c>
      <c r="G1521" t="s">
        <v>17</v>
      </c>
      <c r="H1521" t="s">
        <v>23</v>
      </c>
      <c r="I1521">
        <v>73</v>
      </c>
      <c r="J1521">
        <v>20</v>
      </c>
      <c r="K1521" t="s">
        <v>25</v>
      </c>
      <c r="L1521" t="s">
        <v>15</v>
      </c>
    </row>
    <row r="1522" spans="1:12" x14ac:dyDescent="0.3">
      <c r="A1522">
        <v>17860</v>
      </c>
      <c r="B1522" t="s">
        <v>12</v>
      </c>
      <c r="C1522">
        <v>56</v>
      </c>
      <c r="D1522" t="s">
        <v>15</v>
      </c>
      <c r="E1522" t="s">
        <v>15</v>
      </c>
      <c r="F1522" t="s">
        <v>16</v>
      </c>
      <c r="G1522" t="s">
        <v>17</v>
      </c>
      <c r="H1522" t="s">
        <v>23</v>
      </c>
      <c r="I1522">
        <v>97.5</v>
      </c>
      <c r="J1522">
        <v>36.299999999999997</v>
      </c>
      <c r="K1522" t="s">
        <v>24</v>
      </c>
      <c r="L1522" t="s">
        <v>15</v>
      </c>
    </row>
    <row r="1523" spans="1:12" x14ac:dyDescent="0.3">
      <c r="A1523">
        <v>17078</v>
      </c>
      <c r="B1523" t="s">
        <v>12</v>
      </c>
      <c r="C1523">
        <v>71</v>
      </c>
      <c r="D1523" t="s">
        <v>15</v>
      </c>
      <c r="E1523" t="s">
        <v>15</v>
      </c>
      <c r="F1523" t="s">
        <v>16</v>
      </c>
      <c r="G1523" t="s">
        <v>17</v>
      </c>
      <c r="H1523" t="s">
        <v>22</v>
      </c>
      <c r="I1523">
        <v>108.43</v>
      </c>
      <c r="J1523">
        <v>32.799999999999997</v>
      </c>
      <c r="K1523" t="s">
        <v>26</v>
      </c>
      <c r="L1523" t="s">
        <v>15</v>
      </c>
    </row>
    <row r="1524" spans="1:12" x14ac:dyDescent="0.3">
      <c r="A1524">
        <v>23836</v>
      </c>
      <c r="B1524" t="s">
        <v>12</v>
      </c>
      <c r="C1524">
        <v>78</v>
      </c>
      <c r="D1524" t="s">
        <v>15</v>
      </c>
      <c r="E1524" t="s">
        <v>15</v>
      </c>
      <c r="F1524" t="s">
        <v>16</v>
      </c>
      <c r="G1524" t="s">
        <v>17</v>
      </c>
      <c r="H1524" t="s">
        <v>22</v>
      </c>
      <c r="I1524">
        <v>90.43</v>
      </c>
      <c r="J1524">
        <v>34.4</v>
      </c>
      <c r="K1524" t="s">
        <v>24</v>
      </c>
      <c r="L1524" t="s">
        <v>15</v>
      </c>
    </row>
    <row r="1525" spans="1:12" x14ac:dyDescent="0.3">
      <c r="A1525">
        <v>5296</v>
      </c>
      <c r="B1525" t="s">
        <v>13</v>
      </c>
      <c r="C1525">
        <v>44</v>
      </c>
      <c r="D1525" t="s">
        <v>15</v>
      </c>
      <c r="E1525" t="s">
        <v>15</v>
      </c>
      <c r="F1525" t="s">
        <v>15</v>
      </c>
      <c r="G1525" t="s">
        <v>17</v>
      </c>
      <c r="H1525" t="s">
        <v>22</v>
      </c>
      <c r="I1525">
        <v>76.3</v>
      </c>
      <c r="J1525">
        <v>30.5</v>
      </c>
      <c r="K1525" t="s">
        <v>25</v>
      </c>
      <c r="L1525" t="s">
        <v>15</v>
      </c>
    </row>
    <row r="1526" spans="1:12" x14ac:dyDescent="0.3">
      <c r="A1526">
        <v>48184</v>
      </c>
      <c r="B1526" t="s">
        <v>12</v>
      </c>
      <c r="C1526">
        <v>62</v>
      </c>
      <c r="D1526" t="s">
        <v>15</v>
      </c>
      <c r="E1526" t="s">
        <v>15</v>
      </c>
      <c r="F1526" t="s">
        <v>16</v>
      </c>
      <c r="G1526" t="s">
        <v>17</v>
      </c>
      <c r="H1526" t="s">
        <v>23</v>
      </c>
      <c r="I1526">
        <v>121.27</v>
      </c>
      <c r="J1526">
        <v>29.7</v>
      </c>
      <c r="K1526" t="s">
        <v>26</v>
      </c>
      <c r="L1526" t="s">
        <v>15</v>
      </c>
    </row>
    <row r="1527" spans="1:12" x14ac:dyDescent="0.3">
      <c r="A1527">
        <v>9511</v>
      </c>
      <c r="B1527" t="s">
        <v>12</v>
      </c>
      <c r="C1527">
        <v>27</v>
      </c>
      <c r="D1527" t="s">
        <v>15</v>
      </c>
      <c r="E1527" t="s">
        <v>15</v>
      </c>
      <c r="F1527" t="s">
        <v>15</v>
      </c>
      <c r="G1527" t="s">
        <v>17</v>
      </c>
      <c r="H1527" t="s">
        <v>22</v>
      </c>
      <c r="I1527">
        <v>119.67</v>
      </c>
      <c r="J1527">
        <v>36.9</v>
      </c>
      <c r="K1527" t="s">
        <v>27</v>
      </c>
      <c r="L1527" t="s">
        <v>15</v>
      </c>
    </row>
    <row r="1528" spans="1:12" x14ac:dyDescent="0.3">
      <c r="A1528">
        <v>19389</v>
      </c>
      <c r="B1528" t="s">
        <v>13</v>
      </c>
      <c r="C1528">
        <v>42</v>
      </c>
      <c r="D1528" t="s">
        <v>15</v>
      </c>
      <c r="E1528" t="s">
        <v>16</v>
      </c>
      <c r="F1528" t="s">
        <v>16</v>
      </c>
      <c r="G1528" t="s">
        <v>19</v>
      </c>
      <c r="H1528" t="s">
        <v>22</v>
      </c>
      <c r="I1528">
        <v>226.93</v>
      </c>
      <c r="J1528">
        <v>34.200000000000003</v>
      </c>
      <c r="K1528" t="s">
        <v>26</v>
      </c>
      <c r="L1528" t="s">
        <v>15</v>
      </c>
    </row>
    <row r="1529" spans="1:12" x14ac:dyDescent="0.3">
      <c r="A1529">
        <v>25559</v>
      </c>
      <c r="B1529" t="s">
        <v>13</v>
      </c>
      <c r="C1529">
        <v>66</v>
      </c>
      <c r="D1529" t="s">
        <v>15</v>
      </c>
      <c r="E1529" t="s">
        <v>16</v>
      </c>
      <c r="F1529" t="s">
        <v>16</v>
      </c>
      <c r="G1529" t="s">
        <v>19</v>
      </c>
      <c r="H1529" t="s">
        <v>23</v>
      </c>
      <c r="I1529">
        <v>76.11</v>
      </c>
      <c r="J1529">
        <v>37</v>
      </c>
      <c r="K1529" t="s">
        <v>27</v>
      </c>
      <c r="L1529" t="s">
        <v>15</v>
      </c>
    </row>
    <row r="1530" spans="1:12" x14ac:dyDescent="0.3">
      <c r="A1530">
        <v>11770</v>
      </c>
      <c r="B1530" t="s">
        <v>13</v>
      </c>
      <c r="C1530">
        <v>25</v>
      </c>
      <c r="D1530" t="s">
        <v>15</v>
      </c>
      <c r="E1530" t="s">
        <v>15</v>
      </c>
      <c r="F1530" t="s">
        <v>16</v>
      </c>
      <c r="G1530" t="s">
        <v>19</v>
      </c>
      <c r="H1530" t="s">
        <v>22</v>
      </c>
      <c r="I1530">
        <v>93.23</v>
      </c>
      <c r="K1530" t="s">
        <v>26</v>
      </c>
      <c r="L1530" t="s">
        <v>15</v>
      </c>
    </row>
    <row r="1531" spans="1:12" x14ac:dyDescent="0.3">
      <c r="A1531">
        <v>34496</v>
      </c>
      <c r="B1531" t="s">
        <v>13</v>
      </c>
      <c r="C1531">
        <v>82</v>
      </c>
      <c r="D1531" t="s">
        <v>15</v>
      </c>
      <c r="E1531" t="s">
        <v>15</v>
      </c>
      <c r="F1531" t="s">
        <v>16</v>
      </c>
      <c r="G1531" t="s">
        <v>17</v>
      </c>
      <c r="H1531" t="s">
        <v>22</v>
      </c>
      <c r="I1531">
        <v>253.16</v>
      </c>
      <c r="J1531">
        <v>47.5</v>
      </c>
      <c r="K1531" t="s">
        <v>27</v>
      </c>
      <c r="L1531" t="s">
        <v>15</v>
      </c>
    </row>
    <row r="1532" spans="1:12" x14ac:dyDescent="0.3">
      <c r="A1532">
        <v>8096</v>
      </c>
      <c r="B1532" t="s">
        <v>13</v>
      </c>
      <c r="C1532">
        <v>49</v>
      </c>
      <c r="D1532" t="s">
        <v>15</v>
      </c>
      <c r="E1532" t="s">
        <v>15</v>
      </c>
      <c r="F1532" t="s">
        <v>16</v>
      </c>
      <c r="G1532" t="s">
        <v>17</v>
      </c>
      <c r="H1532" t="s">
        <v>22</v>
      </c>
      <c r="I1532">
        <v>101.02</v>
      </c>
      <c r="J1532">
        <v>24.2</v>
      </c>
      <c r="K1532" t="s">
        <v>26</v>
      </c>
      <c r="L1532" t="s">
        <v>15</v>
      </c>
    </row>
    <row r="1533" spans="1:12" x14ac:dyDescent="0.3">
      <c r="A1533">
        <v>49709</v>
      </c>
      <c r="B1533" t="s">
        <v>13</v>
      </c>
      <c r="C1533">
        <v>77</v>
      </c>
      <c r="D1533" t="s">
        <v>16</v>
      </c>
      <c r="E1533" t="s">
        <v>15</v>
      </c>
      <c r="F1533" t="s">
        <v>16</v>
      </c>
      <c r="G1533" t="s">
        <v>18</v>
      </c>
      <c r="H1533" t="s">
        <v>23</v>
      </c>
      <c r="I1533">
        <v>238.53</v>
      </c>
      <c r="J1533">
        <v>30.6</v>
      </c>
      <c r="K1533" t="s">
        <v>25</v>
      </c>
      <c r="L1533" t="s">
        <v>15</v>
      </c>
    </row>
    <row r="1534" spans="1:12" x14ac:dyDescent="0.3">
      <c r="A1534">
        <v>19735</v>
      </c>
      <c r="B1534" t="s">
        <v>13</v>
      </c>
      <c r="C1534">
        <v>59</v>
      </c>
      <c r="D1534" t="s">
        <v>15</v>
      </c>
      <c r="E1534" t="s">
        <v>15</v>
      </c>
      <c r="F1534" t="s">
        <v>16</v>
      </c>
      <c r="G1534" t="s">
        <v>17</v>
      </c>
      <c r="H1534" t="s">
        <v>23</v>
      </c>
      <c r="I1534">
        <v>79.180000000000007</v>
      </c>
      <c r="J1534">
        <v>52.8</v>
      </c>
      <c r="K1534" t="s">
        <v>24</v>
      </c>
      <c r="L1534" t="s">
        <v>15</v>
      </c>
    </row>
    <row r="1535" spans="1:12" x14ac:dyDescent="0.3">
      <c r="A1535">
        <v>31415</v>
      </c>
      <c r="B1535" t="s">
        <v>13</v>
      </c>
      <c r="C1535">
        <v>54</v>
      </c>
      <c r="D1535" t="s">
        <v>15</v>
      </c>
      <c r="E1535" t="s">
        <v>15</v>
      </c>
      <c r="F1535" t="s">
        <v>16</v>
      </c>
      <c r="G1535" t="s">
        <v>17</v>
      </c>
      <c r="H1535" t="s">
        <v>22</v>
      </c>
      <c r="I1535">
        <v>207.79</v>
      </c>
      <c r="J1535">
        <v>38.6</v>
      </c>
      <c r="K1535" t="s">
        <v>25</v>
      </c>
      <c r="L1535" t="s">
        <v>15</v>
      </c>
    </row>
    <row r="1536" spans="1:12" x14ac:dyDescent="0.3">
      <c r="A1536">
        <v>71322</v>
      </c>
      <c r="B1536" t="s">
        <v>13</v>
      </c>
      <c r="C1536">
        <v>38</v>
      </c>
      <c r="D1536" t="s">
        <v>15</v>
      </c>
      <c r="E1536" t="s">
        <v>15</v>
      </c>
      <c r="F1536" t="s">
        <v>16</v>
      </c>
      <c r="G1536" t="s">
        <v>17</v>
      </c>
      <c r="H1536" t="s">
        <v>23</v>
      </c>
      <c r="I1536">
        <v>196.2</v>
      </c>
      <c r="J1536">
        <v>32.799999999999997</v>
      </c>
      <c r="K1536" t="s">
        <v>25</v>
      </c>
      <c r="L1536" t="s">
        <v>15</v>
      </c>
    </row>
    <row r="1537" spans="1:12" x14ac:dyDescent="0.3">
      <c r="A1537">
        <v>72337</v>
      </c>
      <c r="B1537" t="s">
        <v>13</v>
      </c>
      <c r="C1537">
        <v>55</v>
      </c>
      <c r="D1537" t="s">
        <v>15</v>
      </c>
      <c r="E1537" t="s">
        <v>15</v>
      </c>
      <c r="F1537" t="s">
        <v>16</v>
      </c>
      <c r="G1537" t="s">
        <v>17</v>
      </c>
      <c r="H1537" t="s">
        <v>22</v>
      </c>
      <c r="I1537">
        <v>231.76</v>
      </c>
      <c r="J1537">
        <v>42.9</v>
      </c>
      <c r="K1537" t="s">
        <v>25</v>
      </c>
      <c r="L1537" t="s">
        <v>15</v>
      </c>
    </row>
    <row r="1538" spans="1:12" x14ac:dyDescent="0.3">
      <c r="A1538">
        <v>25454</v>
      </c>
      <c r="B1538" t="s">
        <v>13</v>
      </c>
      <c r="C1538">
        <v>13</v>
      </c>
      <c r="D1538" t="s">
        <v>15</v>
      </c>
      <c r="E1538" t="s">
        <v>15</v>
      </c>
      <c r="F1538" t="s">
        <v>15</v>
      </c>
      <c r="G1538" t="s">
        <v>20</v>
      </c>
      <c r="H1538" t="s">
        <v>23</v>
      </c>
      <c r="I1538">
        <v>93.3</v>
      </c>
      <c r="J1538">
        <v>25.9</v>
      </c>
      <c r="K1538" t="s">
        <v>27</v>
      </c>
      <c r="L1538" t="s">
        <v>15</v>
      </c>
    </row>
    <row r="1539" spans="1:12" x14ac:dyDescent="0.3">
      <c r="A1539">
        <v>15310</v>
      </c>
      <c r="B1539" t="s">
        <v>13</v>
      </c>
      <c r="C1539">
        <v>45</v>
      </c>
      <c r="D1539" t="s">
        <v>15</v>
      </c>
      <c r="E1539" t="s">
        <v>15</v>
      </c>
      <c r="F1539" t="s">
        <v>16</v>
      </c>
      <c r="G1539" t="s">
        <v>17</v>
      </c>
      <c r="H1539" t="s">
        <v>22</v>
      </c>
      <c r="I1539">
        <v>110.47</v>
      </c>
      <c r="J1539">
        <v>24.7</v>
      </c>
      <c r="K1539" t="s">
        <v>26</v>
      </c>
      <c r="L1539" t="s">
        <v>15</v>
      </c>
    </row>
    <row r="1540" spans="1:12" x14ac:dyDescent="0.3">
      <c r="A1540">
        <v>10245</v>
      </c>
      <c r="B1540" t="s">
        <v>13</v>
      </c>
      <c r="C1540">
        <v>54</v>
      </c>
      <c r="D1540" t="s">
        <v>15</v>
      </c>
      <c r="E1540" t="s">
        <v>15</v>
      </c>
      <c r="F1540" t="s">
        <v>16</v>
      </c>
      <c r="G1540" t="s">
        <v>18</v>
      </c>
      <c r="H1540" t="s">
        <v>23</v>
      </c>
      <c r="I1540">
        <v>77.52</v>
      </c>
      <c r="J1540">
        <v>35.799999999999997</v>
      </c>
      <c r="K1540" t="s">
        <v>25</v>
      </c>
      <c r="L1540" t="s">
        <v>15</v>
      </c>
    </row>
    <row r="1541" spans="1:12" x14ac:dyDescent="0.3">
      <c r="A1541">
        <v>29224</v>
      </c>
      <c r="B1541" t="s">
        <v>12</v>
      </c>
      <c r="C1541">
        <v>30</v>
      </c>
      <c r="D1541" t="s">
        <v>15</v>
      </c>
      <c r="E1541" t="s">
        <v>15</v>
      </c>
      <c r="F1541" t="s">
        <v>16</v>
      </c>
      <c r="G1541" t="s">
        <v>17</v>
      </c>
      <c r="H1541" t="s">
        <v>22</v>
      </c>
      <c r="I1541">
        <v>91.23</v>
      </c>
      <c r="K1541" t="s">
        <v>26</v>
      </c>
      <c r="L1541" t="s">
        <v>15</v>
      </c>
    </row>
    <row r="1542" spans="1:12" x14ac:dyDescent="0.3">
      <c r="A1542">
        <v>7550</v>
      </c>
      <c r="B1542" t="s">
        <v>13</v>
      </c>
      <c r="C1542">
        <v>51</v>
      </c>
      <c r="D1542" t="s">
        <v>15</v>
      </c>
      <c r="E1542" t="s">
        <v>15</v>
      </c>
      <c r="F1542" t="s">
        <v>16</v>
      </c>
      <c r="G1542" t="s">
        <v>17</v>
      </c>
      <c r="H1542" t="s">
        <v>23</v>
      </c>
      <c r="I1542">
        <v>216.92</v>
      </c>
      <c r="J1542">
        <v>31.2</v>
      </c>
      <c r="K1542" t="s">
        <v>27</v>
      </c>
      <c r="L1542" t="s">
        <v>15</v>
      </c>
    </row>
    <row r="1543" spans="1:12" x14ac:dyDescent="0.3">
      <c r="A1543">
        <v>57917</v>
      </c>
      <c r="B1543" t="s">
        <v>13</v>
      </c>
      <c r="C1543">
        <v>47</v>
      </c>
      <c r="D1543" t="s">
        <v>15</v>
      </c>
      <c r="E1543" t="s">
        <v>15</v>
      </c>
      <c r="F1543" t="s">
        <v>16</v>
      </c>
      <c r="G1543" t="s">
        <v>17</v>
      </c>
      <c r="H1543" t="s">
        <v>22</v>
      </c>
      <c r="I1543">
        <v>157.01</v>
      </c>
      <c r="J1543">
        <v>26.1</v>
      </c>
      <c r="K1543" t="s">
        <v>26</v>
      </c>
      <c r="L1543" t="s">
        <v>15</v>
      </c>
    </row>
    <row r="1544" spans="1:12" x14ac:dyDescent="0.3">
      <c r="A1544">
        <v>24219</v>
      </c>
      <c r="B1544" t="s">
        <v>12</v>
      </c>
      <c r="C1544">
        <v>25</v>
      </c>
      <c r="D1544" t="s">
        <v>15</v>
      </c>
      <c r="E1544" t="s">
        <v>15</v>
      </c>
      <c r="F1544" t="s">
        <v>16</v>
      </c>
      <c r="G1544" t="s">
        <v>17</v>
      </c>
      <c r="H1544" t="s">
        <v>22</v>
      </c>
      <c r="I1544">
        <v>93.51</v>
      </c>
      <c r="J1544">
        <v>30.8</v>
      </c>
      <c r="K1544" t="s">
        <v>25</v>
      </c>
      <c r="L1544" t="s">
        <v>15</v>
      </c>
    </row>
    <row r="1545" spans="1:12" x14ac:dyDescent="0.3">
      <c r="A1545">
        <v>49023</v>
      </c>
      <c r="B1545" t="s">
        <v>12</v>
      </c>
      <c r="C1545">
        <v>61</v>
      </c>
      <c r="D1545" t="s">
        <v>16</v>
      </c>
      <c r="E1545" t="s">
        <v>15</v>
      </c>
      <c r="F1545" t="s">
        <v>16</v>
      </c>
      <c r="G1545" t="s">
        <v>18</v>
      </c>
      <c r="H1545" t="s">
        <v>23</v>
      </c>
      <c r="I1545">
        <v>102.54</v>
      </c>
      <c r="J1545">
        <v>40.5</v>
      </c>
      <c r="K1545" t="s">
        <v>25</v>
      </c>
      <c r="L1545" t="s">
        <v>15</v>
      </c>
    </row>
    <row r="1546" spans="1:12" x14ac:dyDescent="0.3">
      <c r="A1546">
        <v>51020</v>
      </c>
      <c r="B1546" t="s">
        <v>13</v>
      </c>
      <c r="C1546">
        <v>55</v>
      </c>
      <c r="D1546" t="s">
        <v>15</v>
      </c>
      <c r="E1546" t="s">
        <v>15</v>
      </c>
      <c r="F1546" t="s">
        <v>16</v>
      </c>
      <c r="G1546" t="s">
        <v>17</v>
      </c>
      <c r="H1546" t="s">
        <v>23</v>
      </c>
      <c r="I1546">
        <v>87.78</v>
      </c>
      <c r="J1546">
        <v>25.2</v>
      </c>
      <c r="K1546" t="s">
        <v>24</v>
      </c>
      <c r="L1546" t="s">
        <v>15</v>
      </c>
    </row>
    <row r="1547" spans="1:12" x14ac:dyDescent="0.3">
      <c r="A1547">
        <v>52089</v>
      </c>
      <c r="B1547" t="s">
        <v>13</v>
      </c>
      <c r="C1547">
        <v>23</v>
      </c>
      <c r="D1547" t="s">
        <v>15</v>
      </c>
      <c r="E1547" t="s">
        <v>15</v>
      </c>
      <c r="F1547" t="s">
        <v>15</v>
      </c>
      <c r="G1547" t="s">
        <v>17</v>
      </c>
      <c r="H1547" t="s">
        <v>22</v>
      </c>
      <c r="I1547">
        <v>126.67</v>
      </c>
      <c r="J1547">
        <v>28.7</v>
      </c>
      <c r="K1547" t="s">
        <v>26</v>
      </c>
      <c r="L1547" t="s">
        <v>15</v>
      </c>
    </row>
    <row r="1548" spans="1:12" x14ac:dyDescent="0.3">
      <c r="A1548">
        <v>29095</v>
      </c>
      <c r="B1548" t="s">
        <v>12</v>
      </c>
      <c r="C1548">
        <v>71</v>
      </c>
      <c r="D1548" t="s">
        <v>16</v>
      </c>
      <c r="E1548" t="s">
        <v>15</v>
      </c>
      <c r="F1548" t="s">
        <v>16</v>
      </c>
      <c r="G1548" t="s">
        <v>18</v>
      </c>
      <c r="H1548" t="s">
        <v>23</v>
      </c>
      <c r="I1548">
        <v>93.6</v>
      </c>
      <c r="K1548" t="s">
        <v>25</v>
      </c>
      <c r="L1548" t="s">
        <v>15</v>
      </c>
    </row>
    <row r="1549" spans="1:12" x14ac:dyDescent="0.3">
      <c r="A1549">
        <v>41424</v>
      </c>
      <c r="B1549" t="s">
        <v>12</v>
      </c>
      <c r="C1549">
        <v>59</v>
      </c>
      <c r="D1549" t="s">
        <v>15</v>
      </c>
      <c r="E1549" t="s">
        <v>16</v>
      </c>
      <c r="F1549" t="s">
        <v>16</v>
      </c>
      <c r="G1549" t="s">
        <v>18</v>
      </c>
      <c r="H1549" t="s">
        <v>23</v>
      </c>
      <c r="I1549">
        <v>194.98</v>
      </c>
      <c r="J1549">
        <v>30.4</v>
      </c>
      <c r="K1549" t="s">
        <v>27</v>
      </c>
      <c r="L1549" t="s">
        <v>15</v>
      </c>
    </row>
    <row r="1550" spans="1:12" x14ac:dyDescent="0.3">
      <c r="A1550">
        <v>7297</v>
      </c>
      <c r="B1550" t="s">
        <v>12</v>
      </c>
      <c r="C1550">
        <v>4</v>
      </c>
      <c r="D1550" t="s">
        <v>15</v>
      </c>
      <c r="E1550" t="s">
        <v>15</v>
      </c>
      <c r="F1550" t="s">
        <v>15</v>
      </c>
      <c r="G1550" t="s">
        <v>20</v>
      </c>
      <c r="H1550" t="s">
        <v>23</v>
      </c>
      <c r="I1550">
        <v>99.96</v>
      </c>
      <c r="J1550">
        <v>15.2</v>
      </c>
      <c r="K1550" t="s">
        <v>27</v>
      </c>
      <c r="L1550" t="s">
        <v>15</v>
      </c>
    </row>
    <row r="1551" spans="1:12" x14ac:dyDescent="0.3">
      <c r="A1551">
        <v>68994</v>
      </c>
      <c r="B1551" t="s">
        <v>12</v>
      </c>
      <c r="C1551">
        <v>65</v>
      </c>
      <c r="D1551" t="s">
        <v>15</v>
      </c>
      <c r="E1551" t="s">
        <v>15</v>
      </c>
      <c r="F1551" t="s">
        <v>16</v>
      </c>
      <c r="G1551" t="s">
        <v>17</v>
      </c>
      <c r="H1551" t="s">
        <v>22</v>
      </c>
      <c r="I1551">
        <v>58.87</v>
      </c>
      <c r="J1551">
        <v>36.6</v>
      </c>
      <c r="K1551" t="s">
        <v>25</v>
      </c>
      <c r="L1551" t="s">
        <v>15</v>
      </c>
    </row>
    <row r="1552" spans="1:12" x14ac:dyDescent="0.3">
      <c r="A1552">
        <v>25935</v>
      </c>
      <c r="B1552" t="s">
        <v>13</v>
      </c>
      <c r="C1552">
        <v>50</v>
      </c>
      <c r="D1552" t="s">
        <v>15</v>
      </c>
      <c r="E1552" t="s">
        <v>15</v>
      </c>
      <c r="F1552" t="s">
        <v>15</v>
      </c>
      <c r="G1552" t="s">
        <v>18</v>
      </c>
      <c r="H1552" t="s">
        <v>22</v>
      </c>
      <c r="I1552">
        <v>77.67</v>
      </c>
      <c r="J1552">
        <v>34.5</v>
      </c>
      <c r="K1552" t="s">
        <v>27</v>
      </c>
      <c r="L1552" t="s">
        <v>15</v>
      </c>
    </row>
    <row r="1553" spans="1:12" x14ac:dyDescent="0.3">
      <c r="A1553">
        <v>29910</v>
      </c>
      <c r="B1553" t="s">
        <v>12</v>
      </c>
      <c r="C1553">
        <v>42</v>
      </c>
      <c r="D1553" t="s">
        <v>15</v>
      </c>
      <c r="E1553" t="s">
        <v>15</v>
      </c>
      <c r="F1553" t="s">
        <v>16</v>
      </c>
      <c r="G1553" t="s">
        <v>17</v>
      </c>
      <c r="H1553" t="s">
        <v>22</v>
      </c>
      <c r="I1553">
        <v>83.14</v>
      </c>
      <c r="J1553">
        <v>23.7</v>
      </c>
      <c r="K1553" t="s">
        <v>25</v>
      </c>
      <c r="L1553" t="s">
        <v>15</v>
      </c>
    </row>
    <row r="1554" spans="1:12" x14ac:dyDescent="0.3">
      <c r="A1554">
        <v>24567</v>
      </c>
      <c r="B1554" t="s">
        <v>12</v>
      </c>
      <c r="C1554">
        <v>51</v>
      </c>
      <c r="D1554" t="s">
        <v>15</v>
      </c>
      <c r="E1554" t="s">
        <v>15</v>
      </c>
      <c r="F1554" t="s">
        <v>16</v>
      </c>
      <c r="G1554" t="s">
        <v>18</v>
      </c>
      <c r="H1554" t="s">
        <v>22</v>
      </c>
      <c r="I1554">
        <v>69.180000000000007</v>
      </c>
      <c r="J1554">
        <v>35.700000000000003</v>
      </c>
      <c r="K1554" t="s">
        <v>26</v>
      </c>
      <c r="L1554" t="s">
        <v>15</v>
      </c>
    </row>
    <row r="1555" spans="1:12" x14ac:dyDescent="0.3">
      <c r="A1555">
        <v>54858</v>
      </c>
      <c r="B1555" t="s">
        <v>12</v>
      </c>
      <c r="C1555">
        <v>66</v>
      </c>
      <c r="D1555" t="s">
        <v>15</v>
      </c>
      <c r="E1555" t="s">
        <v>15</v>
      </c>
      <c r="F1555" t="s">
        <v>16</v>
      </c>
      <c r="G1555" t="s">
        <v>19</v>
      </c>
      <c r="H1555" t="s">
        <v>23</v>
      </c>
      <c r="I1555">
        <v>218.54</v>
      </c>
      <c r="J1555">
        <v>38.9</v>
      </c>
      <c r="K1555" t="s">
        <v>26</v>
      </c>
      <c r="L1555" t="s">
        <v>15</v>
      </c>
    </row>
    <row r="1556" spans="1:12" x14ac:dyDescent="0.3">
      <c r="A1556">
        <v>36679</v>
      </c>
      <c r="B1556" t="s">
        <v>13</v>
      </c>
      <c r="C1556">
        <v>22</v>
      </c>
      <c r="D1556" t="s">
        <v>16</v>
      </c>
      <c r="E1556" t="s">
        <v>15</v>
      </c>
      <c r="F1556" t="s">
        <v>15</v>
      </c>
      <c r="G1556" t="s">
        <v>17</v>
      </c>
      <c r="H1556" t="s">
        <v>22</v>
      </c>
      <c r="I1556">
        <v>71.22</v>
      </c>
      <c r="J1556">
        <v>40</v>
      </c>
      <c r="K1556" t="s">
        <v>25</v>
      </c>
      <c r="L1556" t="s">
        <v>15</v>
      </c>
    </row>
    <row r="1557" spans="1:12" x14ac:dyDescent="0.3">
      <c r="A1557">
        <v>59339</v>
      </c>
      <c r="B1557" t="s">
        <v>12</v>
      </c>
      <c r="C1557">
        <v>5</v>
      </c>
      <c r="D1557" t="s">
        <v>15</v>
      </c>
      <c r="E1557" t="s">
        <v>15</v>
      </c>
      <c r="F1557" t="s">
        <v>15</v>
      </c>
      <c r="G1557" t="s">
        <v>20</v>
      </c>
      <c r="H1557" t="s">
        <v>22</v>
      </c>
      <c r="I1557">
        <v>82.41</v>
      </c>
      <c r="J1557">
        <v>18.399999999999999</v>
      </c>
      <c r="K1557" t="s">
        <v>27</v>
      </c>
      <c r="L1557" t="s">
        <v>15</v>
      </c>
    </row>
    <row r="1558" spans="1:12" x14ac:dyDescent="0.3">
      <c r="A1558">
        <v>18754</v>
      </c>
      <c r="B1558" t="s">
        <v>12</v>
      </c>
      <c r="C1558">
        <v>19</v>
      </c>
      <c r="D1558" t="s">
        <v>15</v>
      </c>
      <c r="E1558" t="s">
        <v>15</v>
      </c>
      <c r="F1558" t="s">
        <v>15</v>
      </c>
      <c r="G1558" t="s">
        <v>18</v>
      </c>
      <c r="H1558" t="s">
        <v>23</v>
      </c>
      <c r="I1558">
        <v>82.07</v>
      </c>
      <c r="J1558">
        <v>29</v>
      </c>
      <c r="K1558" t="s">
        <v>25</v>
      </c>
      <c r="L1558" t="s">
        <v>15</v>
      </c>
    </row>
    <row r="1559" spans="1:12" x14ac:dyDescent="0.3">
      <c r="A1559">
        <v>34312</v>
      </c>
      <c r="B1559" t="s">
        <v>13</v>
      </c>
      <c r="C1559">
        <v>47</v>
      </c>
      <c r="D1559" t="s">
        <v>15</v>
      </c>
      <c r="E1559" t="s">
        <v>15</v>
      </c>
      <c r="F1559" t="s">
        <v>16</v>
      </c>
      <c r="G1559" t="s">
        <v>18</v>
      </c>
      <c r="H1559" t="s">
        <v>22</v>
      </c>
      <c r="I1559">
        <v>73</v>
      </c>
      <c r="J1559">
        <v>20.6</v>
      </c>
      <c r="K1559" t="s">
        <v>25</v>
      </c>
      <c r="L1559" t="s">
        <v>15</v>
      </c>
    </row>
    <row r="1560" spans="1:12" x14ac:dyDescent="0.3">
      <c r="A1560">
        <v>57798</v>
      </c>
      <c r="B1560" t="s">
        <v>12</v>
      </c>
      <c r="C1560">
        <v>12</v>
      </c>
      <c r="D1560" t="s">
        <v>15</v>
      </c>
      <c r="E1560" t="s">
        <v>15</v>
      </c>
      <c r="F1560" t="s">
        <v>15</v>
      </c>
      <c r="G1560" t="s">
        <v>20</v>
      </c>
      <c r="H1560" t="s">
        <v>23</v>
      </c>
      <c r="I1560">
        <v>127.25</v>
      </c>
      <c r="J1560">
        <v>28.2</v>
      </c>
      <c r="K1560" t="s">
        <v>27</v>
      </c>
      <c r="L1560" t="s">
        <v>15</v>
      </c>
    </row>
    <row r="1561" spans="1:12" x14ac:dyDescent="0.3">
      <c r="A1561">
        <v>37759</v>
      </c>
      <c r="B1561" t="s">
        <v>13</v>
      </c>
      <c r="C1561">
        <v>53</v>
      </c>
      <c r="D1561" t="s">
        <v>15</v>
      </c>
      <c r="E1561" t="s">
        <v>15</v>
      </c>
      <c r="F1561" t="s">
        <v>16</v>
      </c>
      <c r="G1561" t="s">
        <v>17</v>
      </c>
      <c r="H1561" t="s">
        <v>23</v>
      </c>
      <c r="I1561">
        <v>72.63</v>
      </c>
      <c r="J1561">
        <v>66.8</v>
      </c>
      <c r="K1561" t="s">
        <v>27</v>
      </c>
      <c r="L1561" t="s">
        <v>15</v>
      </c>
    </row>
    <row r="1562" spans="1:12" x14ac:dyDescent="0.3">
      <c r="A1562">
        <v>11605</v>
      </c>
      <c r="B1562" t="s">
        <v>13</v>
      </c>
      <c r="C1562">
        <v>26</v>
      </c>
      <c r="D1562" t="s">
        <v>15</v>
      </c>
      <c r="E1562" t="s">
        <v>15</v>
      </c>
      <c r="F1562" t="s">
        <v>15</v>
      </c>
      <c r="G1562" t="s">
        <v>17</v>
      </c>
      <c r="H1562" t="s">
        <v>23</v>
      </c>
      <c r="I1562">
        <v>108.2</v>
      </c>
      <c r="J1562">
        <v>26.2</v>
      </c>
      <c r="K1562" t="s">
        <v>25</v>
      </c>
      <c r="L1562" t="s">
        <v>15</v>
      </c>
    </row>
    <row r="1563" spans="1:12" x14ac:dyDescent="0.3">
      <c r="A1563">
        <v>47558</v>
      </c>
      <c r="B1563" t="s">
        <v>12</v>
      </c>
      <c r="C1563">
        <v>62</v>
      </c>
      <c r="D1563" t="s">
        <v>16</v>
      </c>
      <c r="E1563" t="s">
        <v>16</v>
      </c>
      <c r="F1563" t="s">
        <v>16</v>
      </c>
      <c r="G1563" t="s">
        <v>17</v>
      </c>
      <c r="H1563" t="s">
        <v>22</v>
      </c>
      <c r="I1563">
        <v>123.95</v>
      </c>
      <c r="J1563">
        <v>34.799999999999997</v>
      </c>
      <c r="K1563" t="s">
        <v>24</v>
      </c>
      <c r="L1563" t="s">
        <v>15</v>
      </c>
    </row>
    <row r="1564" spans="1:12" x14ac:dyDescent="0.3">
      <c r="A1564">
        <v>54264</v>
      </c>
      <c r="B1564" t="s">
        <v>13</v>
      </c>
      <c r="C1564">
        <v>81</v>
      </c>
      <c r="D1564" t="s">
        <v>16</v>
      </c>
      <c r="E1564" t="s">
        <v>15</v>
      </c>
      <c r="F1564" t="s">
        <v>16</v>
      </c>
      <c r="G1564" t="s">
        <v>17</v>
      </c>
      <c r="H1564" t="s">
        <v>22</v>
      </c>
      <c r="I1564">
        <v>58.71</v>
      </c>
      <c r="J1564">
        <v>34.5</v>
      </c>
      <c r="K1564" t="s">
        <v>25</v>
      </c>
      <c r="L1564" t="s">
        <v>15</v>
      </c>
    </row>
    <row r="1565" spans="1:12" x14ac:dyDescent="0.3">
      <c r="A1565">
        <v>47893</v>
      </c>
      <c r="B1565" t="s">
        <v>12</v>
      </c>
      <c r="C1565">
        <v>63</v>
      </c>
      <c r="D1565" t="s">
        <v>15</v>
      </c>
      <c r="E1565" t="s">
        <v>15</v>
      </c>
      <c r="F1565" t="s">
        <v>16</v>
      </c>
      <c r="G1565" t="s">
        <v>17</v>
      </c>
      <c r="H1565" t="s">
        <v>23</v>
      </c>
      <c r="I1565">
        <v>98.46</v>
      </c>
      <c r="J1565">
        <v>30.6</v>
      </c>
      <c r="K1565" t="s">
        <v>25</v>
      </c>
      <c r="L1565" t="s">
        <v>15</v>
      </c>
    </row>
    <row r="1566" spans="1:12" x14ac:dyDescent="0.3">
      <c r="A1566">
        <v>3178</v>
      </c>
      <c r="B1566" t="s">
        <v>13</v>
      </c>
      <c r="C1566">
        <v>25</v>
      </c>
      <c r="D1566" t="s">
        <v>15</v>
      </c>
      <c r="E1566" t="s">
        <v>15</v>
      </c>
      <c r="F1566" t="s">
        <v>16</v>
      </c>
      <c r="G1566" t="s">
        <v>17</v>
      </c>
      <c r="H1566" t="s">
        <v>23</v>
      </c>
      <c r="I1566">
        <v>68.78</v>
      </c>
      <c r="J1566">
        <v>55.1</v>
      </c>
      <c r="K1566" t="s">
        <v>24</v>
      </c>
      <c r="L1566" t="s">
        <v>15</v>
      </c>
    </row>
    <row r="1567" spans="1:12" x14ac:dyDescent="0.3">
      <c r="A1567">
        <v>61924</v>
      </c>
      <c r="B1567" t="s">
        <v>12</v>
      </c>
      <c r="C1567">
        <v>8</v>
      </c>
      <c r="D1567" t="s">
        <v>15</v>
      </c>
      <c r="E1567" t="s">
        <v>15</v>
      </c>
      <c r="F1567" t="s">
        <v>15</v>
      </c>
      <c r="G1567" t="s">
        <v>20</v>
      </c>
      <c r="H1567" t="s">
        <v>23</v>
      </c>
      <c r="I1567">
        <v>133.63</v>
      </c>
      <c r="J1567">
        <v>18.8</v>
      </c>
      <c r="K1567" t="s">
        <v>27</v>
      </c>
      <c r="L1567" t="s">
        <v>15</v>
      </c>
    </row>
    <row r="1568" spans="1:12" x14ac:dyDescent="0.3">
      <c r="A1568">
        <v>18141</v>
      </c>
      <c r="B1568" t="s">
        <v>12</v>
      </c>
      <c r="C1568">
        <v>76</v>
      </c>
      <c r="D1568" t="s">
        <v>15</v>
      </c>
      <c r="E1568" t="s">
        <v>16</v>
      </c>
      <c r="F1568" t="s">
        <v>16</v>
      </c>
      <c r="G1568" t="s">
        <v>18</v>
      </c>
      <c r="H1568" t="s">
        <v>23</v>
      </c>
      <c r="I1568">
        <v>101.43</v>
      </c>
      <c r="J1568">
        <v>29.1</v>
      </c>
      <c r="K1568" t="s">
        <v>27</v>
      </c>
      <c r="L1568" t="s">
        <v>15</v>
      </c>
    </row>
    <row r="1569" spans="1:12" x14ac:dyDescent="0.3">
      <c r="A1569">
        <v>58015</v>
      </c>
      <c r="B1569" t="s">
        <v>13</v>
      </c>
      <c r="C1569">
        <v>44</v>
      </c>
      <c r="D1569" t="s">
        <v>15</v>
      </c>
      <c r="E1569" t="s">
        <v>15</v>
      </c>
      <c r="F1569" t="s">
        <v>15</v>
      </c>
      <c r="G1569" t="s">
        <v>17</v>
      </c>
      <c r="H1569" t="s">
        <v>23</v>
      </c>
      <c r="I1569">
        <v>65.3</v>
      </c>
      <c r="J1569">
        <v>22.1</v>
      </c>
      <c r="K1569" t="s">
        <v>26</v>
      </c>
      <c r="L1569" t="s">
        <v>15</v>
      </c>
    </row>
    <row r="1570" spans="1:12" x14ac:dyDescent="0.3">
      <c r="A1570">
        <v>354</v>
      </c>
      <c r="B1570" t="s">
        <v>13</v>
      </c>
      <c r="C1570">
        <v>65</v>
      </c>
      <c r="D1570" t="s">
        <v>15</v>
      </c>
      <c r="E1570" t="s">
        <v>15</v>
      </c>
      <c r="F1570" t="s">
        <v>16</v>
      </c>
      <c r="G1570" t="s">
        <v>17</v>
      </c>
      <c r="H1570" t="s">
        <v>22</v>
      </c>
      <c r="I1570">
        <v>72.489999999999995</v>
      </c>
      <c r="J1570">
        <v>28.9</v>
      </c>
      <c r="K1570" t="s">
        <v>26</v>
      </c>
      <c r="L1570" t="s">
        <v>15</v>
      </c>
    </row>
    <row r="1571" spans="1:12" x14ac:dyDescent="0.3">
      <c r="A1571">
        <v>5777</v>
      </c>
      <c r="B1571" t="s">
        <v>13</v>
      </c>
      <c r="C1571">
        <v>54</v>
      </c>
      <c r="D1571" t="s">
        <v>15</v>
      </c>
      <c r="E1571" t="s">
        <v>15</v>
      </c>
      <c r="F1571" t="s">
        <v>16</v>
      </c>
      <c r="G1571" t="s">
        <v>17</v>
      </c>
      <c r="H1571" t="s">
        <v>22</v>
      </c>
      <c r="I1571">
        <v>65.489999999999995</v>
      </c>
      <c r="J1571">
        <v>34.700000000000003</v>
      </c>
      <c r="K1571" t="s">
        <v>27</v>
      </c>
      <c r="L1571" t="s">
        <v>15</v>
      </c>
    </row>
    <row r="1572" spans="1:12" x14ac:dyDescent="0.3">
      <c r="A1572">
        <v>43271</v>
      </c>
      <c r="B1572" t="s">
        <v>13</v>
      </c>
      <c r="C1572">
        <v>24</v>
      </c>
      <c r="D1572" t="s">
        <v>15</v>
      </c>
      <c r="E1572" t="s">
        <v>15</v>
      </c>
      <c r="F1572" t="s">
        <v>15</v>
      </c>
      <c r="G1572" t="s">
        <v>19</v>
      </c>
      <c r="H1572" t="s">
        <v>22</v>
      </c>
      <c r="I1572">
        <v>63.4</v>
      </c>
      <c r="J1572">
        <v>20.3</v>
      </c>
      <c r="K1572" t="s">
        <v>26</v>
      </c>
      <c r="L1572" t="s">
        <v>15</v>
      </c>
    </row>
    <row r="1573" spans="1:12" x14ac:dyDescent="0.3">
      <c r="A1573">
        <v>46210</v>
      </c>
      <c r="B1573" t="s">
        <v>13</v>
      </c>
      <c r="C1573">
        <v>65</v>
      </c>
      <c r="D1573" t="s">
        <v>15</v>
      </c>
      <c r="E1573" t="s">
        <v>15</v>
      </c>
      <c r="F1573" t="s">
        <v>16</v>
      </c>
      <c r="G1573" t="s">
        <v>18</v>
      </c>
      <c r="H1573" t="s">
        <v>23</v>
      </c>
      <c r="I1573">
        <v>105.29</v>
      </c>
      <c r="J1573">
        <v>25.1</v>
      </c>
      <c r="K1573" t="s">
        <v>24</v>
      </c>
      <c r="L1573" t="s">
        <v>15</v>
      </c>
    </row>
    <row r="1574" spans="1:12" x14ac:dyDescent="0.3">
      <c r="A1574">
        <v>39714</v>
      </c>
      <c r="B1574" t="s">
        <v>12</v>
      </c>
      <c r="C1574">
        <v>12</v>
      </c>
      <c r="D1574" t="s">
        <v>15</v>
      </c>
      <c r="E1574" t="s">
        <v>15</v>
      </c>
      <c r="F1574" t="s">
        <v>15</v>
      </c>
      <c r="G1574" t="s">
        <v>20</v>
      </c>
      <c r="H1574" t="s">
        <v>22</v>
      </c>
      <c r="I1574">
        <v>64.08</v>
      </c>
      <c r="J1574">
        <v>18.2</v>
      </c>
      <c r="K1574" t="s">
        <v>27</v>
      </c>
      <c r="L1574" t="s">
        <v>15</v>
      </c>
    </row>
    <row r="1575" spans="1:12" x14ac:dyDescent="0.3">
      <c r="A1575">
        <v>21785</v>
      </c>
      <c r="B1575" t="s">
        <v>13</v>
      </c>
      <c r="C1575">
        <v>33</v>
      </c>
      <c r="D1575" t="s">
        <v>15</v>
      </c>
      <c r="E1575" t="s">
        <v>15</v>
      </c>
      <c r="F1575" t="s">
        <v>15</v>
      </c>
      <c r="G1575" t="s">
        <v>17</v>
      </c>
      <c r="H1575" t="s">
        <v>22</v>
      </c>
      <c r="I1575">
        <v>78.34</v>
      </c>
      <c r="J1575">
        <v>25.5</v>
      </c>
      <c r="K1575" t="s">
        <v>25</v>
      </c>
      <c r="L1575" t="s">
        <v>15</v>
      </c>
    </row>
    <row r="1576" spans="1:12" x14ac:dyDescent="0.3">
      <c r="A1576">
        <v>36620</v>
      </c>
      <c r="B1576" t="s">
        <v>13</v>
      </c>
      <c r="C1576">
        <v>74</v>
      </c>
      <c r="D1576" t="s">
        <v>15</v>
      </c>
      <c r="E1576" t="s">
        <v>15</v>
      </c>
      <c r="F1576" t="s">
        <v>16</v>
      </c>
      <c r="G1576" t="s">
        <v>17</v>
      </c>
      <c r="H1576" t="s">
        <v>23</v>
      </c>
      <c r="I1576">
        <v>66.319999999999993</v>
      </c>
      <c r="J1576">
        <v>34.4</v>
      </c>
      <c r="K1576" t="s">
        <v>24</v>
      </c>
      <c r="L1576" t="s">
        <v>15</v>
      </c>
    </row>
    <row r="1577" spans="1:12" x14ac:dyDescent="0.3">
      <c r="A1577">
        <v>49495</v>
      </c>
      <c r="B1577" t="s">
        <v>13</v>
      </c>
      <c r="C1577">
        <v>18</v>
      </c>
      <c r="D1577" t="s">
        <v>15</v>
      </c>
      <c r="E1577" t="s">
        <v>15</v>
      </c>
      <c r="F1577" t="s">
        <v>15</v>
      </c>
      <c r="G1577" t="s">
        <v>17</v>
      </c>
      <c r="H1577" t="s">
        <v>23</v>
      </c>
      <c r="I1577">
        <v>168.15</v>
      </c>
      <c r="J1577">
        <v>48.5</v>
      </c>
      <c r="K1577" t="s">
        <v>25</v>
      </c>
      <c r="L1577" t="s">
        <v>15</v>
      </c>
    </row>
    <row r="1578" spans="1:12" x14ac:dyDescent="0.3">
      <c r="A1578">
        <v>21720</v>
      </c>
      <c r="B1578" t="s">
        <v>13</v>
      </c>
      <c r="C1578">
        <v>77</v>
      </c>
      <c r="D1578" t="s">
        <v>15</v>
      </c>
      <c r="E1578" t="s">
        <v>15</v>
      </c>
      <c r="F1578" t="s">
        <v>16</v>
      </c>
      <c r="G1578" t="s">
        <v>17</v>
      </c>
      <c r="H1578" t="s">
        <v>23</v>
      </c>
      <c r="I1578">
        <v>93.48</v>
      </c>
      <c r="J1578">
        <v>25.2</v>
      </c>
      <c r="K1578" t="s">
        <v>24</v>
      </c>
      <c r="L1578" t="s">
        <v>15</v>
      </c>
    </row>
    <row r="1579" spans="1:12" x14ac:dyDescent="0.3">
      <c r="A1579">
        <v>6304</v>
      </c>
      <c r="B1579" t="s">
        <v>12</v>
      </c>
      <c r="C1579">
        <v>48</v>
      </c>
      <c r="D1579" t="s">
        <v>16</v>
      </c>
      <c r="E1579" t="s">
        <v>15</v>
      </c>
      <c r="F1579" t="s">
        <v>16</v>
      </c>
      <c r="G1579" t="s">
        <v>18</v>
      </c>
      <c r="H1579" t="s">
        <v>22</v>
      </c>
      <c r="I1579">
        <v>79.2</v>
      </c>
      <c r="J1579">
        <v>32.5</v>
      </c>
      <c r="K1579" t="s">
        <v>25</v>
      </c>
      <c r="L1579" t="s">
        <v>15</v>
      </c>
    </row>
    <row r="1580" spans="1:12" x14ac:dyDescent="0.3">
      <c r="A1580">
        <v>18887</v>
      </c>
      <c r="B1580" t="s">
        <v>12</v>
      </c>
      <c r="C1580">
        <v>52</v>
      </c>
      <c r="D1580" t="s">
        <v>15</v>
      </c>
      <c r="E1580" t="s">
        <v>15</v>
      </c>
      <c r="F1580" t="s">
        <v>16</v>
      </c>
      <c r="G1580" t="s">
        <v>17</v>
      </c>
      <c r="H1580" t="s">
        <v>23</v>
      </c>
      <c r="I1580">
        <v>107.45</v>
      </c>
      <c r="J1580">
        <v>42.1</v>
      </c>
      <c r="K1580" t="s">
        <v>24</v>
      </c>
      <c r="L1580" t="s">
        <v>15</v>
      </c>
    </row>
    <row r="1581" spans="1:12" x14ac:dyDescent="0.3">
      <c r="A1581">
        <v>30214</v>
      </c>
      <c r="B1581" t="s">
        <v>12</v>
      </c>
      <c r="C1581">
        <v>23</v>
      </c>
      <c r="D1581" t="s">
        <v>15</v>
      </c>
      <c r="E1581" t="s">
        <v>15</v>
      </c>
      <c r="F1581" t="s">
        <v>15</v>
      </c>
      <c r="G1581" t="s">
        <v>17</v>
      </c>
      <c r="H1581" t="s">
        <v>23</v>
      </c>
      <c r="I1581">
        <v>83.86</v>
      </c>
      <c r="J1581">
        <v>19.5</v>
      </c>
      <c r="K1581" t="s">
        <v>25</v>
      </c>
      <c r="L1581" t="s">
        <v>15</v>
      </c>
    </row>
    <row r="1582" spans="1:12" x14ac:dyDescent="0.3">
      <c r="A1582">
        <v>66419</v>
      </c>
      <c r="B1582" t="s">
        <v>12</v>
      </c>
      <c r="C1582">
        <v>25</v>
      </c>
      <c r="D1582" t="s">
        <v>15</v>
      </c>
      <c r="E1582" t="s">
        <v>15</v>
      </c>
      <c r="F1582" t="s">
        <v>16</v>
      </c>
      <c r="G1582" t="s">
        <v>17</v>
      </c>
      <c r="H1582" t="s">
        <v>23</v>
      </c>
      <c r="I1582">
        <v>119.96</v>
      </c>
      <c r="J1582">
        <v>27.7</v>
      </c>
      <c r="K1582" t="s">
        <v>25</v>
      </c>
      <c r="L1582" t="s">
        <v>15</v>
      </c>
    </row>
    <row r="1583" spans="1:12" x14ac:dyDescent="0.3">
      <c r="A1583">
        <v>57468</v>
      </c>
      <c r="B1583" t="s">
        <v>13</v>
      </c>
      <c r="C1583">
        <v>44</v>
      </c>
      <c r="D1583" t="s">
        <v>15</v>
      </c>
      <c r="E1583" t="s">
        <v>15</v>
      </c>
      <c r="F1583" t="s">
        <v>16</v>
      </c>
      <c r="G1583" t="s">
        <v>17</v>
      </c>
      <c r="H1583" t="s">
        <v>23</v>
      </c>
      <c r="I1583">
        <v>70.58</v>
      </c>
      <c r="J1583">
        <v>25.1</v>
      </c>
      <c r="K1583" t="s">
        <v>25</v>
      </c>
      <c r="L1583" t="s">
        <v>15</v>
      </c>
    </row>
    <row r="1584" spans="1:12" x14ac:dyDescent="0.3">
      <c r="A1584">
        <v>24218</v>
      </c>
      <c r="B1584" t="s">
        <v>13</v>
      </c>
      <c r="C1584">
        <v>78</v>
      </c>
      <c r="D1584" t="s">
        <v>15</v>
      </c>
      <c r="E1584" t="s">
        <v>15</v>
      </c>
      <c r="F1584" t="s">
        <v>15</v>
      </c>
      <c r="G1584" t="s">
        <v>17</v>
      </c>
      <c r="H1584" t="s">
        <v>23</v>
      </c>
      <c r="I1584">
        <v>87.7</v>
      </c>
      <c r="J1584">
        <v>29.6</v>
      </c>
      <c r="K1584" t="s">
        <v>25</v>
      </c>
      <c r="L1584" t="s">
        <v>15</v>
      </c>
    </row>
    <row r="1585" spans="1:12" x14ac:dyDescent="0.3">
      <c r="A1585">
        <v>69792</v>
      </c>
      <c r="B1585" t="s">
        <v>13</v>
      </c>
      <c r="C1585">
        <v>37</v>
      </c>
      <c r="D1585" t="s">
        <v>15</v>
      </c>
      <c r="E1585" t="s">
        <v>15</v>
      </c>
      <c r="F1585" t="s">
        <v>16</v>
      </c>
      <c r="G1585" t="s">
        <v>19</v>
      </c>
      <c r="H1585" t="s">
        <v>22</v>
      </c>
      <c r="I1585">
        <v>65.290000000000006</v>
      </c>
      <c r="J1585">
        <v>32.9</v>
      </c>
      <c r="K1585" t="s">
        <v>25</v>
      </c>
      <c r="L1585" t="s">
        <v>15</v>
      </c>
    </row>
    <row r="1586" spans="1:12" x14ac:dyDescent="0.3">
      <c r="A1586">
        <v>6372</v>
      </c>
      <c r="B1586" t="s">
        <v>13</v>
      </c>
      <c r="C1586">
        <v>32</v>
      </c>
      <c r="D1586" t="s">
        <v>15</v>
      </c>
      <c r="E1586" t="s">
        <v>15</v>
      </c>
      <c r="F1586" t="s">
        <v>16</v>
      </c>
      <c r="G1586" t="s">
        <v>17</v>
      </c>
      <c r="H1586" t="s">
        <v>22</v>
      </c>
      <c r="I1586">
        <v>97.14</v>
      </c>
      <c r="J1586">
        <v>55.9</v>
      </c>
      <c r="K1586" t="s">
        <v>25</v>
      </c>
      <c r="L1586" t="s">
        <v>15</v>
      </c>
    </row>
    <row r="1587" spans="1:12" x14ac:dyDescent="0.3">
      <c r="A1587">
        <v>34664</v>
      </c>
      <c r="B1587" t="s">
        <v>12</v>
      </c>
      <c r="C1587">
        <v>67</v>
      </c>
      <c r="D1587" t="s">
        <v>15</v>
      </c>
      <c r="E1587" t="s">
        <v>15</v>
      </c>
      <c r="F1587" t="s">
        <v>16</v>
      </c>
      <c r="G1587" t="s">
        <v>17</v>
      </c>
      <c r="H1587" t="s">
        <v>22</v>
      </c>
      <c r="I1587">
        <v>110.68</v>
      </c>
      <c r="J1587">
        <v>25.1</v>
      </c>
      <c r="K1587" t="s">
        <v>24</v>
      </c>
      <c r="L1587" t="s">
        <v>15</v>
      </c>
    </row>
    <row r="1588" spans="1:12" x14ac:dyDescent="0.3">
      <c r="A1588">
        <v>40931</v>
      </c>
      <c r="B1588" t="s">
        <v>13</v>
      </c>
      <c r="C1588">
        <v>41</v>
      </c>
      <c r="D1588" t="s">
        <v>15</v>
      </c>
      <c r="E1588" t="s">
        <v>15</v>
      </c>
      <c r="F1588" t="s">
        <v>16</v>
      </c>
      <c r="G1588" t="s">
        <v>19</v>
      </c>
      <c r="H1588" t="s">
        <v>22</v>
      </c>
      <c r="I1588">
        <v>91.93</v>
      </c>
      <c r="J1588">
        <v>24.7</v>
      </c>
      <c r="K1588" t="s">
        <v>26</v>
      </c>
      <c r="L1588" t="s">
        <v>15</v>
      </c>
    </row>
    <row r="1589" spans="1:12" x14ac:dyDescent="0.3">
      <c r="A1589">
        <v>28559</v>
      </c>
      <c r="B1589" t="s">
        <v>12</v>
      </c>
      <c r="C1589">
        <v>2</v>
      </c>
      <c r="D1589" t="s">
        <v>15</v>
      </c>
      <c r="E1589" t="s">
        <v>15</v>
      </c>
      <c r="F1589" t="s">
        <v>15</v>
      </c>
      <c r="G1589" t="s">
        <v>20</v>
      </c>
      <c r="H1589" t="s">
        <v>22</v>
      </c>
      <c r="I1589">
        <v>88.54</v>
      </c>
      <c r="J1589">
        <v>17.5</v>
      </c>
      <c r="K1589" t="s">
        <v>27</v>
      </c>
      <c r="L1589" t="s">
        <v>15</v>
      </c>
    </row>
    <row r="1590" spans="1:12" x14ac:dyDescent="0.3">
      <c r="A1590">
        <v>15166</v>
      </c>
      <c r="B1590" t="s">
        <v>13</v>
      </c>
      <c r="C1590">
        <v>75</v>
      </c>
      <c r="D1590" t="s">
        <v>16</v>
      </c>
      <c r="E1590" t="s">
        <v>15</v>
      </c>
      <c r="F1590" t="s">
        <v>16</v>
      </c>
      <c r="G1590" t="s">
        <v>17</v>
      </c>
      <c r="H1590" t="s">
        <v>22</v>
      </c>
      <c r="I1590">
        <v>183</v>
      </c>
      <c r="J1590">
        <v>20.8</v>
      </c>
      <c r="K1590" t="s">
        <v>27</v>
      </c>
      <c r="L1590" t="s">
        <v>15</v>
      </c>
    </row>
    <row r="1591" spans="1:12" x14ac:dyDescent="0.3">
      <c r="A1591">
        <v>49815</v>
      </c>
      <c r="B1591" t="s">
        <v>13</v>
      </c>
      <c r="C1591">
        <v>17</v>
      </c>
      <c r="D1591" t="s">
        <v>15</v>
      </c>
      <c r="E1591" t="s">
        <v>15</v>
      </c>
      <c r="F1591" t="s">
        <v>15</v>
      </c>
      <c r="G1591" t="s">
        <v>19</v>
      </c>
      <c r="H1591" t="s">
        <v>23</v>
      </c>
      <c r="I1591">
        <v>115.93</v>
      </c>
      <c r="J1591">
        <v>23.3</v>
      </c>
      <c r="K1591" t="s">
        <v>25</v>
      </c>
      <c r="L1591" t="s">
        <v>15</v>
      </c>
    </row>
    <row r="1592" spans="1:12" x14ac:dyDescent="0.3">
      <c r="A1592">
        <v>1625</v>
      </c>
      <c r="B1592" t="s">
        <v>13</v>
      </c>
      <c r="C1592">
        <v>13</v>
      </c>
      <c r="D1592" t="s">
        <v>15</v>
      </c>
      <c r="E1592" t="s">
        <v>15</v>
      </c>
      <c r="F1592" t="s">
        <v>15</v>
      </c>
      <c r="G1592" t="s">
        <v>20</v>
      </c>
      <c r="H1592" t="s">
        <v>22</v>
      </c>
      <c r="I1592">
        <v>99.13</v>
      </c>
      <c r="J1592">
        <v>22.8</v>
      </c>
      <c r="K1592" t="s">
        <v>27</v>
      </c>
      <c r="L1592" t="s">
        <v>15</v>
      </c>
    </row>
    <row r="1593" spans="1:12" x14ac:dyDescent="0.3">
      <c r="A1593">
        <v>56309</v>
      </c>
      <c r="B1593" t="s">
        <v>13</v>
      </c>
      <c r="C1593">
        <v>25</v>
      </c>
      <c r="D1593" t="s">
        <v>15</v>
      </c>
      <c r="E1593" t="s">
        <v>15</v>
      </c>
      <c r="F1593" t="s">
        <v>16</v>
      </c>
      <c r="G1593" t="s">
        <v>17</v>
      </c>
      <c r="H1593" t="s">
        <v>23</v>
      </c>
      <c r="I1593">
        <v>69.239999999999995</v>
      </c>
      <c r="J1593">
        <v>26.6</v>
      </c>
      <c r="K1593" t="s">
        <v>25</v>
      </c>
      <c r="L1593" t="s">
        <v>15</v>
      </c>
    </row>
    <row r="1594" spans="1:12" x14ac:dyDescent="0.3">
      <c r="A1594">
        <v>30116</v>
      </c>
      <c r="B1594" t="s">
        <v>13</v>
      </c>
      <c r="C1594">
        <v>57</v>
      </c>
      <c r="D1594" t="s">
        <v>15</v>
      </c>
      <c r="E1594" t="s">
        <v>15</v>
      </c>
      <c r="F1594" t="s">
        <v>16</v>
      </c>
      <c r="G1594" t="s">
        <v>17</v>
      </c>
      <c r="H1594" t="s">
        <v>23</v>
      </c>
      <c r="I1594">
        <v>102.28</v>
      </c>
      <c r="J1594">
        <v>25.5</v>
      </c>
      <c r="K1594" t="s">
        <v>25</v>
      </c>
      <c r="L1594" t="s">
        <v>15</v>
      </c>
    </row>
    <row r="1595" spans="1:12" x14ac:dyDescent="0.3">
      <c r="A1595">
        <v>52034</v>
      </c>
      <c r="B1595" t="s">
        <v>12</v>
      </c>
      <c r="C1595">
        <v>31</v>
      </c>
      <c r="D1595" t="s">
        <v>15</v>
      </c>
      <c r="E1595" t="s">
        <v>15</v>
      </c>
      <c r="F1595" t="s">
        <v>16</v>
      </c>
      <c r="G1595" t="s">
        <v>17</v>
      </c>
      <c r="H1595" t="s">
        <v>22</v>
      </c>
      <c r="I1595">
        <v>71.31</v>
      </c>
      <c r="J1595">
        <v>25.8</v>
      </c>
      <c r="K1595" t="s">
        <v>25</v>
      </c>
      <c r="L1595" t="s">
        <v>15</v>
      </c>
    </row>
    <row r="1596" spans="1:12" x14ac:dyDescent="0.3">
      <c r="A1596">
        <v>35584</v>
      </c>
      <c r="B1596" t="s">
        <v>12</v>
      </c>
      <c r="C1596">
        <v>61</v>
      </c>
      <c r="D1596" t="s">
        <v>15</v>
      </c>
      <c r="E1596" t="s">
        <v>15</v>
      </c>
      <c r="F1596" t="s">
        <v>16</v>
      </c>
      <c r="G1596" t="s">
        <v>17</v>
      </c>
      <c r="H1596" t="s">
        <v>23</v>
      </c>
      <c r="I1596">
        <v>89.75</v>
      </c>
      <c r="J1596">
        <v>25.4</v>
      </c>
      <c r="K1596" t="s">
        <v>25</v>
      </c>
      <c r="L1596" t="s">
        <v>15</v>
      </c>
    </row>
    <row r="1597" spans="1:12" x14ac:dyDescent="0.3">
      <c r="A1597">
        <v>2898</v>
      </c>
      <c r="B1597" t="s">
        <v>12</v>
      </c>
      <c r="C1597">
        <v>46</v>
      </c>
      <c r="D1597" t="s">
        <v>15</v>
      </c>
      <c r="E1597" t="s">
        <v>15</v>
      </c>
      <c r="F1597" t="s">
        <v>16</v>
      </c>
      <c r="G1597" t="s">
        <v>17</v>
      </c>
      <c r="H1597" t="s">
        <v>22</v>
      </c>
      <c r="I1597">
        <v>87.66</v>
      </c>
      <c r="J1597">
        <v>57.3</v>
      </c>
      <c r="K1597" t="s">
        <v>25</v>
      </c>
      <c r="L1597" t="s">
        <v>15</v>
      </c>
    </row>
    <row r="1598" spans="1:12" x14ac:dyDescent="0.3">
      <c r="A1598">
        <v>16593</v>
      </c>
      <c r="B1598" t="s">
        <v>12</v>
      </c>
      <c r="C1598">
        <v>47</v>
      </c>
      <c r="D1598" t="s">
        <v>15</v>
      </c>
      <c r="E1598" t="s">
        <v>15</v>
      </c>
      <c r="F1598" t="s">
        <v>15</v>
      </c>
      <c r="G1598" t="s">
        <v>17</v>
      </c>
      <c r="H1598" t="s">
        <v>23</v>
      </c>
      <c r="I1598">
        <v>237.17</v>
      </c>
      <c r="K1598" t="s">
        <v>27</v>
      </c>
      <c r="L1598" t="s">
        <v>15</v>
      </c>
    </row>
    <row r="1599" spans="1:12" x14ac:dyDescent="0.3">
      <c r="A1599">
        <v>17175</v>
      </c>
      <c r="B1599" t="s">
        <v>13</v>
      </c>
      <c r="C1599">
        <v>15</v>
      </c>
      <c r="D1599" t="s">
        <v>15</v>
      </c>
      <c r="E1599" t="s">
        <v>15</v>
      </c>
      <c r="F1599" t="s">
        <v>15</v>
      </c>
      <c r="G1599" t="s">
        <v>20</v>
      </c>
      <c r="H1599" t="s">
        <v>22</v>
      </c>
      <c r="I1599">
        <v>81.11</v>
      </c>
      <c r="J1599">
        <v>20.2</v>
      </c>
      <c r="K1599" t="s">
        <v>27</v>
      </c>
      <c r="L1599" t="s">
        <v>15</v>
      </c>
    </row>
    <row r="1600" spans="1:12" x14ac:dyDescent="0.3">
      <c r="A1600">
        <v>63663</v>
      </c>
      <c r="B1600" t="s">
        <v>12</v>
      </c>
      <c r="C1600">
        <v>47</v>
      </c>
      <c r="D1600" t="s">
        <v>15</v>
      </c>
      <c r="E1600" t="s">
        <v>15</v>
      </c>
      <c r="F1600" t="s">
        <v>16</v>
      </c>
      <c r="G1600" t="s">
        <v>17</v>
      </c>
      <c r="H1600" t="s">
        <v>22</v>
      </c>
      <c r="I1600">
        <v>178.33</v>
      </c>
      <c r="J1600">
        <v>27.7</v>
      </c>
      <c r="K1600" t="s">
        <v>25</v>
      </c>
      <c r="L1600" t="s">
        <v>15</v>
      </c>
    </row>
    <row r="1601" spans="1:12" x14ac:dyDescent="0.3">
      <c r="A1601">
        <v>10603</v>
      </c>
      <c r="B1601" t="s">
        <v>13</v>
      </c>
      <c r="C1601">
        <v>68</v>
      </c>
      <c r="D1601" t="s">
        <v>15</v>
      </c>
      <c r="E1601" t="s">
        <v>15</v>
      </c>
      <c r="F1601" t="s">
        <v>16</v>
      </c>
      <c r="G1601" t="s">
        <v>17</v>
      </c>
      <c r="H1601" t="s">
        <v>23</v>
      </c>
      <c r="I1601">
        <v>81.38</v>
      </c>
      <c r="J1601">
        <v>23.1</v>
      </c>
      <c r="K1601" t="s">
        <v>27</v>
      </c>
      <c r="L1601" t="s">
        <v>15</v>
      </c>
    </row>
    <row r="1602" spans="1:12" x14ac:dyDescent="0.3">
      <c r="A1602">
        <v>40544</v>
      </c>
      <c r="B1602" t="s">
        <v>12</v>
      </c>
      <c r="C1602">
        <v>0.4</v>
      </c>
      <c r="D1602" t="s">
        <v>15</v>
      </c>
      <c r="E1602" t="s">
        <v>15</v>
      </c>
      <c r="F1602" t="s">
        <v>15</v>
      </c>
      <c r="G1602" t="s">
        <v>20</v>
      </c>
      <c r="H1602" t="s">
        <v>22</v>
      </c>
      <c r="I1602">
        <v>109.56</v>
      </c>
      <c r="J1602">
        <v>14.3</v>
      </c>
      <c r="K1602" t="s">
        <v>27</v>
      </c>
      <c r="L1602" t="s">
        <v>15</v>
      </c>
    </row>
    <row r="1603" spans="1:12" x14ac:dyDescent="0.3">
      <c r="A1603">
        <v>49152</v>
      </c>
      <c r="B1603" t="s">
        <v>13</v>
      </c>
      <c r="C1603">
        <v>40</v>
      </c>
      <c r="D1603" t="s">
        <v>15</v>
      </c>
      <c r="E1603" t="s">
        <v>15</v>
      </c>
      <c r="F1603" t="s">
        <v>15</v>
      </c>
      <c r="G1603" t="s">
        <v>17</v>
      </c>
      <c r="H1603" t="s">
        <v>23</v>
      </c>
      <c r="I1603">
        <v>70.45</v>
      </c>
      <c r="J1603">
        <v>23.3</v>
      </c>
      <c r="K1603" t="s">
        <v>26</v>
      </c>
      <c r="L1603" t="s">
        <v>15</v>
      </c>
    </row>
    <row r="1604" spans="1:12" x14ac:dyDescent="0.3">
      <c r="A1604">
        <v>1231</v>
      </c>
      <c r="B1604" t="s">
        <v>13</v>
      </c>
      <c r="C1604">
        <v>62</v>
      </c>
      <c r="D1604" t="s">
        <v>15</v>
      </c>
      <c r="E1604" t="s">
        <v>15</v>
      </c>
      <c r="F1604" t="s">
        <v>16</v>
      </c>
      <c r="G1604" t="s">
        <v>19</v>
      </c>
      <c r="H1604" t="s">
        <v>23</v>
      </c>
      <c r="I1604">
        <v>73.44</v>
      </c>
      <c r="J1604">
        <v>23.4</v>
      </c>
      <c r="K1604" t="s">
        <v>27</v>
      </c>
      <c r="L1604" t="s">
        <v>15</v>
      </c>
    </row>
    <row r="1605" spans="1:12" x14ac:dyDescent="0.3">
      <c r="A1605">
        <v>43672</v>
      </c>
      <c r="B1605" t="s">
        <v>13</v>
      </c>
      <c r="C1605">
        <v>45</v>
      </c>
      <c r="D1605" t="s">
        <v>15</v>
      </c>
      <c r="E1605" t="s">
        <v>15</v>
      </c>
      <c r="F1605" t="s">
        <v>16</v>
      </c>
      <c r="G1605" t="s">
        <v>17</v>
      </c>
      <c r="H1605" t="s">
        <v>22</v>
      </c>
      <c r="I1605">
        <v>146.44</v>
      </c>
      <c r="J1605">
        <v>22.8</v>
      </c>
      <c r="K1605" t="s">
        <v>24</v>
      </c>
      <c r="L1605" t="s">
        <v>15</v>
      </c>
    </row>
    <row r="1606" spans="1:12" x14ac:dyDescent="0.3">
      <c r="A1606">
        <v>25107</v>
      </c>
      <c r="B1606" t="s">
        <v>13</v>
      </c>
      <c r="C1606">
        <v>47</v>
      </c>
      <c r="D1606" t="s">
        <v>15</v>
      </c>
      <c r="E1606" t="s">
        <v>15</v>
      </c>
      <c r="F1606" t="s">
        <v>16</v>
      </c>
      <c r="G1606" t="s">
        <v>17</v>
      </c>
      <c r="H1606" t="s">
        <v>22</v>
      </c>
      <c r="I1606">
        <v>65.040000000000006</v>
      </c>
      <c r="J1606">
        <v>30.9</v>
      </c>
      <c r="K1606" t="s">
        <v>25</v>
      </c>
      <c r="L1606" t="s">
        <v>15</v>
      </c>
    </row>
    <row r="1607" spans="1:12" x14ac:dyDescent="0.3">
      <c r="A1607">
        <v>39286</v>
      </c>
      <c r="B1607" t="s">
        <v>13</v>
      </c>
      <c r="C1607">
        <v>35</v>
      </c>
      <c r="D1607" t="s">
        <v>15</v>
      </c>
      <c r="E1607" t="s">
        <v>15</v>
      </c>
      <c r="F1607" t="s">
        <v>16</v>
      </c>
      <c r="G1607" t="s">
        <v>18</v>
      </c>
      <c r="H1607" t="s">
        <v>23</v>
      </c>
      <c r="I1607">
        <v>151.25</v>
      </c>
      <c r="J1607">
        <v>28.4</v>
      </c>
      <c r="K1607" t="s">
        <v>27</v>
      </c>
      <c r="L1607" t="s">
        <v>15</v>
      </c>
    </row>
    <row r="1608" spans="1:12" x14ac:dyDescent="0.3">
      <c r="A1608">
        <v>32766</v>
      </c>
      <c r="B1608" t="s">
        <v>12</v>
      </c>
      <c r="C1608">
        <v>51</v>
      </c>
      <c r="D1608" t="s">
        <v>15</v>
      </c>
      <c r="E1608" t="s">
        <v>15</v>
      </c>
      <c r="F1608" t="s">
        <v>15</v>
      </c>
      <c r="G1608" t="s">
        <v>17</v>
      </c>
      <c r="H1608" t="s">
        <v>23</v>
      </c>
      <c r="I1608">
        <v>106.41</v>
      </c>
      <c r="J1608">
        <v>41.9</v>
      </c>
      <c r="K1608" t="s">
        <v>26</v>
      </c>
      <c r="L1608" t="s">
        <v>15</v>
      </c>
    </row>
    <row r="1609" spans="1:12" x14ac:dyDescent="0.3">
      <c r="A1609">
        <v>15988</v>
      </c>
      <c r="B1609" t="s">
        <v>12</v>
      </c>
      <c r="C1609">
        <v>60</v>
      </c>
      <c r="D1609" t="s">
        <v>16</v>
      </c>
      <c r="E1609" t="s">
        <v>15</v>
      </c>
      <c r="F1609" t="s">
        <v>16</v>
      </c>
      <c r="G1609" t="s">
        <v>17</v>
      </c>
      <c r="H1609" t="s">
        <v>22</v>
      </c>
      <c r="I1609">
        <v>197.09</v>
      </c>
      <c r="J1609">
        <v>34.299999999999997</v>
      </c>
      <c r="K1609" t="s">
        <v>27</v>
      </c>
      <c r="L1609" t="s">
        <v>15</v>
      </c>
    </row>
    <row r="1610" spans="1:12" x14ac:dyDescent="0.3">
      <c r="A1610">
        <v>9011</v>
      </c>
      <c r="B1610" t="s">
        <v>12</v>
      </c>
      <c r="C1610">
        <v>59</v>
      </c>
      <c r="D1610" t="s">
        <v>15</v>
      </c>
      <c r="E1610" t="s">
        <v>15</v>
      </c>
      <c r="F1610" t="s">
        <v>16</v>
      </c>
      <c r="G1610" t="s">
        <v>17</v>
      </c>
      <c r="H1610" t="s">
        <v>22</v>
      </c>
      <c r="I1610">
        <v>93.58</v>
      </c>
      <c r="J1610">
        <v>25.1</v>
      </c>
      <c r="K1610" t="s">
        <v>26</v>
      </c>
      <c r="L1610" t="s">
        <v>15</v>
      </c>
    </row>
    <row r="1611" spans="1:12" x14ac:dyDescent="0.3">
      <c r="A1611">
        <v>38043</v>
      </c>
      <c r="B1611" t="s">
        <v>13</v>
      </c>
      <c r="C1611">
        <v>1.24</v>
      </c>
      <c r="D1611" t="s">
        <v>15</v>
      </c>
      <c r="E1611" t="s">
        <v>15</v>
      </c>
      <c r="F1611" t="s">
        <v>15</v>
      </c>
      <c r="G1611" t="s">
        <v>20</v>
      </c>
      <c r="H1611" t="s">
        <v>23</v>
      </c>
      <c r="I1611">
        <v>122.04</v>
      </c>
      <c r="J1611">
        <v>10.3</v>
      </c>
      <c r="K1611" t="s">
        <v>27</v>
      </c>
      <c r="L1611" t="s">
        <v>15</v>
      </c>
    </row>
    <row r="1612" spans="1:12" x14ac:dyDescent="0.3">
      <c r="A1612">
        <v>71721</v>
      </c>
      <c r="B1612" t="s">
        <v>13</v>
      </c>
      <c r="C1612">
        <v>18</v>
      </c>
      <c r="D1612" t="s">
        <v>15</v>
      </c>
      <c r="E1612" t="s">
        <v>15</v>
      </c>
      <c r="F1612" t="s">
        <v>15</v>
      </c>
      <c r="G1612" t="s">
        <v>17</v>
      </c>
      <c r="H1612" t="s">
        <v>23</v>
      </c>
      <c r="I1612">
        <v>80.06</v>
      </c>
      <c r="J1612">
        <v>31.8</v>
      </c>
      <c r="K1612" t="s">
        <v>27</v>
      </c>
      <c r="L1612" t="s">
        <v>15</v>
      </c>
    </row>
    <row r="1613" spans="1:12" x14ac:dyDescent="0.3">
      <c r="A1613">
        <v>14832</v>
      </c>
      <c r="B1613" t="s">
        <v>13</v>
      </c>
      <c r="C1613">
        <v>81</v>
      </c>
      <c r="D1613" t="s">
        <v>15</v>
      </c>
      <c r="E1613" t="s">
        <v>16</v>
      </c>
      <c r="F1613" t="s">
        <v>16</v>
      </c>
      <c r="G1613" t="s">
        <v>17</v>
      </c>
      <c r="H1613" t="s">
        <v>22</v>
      </c>
      <c r="I1613">
        <v>84.93</v>
      </c>
      <c r="J1613">
        <v>31.8</v>
      </c>
      <c r="K1613" t="s">
        <v>27</v>
      </c>
      <c r="L1613" t="s">
        <v>15</v>
      </c>
    </row>
    <row r="1614" spans="1:12" x14ac:dyDescent="0.3">
      <c r="A1614">
        <v>38094</v>
      </c>
      <c r="B1614" t="s">
        <v>12</v>
      </c>
      <c r="C1614">
        <v>15</v>
      </c>
      <c r="D1614" t="s">
        <v>15</v>
      </c>
      <c r="E1614" t="s">
        <v>15</v>
      </c>
      <c r="F1614" t="s">
        <v>15</v>
      </c>
      <c r="G1614" t="s">
        <v>18</v>
      </c>
      <c r="H1614" t="s">
        <v>22</v>
      </c>
      <c r="I1614">
        <v>68.400000000000006</v>
      </c>
      <c r="J1614">
        <v>23</v>
      </c>
      <c r="K1614" t="s">
        <v>25</v>
      </c>
      <c r="L1614" t="s">
        <v>15</v>
      </c>
    </row>
    <row r="1615" spans="1:12" x14ac:dyDescent="0.3">
      <c r="A1615">
        <v>49789</v>
      </c>
      <c r="B1615" t="s">
        <v>13</v>
      </c>
      <c r="C1615">
        <v>73</v>
      </c>
      <c r="D1615" t="s">
        <v>15</v>
      </c>
      <c r="E1615" t="s">
        <v>15</v>
      </c>
      <c r="F1615" t="s">
        <v>15</v>
      </c>
      <c r="G1615" t="s">
        <v>19</v>
      </c>
      <c r="H1615" t="s">
        <v>22</v>
      </c>
      <c r="I1615">
        <v>62.99</v>
      </c>
      <c r="J1615">
        <v>25.4</v>
      </c>
      <c r="K1615" t="s">
        <v>24</v>
      </c>
      <c r="L1615" t="s">
        <v>15</v>
      </c>
    </row>
    <row r="1616" spans="1:12" x14ac:dyDescent="0.3">
      <c r="A1616">
        <v>47350</v>
      </c>
      <c r="B1616" t="s">
        <v>13</v>
      </c>
      <c r="C1616">
        <v>0.08</v>
      </c>
      <c r="D1616" t="s">
        <v>15</v>
      </c>
      <c r="E1616" t="s">
        <v>15</v>
      </c>
      <c r="F1616" t="s">
        <v>15</v>
      </c>
      <c r="G1616" t="s">
        <v>20</v>
      </c>
      <c r="H1616" t="s">
        <v>22</v>
      </c>
      <c r="I1616">
        <v>139.66999999999999</v>
      </c>
      <c r="J1616">
        <v>14.1</v>
      </c>
      <c r="K1616" t="s">
        <v>27</v>
      </c>
      <c r="L1616" t="s">
        <v>15</v>
      </c>
    </row>
    <row r="1617" spans="1:12" x14ac:dyDescent="0.3">
      <c r="A1617">
        <v>33525</v>
      </c>
      <c r="B1617" t="s">
        <v>12</v>
      </c>
      <c r="C1617">
        <v>53</v>
      </c>
      <c r="D1617" t="s">
        <v>15</v>
      </c>
      <c r="E1617" t="s">
        <v>15</v>
      </c>
      <c r="F1617" t="s">
        <v>16</v>
      </c>
      <c r="G1617" t="s">
        <v>19</v>
      </c>
      <c r="H1617" t="s">
        <v>22</v>
      </c>
      <c r="I1617">
        <v>113.4</v>
      </c>
      <c r="J1617">
        <v>35.1</v>
      </c>
      <c r="K1617" t="s">
        <v>26</v>
      </c>
      <c r="L1617" t="s">
        <v>15</v>
      </c>
    </row>
    <row r="1618" spans="1:12" x14ac:dyDescent="0.3">
      <c r="A1618">
        <v>12318</v>
      </c>
      <c r="B1618" t="s">
        <v>12</v>
      </c>
      <c r="C1618">
        <v>45</v>
      </c>
      <c r="D1618" t="s">
        <v>15</v>
      </c>
      <c r="E1618" t="s">
        <v>15</v>
      </c>
      <c r="F1618" t="s">
        <v>16</v>
      </c>
      <c r="G1618" t="s">
        <v>18</v>
      </c>
      <c r="H1618" t="s">
        <v>22</v>
      </c>
      <c r="I1618">
        <v>101.92</v>
      </c>
      <c r="J1618">
        <v>26.9</v>
      </c>
      <c r="K1618" t="s">
        <v>27</v>
      </c>
      <c r="L1618" t="s">
        <v>15</v>
      </c>
    </row>
    <row r="1619" spans="1:12" x14ac:dyDescent="0.3">
      <c r="A1619">
        <v>54553</v>
      </c>
      <c r="B1619" t="s">
        <v>12</v>
      </c>
      <c r="C1619">
        <v>70</v>
      </c>
      <c r="D1619" t="s">
        <v>16</v>
      </c>
      <c r="E1619" t="s">
        <v>15</v>
      </c>
      <c r="F1619" t="s">
        <v>16</v>
      </c>
      <c r="G1619" t="s">
        <v>17</v>
      </c>
      <c r="H1619" t="s">
        <v>22</v>
      </c>
      <c r="I1619">
        <v>65.98</v>
      </c>
      <c r="J1619">
        <v>33</v>
      </c>
      <c r="K1619" t="s">
        <v>24</v>
      </c>
      <c r="L1619" t="s">
        <v>15</v>
      </c>
    </row>
    <row r="1620" spans="1:12" x14ac:dyDescent="0.3">
      <c r="A1620">
        <v>45976</v>
      </c>
      <c r="B1620" t="s">
        <v>12</v>
      </c>
      <c r="C1620">
        <v>56</v>
      </c>
      <c r="D1620" t="s">
        <v>15</v>
      </c>
      <c r="E1620" t="s">
        <v>15</v>
      </c>
      <c r="F1620" t="s">
        <v>16</v>
      </c>
      <c r="G1620" t="s">
        <v>17</v>
      </c>
      <c r="H1620" t="s">
        <v>22</v>
      </c>
      <c r="I1620">
        <v>84.3</v>
      </c>
      <c r="J1620">
        <v>22.1</v>
      </c>
      <c r="K1620" t="s">
        <v>27</v>
      </c>
      <c r="L1620" t="s">
        <v>15</v>
      </c>
    </row>
    <row r="1621" spans="1:12" x14ac:dyDescent="0.3">
      <c r="A1621">
        <v>43675</v>
      </c>
      <c r="B1621" t="s">
        <v>13</v>
      </c>
      <c r="C1621">
        <v>7</v>
      </c>
      <c r="D1621" t="s">
        <v>15</v>
      </c>
      <c r="E1621" t="s">
        <v>15</v>
      </c>
      <c r="F1621" t="s">
        <v>15</v>
      </c>
      <c r="G1621" t="s">
        <v>20</v>
      </c>
      <c r="H1621" t="s">
        <v>22</v>
      </c>
      <c r="I1621">
        <v>61.42</v>
      </c>
      <c r="J1621">
        <v>20.8</v>
      </c>
      <c r="K1621" t="s">
        <v>27</v>
      </c>
      <c r="L1621" t="s">
        <v>15</v>
      </c>
    </row>
    <row r="1622" spans="1:12" x14ac:dyDescent="0.3">
      <c r="A1622">
        <v>12915</v>
      </c>
      <c r="B1622" t="s">
        <v>13</v>
      </c>
      <c r="C1622">
        <v>66</v>
      </c>
      <c r="D1622" t="s">
        <v>15</v>
      </c>
      <c r="E1622" t="s">
        <v>15</v>
      </c>
      <c r="F1622" t="s">
        <v>16</v>
      </c>
      <c r="G1622" t="s">
        <v>19</v>
      </c>
      <c r="H1622" t="s">
        <v>23</v>
      </c>
      <c r="I1622">
        <v>85.52</v>
      </c>
      <c r="J1622">
        <v>30</v>
      </c>
      <c r="K1622" t="s">
        <v>25</v>
      </c>
      <c r="L1622" t="s">
        <v>15</v>
      </c>
    </row>
    <row r="1623" spans="1:12" x14ac:dyDescent="0.3">
      <c r="A1623">
        <v>4542</v>
      </c>
      <c r="B1623" t="s">
        <v>13</v>
      </c>
      <c r="C1623">
        <v>53</v>
      </c>
      <c r="D1623" t="s">
        <v>15</v>
      </c>
      <c r="E1623" t="s">
        <v>15</v>
      </c>
      <c r="F1623" t="s">
        <v>16</v>
      </c>
      <c r="G1623" t="s">
        <v>19</v>
      </c>
      <c r="H1623" t="s">
        <v>22</v>
      </c>
      <c r="I1623">
        <v>83.79</v>
      </c>
      <c r="J1623">
        <v>44</v>
      </c>
      <c r="K1623" t="s">
        <v>27</v>
      </c>
      <c r="L1623" t="s">
        <v>15</v>
      </c>
    </row>
    <row r="1624" spans="1:12" x14ac:dyDescent="0.3">
      <c r="A1624">
        <v>65801</v>
      </c>
      <c r="B1624" t="s">
        <v>13</v>
      </c>
      <c r="C1624">
        <v>20</v>
      </c>
      <c r="D1624" t="s">
        <v>15</v>
      </c>
      <c r="E1624" t="s">
        <v>15</v>
      </c>
      <c r="F1624" t="s">
        <v>15</v>
      </c>
      <c r="G1624" t="s">
        <v>17</v>
      </c>
      <c r="H1624" t="s">
        <v>22</v>
      </c>
      <c r="I1624">
        <v>73.83</v>
      </c>
      <c r="J1624">
        <v>16.600000000000001</v>
      </c>
      <c r="K1624" t="s">
        <v>27</v>
      </c>
      <c r="L1624" t="s">
        <v>15</v>
      </c>
    </row>
    <row r="1625" spans="1:12" x14ac:dyDescent="0.3">
      <c r="A1625">
        <v>59953</v>
      </c>
      <c r="B1625" t="s">
        <v>13</v>
      </c>
      <c r="C1625">
        <v>15</v>
      </c>
      <c r="D1625" t="s">
        <v>15</v>
      </c>
      <c r="E1625" t="s">
        <v>15</v>
      </c>
      <c r="F1625" t="s">
        <v>15</v>
      </c>
      <c r="G1625" t="s">
        <v>17</v>
      </c>
      <c r="H1625" t="s">
        <v>23</v>
      </c>
      <c r="I1625">
        <v>69.38</v>
      </c>
      <c r="J1625">
        <v>28.4</v>
      </c>
      <c r="K1625" t="s">
        <v>25</v>
      </c>
      <c r="L1625" t="s">
        <v>15</v>
      </c>
    </row>
    <row r="1626" spans="1:12" x14ac:dyDescent="0.3">
      <c r="A1626">
        <v>60973</v>
      </c>
      <c r="B1626" t="s">
        <v>12</v>
      </c>
      <c r="C1626">
        <v>51</v>
      </c>
      <c r="D1626" t="s">
        <v>15</v>
      </c>
      <c r="E1626" t="s">
        <v>15</v>
      </c>
      <c r="F1626" t="s">
        <v>16</v>
      </c>
      <c r="G1626" t="s">
        <v>17</v>
      </c>
      <c r="H1626" t="s">
        <v>22</v>
      </c>
      <c r="I1626">
        <v>66.11</v>
      </c>
      <c r="J1626">
        <v>26.3</v>
      </c>
      <c r="K1626" t="s">
        <v>25</v>
      </c>
      <c r="L1626" t="s">
        <v>15</v>
      </c>
    </row>
    <row r="1627" spans="1:12" x14ac:dyDescent="0.3">
      <c r="A1627">
        <v>68739</v>
      </c>
      <c r="B1627" t="s">
        <v>12</v>
      </c>
      <c r="C1627">
        <v>34</v>
      </c>
      <c r="D1627" t="s">
        <v>15</v>
      </c>
      <c r="E1627" t="s">
        <v>15</v>
      </c>
      <c r="F1627" t="s">
        <v>16</v>
      </c>
      <c r="G1627" t="s">
        <v>17</v>
      </c>
      <c r="H1627" t="s">
        <v>22</v>
      </c>
      <c r="I1627">
        <v>149.62</v>
      </c>
      <c r="J1627">
        <v>39.4</v>
      </c>
      <c r="K1627" t="s">
        <v>24</v>
      </c>
      <c r="L1627" t="s">
        <v>15</v>
      </c>
    </row>
    <row r="1628" spans="1:12" x14ac:dyDescent="0.3">
      <c r="A1628">
        <v>35829</v>
      </c>
      <c r="B1628" t="s">
        <v>13</v>
      </c>
      <c r="C1628">
        <v>33</v>
      </c>
      <c r="D1628" t="s">
        <v>15</v>
      </c>
      <c r="E1628" t="s">
        <v>15</v>
      </c>
      <c r="F1628" t="s">
        <v>16</v>
      </c>
      <c r="G1628" t="s">
        <v>17</v>
      </c>
      <c r="H1628" t="s">
        <v>22</v>
      </c>
      <c r="I1628">
        <v>242.84</v>
      </c>
      <c r="J1628">
        <v>15.7</v>
      </c>
      <c r="K1628" t="s">
        <v>26</v>
      </c>
      <c r="L1628" t="s">
        <v>15</v>
      </c>
    </row>
    <row r="1629" spans="1:12" x14ac:dyDescent="0.3">
      <c r="A1629">
        <v>53909</v>
      </c>
      <c r="B1629" t="s">
        <v>13</v>
      </c>
      <c r="C1629">
        <v>53</v>
      </c>
      <c r="D1629" t="s">
        <v>16</v>
      </c>
      <c r="E1629" t="s">
        <v>15</v>
      </c>
      <c r="F1629" t="s">
        <v>16</v>
      </c>
      <c r="G1629" t="s">
        <v>17</v>
      </c>
      <c r="H1629" t="s">
        <v>22</v>
      </c>
      <c r="I1629">
        <v>202.66</v>
      </c>
      <c r="J1629">
        <v>34.1</v>
      </c>
      <c r="K1629" t="s">
        <v>26</v>
      </c>
      <c r="L1629" t="s">
        <v>15</v>
      </c>
    </row>
    <row r="1630" spans="1:12" x14ac:dyDescent="0.3">
      <c r="A1630">
        <v>5799</v>
      </c>
      <c r="B1630" t="s">
        <v>12</v>
      </c>
      <c r="C1630">
        <v>69</v>
      </c>
      <c r="D1630" t="s">
        <v>15</v>
      </c>
      <c r="E1630" t="s">
        <v>16</v>
      </c>
      <c r="F1630" t="s">
        <v>16</v>
      </c>
      <c r="G1630" t="s">
        <v>17</v>
      </c>
      <c r="H1630" t="s">
        <v>23</v>
      </c>
      <c r="I1630">
        <v>216.9</v>
      </c>
      <c r="J1630">
        <v>29.8</v>
      </c>
      <c r="K1630" t="s">
        <v>24</v>
      </c>
      <c r="L1630" t="s">
        <v>15</v>
      </c>
    </row>
    <row r="1631" spans="1:12" x14ac:dyDescent="0.3">
      <c r="A1631">
        <v>43772</v>
      </c>
      <c r="B1631" t="s">
        <v>13</v>
      </c>
      <c r="C1631">
        <v>28</v>
      </c>
      <c r="D1631" t="s">
        <v>15</v>
      </c>
      <c r="E1631" t="s">
        <v>15</v>
      </c>
      <c r="F1631" t="s">
        <v>15</v>
      </c>
      <c r="G1631" t="s">
        <v>17</v>
      </c>
      <c r="H1631" t="s">
        <v>22</v>
      </c>
      <c r="I1631">
        <v>103.78</v>
      </c>
      <c r="J1631">
        <v>23.6</v>
      </c>
      <c r="K1631" t="s">
        <v>27</v>
      </c>
      <c r="L1631" t="s">
        <v>15</v>
      </c>
    </row>
    <row r="1632" spans="1:12" x14ac:dyDescent="0.3">
      <c r="A1632">
        <v>3154</v>
      </c>
      <c r="B1632" t="s">
        <v>13</v>
      </c>
      <c r="C1632">
        <v>81</v>
      </c>
      <c r="D1632" t="s">
        <v>15</v>
      </c>
      <c r="E1632" t="s">
        <v>15</v>
      </c>
      <c r="F1632" t="s">
        <v>16</v>
      </c>
      <c r="G1632" t="s">
        <v>18</v>
      </c>
      <c r="H1632" t="s">
        <v>23</v>
      </c>
      <c r="I1632">
        <v>114.88</v>
      </c>
      <c r="J1632">
        <v>18.3</v>
      </c>
      <c r="K1632" t="s">
        <v>24</v>
      </c>
      <c r="L1632" t="s">
        <v>15</v>
      </c>
    </row>
    <row r="1633" spans="1:12" x14ac:dyDescent="0.3">
      <c r="A1633">
        <v>45754</v>
      </c>
      <c r="B1633" t="s">
        <v>13</v>
      </c>
      <c r="C1633">
        <v>20</v>
      </c>
      <c r="D1633" t="s">
        <v>15</v>
      </c>
      <c r="E1633" t="s">
        <v>15</v>
      </c>
      <c r="F1633" t="s">
        <v>15</v>
      </c>
      <c r="G1633" t="s">
        <v>17</v>
      </c>
      <c r="H1633" t="s">
        <v>22</v>
      </c>
      <c r="I1633">
        <v>75.94</v>
      </c>
      <c r="J1633">
        <v>28.3</v>
      </c>
      <c r="K1633" t="s">
        <v>25</v>
      </c>
      <c r="L1633" t="s">
        <v>15</v>
      </c>
    </row>
    <row r="1634" spans="1:12" x14ac:dyDescent="0.3">
      <c r="A1634">
        <v>57485</v>
      </c>
      <c r="B1634" t="s">
        <v>13</v>
      </c>
      <c r="C1634">
        <v>1.48</v>
      </c>
      <c r="D1634" t="s">
        <v>15</v>
      </c>
      <c r="E1634" t="s">
        <v>15</v>
      </c>
      <c r="F1634" t="s">
        <v>15</v>
      </c>
      <c r="G1634" t="s">
        <v>20</v>
      </c>
      <c r="H1634" t="s">
        <v>23</v>
      </c>
      <c r="I1634">
        <v>55.51</v>
      </c>
      <c r="J1634">
        <v>18.5</v>
      </c>
      <c r="K1634" t="s">
        <v>27</v>
      </c>
      <c r="L1634" t="s">
        <v>15</v>
      </c>
    </row>
    <row r="1635" spans="1:12" x14ac:dyDescent="0.3">
      <c r="A1635">
        <v>6128</v>
      </c>
      <c r="B1635" t="s">
        <v>12</v>
      </c>
      <c r="C1635">
        <v>2</v>
      </c>
      <c r="D1635" t="s">
        <v>15</v>
      </c>
      <c r="E1635" t="s">
        <v>15</v>
      </c>
      <c r="F1635" t="s">
        <v>15</v>
      </c>
      <c r="G1635" t="s">
        <v>20</v>
      </c>
      <c r="H1635" t="s">
        <v>23</v>
      </c>
      <c r="I1635">
        <v>93.74</v>
      </c>
      <c r="J1635">
        <v>18.399999999999999</v>
      </c>
      <c r="K1635" t="s">
        <v>27</v>
      </c>
      <c r="L1635" t="s">
        <v>15</v>
      </c>
    </row>
    <row r="1636" spans="1:12" x14ac:dyDescent="0.3">
      <c r="A1636">
        <v>22623</v>
      </c>
      <c r="B1636" t="s">
        <v>12</v>
      </c>
      <c r="C1636">
        <v>77</v>
      </c>
      <c r="D1636" t="s">
        <v>15</v>
      </c>
      <c r="E1636" t="s">
        <v>15</v>
      </c>
      <c r="F1636" t="s">
        <v>16</v>
      </c>
      <c r="G1636" t="s">
        <v>17</v>
      </c>
      <c r="H1636" t="s">
        <v>22</v>
      </c>
      <c r="I1636">
        <v>71.44</v>
      </c>
      <c r="J1636">
        <v>24.1</v>
      </c>
      <c r="K1636" t="s">
        <v>26</v>
      </c>
      <c r="L1636" t="s">
        <v>15</v>
      </c>
    </row>
    <row r="1637" spans="1:12" x14ac:dyDescent="0.3">
      <c r="A1637">
        <v>37082</v>
      </c>
      <c r="B1637" t="s">
        <v>13</v>
      </c>
      <c r="C1637">
        <v>38</v>
      </c>
      <c r="D1637" t="s">
        <v>15</v>
      </c>
      <c r="E1637" t="s">
        <v>15</v>
      </c>
      <c r="F1637" t="s">
        <v>16</v>
      </c>
      <c r="G1637" t="s">
        <v>19</v>
      </c>
      <c r="H1637" t="s">
        <v>22</v>
      </c>
      <c r="I1637">
        <v>58.29</v>
      </c>
      <c r="J1637">
        <v>25.5</v>
      </c>
      <c r="K1637" t="s">
        <v>24</v>
      </c>
      <c r="L1637" t="s">
        <v>15</v>
      </c>
    </row>
    <row r="1638" spans="1:12" x14ac:dyDescent="0.3">
      <c r="A1638">
        <v>64541</v>
      </c>
      <c r="B1638" t="s">
        <v>12</v>
      </c>
      <c r="C1638">
        <v>23</v>
      </c>
      <c r="D1638" t="s">
        <v>15</v>
      </c>
      <c r="E1638" t="s">
        <v>15</v>
      </c>
      <c r="F1638" t="s">
        <v>16</v>
      </c>
      <c r="G1638" t="s">
        <v>17</v>
      </c>
      <c r="H1638" t="s">
        <v>22</v>
      </c>
      <c r="I1638">
        <v>115.83</v>
      </c>
      <c r="J1638">
        <v>25.3</v>
      </c>
      <c r="K1638" t="s">
        <v>25</v>
      </c>
      <c r="L1638" t="s">
        <v>15</v>
      </c>
    </row>
    <row r="1639" spans="1:12" x14ac:dyDescent="0.3">
      <c r="A1639">
        <v>47037</v>
      </c>
      <c r="B1639" t="s">
        <v>13</v>
      </c>
      <c r="C1639">
        <v>67</v>
      </c>
      <c r="D1639" t="s">
        <v>15</v>
      </c>
      <c r="E1639" t="s">
        <v>15</v>
      </c>
      <c r="F1639" t="s">
        <v>16</v>
      </c>
      <c r="G1639" t="s">
        <v>17</v>
      </c>
      <c r="H1639" t="s">
        <v>22</v>
      </c>
      <c r="I1639">
        <v>102.71</v>
      </c>
      <c r="J1639">
        <v>39.9</v>
      </c>
      <c r="K1639" t="s">
        <v>24</v>
      </c>
      <c r="L1639" t="s">
        <v>15</v>
      </c>
    </row>
    <row r="1640" spans="1:12" x14ac:dyDescent="0.3">
      <c r="A1640">
        <v>48614</v>
      </c>
      <c r="B1640" t="s">
        <v>12</v>
      </c>
      <c r="C1640">
        <v>59</v>
      </c>
      <c r="D1640" t="s">
        <v>15</v>
      </c>
      <c r="E1640" t="s">
        <v>15</v>
      </c>
      <c r="F1640" t="s">
        <v>16</v>
      </c>
      <c r="G1640" t="s">
        <v>19</v>
      </c>
      <c r="H1640" t="s">
        <v>22</v>
      </c>
      <c r="I1640">
        <v>99.69</v>
      </c>
      <c r="J1640">
        <v>28.8</v>
      </c>
      <c r="K1640" t="s">
        <v>26</v>
      </c>
      <c r="L1640" t="s">
        <v>15</v>
      </c>
    </row>
    <row r="1641" spans="1:12" x14ac:dyDescent="0.3">
      <c r="A1641">
        <v>15969</v>
      </c>
      <c r="B1641" t="s">
        <v>13</v>
      </c>
      <c r="C1641">
        <v>41</v>
      </c>
      <c r="D1641" t="s">
        <v>15</v>
      </c>
      <c r="E1641" t="s">
        <v>15</v>
      </c>
      <c r="F1641" t="s">
        <v>16</v>
      </c>
      <c r="G1641" t="s">
        <v>18</v>
      </c>
      <c r="H1641" t="s">
        <v>23</v>
      </c>
      <c r="I1641">
        <v>102.89</v>
      </c>
      <c r="J1641">
        <v>37.200000000000003</v>
      </c>
      <c r="K1641" t="s">
        <v>24</v>
      </c>
      <c r="L1641" t="s">
        <v>15</v>
      </c>
    </row>
    <row r="1642" spans="1:12" x14ac:dyDescent="0.3">
      <c r="A1642">
        <v>17752</v>
      </c>
      <c r="B1642" t="s">
        <v>12</v>
      </c>
      <c r="C1642">
        <v>76</v>
      </c>
      <c r="D1642" t="s">
        <v>15</v>
      </c>
      <c r="E1642" t="s">
        <v>16</v>
      </c>
      <c r="F1642" t="s">
        <v>16</v>
      </c>
      <c r="G1642" t="s">
        <v>17</v>
      </c>
      <c r="H1642" t="s">
        <v>22</v>
      </c>
      <c r="I1642">
        <v>79.05</v>
      </c>
      <c r="K1642" t="s">
        <v>27</v>
      </c>
      <c r="L1642" t="s">
        <v>15</v>
      </c>
    </row>
    <row r="1643" spans="1:12" x14ac:dyDescent="0.3">
      <c r="A1643">
        <v>50889</v>
      </c>
      <c r="B1643" t="s">
        <v>13</v>
      </c>
      <c r="C1643">
        <v>21</v>
      </c>
      <c r="D1643" t="s">
        <v>15</v>
      </c>
      <c r="E1643" t="s">
        <v>15</v>
      </c>
      <c r="F1643" t="s">
        <v>15</v>
      </c>
      <c r="G1643" t="s">
        <v>19</v>
      </c>
      <c r="H1643" t="s">
        <v>23</v>
      </c>
      <c r="I1643">
        <v>56.63</v>
      </c>
      <c r="J1643">
        <v>49.8</v>
      </c>
      <c r="K1643" t="s">
        <v>25</v>
      </c>
      <c r="L1643" t="s">
        <v>15</v>
      </c>
    </row>
    <row r="1644" spans="1:12" x14ac:dyDescent="0.3">
      <c r="A1644">
        <v>56459</v>
      </c>
      <c r="B1644" t="s">
        <v>12</v>
      </c>
      <c r="C1644">
        <v>41</v>
      </c>
      <c r="D1644" t="s">
        <v>15</v>
      </c>
      <c r="E1644" t="s">
        <v>15</v>
      </c>
      <c r="F1644" t="s">
        <v>16</v>
      </c>
      <c r="G1644" t="s">
        <v>17</v>
      </c>
      <c r="H1644" t="s">
        <v>23</v>
      </c>
      <c r="I1644">
        <v>87.34</v>
      </c>
      <c r="J1644">
        <v>34.299999999999997</v>
      </c>
      <c r="K1644" t="s">
        <v>24</v>
      </c>
      <c r="L1644" t="s">
        <v>15</v>
      </c>
    </row>
    <row r="1645" spans="1:12" x14ac:dyDescent="0.3">
      <c r="A1645">
        <v>34163</v>
      </c>
      <c r="B1645" t="s">
        <v>12</v>
      </c>
      <c r="C1645">
        <v>54</v>
      </c>
      <c r="D1645" t="s">
        <v>15</v>
      </c>
      <c r="E1645" t="s">
        <v>15</v>
      </c>
      <c r="F1645" t="s">
        <v>16</v>
      </c>
      <c r="G1645" t="s">
        <v>17</v>
      </c>
      <c r="H1645" t="s">
        <v>23</v>
      </c>
      <c r="I1645">
        <v>109.51</v>
      </c>
      <c r="J1645">
        <v>29</v>
      </c>
      <c r="K1645" t="s">
        <v>25</v>
      </c>
      <c r="L1645" t="s">
        <v>15</v>
      </c>
    </row>
    <row r="1646" spans="1:12" x14ac:dyDescent="0.3">
      <c r="A1646">
        <v>4538</v>
      </c>
      <c r="B1646" t="s">
        <v>13</v>
      </c>
      <c r="C1646">
        <v>29</v>
      </c>
      <c r="D1646" t="s">
        <v>15</v>
      </c>
      <c r="E1646" t="s">
        <v>15</v>
      </c>
      <c r="F1646" t="s">
        <v>15</v>
      </c>
      <c r="G1646" t="s">
        <v>17</v>
      </c>
      <c r="H1646" t="s">
        <v>22</v>
      </c>
      <c r="I1646">
        <v>81.430000000000007</v>
      </c>
      <c r="K1646" t="s">
        <v>24</v>
      </c>
      <c r="L1646" t="s">
        <v>15</v>
      </c>
    </row>
    <row r="1647" spans="1:12" x14ac:dyDescent="0.3">
      <c r="A1647">
        <v>14222</v>
      </c>
      <c r="B1647" t="s">
        <v>13</v>
      </c>
      <c r="C1647">
        <v>25</v>
      </c>
      <c r="D1647" t="s">
        <v>15</v>
      </c>
      <c r="E1647" t="s">
        <v>15</v>
      </c>
      <c r="F1647" t="s">
        <v>15</v>
      </c>
      <c r="G1647" t="s">
        <v>17</v>
      </c>
      <c r="H1647" t="s">
        <v>22</v>
      </c>
      <c r="I1647">
        <v>78.59</v>
      </c>
      <c r="J1647">
        <v>37.200000000000003</v>
      </c>
      <c r="K1647" t="s">
        <v>25</v>
      </c>
      <c r="L1647" t="s">
        <v>15</v>
      </c>
    </row>
    <row r="1648" spans="1:12" x14ac:dyDescent="0.3">
      <c r="A1648">
        <v>31461</v>
      </c>
      <c r="B1648" t="s">
        <v>13</v>
      </c>
      <c r="C1648">
        <v>48</v>
      </c>
      <c r="D1648" t="s">
        <v>15</v>
      </c>
      <c r="E1648" t="s">
        <v>16</v>
      </c>
      <c r="F1648" t="s">
        <v>16</v>
      </c>
      <c r="G1648" t="s">
        <v>18</v>
      </c>
      <c r="H1648" t="s">
        <v>22</v>
      </c>
      <c r="I1648">
        <v>101.22</v>
      </c>
      <c r="K1648" t="s">
        <v>24</v>
      </c>
      <c r="L1648" t="s">
        <v>15</v>
      </c>
    </row>
    <row r="1649" spans="1:12" x14ac:dyDescent="0.3">
      <c r="A1649">
        <v>34001</v>
      </c>
      <c r="B1649" t="s">
        <v>13</v>
      </c>
      <c r="C1649">
        <v>6</v>
      </c>
      <c r="D1649" t="s">
        <v>15</v>
      </c>
      <c r="E1649" t="s">
        <v>15</v>
      </c>
      <c r="F1649" t="s">
        <v>15</v>
      </c>
      <c r="G1649" t="s">
        <v>20</v>
      </c>
      <c r="H1649" t="s">
        <v>22</v>
      </c>
      <c r="I1649">
        <v>78.260000000000005</v>
      </c>
      <c r="J1649">
        <v>19.399999999999999</v>
      </c>
      <c r="K1649" t="s">
        <v>27</v>
      </c>
      <c r="L1649" t="s">
        <v>15</v>
      </c>
    </row>
    <row r="1650" spans="1:12" x14ac:dyDescent="0.3">
      <c r="A1650">
        <v>48964</v>
      </c>
      <c r="B1650" t="s">
        <v>12</v>
      </c>
      <c r="C1650">
        <v>21</v>
      </c>
      <c r="D1650" t="s">
        <v>15</v>
      </c>
      <c r="E1650" t="s">
        <v>15</v>
      </c>
      <c r="F1650" t="s">
        <v>15</v>
      </c>
      <c r="G1650" t="s">
        <v>17</v>
      </c>
      <c r="H1650" t="s">
        <v>23</v>
      </c>
      <c r="I1650">
        <v>105.47</v>
      </c>
      <c r="J1650">
        <v>26.2</v>
      </c>
      <c r="K1650" t="s">
        <v>25</v>
      </c>
      <c r="L1650" t="s">
        <v>15</v>
      </c>
    </row>
    <row r="1651" spans="1:12" x14ac:dyDescent="0.3">
      <c r="A1651">
        <v>40393</v>
      </c>
      <c r="B1651" t="s">
        <v>13</v>
      </c>
      <c r="C1651">
        <v>32</v>
      </c>
      <c r="D1651" t="s">
        <v>15</v>
      </c>
      <c r="E1651" t="s">
        <v>15</v>
      </c>
      <c r="F1651" t="s">
        <v>15</v>
      </c>
      <c r="G1651" t="s">
        <v>17</v>
      </c>
      <c r="H1651" t="s">
        <v>22</v>
      </c>
      <c r="I1651">
        <v>68.19</v>
      </c>
      <c r="J1651">
        <v>21.1</v>
      </c>
      <c r="K1651" t="s">
        <v>25</v>
      </c>
      <c r="L1651" t="s">
        <v>15</v>
      </c>
    </row>
    <row r="1652" spans="1:12" x14ac:dyDescent="0.3">
      <c r="A1652">
        <v>16488</v>
      </c>
      <c r="B1652" t="s">
        <v>13</v>
      </c>
      <c r="C1652">
        <v>57</v>
      </c>
      <c r="D1652" t="s">
        <v>16</v>
      </c>
      <c r="E1652" t="s">
        <v>15</v>
      </c>
      <c r="F1652" t="s">
        <v>16</v>
      </c>
      <c r="G1652" t="s">
        <v>17</v>
      </c>
      <c r="H1652" t="s">
        <v>22</v>
      </c>
      <c r="I1652">
        <v>210</v>
      </c>
      <c r="K1652" t="s">
        <v>25</v>
      </c>
      <c r="L1652" t="s">
        <v>15</v>
      </c>
    </row>
    <row r="1653" spans="1:12" x14ac:dyDescent="0.3">
      <c r="A1653">
        <v>47947</v>
      </c>
      <c r="B1653" t="s">
        <v>13</v>
      </c>
      <c r="C1653">
        <v>64</v>
      </c>
      <c r="D1653" t="s">
        <v>15</v>
      </c>
      <c r="E1653" t="s">
        <v>15</v>
      </c>
      <c r="F1653" t="s">
        <v>16</v>
      </c>
      <c r="G1653" t="s">
        <v>18</v>
      </c>
      <c r="H1653" t="s">
        <v>23</v>
      </c>
      <c r="I1653">
        <v>114.47</v>
      </c>
      <c r="J1653">
        <v>31.6</v>
      </c>
      <c r="K1653" t="s">
        <v>26</v>
      </c>
      <c r="L1653" t="s">
        <v>15</v>
      </c>
    </row>
    <row r="1654" spans="1:12" x14ac:dyDescent="0.3">
      <c r="A1654">
        <v>51149</v>
      </c>
      <c r="B1654" t="s">
        <v>12</v>
      </c>
      <c r="C1654">
        <v>70</v>
      </c>
      <c r="D1654" t="s">
        <v>15</v>
      </c>
      <c r="E1654" t="s">
        <v>15</v>
      </c>
      <c r="F1654" t="s">
        <v>16</v>
      </c>
      <c r="G1654" t="s">
        <v>17</v>
      </c>
      <c r="H1654" t="s">
        <v>22</v>
      </c>
      <c r="I1654">
        <v>66.849999999999994</v>
      </c>
      <c r="J1654">
        <v>29.3</v>
      </c>
      <c r="K1654" t="s">
        <v>27</v>
      </c>
      <c r="L1654" t="s">
        <v>15</v>
      </c>
    </row>
    <row r="1655" spans="1:12" x14ac:dyDescent="0.3">
      <c r="A1655">
        <v>17079</v>
      </c>
      <c r="B1655" t="s">
        <v>12</v>
      </c>
      <c r="C1655">
        <v>44</v>
      </c>
      <c r="D1655" t="s">
        <v>15</v>
      </c>
      <c r="E1655" t="s">
        <v>15</v>
      </c>
      <c r="F1655" t="s">
        <v>16</v>
      </c>
      <c r="G1655" t="s">
        <v>17</v>
      </c>
      <c r="H1655" t="s">
        <v>23</v>
      </c>
      <c r="I1655">
        <v>94.71</v>
      </c>
      <c r="J1655">
        <v>28.4</v>
      </c>
      <c r="K1655" t="s">
        <v>26</v>
      </c>
      <c r="L1655" t="s">
        <v>15</v>
      </c>
    </row>
    <row r="1656" spans="1:12" x14ac:dyDescent="0.3">
      <c r="A1656">
        <v>44781</v>
      </c>
      <c r="B1656" t="s">
        <v>13</v>
      </c>
      <c r="C1656">
        <v>60</v>
      </c>
      <c r="D1656" t="s">
        <v>15</v>
      </c>
      <c r="E1656" t="s">
        <v>16</v>
      </c>
      <c r="F1656" t="s">
        <v>16</v>
      </c>
      <c r="G1656" t="s">
        <v>17</v>
      </c>
      <c r="H1656" t="s">
        <v>22</v>
      </c>
      <c r="I1656">
        <v>208.05</v>
      </c>
      <c r="J1656">
        <v>35.299999999999997</v>
      </c>
      <c r="K1656" t="s">
        <v>26</v>
      </c>
      <c r="L1656" t="s">
        <v>15</v>
      </c>
    </row>
    <row r="1657" spans="1:12" x14ac:dyDescent="0.3">
      <c r="A1657">
        <v>29385</v>
      </c>
      <c r="B1657" t="s">
        <v>13</v>
      </c>
      <c r="C1657">
        <v>56</v>
      </c>
      <c r="D1657" t="s">
        <v>15</v>
      </c>
      <c r="E1657" t="s">
        <v>15</v>
      </c>
      <c r="F1657" t="s">
        <v>16</v>
      </c>
      <c r="G1657" t="s">
        <v>17</v>
      </c>
      <c r="H1657" t="s">
        <v>23</v>
      </c>
      <c r="I1657">
        <v>222.6</v>
      </c>
      <c r="J1657">
        <v>40.1</v>
      </c>
      <c r="K1657" t="s">
        <v>26</v>
      </c>
      <c r="L1657" t="s">
        <v>15</v>
      </c>
    </row>
    <row r="1658" spans="1:12" x14ac:dyDescent="0.3">
      <c r="A1658">
        <v>53610</v>
      </c>
      <c r="B1658" t="s">
        <v>12</v>
      </c>
      <c r="C1658">
        <v>53</v>
      </c>
      <c r="D1658" t="s">
        <v>15</v>
      </c>
      <c r="E1658" t="s">
        <v>15</v>
      </c>
      <c r="F1658" t="s">
        <v>16</v>
      </c>
      <c r="G1658" t="s">
        <v>17</v>
      </c>
      <c r="H1658" t="s">
        <v>22</v>
      </c>
      <c r="I1658">
        <v>80.81</v>
      </c>
      <c r="J1658">
        <v>39</v>
      </c>
      <c r="K1658" t="s">
        <v>24</v>
      </c>
      <c r="L1658" t="s">
        <v>15</v>
      </c>
    </row>
    <row r="1659" spans="1:12" x14ac:dyDescent="0.3">
      <c r="A1659">
        <v>48210</v>
      </c>
      <c r="B1659" t="s">
        <v>12</v>
      </c>
      <c r="C1659">
        <v>59</v>
      </c>
      <c r="D1659" t="s">
        <v>15</v>
      </c>
      <c r="E1659" t="s">
        <v>15</v>
      </c>
      <c r="F1659" t="s">
        <v>16</v>
      </c>
      <c r="G1659" t="s">
        <v>17</v>
      </c>
      <c r="H1659" t="s">
        <v>23</v>
      </c>
      <c r="I1659">
        <v>64.510000000000005</v>
      </c>
      <c r="J1659">
        <v>31.5</v>
      </c>
      <c r="K1659" t="s">
        <v>25</v>
      </c>
      <c r="L1659" t="s">
        <v>15</v>
      </c>
    </row>
    <row r="1660" spans="1:12" x14ac:dyDescent="0.3">
      <c r="A1660">
        <v>48072</v>
      </c>
      <c r="B1660" t="s">
        <v>13</v>
      </c>
      <c r="C1660">
        <v>53</v>
      </c>
      <c r="D1660" t="s">
        <v>16</v>
      </c>
      <c r="E1660" t="s">
        <v>15</v>
      </c>
      <c r="F1660" t="s">
        <v>16</v>
      </c>
      <c r="G1660" t="s">
        <v>17</v>
      </c>
      <c r="H1660" t="s">
        <v>22</v>
      </c>
      <c r="I1660">
        <v>151.56</v>
      </c>
      <c r="J1660">
        <v>28.5</v>
      </c>
      <c r="K1660" t="s">
        <v>27</v>
      </c>
      <c r="L1660" t="s">
        <v>15</v>
      </c>
    </row>
    <row r="1661" spans="1:12" x14ac:dyDescent="0.3">
      <c r="A1661">
        <v>32776</v>
      </c>
      <c r="B1661" t="s">
        <v>12</v>
      </c>
      <c r="C1661">
        <v>63</v>
      </c>
      <c r="D1661" t="s">
        <v>15</v>
      </c>
      <c r="E1661" t="s">
        <v>15</v>
      </c>
      <c r="F1661" t="s">
        <v>16</v>
      </c>
      <c r="G1661" t="s">
        <v>17</v>
      </c>
      <c r="H1661" t="s">
        <v>22</v>
      </c>
      <c r="I1661">
        <v>199.14</v>
      </c>
      <c r="J1661">
        <v>28.5</v>
      </c>
      <c r="K1661" t="s">
        <v>25</v>
      </c>
      <c r="L1661" t="s">
        <v>15</v>
      </c>
    </row>
    <row r="1662" spans="1:12" x14ac:dyDescent="0.3">
      <c r="A1662">
        <v>8960</v>
      </c>
      <c r="B1662" t="s">
        <v>13</v>
      </c>
      <c r="C1662">
        <v>42</v>
      </c>
      <c r="D1662" t="s">
        <v>15</v>
      </c>
      <c r="E1662" t="s">
        <v>15</v>
      </c>
      <c r="F1662" t="s">
        <v>15</v>
      </c>
      <c r="G1662" t="s">
        <v>18</v>
      </c>
      <c r="H1662" t="s">
        <v>23</v>
      </c>
      <c r="I1662">
        <v>73.41</v>
      </c>
      <c r="J1662">
        <v>56</v>
      </c>
      <c r="K1662" t="s">
        <v>26</v>
      </c>
      <c r="L1662" t="s">
        <v>15</v>
      </c>
    </row>
    <row r="1663" spans="1:12" x14ac:dyDescent="0.3">
      <c r="A1663">
        <v>63491</v>
      </c>
      <c r="B1663" t="s">
        <v>13</v>
      </c>
      <c r="C1663">
        <v>63</v>
      </c>
      <c r="D1663" t="s">
        <v>15</v>
      </c>
      <c r="E1663" t="s">
        <v>15</v>
      </c>
      <c r="F1663" t="s">
        <v>16</v>
      </c>
      <c r="G1663" t="s">
        <v>17</v>
      </c>
      <c r="H1663" t="s">
        <v>22</v>
      </c>
      <c r="I1663">
        <v>109.65</v>
      </c>
      <c r="J1663">
        <v>28.6</v>
      </c>
      <c r="K1663" t="s">
        <v>24</v>
      </c>
      <c r="L1663" t="s">
        <v>15</v>
      </c>
    </row>
    <row r="1664" spans="1:12" x14ac:dyDescent="0.3">
      <c r="A1664">
        <v>51883</v>
      </c>
      <c r="B1664" t="s">
        <v>13</v>
      </c>
      <c r="C1664">
        <v>52</v>
      </c>
      <c r="D1664" t="s">
        <v>15</v>
      </c>
      <c r="E1664" t="s">
        <v>15</v>
      </c>
      <c r="F1664" t="s">
        <v>16</v>
      </c>
      <c r="G1664" t="s">
        <v>19</v>
      </c>
      <c r="H1664" t="s">
        <v>23</v>
      </c>
      <c r="I1664">
        <v>69.11</v>
      </c>
      <c r="J1664">
        <v>35.200000000000003</v>
      </c>
      <c r="K1664" t="s">
        <v>25</v>
      </c>
      <c r="L1664" t="s">
        <v>15</v>
      </c>
    </row>
    <row r="1665" spans="1:12" x14ac:dyDescent="0.3">
      <c r="A1665">
        <v>20460</v>
      </c>
      <c r="B1665" t="s">
        <v>13</v>
      </c>
      <c r="C1665">
        <v>62</v>
      </c>
      <c r="D1665" t="s">
        <v>15</v>
      </c>
      <c r="E1665" t="s">
        <v>15</v>
      </c>
      <c r="F1665" t="s">
        <v>16</v>
      </c>
      <c r="G1665" t="s">
        <v>17</v>
      </c>
      <c r="H1665" t="s">
        <v>22</v>
      </c>
      <c r="I1665">
        <v>114.41</v>
      </c>
      <c r="J1665">
        <v>32.5</v>
      </c>
      <c r="K1665" t="s">
        <v>25</v>
      </c>
      <c r="L1665" t="s">
        <v>15</v>
      </c>
    </row>
    <row r="1666" spans="1:12" x14ac:dyDescent="0.3">
      <c r="A1666">
        <v>47181</v>
      </c>
      <c r="B1666" t="s">
        <v>13</v>
      </c>
      <c r="C1666">
        <v>68</v>
      </c>
      <c r="D1666" t="s">
        <v>15</v>
      </c>
      <c r="E1666" t="s">
        <v>15</v>
      </c>
      <c r="F1666" t="s">
        <v>16</v>
      </c>
      <c r="G1666" t="s">
        <v>17</v>
      </c>
      <c r="H1666" t="s">
        <v>22</v>
      </c>
      <c r="I1666">
        <v>103.46</v>
      </c>
      <c r="J1666">
        <v>35.9</v>
      </c>
      <c r="K1666" t="s">
        <v>25</v>
      </c>
      <c r="L1666" t="s">
        <v>15</v>
      </c>
    </row>
    <row r="1667" spans="1:12" x14ac:dyDescent="0.3">
      <c r="A1667">
        <v>35432</v>
      </c>
      <c r="B1667" t="s">
        <v>13</v>
      </c>
      <c r="C1667">
        <v>36</v>
      </c>
      <c r="D1667" t="s">
        <v>15</v>
      </c>
      <c r="E1667" t="s">
        <v>15</v>
      </c>
      <c r="F1667" t="s">
        <v>16</v>
      </c>
      <c r="G1667" t="s">
        <v>17</v>
      </c>
      <c r="H1667" t="s">
        <v>23</v>
      </c>
      <c r="I1667">
        <v>95.36</v>
      </c>
      <c r="J1667">
        <v>25.1</v>
      </c>
      <c r="K1667" t="s">
        <v>25</v>
      </c>
      <c r="L1667" t="s">
        <v>15</v>
      </c>
    </row>
    <row r="1668" spans="1:12" x14ac:dyDescent="0.3">
      <c r="A1668">
        <v>44010</v>
      </c>
      <c r="B1668" t="s">
        <v>13</v>
      </c>
      <c r="C1668">
        <v>3</v>
      </c>
      <c r="D1668" t="s">
        <v>15</v>
      </c>
      <c r="E1668" t="s">
        <v>15</v>
      </c>
      <c r="F1668" t="s">
        <v>15</v>
      </c>
      <c r="G1668" t="s">
        <v>20</v>
      </c>
      <c r="H1668" t="s">
        <v>22</v>
      </c>
      <c r="I1668">
        <v>57.33</v>
      </c>
      <c r="J1668">
        <v>16.8</v>
      </c>
      <c r="K1668" t="s">
        <v>27</v>
      </c>
      <c r="L1668" t="s">
        <v>15</v>
      </c>
    </row>
    <row r="1669" spans="1:12" x14ac:dyDescent="0.3">
      <c r="A1669">
        <v>50841</v>
      </c>
      <c r="B1669" t="s">
        <v>13</v>
      </c>
      <c r="C1669">
        <v>40</v>
      </c>
      <c r="D1669" t="s">
        <v>15</v>
      </c>
      <c r="E1669" t="s">
        <v>15</v>
      </c>
      <c r="F1669" t="s">
        <v>16</v>
      </c>
      <c r="G1669" t="s">
        <v>17</v>
      </c>
      <c r="H1669" t="s">
        <v>23</v>
      </c>
      <c r="I1669">
        <v>191.48</v>
      </c>
      <c r="J1669">
        <v>27.9</v>
      </c>
      <c r="K1669" t="s">
        <v>26</v>
      </c>
      <c r="L1669" t="s">
        <v>15</v>
      </c>
    </row>
    <row r="1670" spans="1:12" x14ac:dyDescent="0.3">
      <c r="A1670">
        <v>71044</v>
      </c>
      <c r="B1670" t="s">
        <v>13</v>
      </c>
      <c r="C1670">
        <v>8</v>
      </c>
      <c r="D1670" t="s">
        <v>15</v>
      </c>
      <c r="E1670" t="s">
        <v>15</v>
      </c>
      <c r="F1670" t="s">
        <v>15</v>
      </c>
      <c r="G1670" t="s">
        <v>20</v>
      </c>
      <c r="H1670" t="s">
        <v>23</v>
      </c>
      <c r="I1670">
        <v>71.63</v>
      </c>
      <c r="J1670">
        <v>16.3</v>
      </c>
      <c r="K1670" t="s">
        <v>27</v>
      </c>
      <c r="L1670" t="s">
        <v>15</v>
      </c>
    </row>
    <row r="1671" spans="1:12" x14ac:dyDescent="0.3">
      <c r="A1671">
        <v>1842</v>
      </c>
      <c r="B1671" t="s">
        <v>12</v>
      </c>
      <c r="C1671">
        <v>58</v>
      </c>
      <c r="D1671" t="s">
        <v>15</v>
      </c>
      <c r="E1671" t="s">
        <v>15</v>
      </c>
      <c r="F1671" t="s">
        <v>16</v>
      </c>
      <c r="G1671" t="s">
        <v>17</v>
      </c>
      <c r="H1671" t="s">
        <v>22</v>
      </c>
      <c r="I1671">
        <v>94</v>
      </c>
      <c r="K1671" t="s">
        <v>27</v>
      </c>
      <c r="L1671" t="s">
        <v>15</v>
      </c>
    </row>
    <row r="1672" spans="1:12" x14ac:dyDescent="0.3">
      <c r="A1672">
        <v>34720</v>
      </c>
      <c r="B1672" t="s">
        <v>12</v>
      </c>
      <c r="C1672">
        <v>45</v>
      </c>
      <c r="D1672" t="s">
        <v>15</v>
      </c>
      <c r="E1672" t="s">
        <v>16</v>
      </c>
      <c r="F1672" t="s">
        <v>16</v>
      </c>
      <c r="G1672" t="s">
        <v>17</v>
      </c>
      <c r="H1672" t="s">
        <v>23</v>
      </c>
      <c r="I1672">
        <v>93.77</v>
      </c>
      <c r="K1672" t="s">
        <v>27</v>
      </c>
      <c r="L1672" t="s">
        <v>15</v>
      </c>
    </row>
    <row r="1673" spans="1:12" x14ac:dyDescent="0.3">
      <c r="A1673">
        <v>9489</v>
      </c>
      <c r="B1673" t="s">
        <v>13</v>
      </c>
      <c r="C1673">
        <v>65</v>
      </c>
      <c r="D1673" t="s">
        <v>15</v>
      </c>
      <c r="E1673" t="s">
        <v>15</v>
      </c>
      <c r="F1673" t="s">
        <v>16</v>
      </c>
      <c r="G1673" t="s">
        <v>17</v>
      </c>
      <c r="H1673" t="s">
        <v>22</v>
      </c>
      <c r="I1673">
        <v>84.75</v>
      </c>
      <c r="J1673">
        <v>21.4</v>
      </c>
      <c r="K1673" t="s">
        <v>27</v>
      </c>
      <c r="L1673" t="s">
        <v>15</v>
      </c>
    </row>
    <row r="1674" spans="1:12" x14ac:dyDescent="0.3">
      <c r="A1674">
        <v>28725</v>
      </c>
      <c r="B1674" t="s">
        <v>13</v>
      </c>
      <c r="C1674">
        <v>28</v>
      </c>
      <c r="D1674" t="s">
        <v>15</v>
      </c>
      <c r="E1674" t="s">
        <v>15</v>
      </c>
      <c r="F1674" t="s">
        <v>15</v>
      </c>
      <c r="G1674" t="s">
        <v>17</v>
      </c>
      <c r="H1674" t="s">
        <v>23</v>
      </c>
      <c r="I1674">
        <v>89.24</v>
      </c>
      <c r="J1674">
        <v>32.700000000000003</v>
      </c>
      <c r="K1674" t="s">
        <v>24</v>
      </c>
      <c r="L1674" t="s">
        <v>15</v>
      </c>
    </row>
    <row r="1675" spans="1:12" x14ac:dyDescent="0.3">
      <c r="A1675">
        <v>30290</v>
      </c>
      <c r="B1675" t="s">
        <v>13</v>
      </c>
      <c r="C1675">
        <v>40</v>
      </c>
      <c r="D1675" t="s">
        <v>15</v>
      </c>
      <c r="E1675" t="s">
        <v>15</v>
      </c>
      <c r="F1675" t="s">
        <v>16</v>
      </c>
      <c r="G1675" t="s">
        <v>17</v>
      </c>
      <c r="H1675" t="s">
        <v>22</v>
      </c>
      <c r="I1675">
        <v>70.13</v>
      </c>
      <c r="J1675">
        <v>23.6</v>
      </c>
      <c r="K1675" t="s">
        <v>25</v>
      </c>
      <c r="L1675" t="s">
        <v>15</v>
      </c>
    </row>
    <row r="1676" spans="1:12" x14ac:dyDescent="0.3">
      <c r="A1676">
        <v>13723</v>
      </c>
      <c r="B1676" t="s">
        <v>13</v>
      </c>
      <c r="C1676">
        <v>65</v>
      </c>
      <c r="D1676" t="s">
        <v>15</v>
      </c>
      <c r="E1676" t="s">
        <v>15</v>
      </c>
      <c r="F1676" t="s">
        <v>16</v>
      </c>
      <c r="G1676" t="s">
        <v>17</v>
      </c>
      <c r="H1676" t="s">
        <v>22</v>
      </c>
      <c r="I1676">
        <v>82.26</v>
      </c>
      <c r="J1676">
        <v>19.8</v>
      </c>
      <c r="K1676" t="s">
        <v>24</v>
      </c>
      <c r="L1676" t="s">
        <v>15</v>
      </c>
    </row>
    <row r="1677" spans="1:12" x14ac:dyDescent="0.3">
      <c r="A1677">
        <v>26328</v>
      </c>
      <c r="B1677" t="s">
        <v>12</v>
      </c>
      <c r="C1677">
        <v>58</v>
      </c>
      <c r="D1677" t="s">
        <v>16</v>
      </c>
      <c r="E1677" t="s">
        <v>15</v>
      </c>
      <c r="F1677" t="s">
        <v>16</v>
      </c>
      <c r="G1677" t="s">
        <v>17</v>
      </c>
      <c r="H1677" t="s">
        <v>22</v>
      </c>
      <c r="I1677">
        <v>200.16</v>
      </c>
      <c r="J1677">
        <v>33.1</v>
      </c>
      <c r="K1677" t="s">
        <v>25</v>
      </c>
      <c r="L1677" t="s">
        <v>15</v>
      </c>
    </row>
    <row r="1678" spans="1:12" x14ac:dyDescent="0.3">
      <c r="A1678">
        <v>60104</v>
      </c>
      <c r="B1678" t="s">
        <v>12</v>
      </c>
      <c r="C1678">
        <v>44</v>
      </c>
      <c r="D1678" t="s">
        <v>15</v>
      </c>
      <c r="E1678" t="s">
        <v>15</v>
      </c>
      <c r="F1678" t="s">
        <v>16</v>
      </c>
      <c r="G1678" t="s">
        <v>17</v>
      </c>
      <c r="H1678" t="s">
        <v>22</v>
      </c>
      <c r="I1678">
        <v>80.73</v>
      </c>
      <c r="J1678">
        <v>28.1</v>
      </c>
      <c r="K1678" t="s">
        <v>26</v>
      </c>
      <c r="L1678" t="s">
        <v>15</v>
      </c>
    </row>
    <row r="1679" spans="1:12" x14ac:dyDescent="0.3">
      <c r="A1679">
        <v>48722</v>
      </c>
      <c r="B1679" t="s">
        <v>13</v>
      </c>
      <c r="C1679">
        <v>54</v>
      </c>
      <c r="D1679" t="s">
        <v>15</v>
      </c>
      <c r="E1679" t="s">
        <v>15</v>
      </c>
      <c r="F1679" t="s">
        <v>16</v>
      </c>
      <c r="G1679" t="s">
        <v>17</v>
      </c>
      <c r="H1679" t="s">
        <v>22</v>
      </c>
      <c r="I1679">
        <v>75.09</v>
      </c>
      <c r="J1679">
        <v>38.9</v>
      </c>
      <c r="K1679" t="s">
        <v>24</v>
      </c>
      <c r="L1679" t="s">
        <v>15</v>
      </c>
    </row>
    <row r="1680" spans="1:12" x14ac:dyDescent="0.3">
      <c r="A1680">
        <v>14481</v>
      </c>
      <c r="B1680" t="s">
        <v>13</v>
      </c>
      <c r="C1680">
        <v>79</v>
      </c>
      <c r="D1680" t="s">
        <v>15</v>
      </c>
      <c r="E1680" t="s">
        <v>15</v>
      </c>
      <c r="F1680" t="s">
        <v>16</v>
      </c>
      <c r="G1680" t="s">
        <v>18</v>
      </c>
      <c r="H1680" t="s">
        <v>22</v>
      </c>
      <c r="I1680">
        <v>80.569999999999993</v>
      </c>
      <c r="J1680">
        <v>23.8</v>
      </c>
      <c r="K1680" t="s">
        <v>25</v>
      </c>
      <c r="L1680" t="s">
        <v>15</v>
      </c>
    </row>
    <row r="1681" spans="1:12" x14ac:dyDescent="0.3">
      <c r="A1681">
        <v>67963</v>
      </c>
      <c r="B1681" t="s">
        <v>13</v>
      </c>
      <c r="C1681">
        <v>62</v>
      </c>
      <c r="D1681" t="s">
        <v>16</v>
      </c>
      <c r="E1681" t="s">
        <v>15</v>
      </c>
      <c r="F1681" t="s">
        <v>15</v>
      </c>
      <c r="G1681" t="s">
        <v>17</v>
      </c>
      <c r="H1681" t="s">
        <v>23</v>
      </c>
      <c r="I1681">
        <v>77.040000000000006</v>
      </c>
      <c r="J1681">
        <v>33.799999999999997</v>
      </c>
      <c r="K1681" t="s">
        <v>24</v>
      </c>
      <c r="L1681" t="s">
        <v>15</v>
      </c>
    </row>
    <row r="1682" spans="1:12" x14ac:dyDescent="0.3">
      <c r="A1682">
        <v>70752</v>
      </c>
      <c r="B1682" t="s">
        <v>12</v>
      </c>
      <c r="C1682">
        <v>37</v>
      </c>
      <c r="D1682" t="s">
        <v>15</v>
      </c>
      <c r="E1682" t="s">
        <v>15</v>
      </c>
      <c r="F1682" t="s">
        <v>16</v>
      </c>
      <c r="G1682" t="s">
        <v>17</v>
      </c>
      <c r="H1682" t="s">
        <v>22</v>
      </c>
      <c r="I1682">
        <v>145.26</v>
      </c>
      <c r="J1682">
        <v>26.7</v>
      </c>
      <c r="K1682" t="s">
        <v>27</v>
      </c>
      <c r="L1682" t="s">
        <v>15</v>
      </c>
    </row>
    <row r="1683" spans="1:12" x14ac:dyDescent="0.3">
      <c r="A1683">
        <v>52419</v>
      </c>
      <c r="B1683" t="s">
        <v>12</v>
      </c>
      <c r="C1683">
        <v>66</v>
      </c>
      <c r="D1683" t="s">
        <v>15</v>
      </c>
      <c r="E1683" t="s">
        <v>15</v>
      </c>
      <c r="F1683" t="s">
        <v>16</v>
      </c>
      <c r="G1683" t="s">
        <v>17</v>
      </c>
      <c r="H1683" t="s">
        <v>22</v>
      </c>
      <c r="I1683">
        <v>190.4</v>
      </c>
      <c r="K1683" t="s">
        <v>24</v>
      </c>
      <c r="L1683" t="s">
        <v>15</v>
      </c>
    </row>
    <row r="1684" spans="1:12" x14ac:dyDescent="0.3">
      <c r="A1684">
        <v>14711</v>
      </c>
      <c r="B1684" t="s">
        <v>12</v>
      </c>
      <c r="C1684">
        <v>63</v>
      </c>
      <c r="D1684" t="s">
        <v>15</v>
      </c>
      <c r="E1684" t="s">
        <v>15</v>
      </c>
      <c r="F1684" t="s">
        <v>16</v>
      </c>
      <c r="G1684" t="s">
        <v>18</v>
      </c>
      <c r="H1684" t="s">
        <v>22</v>
      </c>
      <c r="I1684">
        <v>82.08</v>
      </c>
      <c r="J1684">
        <v>32.200000000000003</v>
      </c>
      <c r="K1684" t="s">
        <v>24</v>
      </c>
      <c r="L1684" t="s">
        <v>15</v>
      </c>
    </row>
    <row r="1685" spans="1:12" x14ac:dyDescent="0.3">
      <c r="A1685">
        <v>26366</v>
      </c>
      <c r="B1685" t="s">
        <v>13</v>
      </c>
      <c r="C1685">
        <v>27</v>
      </c>
      <c r="D1685" t="s">
        <v>15</v>
      </c>
      <c r="E1685" t="s">
        <v>15</v>
      </c>
      <c r="F1685" t="s">
        <v>15</v>
      </c>
      <c r="G1685" t="s">
        <v>17</v>
      </c>
      <c r="H1685" t="s">
        <v>23</v>
      </c>
      <c r="I1685">
        <v>103.35</v>
      </c>
      <c r="J1685">
        <v>28.1</v>
      </c>
      <c r="K1685" t="s">
        <v>24</v>
      </c>
      <c r="L1685" t="s">
        <v>15</v>
      </c>
    </row>
    <row r="1686" spans="1:12" x14ac:dyDescent="0.3">
      <c r="A1686">
        <v>12436</v>
      </c>
      <c r="B1686" t="s">
        <v>12</v>
      </c>
      <c r="C1686">
        <v>6</v>
      </c>
      <c r="D1686" t="s">
        <v>15</v>
      </c>
      <c r="E1686" t="s">
        <v>15</v>
      </c>
      <c r="F1686" t="s">
        <v>15</v>
      </c>
      <c r="G1686" t="s">
        <v>20</v>
      </c>
      <c r="H1686" t="s">
        <v>22</v>
      </c>
      <c r="I1686">
        <v>97.46</v>
      </c>
      <c r="J1686">
        <v>21.3</v>
      </c>
      <c r="K1686" t="s">
        <v>27</v>
      </c>
      <c r="L1686" t="s">
        <v>15</v>
      </c>
    </row>
    <row r="1687" spans="1:12" x14ac:dyDescent="0.3">
      <c r="A1687">
        <v>36722</v>
      </c>
      <c r="B1687" t="s">
        <v>13</v>
      </c>
      <c r="C1687">
        <v>30</v>
      </c>
      <c r="D1687" t="s">
        <v>15</v>
      </c>
      <c r="E1687" t="s">
        <v>15</v>
      </c>
      <c r="F1687" t="s">
        <v>16</v>
      </c>
      <c r="G1687" t="s">
        <v>17</v>
      </c>
      <c r="H1687" t="s">
        <v>22</v>
      </c>
      <c r="I1687">
        <v>123.65</v>
      </c>
      <c r="J1687">
        <v>44</v>
      </c>
      <c r="K1687" t="s">
        <v>26</v>
      </c>
      <c r="L1687" t="s">
        <v>15</v>
      </c>
    </row>
    <row r="1688" spans="1:12" x14ac:dyDescent="0.3">
      <c r="A1688">
        <v>37698</v>
      </c>
      <c r="B1688" t="s">
        <v>13</v>
      </c>
      <c r="C1688">
        <v>15</v>
      </c>
      <c r="D1688" t="s">
        <v>15</v>
      </c>
      <c r="E1688" t="s">
        <v>15</v>
      </c>
      <c r="F1688" t="s">
        <v>15</v>
      </c>
      <c r="G1688" t="s">
        <v>20</v>
      </c>
      <c r="H1688" t="s">
        <v>22</v>
      </c>
      <c r="I1688">
        <v>87.96</v>
      </c>
      <c r="J1688">
        <v>21.5</v>
      </c>
      <c r="K1688" t="s">
        <v>24</v>
      </c>
      <c r="L1688" t="s">
        <v>15</v>
      </c>
    </row>
    <row r="1689" spans="1:12" x14ac:dyDescent="0.3">
      <c r="A1689">
        <v>55235</v>
      </c>
      <c r="B1689" t="s">
        <v>13</v>
      </c>
      <c r="C1689">
        <v>50</v>
      </c>
      <c r="D1689" t="s">
        <v>15</v>
      </c>
      <c r="E1689" t="s">
        <v>15</v>
      </c>
      <c r="F1689" t="s">
        <v>16</v>
      </c>
      <c r="G1689" t="s">
        <v>18</v>
      </c>
      <c r="H1689" t="s">
        <v>22</v>
      </c>
      <c r="I1689">
        <v>85.92</v>
      </c>
      <c r="J1689">
        <v>37.299999999999997</v>
      </c>
      <c r="K1689" t="s">
        <v>26</v>
      </c>
      <c r="L1689" t="s">
        <v>15</v>
      </c>
    </row>
    <row r="1690" spans="1:12" x14ac:dyDescent="0.3">
      <c r="A1690">
        <v>20468</v>
      </c>
      <c r="B1690" t="s">
        <v>13</v>
      </c>
      <c r="C1690">
        <v>32</v>
      </c>
      <c r="D1690" t="s">
        <v>15</v>
      </c>
      <c r="E1690" t="s">
        <v>15</v>
      </c>
      <c r="F1690" t="s">
        <v>16</v>
      </c>
      <c r="G1690" t="s">
        <v>17</v>
      </c>
      <c r="H1690" t="s">
        <v>22</v>
      </c>
      <c r="I1690">
        <v>80.8</v>
      </c>
      <c r="J1690">
        <v>44.8</v>
      </c>
      <c r="K1690" t="s">
        <v>25</v>
      </c>
      <c r="L1690" t="s">
        <v>15</v>
      </c>
    </row>
    <row r="1691" spans="1:12" x14ac:dyDescent="0.3">
      <c r="A1691">
        <v>14677</v>
      </c>
      <c r="B1691" t="s">
        <v>13</v>
      </c>
      <c r="C1691">
        <v>33</v>
      </c>
      <c r="D1691" t="s">
        <v>15</v>
      </c>
      <c r="E1691" t="s">
        <v>15</v>
      </c>
      <c r="F1691" t="s">
        <v>16</v>
      </c>
      <c r="G1691" t="s">
        <v>18</v>
      </c>
      <c r="H1691" t="s">
        <v>23</v>
      </c>
      <c r="I1691">
        <v>99.3</v>
      </c>
      <c r="J1691">
        <v>21.4</v>
      </c>
      <c r="K1691" t="s">
        <v>25</v>
      </c>
      <c r="L1691" t="s">
        <v>15</v>
      </c>
    </row>
    <row r="1692" spans="1:12" x14ac:dyDescent="0.3">
      <c r="A1692">
        <v>44171</v>
      </c>
      <c r="B1692" t="s">
        <v>12</v>
      </c>
      <c r="C1692">
        <v>62</v>
      </c>
      <c r="D1692" t="s">
        <v>15</v>
      </c>
      <c r="E1692" t="s">
        <v>15</v>
      </c>
      <c r="F1692" t="s">
        <v>16</v>
      </c>
      <c r="G1692" t="s">
        <v>17</v>
      </c>
      <c r="H1692" t="s">
        <v>23</v>
      </c>
      <c r="I1692">
        <v>62.56</v>
      </c>
      <c r="J1692">
        <v>32.299999999999997</v>
      </c>
      <c r="K1692" t="s">
        <v>25</v>
      </c>
      <c r="L1692" t="s">
        <v>15</v>
      </c>
    </row>
    <row r="1693" spans="1:12" x14ac:dyDescent="0.3">
      <c r="A1693">
        <v>70344</v>
      </c>
      <c r="B1693" t="s">
        <v>12</v>
      </c>
      <c r="C1693">
        <v>82</v>
      </c>
      <c r="D1693" t="s">
        <v>15</v>
      </c>
      <c r="E1693" t="s">
        <v>15</v>
      </c>
      <c r="F1693" t="s">
        <v>16</v>
      </c>
      <c r="G1693" t="s">
        <v>17</v>
      </c>
      <c r="H1693" t="s">
        <v>22</v>
      </c>
      <c r="I1693">
        <v>144.19999999999999</v>
      </c>
      <c r="J1693">
        <v>35.4</v>
      </c>
      <c r="K1693" t="s">
        <v>26</v>
      </c>
      <c r="L1693" t="s">
        <v>15</v>
      </c>
    </row>
    <row r="1694" spans="1:12" x14ac:dyDescent="0.3">
      <c r="A1694">
        <v>8470</v>
      </c>
      <c r="B1694" t="s">
        <v>13</v>
      </c>
      <c r="C1694">
        <v>71</v>
      </c>
      <c r="D1694" t="s">
        <v>15</v>
      </c>
      <c r="E1694" t="s">
        <v>15</v>
      </c>
      <c r="F1694" t="s">
        <v>16</v>
      </c>
      <c r="G1694" t="s">
        <v>17</v>
      </c>
      <c r="H1694" t="s">
        <v>22</v>
      </c>
      <c r="I1694">
        <v>71.38</v>
      </c>
      <c r="J1694">
        <v>19.7</v>
      </c>
      <c r="K1694" t="s">
        <v>25</v>
      </c>
      <c r="L1694" t="s">
        <v>15</v>
      </c>
    </row>
    <row r="1695" spans="1:12" x14ac:dyDescent="0.3">
      <c r="A1695">
        <v>42743</v>
      </c>
      <c r="B1695" t="s">
        <v>13</v>
      </c>
      <c r="C1695">
        <v>20</v>
      </c>
      <c r="D1695" t="s">
        <v>15</v>
      </c>
      <c r="E1695" t="s">
        <v>15</v>
      </c>
      <c r="F1695" t="s">
        <v>15</v>
      </c>
      <c r="G1695" t="s">
        <v>17</v>
      </c>
      <c r="H1695" t="s">
        <v>22</v>
      </c>
      <c r="I1695">
        <v>95.5</v>
      </c>
      <c r="J1695">
        <v>31.3</v>
      </c>
      <c r="K1695" t="s">
        <v>27</v>
      </c>
      <c r="L1695" t="s">
        <v>15</v>
      </c>
    </row>
    <row r="1696" spans="1:12" x14ac:dyDescent="0.3">
      <c r="A1696">
        <v>13949</v>
      </c>
      <c r="B1696" t="s">
        <v>13</v>
      </c>
      <c r="C1696">
        <v>44</v>
      </c>
      <c r="D1696" t="s">
        <v>15</v>
      </c>
      <c r="E1696" t="s">
        <v>15</v>
      </c>
      <c r="F1696" t="s">
        <v>16</v>
      </c>
      <c r="G1696" t="s">
        <v>19</v>
      </c>
      <c r="H1696" t="s">
        <v>22</v>
      </c>
      <c r="I1696">
        <v>67.06</v>
      </c>
      <c r="J1696">
        <v>35.5</v>
      </c>
      <c r="K1696" t="s">
        <v>25</v>
      </c>
      <c r="L1696" t="s">
        <v>15</v>
      </c>
    </row>
    <row r="1697" spans="1:12" x14ac:dyDescent="0.3">
      <c r="A1697">
        <v>61096</v>
      </c>
      <c r="B1697" t="s">
        <v>12</v>
      </c>
      <c r="C1697">
        <v>57</v>
      </c>
      <c r="D1697" t="s">
        <v>15</v>
      </c>
      <c r="E1697" t="s">
        <v>15</v>
      </c>
      <c r="F1697" t="s">
        <v>16</v>
      </c>
      <c r="G1697" t="s">
        <v>17</v>
      </c>
      <c r="H1697" t="s">
        <v>23</v>
      </c>
      <c r="I1697">
        <v>70.16</v>
      </c>
      <c r="J1697">
        <v>25.8</v>
      </c>
      <c r="K1697" t="s">
        <v>24</v>
      </c>
      <c r="L1697" t="s">
        <v>15</v>
      </c>
    </row>
    <row r="1698" spans="1:12" x14ac:dyDescent="0.3">
      <c r="A1698">
        <v>19239</v>
      </c>
      <c r="B1698" t="s">
        <v>13</v>
      </c>
      <c r="C1698">
        <v>50</v>
      </c>
      <c r="D1698" t="s">
        <v>15</v>
      </c>
      <c r="E1698" t="s">
        <v>15</v>
      </c>
      <c r="F1698" t="s">
        <v>16</v>
      </c>
      <c r="G1698" t="s">
        <v>19</v>
      </c>
      <c r="H1698" t="s">
        <v>22</v>
      </c>
      <c r="I1698">
        <v>104.24</v>
      </c>
      <c r="J1698">
        <v>32.799999999999997</v>
      </c>
      <c r="K1698" t="s">
        <v>27</v>
      </c>
      <c r="L1698" t="s">
        <v>15</v>
      </c>
    </row>
    <row r="1699" spans="1:12" x14ac:dyDescent="0.3">
      <c r="A1699">
        <v>70447</v>
      </c>
      <c r="B1699" t="s">
        <v>12</v>
      </c>
      <c r="C1699">
        <v>50</v>
      </c>
      <c r="D1699" t="s">
        <v>15</v>
      </c>
      <c r="E1699" t="s">
        <v>15</v>
      </c>
      <c r="F1699" t="s">
        <v>16</v>
      </c>
      <c r="G1699" t="s">
        <v>17</v>
      </c>
      <c r="H1699" t="s">
        <v>23</v>
      </c>
      <c r="I1699">
        <v>122.48</v>
      </c>
      <c r="J1699">
        <v>35.9</v>
      </c>
      <c r="K1699" t="s">
        <v>26</v>
      </c>
      <c r="L1699" t="s">
        <v>15</v>
      </c>
    </row>
    <row r="1700" spans="1:12" x14ac:dyDescent="0.3">
      <c r="A1700">
        <v>6879</v>
      </c>
      <c r="B1700" t="s">
        <v>13</v>
      </c>
      <c r="C1700">
        <v>44</v>
      </c>
      <c r="D1700" t="s">
        <v>15</v>
      </c>
      <c r="E1700" t="s">
        <v>15</v>
      </c>
      <c r="F1700" t="s">
        <v>15</v>
      </c>
      <c r="G1700" t="s">
        <v>19</v>
      </c>
      <c r="H1700" t="s">
        <v>22</v>
      </c>
      <c r="I1700">
        <v>215.9</v>
      </c>
      <c r="J1700">
        <v>41.8</v>
      </c>
      <c r="K1700" t="s">
        <v>26</v>
      </c>
      <c r="L1700" t="s">
        <v>15</v>
      </c>
    </row>
    <row r="1701" spans="1:12" x14ac:dyDescent="0.3">
      <c r="A1701">
        <v>37451</v>
      </c>
      <c r="B1701" t="s">
        <v>13</v>
      </c>
      <c r="C1701">
        <v>47</v>
      </c>
      <c r="D1701" t="s">
        <v>15</v>
      </c>
      <c r="E1701" t="s">
        <v>15</v>
      </c>
      <c r="F1701" t="s">
        <v>16</v>
      </c>
      <c r="G1701" t="s">
        <v>19</v>
      </c>
      <c r="H1701" t="s">
        <v>23</v>
      </c>
      <c r="I1701">
        <v>108.56</v>
      </c>
      <c r="J1701">
        <v>27.3</v>
      </c>
      <c r="K1701" t="s">
        <v>24</v>
      </c>
      <c r="L1701" t="s">
        <v>15</v>
      </c>
    </row>
    <row r="1702" spans="1:12" x14ac:dyDescent="0.3">
      <c r="A1702">
        <v>5686</v>
      </c>
      <c r="B1702" t="s">
        <v>12</v>
      </c>
      <c r="C1702">
        <v>35</v>
      </c>
      <c r="D1702" t="s">
        <v>15</v>
      </c>
      <c r="E1702" t="s">
        <v>15</v>
      </c>
      <c r="F1702" t="s">
        <v>16</v>
      </c>
      <c r="G1702" t="s">
        <v>17</v>
      </c>
      <c r="H1702" t="s">
        <v>22</v>
      </c>
      <c r="I1702">
        <v>69.88</v>
      </c>
      <c r="J1702">
        <v>27.7</v>
      </c>
      <c r="K1702" t="s">
        <v>27</v>
      </c>
      <c r="L1702" t="s">
        <v>15</v>
      </c>
    </row>
    <row r="1703" spans="1:12" x14ac:dyDescent="0.3">
      <c r="A1703">
        <v>4789</v>
      </c>
      <c r="B1703" t="s">
        <v>12</v>
      </c>
      <c r="C1703">
        <v>8</v>
      </c>
      <c r="D1703" t="s">
        <v>15</v>
      </c>
      <c r="E1703" t="s">
        <v>15</v>
      </c>
      <c r="F1703" t="s">
        <v>15</v>
      </c>
      <c r="G1703" t="s">
        <v>20</v>
      </c>
      <c r="H1703" t="s">
        <v>23</v>
      </c>
      <c r="I1703">
        <v>91.54</v>
      </c>
      <c r="J1703">
        <v>13.4</v>
      </c>
      <c r="K1703" t="s">
        <v>27</v>
      </c>
      <c r="L1703" t="s">
        <v>15</v>
      </c>
    </row>
    <row r="1704" spans="1:12" x14ac:dyDescent="0.3">
      <c r="A1704">
        <v>897</v>
      </c>
      <c r="B1704" t="s">
        <v>12</v>
      </c>
      <c r="C1704">
        <v>3</v>
      </c>
      <c r="D1704" t="s">
        <v>15</v>
      </c>
      <c r="E1704" t="s">
        <v>15</v>
      </c>
      <c r="F1704" t="s">
        <v>15</v>
      </c>
      <c r="G1704" t="s">
        <v>20</v>
      </c>
      <c r="H1704" t="s">
        <v>23</v>
      </c>
      <c r="I1704">
        <v>65.849999999999994</v>
      </c>
      <c r="J1704">
        <v>17</v>
      </c>
      <c r="K1704" t="s">
        <v>27</v>
      </c>
      <c r="L1704" t="s">
        <v>15</v>
      </c>
    </row>
    <row r="1705" spans="1:12" x14ac:dyDescent="0.3">
      <c r="A1705">
        <v>69553</v>
      </c>
      <c r="B1705" t="s">
        <v>13</v>
      </c>
      <c r="C1705">
        <v>29</v>
      </c>
      <c r="D1705" t="s">
        <v>15</v>
      </c>
      <c r="E1705" t="s">
        <v>15</v>
      </c>
      <c r="F1705" t="s">
        <v>16</v>
      </c>
      <c r="G1705" t="s">
        <v>17</v>
      </c>
      <c r="H1705" t="s">
        <v>23</v>
      </c>
      <c r="I1705">
        <v>60.74</v>
      </c>
      <c r="J1705">
        <v>20</v>
      </c>
      <c r="K1705" t="s">
        <v>25</v>
      </c>
      <c r="L1705" t="s">
        <v>15</v>
      </c>
    </row>
    <row r="1706" spans="1:12" x14ac:dyDescent="0.3">
      <c r="A1706">
        <v>58438</v>
      </c>
      <c r="B1706" t="s">
        <v>12</v>
      </c>
      <c r="C1706">
        <v>36</v>
      </c>
      <c r="D1706" t="s">
        <v>15</v>
      </c>
      <c r="E1706" t="s">
        <v>15</v>
      </c>
      <c r="F1706" t="s">
        <v>15</v>
      </c>
      <c r="G1706" t="s">
        <v>17</v>
      </c>
      <c r="H1706" t="s">
        <v>23</v>
      </c>
      <c r="I1706">
        <v>233.52</v>
      </c>
      <c r="J1706">
        <v>40.9</v>
      </c>
      <c r="K1706" t="s">
        <v>25</v>
      </c>
      <c r="L1706" t="s">
        <v>15</v>
      </c>
    </row>
    <row r="1707" spans="1:12" x14ac:dyDescent="0.3">
      <c r="A1707">
        <v>29104</v>
      </c>
      <c r="B1707" t="s">
        <v>13</v>
      </c>
      <c r="C1707">
        <v>19</v>
      </c>
      <c r="D1707" t="s">
        <v>15</v>
      </c>
      <c r="E1707" t="s">
        <v>15</v>
      </c>
      <c r="F1707" t="s">
        <v>15</v>
      </c>
      <c r="G1707" t="s">
        <v>17</v>
      </c>
      <c r="H1707" t="s">
        <v>22</v>
      </c>
      <c r="I1707">
        <v>110.7</v>
      </c>
      <c r="J1707">
        <v>38.5</v>
      </c>
      <c r="K1707" t="s">
        <v>25</v>
      </c>
      <c r="L1707" t="s">
        <v>15</v>
      </c>
    </row>
    <row r="1708" spans="1:12" x14ac:dyDescent="0.3">
      <c r="A1708">
        <v>26862</v>
      </c>
      <c r="B1708" t="s">
        <v>13</v>
      </c>
      <c r="C1708">
        <v>41</v>
      </c>
      <c r="D1708" t="s">
        <v>15</v>
      </c>
      <c r="E1708" t="s">
        <v>15</v>
      </c>
      <c r="F1708" t="s">
        <v>16</v>
      </c>
      <c r="G1708" t="s">
        <v>19</v>
      </c>
      <c r="H1708" t="s">
        <v>23</v>
      </c>
      <c r="I1708">
        <v>78.930000000000007</v>
      </c>
      <c r="J1708">
        <v>30.9</v>
      </c>
      <c r="K1708" t="s">
        <v>24</v>
      </c>
      <c r="L1708" t="s">
        <v>15</v>
      </c>
    </row>
    <row r="1709" spans="1:12" x14ac:dyDescent="0.3">
      <c r="A1709">
        <v>38036</v>
      </c>
      <c r="B1709" t="s">
        <v>13</v>
      </c>
      <c r="C1709">
        <v>23</v>
      </c>
      <c r="D1709" t="s">
        <v>15</v>
      </c>
      <c r="E1709" t="s">
        <v>15</v>
      </c>
      <c r="F1709" t="s">
        <v>15</v>
      </c>
      <c r="G1709" t="s">
        <v>17</v>
      </c>
      <c r="H1709" t="s">
        <v>22</v>
      </c>
      <c r="I1709">
        <v>124.5</v>
      </c>
      <c r="J1709">
        <v>33.4</v>
      </c>
      <c r="K1709" t="s">
        <v>27</v>
      </c>
      <c r="L1709" t="s">
        <v>15</v>
      </c>
    </row>
    <row r="1710" spans="1:12" x14ac:dyDescent="0.3">
      <c r="A1710">
        <v>36666</v>
      </c>
      <c r="B1710" t="s">
        <v>12</v>
      </c>
      <c r="C1710">
        <v>14</v>
      </c>
      <c r="D1710" t="s">
        <v>15</v>
      </c>
      <c r="E1710" t="s">
        <v>15</v>
      </c>
      <c r="F1710" t="s">
        <v>15</v>
      </c>
      <c r="G1710" t="s">
        <v>20</v>
      </c>
      <c r="H1710" t="s">
        <v>22</v>
      </c>
      <c r="I1710">
        <v>57.95</v>
      </c>
      <c r="J1710">
        <v>17.100000000000001</v>
      </c>
      <c r="K1710" t="s">
        <v>27</v>
      </c>
      <c r="L1710" t="s">
        <v>15</v>
      </c>
    </row>
    <row r="1711" spans="1:12" x14ac:dyDescent="0.3">
      <c r="A1711">
        <v>16316</v>
      </c>
      <c r="B1711" t="s">
        <v>12</v>
      </c>
      <c r="C1711">
        <v>35</v>
      </c>
      <c r="D1711" t="s">
        <v>15</v>
      </c>
      <c r="E1711" t="s">
        <v>15</v>
      </c>
      <c r="F1711" t="s">
        <v>16</v>
      </c>
      <c r="G1711" t="s">
        <v>17</v>
      </c>
      <c r="H1711" t="s">
        <v>23</v>
      </c>
      <c r="I1711">
        <v>92.82</v>
      </c>
      <c r="J1711">
        <v>28.6</v>
      </c>
      <c r="K1711" t="s">
        <v>27</v>
      </c>
      <c r="L1711" t="s">
        <v>15</v>
      </c>
    </row>
    <row r="1712" spans="1:12" x14ac:dyDescent="0.3">
      <c r="A1712">
        <v>61365</v>
      </c>
      <c r="B1712" t="s">
        <v>12</v>
      </c>
      <c r="C1712">
        <v>45</v>
      </c>
      <c r="D1712" t="s">
        <v>15</v>
      </c>
      <c r="E1712" t="s">
        <v>15</v>
      </c>
      <c r="F1712" t="s">
        <v>16</v>
      </c>
      <c r="G1712" t="s">
        <v>17</v>
      </c>
      <c r="H1712" t="s">
        <v>23</v>
      </c>
      <c r="I1712">
        <v>58.25</v>
      </c>
      <c r="J1712">
        <v>24</v>
      </c>
      <c r="K1712" t="s">
        <v>26</v>
      </c>
      <c r="L1712" t="s">
        <v>15</v>
      </c>
    </row>
    <row r="1713" spans="1:12" x14ac:dyDescent="0.3">
      <c r="A1713">
        <v>12512</v>
      </c>
      <c r="B1713" t="s">
        <v>13</v>
      </c>
      <c r="C1713">
        <v>52</v>
      </c>
      <c r="D1713" t="s">
        <v>16</v>
      </c>
      <c r="E1713" t="s">
        <v>15</v>
      </c>
      <c r="F1713" t="s">
        <v>16</v>
      </c>
      <c r="G1713" t="s">
        <v>17</v>
      </c>
      <c r="H1713" t="s">
        <v>23</v>
      </c>
      <c r="I1713">
        <v>213.54</v>
      </c>
      <c r="J1713">
        <v>32</v>
      </c>
      <c r="K1713" t="s">
        <v>25</v>
      </c>
      <c r="L1713" t="s">
        <v>15</v>
      </c>
    </row>
    <row r="1714" spans="1:12" x14ac:dyDescent="0.3">
      <c r="A1714">
        <v>31835</v>
      </c>
      <c r="B1714" t="s">
        <v>12</v>
      </c>
      <c r="C1714">
        <v>19</v>
      </c>
      <c r="D1714" t="s">
        <v>15</v>
      </c>
      <c r="E1714" t="s">
        <v>15</v>
      </c>
      <c r="F1714" t="s">
        <v>15</v>
      </c>
      <c r="G1714" t="s">
        <v>17</v>
      </c>
      <c r="H1714" t="s">
        <v>22</v>
      </c>
      <c r="I1714">
        <v>74.86</v>
      </c>
      <c r="J1714">
        <v>28.4</v>
      </c>
      <c r="K1714" t="s">
        <v>25</v>
      </c>
      <c r="L1714" t="s">
        <v>15</v>
      </c>
    </row>
    <row r="1715" spans="1:12" x14ac:dyDescent="0.3">
      <c r="A1715">
        <v>4099</v>
      </c>
      <c r="B1715" t="s">
        <v>13</v>
      </c>
      <c r="C1715">
        <v>21</v>
      </c>
      <c r="D1715" t="s">
        <v>15</v>
      </c>
      <c r="E1715" t="s">
        <v>15</v>
      </c>
      <c r="F1715" t="s">
        <v>15</v>
      </c>
      <c r="G1715" t="s">
        <v>17</v>
      </c>
      <c r="H1715" t="s">
        <v>22</v>
      </c>
      <c r="I1715">
        <v>78.349999999999994</v>
      </c>
      <c r="J1715">
        <v>20.3</v>
      </c>
      <c r="K1715" t="s">
        <v>27</v>
      </c>
      <c r="L1715" t="s">
        <v>15</v>
      </c>
    </row>
    <row r="1716" spans="1:12" x14ac:dyDescent="0.3">
      <c r="A1716">
        <v>26893</v>
      </c>
      <c r="B1716" t="s">
        <v>12</v>
      </c>
      <c r="C1716">
        <v>8</v>
      </c>
      <c r="D1716" t="s">
        <v>15</v>
      </c>
      <c r="E1716" t="s">
        <v>15</v>
      </c>
      <c r="F1716" t="s">
        <v>15</v>
      </c>
      <c r="G1716" t="s">
        <v>20</v>
      </c>
      <c r="H1716" t="s">
        <v>22</v>
      </c>
      <c r="I1716">
        <v>101.26</v>
      </c>
      <c r="J1716">
        <v>33.799999999999997</v>
      </c>
      <c r="K1716" t="s">
        <v>27</v>
      </c>
      <c r="L1716" t="s">
        <v>15</v>
      </c>
    </row>
    <row r="1717" spans="1:12" x14ac:dyDescent="0.3">
      <c r="A1717">
        <v>35143</v>
      </c>
      <c r="B1717" t="s">
        <v>13</v>
      </c>
      <c r="C1717">
        <v>35</v>
      </c>
      <c r="D1717" t="s">
        <v>15</v>
      </c>
      <c r="E1717" t="s">
        <v>15</v>
      </c>
      <c r="F1717" t="s">
        <v>16</v>
      </c>
      <c r="G1717" t="s">
        <v>17</v>
      </c>
      <c r="H1717" t="s">
        <v>22</v>
      </c>
      <c r="I1717">
        <v>86.87</v>
      </c>
      <c r="J1717">
        <v>43.2</v>
      </c>
      <c r="K1717" t="s">
        <v>27</v>
      </c>
      <c r="L1717" t="s">
        <v>15</v>
      </c>
    </row>
    <row r="1718" spans="1:12" x14ac:dyDescent="0.3">
      <c r="A1718">
        <v>1486</v>
      </c>
      <c r="B1718" t="s">
        <v>13</v>
      </c>
      <c r="C1718">
        <v>33</v>
      </c>
      <c r="D1718" t="s">
        <v>15</v>
      </c>
      <c r="E1718" t="s">
        <v>15</v>
      </c>
      <c r="F1718" t="s">
        <v>16</v>
      </c>
      <c r="G1718" t="s">
        <v>17</v>
      </c>
      <c r="H1718" t="s">
        <v>23</v>
      </c>
      <c r="I1718">
        <v>124.01</v>
      </c>
      <c r="J1718">
        <v>22.7</v>
      </c>
      <c r="K1718" t="s">
        <v>27</v>
      </c>
      <c r="L1718" t="s">
        <v>15</v>
      </c>
    </row>
    <row r="1719" spans="1:12" x14ac:dyDescent="0.3">
      <c r="A1719">
        <v>5043</v>
      </c>
      <c r="B1719" t="s">
        <v>13</v>
      </c>
      <c r="C1719">
        <v>53</v>
      </c>
      <c r="D1719" t="s">
        <v>15</v>
      </c>
      <c r="E1719" t="s">
        <v>15</v>
      </c>
      <c r="F1719" t="s">
        <v>16</v>
      </c>
      <c r="G1719" t="s">
        <v>17</v>
      </c>
      <c r="H1719" t="s">
        <v>22</v>
      </c>
      <c r="I1719">
        <v>83.41</v>
      </c>
      <c r="J1719">
        <v>29.9</v>
      </c>
      <c r="K1719" t="s">
        <v>25</v>
      </c>
      <c r="L1719" t="s">
        <v>15</v>
      </c>
    </row>
    <row r="1720" spans="1:12" x14ac:dyDescent="0.3">
      <c r="A1720">
        <v>2513</v>
      </c>
      <c r="B1720" t="s">
        <v>12</v>
      </c>
      <c r="C1720">
        <v>59</v>
      </c>
      <c r="D1720" t="s">
        <v>15</v>
      </c>
      <c r="E1720" t="s">
        <v>16</v>
      </c>
      <c r="F1720" t="s">
        <v>16</v>
      </c>
      <c r="G1720" t="s">
        <v>19</v>
      </c>
      <c r="H1720" t="s">
        <v>22</v>
      </c>
      <c r="I1720">
        <v>188.69</v>
      </c>
      <c r="K1720" t="s">
        <v>24</v>
      </c>
      <c r="L1720" t="s">
        <v>15</v>
      </c>
    </row>
    <row r="1721" spans="1:12" x14ac:dyDescent="0.3">
      <c r="A1721">
        <v>5451</v>
      </c>
      <c r="B1721" t="s">
        <v>12</v>
      </c>
      <c r="C1721">
        <v>34</v>
      </c>
      <c r="D1721" t="s">
        <v>15</v>
      </c>
      <c r="E1721" t="s">
        <v>15</v>
      </c>
      <c r="F1721" t="s">
        <v>16</v>
      </c>
      <c r="G1721" t="s">
        <v>17</v>
      </c>
      <c r="H1721" t="s">
        <v>23</v>
      </c>
      <c r="I1721">
        <v>86.51</v>
      </c>
      <c r="K1721" t="s">
        <v>24</v>
      </c>
      <c r="L1721" t="s">
        <v>15</v>
      </c>
    </row>
    <row r="1722" spans="1:12" x14ac:dyDescent="0.3">
      <c r="A1722">
        <v>3640</v>
      </c>
      <c r="B1722" t="s">
        <v>13</v>
      </c>
      <c r="C1722">
        <v>31</v>
      </c>
      <c r="D1722" t="s">
        <v>15</v>
      </c>
      <c r="E1722" t="s">
        <v>15</v>
      </c>
      <c r="F1722" t="s">
        <v>15</v>
      </c>
      <c r="G1722" t="s">
        <v>18</v>
      </c>
      <c r="H1722" t="s">
        <v>23</v>
      </c>
      <c r="I1722">
        <v>70.650000000000006</v>
      </c>
      <c r="J1722">
        <v>29.9</v>
      </c>
      <c r="K1722" t="s">
        <v>27</v>
      </c>
      <c r="L1722" t="s">
        <v>15</v>
      </c>
    </row>
    <row r="1723" spans="1:12" x14ac:dyDescent="0.3">
      <c r="A1723">
        <v>17835</v>
      </c>
      <c r="B1723" t="s">
        <v>13</v>
      </c>
      <c r="C1723">
        <v>43</v>
      </c>
      <c r="D1723" t="s">
        <v>15</v>
      </c>
      <c r="E1723" t="s">
        <v>15</v>
      </c>
      <c r="F1723" t="s">
        <v>15</v>
      </c>
      <c r="G1723" t="s">
        <v>18</v>
      </c>
      <c r="H1723" t="s">
        <v>23</v>
      </c>
      <c r="I1723">
        <v>92.4</v>
      </c>
      <c r="J1723">
        <v>22.7</v>
      </c>
      <c r="K1723" t="s">
        <v>27</v>
      </c>
      <c r="L1723" t="s">
        <v>15</v>
      </c>
    </row>
    <row r="1724" spans="1:12" x14ac:dyDescent="0.3">
      <c r="A1724">
        <v>26826</v>
      </c>
      <c r="B1724" t="s">
        <v>13</v>
      </c>
      <c r="C1724">
        <v>61</v>
      </c>
      <c r="D1724" t="s">
        <v>15</v>
      </c>
      <c r="E1724" t="s">
        <v>15</v>
      </c>
      <c r="F1724" t="s">
        <v>16</v>
      </c>
      <c r="G1724" t="s">
        <v>18</v>
      </c>
      <c r="H1724" t="s">
        <v>22</v>
      </c>
      <c r="I1724">
        <v>73.36</v>
      </c>
      <c r="J1724">
        <v>16.100000000000001</v>
      </c>
      <c r="K1724" t="s">
        <v>25</v>
      </c>
      <c r="L1724" t="s">
        <v>15</v>
      </c>
    </row>
    <row r="1725" spans="1:12" x14ac:dyDescent="0.3">
      <c r="A1725">
        <v>45713</v>
      </c>
      <c r="B1725" t="s">
        <v>13</v>
      </c>
      <c r="C1725">
        <v>57</v>
      </c>
      <c r="D1725" t="s">
        <v>15</v>
      </c>
      <c r="E1725" t="s">
        <v>15</v>
      </c>
      <c r="F1725" t="s">
        <v>16</v>
      </c>
      <c r="G1725" t="s">
        <v>19</v>
      </c>
      <c r="H1725" t="s">
        <v>22</v>
      </c>
      <c r="I1725">
        <v>219.5</v>
      </c>
      <c r="J1725">
        <v>33.799999999999997</v>
      </c>
      <c r="K1725" t="s">
        <v>24</v>
      </c>
      <c r="L1725" t="s">
        <v>15</v>
      </c>
    </row>
    <row r="1726" spans="1:12" x14ac:dyDescent="0.3">
      <c r="A1726">
        <v>37660</v>
      </c>
      <c r="B1726" t="s">
        <v>12</v>
      </c>
      <c r="C1726">
        <v>11</v>
      </c>
      <c r="D1726" t="s">
        <v>15</v>
      </c>
      <c r="E1726" t="s">
        <v>15</v>
      </c>
      <c r="F1726" t="s">
        <v>15</v>
      </c>
      <c r="G1726" t="s">
        <v>20</v>
      </c>
      <c r="H1726" t="s">
        <v>23</v>
      </c>
      <c r="I1726">
        <v>105.73</v>
      </c>
      <c r="J1726">
        <v>22.6</v>
      </c>
      <c r="K1726" t="s">
        <v>25</v>
      </c>
      <c r="L1726" t="s">
        <v>15</v>
      </c>
    </row>
    <row r="1727" spans="1:12" x14ac:dyDescent="0.3">
      <c r="A1727">
        <v>24782</v>
      </c>
      <c r="B1727" t="s">
        <v>12</v>
      </c>
      <c r="C1727">
        <v>36</v>
      </c>
      <c r="D1727" t="s">
        <v>15</v>
      </c>
      <c r="E1727" t="s">
        <v>15</v>
      </c>
      <c r="F1727" t="s">
        <v>16</v>
      </c>
      <c r="G1727" t="s">
        <v>17</v>
      </c>
      <c r="H1727" t="s">
        <v>23</v>
      </c>
      <c r="I1727">
        <v>83.79</v>
      </c>
      <c r="J1727">
        <v>25.5</v>
      </c>
      <c r="K1727" t="s">
        <v>26</v>
      </c>
      <c r="L1727" t="s">
        <v>15</v>
      </c>
    </row>
    <row r="1728" spans="1:12" x14ac:dyDescent="0.3">
      <c r="A1728">
        <v>63416</v>
      </c>
      <c r="B1728" t="s">
        <v>13</v>
      </c>
      <c r="C1728">
        <v>16</v>
      </c>
      <c r="D1728" t="s">
        <v>15</v>
      </c>
      <c r="E1728" t="s">
        <v>15</v>
      </c>
      <c r="F1728" t="s">
        <v>15</v>
      </c>
      <c r="G1728" t="s">
        <v>17</v>
      </c>
      <c r="H1728" t="s">
        <v>22</v>
      </c>
      <c r="I1728">
        <v>58.02</v>
      </c>
      <c r="J1728">
        <v>22.5</v>
      </c>
      <c r="K1728" t="s">
        <v>27</v>
      </c>
      <c r="L1728" t="s">
        <v>15</v>
      </c>
    </row>
    <row r="1729" spans="1:12" x14ac:dyDescent="0.3">
      <c r="A1729">
        <v>16953</v>
      </c>
      <c r="B1729" t="s">
        <v>13</v>
      </c>
      <c r="C1729">
        <v>60</v>
      </c>
      <c r="D1729" t="s">
        <v>15</v>
      </c>
      <c r="E1729" t="s">
        <v>15</v>
      </c>
      <c r="F1729" t="s">
        <v>16</v>
      </c>
      <c r="G1729" t="s">
        <v>19</v>
      </c>
      <c r="H1729" t="s">
        <v>23</v>
      </c>
      <c r="I1729">
        <v>61.94</v>
      </c>
      <c r="J1729">
        <v>27.9</v>
      </c>
      <c r="K1729" t="s">
        <v>24</v>
      </c>
      <c r="L1729" t="s">
        <v>15</v>
      </c>
    </row>
    <row r="1730" spans="1:12" x14ac:dyDescent="0.3">
      <c r="A1730">
        <v>42082</v>
      </c>
      <c r="B1730" t="s">
        <v>12</v>
      </c>
      <c r="C1730">
        <v>13</v>
      </c>
      <c r="D1730" t="s">
        <v>15</v>
      </c>
      <c r="E1730" t="s">
        <v>15</v>
      </c>
      <c r="F1730" t="s">
        <v>15</v>
      </c>
      <c r="G1730" t="s">
        <v>20</v>
      </c>
      <c r="H1730" t="s">
        <v>23</v>
      </c>
      <c r="I1730">
        <v>99.71</v>
      </c>
      <c r="J1730">
        <v>23.5</v>
      </c>
      <c r="K1730" t="s">
        <v>27</v>
      </c>
      <c r="L1730" t="s">
        <v>15</v>
      </c>
    </row>
    <row r="1731" spans="1:12" x14ac:dyDescent="0.3">
      <c r="A1731">
        <v>51660</v>
      </c>
      <c r="B1731" t="s">
        <v>13</v>
      </c>
      <c r="C1731">
        <v>69</v>
      </c>
      <c r="D1731" t="s">
        <v>15</v>
      </c>
      <c r="E1731" t="s">
        <v>15</v>
      </c>
      <c r="F1731" t="s">
        <v>16</v>
      </c>
      <c r="G1731" t="s">
        <v>18</v>
      </c>
      <c r="H1731" t="s">
        <v>23</v>
      </c>
      <c r="I1731">
        <v>63.19</v>
      </c>
      <c r="J1731">
        <v>32.200000000000003</v>
      </c>
      <c r="K1731" t="s">
        <v>25</v>
      </c>
      <c r="L1731" t="s">
        <v>15</v>
      </c>
    </row>
    <row r="1732" spans="1:12" x14ac:dyDescent="0.3">
      <c r="A1732">
        <v>27135</v>
      </c>
      <c r="B1732" t="s">
        <v>12</v>
      </c>
      <c r="C1732">
        <v>69</v>
      </c>
      <c r="D1732" t="s">
        <v>16</v>
      </c>
      <c r="E1732" t="s">
        <v>15</v>
      </c>
      <c r="F1732" t="s">
        <v>16</v>
      </c>
      <c r="G1732" t="s">
        <v>17</v>
      </c>
      <c r="H1732" t="s">
        <v>23</v>
      </c>
      <c r="I1732">
        <v>107.11</v>
      </c>
      <c r="K1732" t="s">
        <v>26</v>
      </c>
      <c r="L1732" t="s">
        <v>15</v>
      </c>
    </row>
    <row r="1733" spans="1:12" x14ac:dyDescent="0.3">
      <c r="A1733">
        <v>54058</v>
      </c>
      <c r="B1733" t="s">
        <v>13</v>
      </c>
      <c r="C1733">
        <v>22</v>
      </c>
      <c r="D1733" t="s">
        <v>15</v>
      </c>
      <c r="E1733" t="s">
        <v>15</v>
      </c>
      <c r="F1733" t="s">
        <v>15</v>
      </c>
      <c r="G1733" t="s">
        <v>17</v>
      </c>
      <c r="H1733" t="s">
        <v>22</v>
      </c>
      <c r="I1733">
        <v>56.84</v>
      </c>
      <c r="J1733">
        <v>29.9</v>
      </c>
      <c r="K1733" t="s">
        <v>26</v>
      </c>
      <c r="L1733" t="s">
        <v>15</v>
      </c>
    </row>
    <row r="1734" spans="1:12" x14ac:dyDescent="0.3">
      <c r="A1734">
        <v>24272</v>
      </c>
      <c r="B1734" t="s">
        <v>12</v>
      </c>
      <c r="C1734">
        <v>63</v>
      </c>
      <c r="D1734" t="s">
        <v>15</v>
      </c>
      <c r="E1734" t="s">
        <v>15</v>
      </c>
      <c r="F1734" t="s">
        <v>16</v>
      </c>
      <c r="G1734" t="s">
        <v>19</v>
      </c>
      <c r="H1734" t="s">
        <v>23</v>
      </c>
      <c r="I1734">
        <v>217.66</v>
      </c>
      <c r="J1734">
        <v>28.7</v>
      </c>
      <c r="K1734" t="s">
        <v>24</v>
      </c>
      <c r="L1734" t="s">
        <v>15</v>
      </c>
    </row>
    <row r="1735" spans="1:12" x14ac:dyDescent="0.3">
      <c r="A1735">
        <v>16028</v>
      </c>
      <c r="B1735" t="s">
        <v>13</v>
      </c>
      <c r="C1735">
        <v>45</v>
      </c>
      <c r="D1735" t="s">
        <v>15</v>
      </c>
      <c r="E1735" t="s">
        <v>15</v>
      </c>
      <c r="F1735" t="s">
        <v>16</v>
      </c>
      <c r="G1735" t="s">
        <v>17</v>
      </c>
      <c r="H1735" t="s">
        <v>23</v>
      </c>
      <c r="I1735">
        <v>77.19</v>
      </c>
      <c r="J1735">
        <v>37.200000000000003</v>
      </c>
      <c r="K1735" t="s">
        <v>26</v>
      </c>
      <c r="L1735" t="s">
        <v>15</v>
      </c>
    </row>
    <row r="1736" spans="1:12" x14ac:dyDescent="0.3">
      <c r="A1736">
        <v>49645</v>
      </c>
      <c r="B1736" t="s">
        <v>12</v>
      </c>
      <c r="C1736">
        <v>58</v>
      </c>
      <c r="D1736" t="s">
        <v>15</v>
      </c>
      <c r="E1736" t="s">
        <v>15</v>
      </c>
      <c r="F1736" t="s">
        <v>15</v>
      </c>
      <c r="G1736" t="s">
        <v>17</v>
      </c>
      <c r="H1736" t="s">
        <v>23</v>
      </c>
      <c r="I1736">
        <v>76.22</v>
      </c>
      <c r="J1736">
        <v>22.2</v>
      </c>
      <c r="K1736" t="s">
        <v>24</v>
      </c>
      <c r="L1736" t="s">
        <v>15</v>
      </c>
    </row>
    <row r="1737" spans="1:12" x14ac:dyDescent="0.3">
      <c r="A1737">
        <v>54347</v>
      </c>
      <c r="B1737" t="s">
        <v>12</v>
      </c>
      <c r="C1737">
        <v>61</v>
      </c>
      <c r="D1737" t="s">
        <v>15</v>
      </c>
      <c r="E1737" t="s">
        <v>15</v>
      </c>
      <c r="F1737" t="s">
        <v>16</v>
      </c>
      <c r="G1737" t="s">
        <v>18</v>
      </c>
      <c r="H1737" t="s">
        <v>23</v>
      </c>
      <c r="I1737">
        <v>155.32</v>
      </c>
      <c r="J1737">
        <v>26.6</v>
      </c>
      <c r="K1737" t="s">
        <v>24</v>
      </c>
      <c r="L1737" t="s">
        <v>15</v>
      </c>
    </row>
    <row r="1738" spans="1:12" x14ac:dyDescent="0.3">
      <c r="A1738">
        <v>4861</v>
      </c>
      <c r="B1738" t="s">
        <v>13</v>
      </c>
      <c r="C1738">
        <v>30</v>
      </c>
      <c r="D1738" t="s">
        <v>15</v>
      </c>
      <c r="E1738" t="s">
        <v>15</v>
      </c>
      <c r="F1738" t="s">
        <v>16</v>
      </c>
      <c r="G1738" t="s">
        <v>17</v>
      </c>
      <c r="H1738" t="s">
        <v>22</v>
      </c>
      <c r="I1738">
        <v>70.67</v>
      </c>
      <c r="J1738">
        <v>24.6</v>
      </c>
      <c r="K1738" t="s">
        <v>26</v>
      </c>
      <c r="L1738" t="s">
        <v>15</v>
      </c>
    </row>
    <row r="1739" spans="1:12" x14ac:dyDescent="0.3">
      <c r="A1739">
        <v>54353</v>
      </c>
      <c r="B1739" t="s">
        <v>13</v>
      </c>
      <c r="C1739">
        <v>78</v>
      </c>
      <c r="D1739" t="s">
        <v>16</v>
      </c>
      <c r="E1739" t="s">
        <v>16</v>
      </c>
      <c r="F1739" t="s">
        <v>16</v>
      </c>
      <c r="G1739" t="s">
        <v>17</v>
      </c>
      <c r="H1739" t="s">
        <v>22</v>
      </c>
      <c r="I1739">
        <v>227.16</v>
      </c>
      <c r="J1739">
        <v>41.7</v>
      </c>
      <c r="K1739" t="s">
        <v>25</v>
      </c>
      <c r="L1739" t="s">
        <v>15</v>
      </c>
    </row>
    <row r="1740" spans="1:12" x14ac:dyDescent="0.3">
      <c r="A1740">
        <v>71016</v>
      </c>
      <c r="B1740" t="s">
        <v>13</v>
      </c>
      <c r="C1740">
        <v>68</v>
      </c>
      <c r="D1740" t="s">
        <v>15</v>
      </c>
      <c r="E1740" t="s">
        <v>15</v>
      </c>
      <c r="F1740" t="s">
        <v>16</v>
      </c>
      <c r="G1740" t="s">
        <v>17</v>
      </c>
      <c r="H1740" t="s">
        <v>23</v>
      </c>
      <c r="I1740">
        <v>58.69</v>
      </c>
      <c r="J1740">
        <v>26.2</v>
      </c>
      <c r="K1740" t="s">
        <v>24</v>
      </c>
      <c r="L1740" t="s">
        <v>15</v>
      </c>
    </row>
    <row r="1741" spans="1:12" x14ac:dyDescent="0.3">
      <c r="A1741">
        <v>33768</v>
      </c>
      <c r="B1741" t="s">
        <v>13</v>
      </c>
      <c r="C1741">
        <v>16</v>
      </c>
      <c r="D1741" t="s">
        <v>15</v>
      </c>
      <c r="E1741" t="s">
        <v>15</v>
      </c>
      <c r="F1741" t="s">
        <v>15</v>
      </c>
      <c r="G1741" t="s">
        <v>18</v>
      </c>
      <c r="H1741" t="s">
        <v>22</v>
      </c>
      <c r="I1741">
        <v>88.85</v>
      </c>
      <c r="J1741">
        <v>27.1</v>
      </c>
      <c r="K1741" t="s">
        <v>27</v>
      </c>
      <c r="L1741" t="s">
        <v>15</v>
      </c>
    </row>
    <row r="1742" spans="1:12" x14ac:dyDescent="0.3">
      <c r="A1742">
        <v>62681</v>
      </c>
      <c r="B1742" t="s">
        <v>13</v>
      </c>
      <c r="C1742">
        <v>38</v>
      </c>
      <c r="D1742" t="s">
        <v>16</v>
      </c>
      <c r="E1742" t="s">
        <v>15</v>
      </c>
      <c r="F1742" t="s">
        <v>16</v>
      </c>
      <c r="G1742" t="s">
        <v>17</v>
      </c>
      <c r="H1742" t="s">
        <v>22</v>
      </c>
      <c r="I1742">
        <v>137.94</v>
      </c>
      <c r="J1742">
        <v>41.8</v>
      </c>
      <c r="K1742" t="s">
        <v>25</v>
      </c>
      <c r="L1742" t="s">
        <v>15</v>
      </c>
    </row>
    <row r="1743" spans="1:12" x14ac:dyDescent="0.3">
      <c r="A1743">
        <v>41007</v>
      </c>
      <c r="B1743" t="s">
        <v>13</v>
      </c>
      <c r="C1743">
        <v>39</v>
      </c>
      <c r="D1743" t="s">
        <v>15</v>
      </c>
      <c r="E1743" t="s">
        <v>15</v>
      </c>
      <c r="F1743" t="s">
        <v>16</v>
      </c>
      <c r="G1743" t="s">
        <v>17</v>
      </c>
      <c r="H1743" t="s">
        <v>22</v>
      </c>
      <c r="I1743">
        <v>60.6</v>
      </c>
      <c r="J1743">
        <v>34.200000000000003</v>
      </c>
      <c r="K1743" t="s">
        <v>25</v>
      </c>
      <c r="L1743" t="s">
        <v>15</v>
      </c>
    </row>
    <row r="1744" spans="1:12" x14ac:dyDescent="0.3">
      <c r="A1744">
        <v>35450</v>
      </c>
      <c r="B1744" t="s">
        <v>13</v>
      </c>
      <c r="C1744">
        <v>51</v>
      </c>
      <c r="D1744" t="s">
        <v>15</v>
      </c>
      <c r="E1744" t="s">
        <v>15</v>
      </c>
      <c r="F1744" t="s">
        <v>16</v>
      </c>
      <c r="G1744" t="s">
        <v>17</v>
      </c>
      <c r="H1744" t="s">
        <v>23</v>
      </c>
      <c r="I1744">
        <v>93.67</v>
      </c>
      <c r="J1744">
        <v>19.2</v>
      </c>
      <c r="K1744" t="s">
        <v>25</v>
      </c>
      <c r="L1744" t="s">
        <v>15</v>
      </c>
    </row>
    <row r="1745" spans="1:12" x14ac:dyDescent="0.3">
      <c r="A1745">
        <v>62793</v>
      </c>
      <c r="B1745" t="s">
        <v>12</v>
      </c>
      <c r="C1745">
        <v>37</v>
      </c>
      <c r="D1745" t="s">
        <v>15</v>
      </c>
      <c r="E1745" t="s">
        <v>15</v>
      </c>
      <c r="F1745" t="s">
        <v>16</v>
      </c>
      <c r="G1745" t="s">
        <v>17</v>
      </c>
      <c r="H1745" t="s">
        <v>22</v>
      </c>
      <c r="I1745">
        <v>79.56</v>
      </c>
      <c r="J1745">
        <v>25.2</v>
      </c>
      <c r="K1745" t="s">
        <v>25</v>
      </c>
      <c r="L1745" t="s">
        <v>15</v>
      </c>
    </row>
    <row r="1746" spans="1:12" x14ac:dyDescent="0.3">
      <c r="A1746">
        <v>66592</v>
      </c>
      <c r="B1746" t="s">
        <v>12</v>
      </c>
      <c r="C1746">
        <v>16</v>
      </c>
      <c r="D1746" t="s">
        <v>15</v>
      </c>
      <c r="E1746" t="s">
        <v>15</v>
      </c>
      <c r="F1746" t="s">
        <v>15</v>
      </c>
      <c r="G1746" t="s">
        <v>17</v>
      </c>
      <c r="H1746" t="s">
        <v>23</v>
      </c>
      <c r="I1746">
        <v>122.46</v>
      </c>
      <c r="J1746">
        <v>18.7</v>
      </c>
      <c r="K1746" t="s">
        <v>25</v>
      </c>
      <c r="L1746" t="s">
        <v>15</v>
      </c>
    </row>
    <row r="1747" spans="1:12" x14ac:dyDescent="0.3">
      <c r="A1747">
        <v>33462</v>
      </c>
      <c r="B1747" t="s">
        <v>12</v>
      </c>
      <c r="C1747">
        <v>39</v>
      </c>
      <c r="D1747" t="s">
        <v>15</v>
      </c>
      <c r="E1747" t="s">
        <v>15</v>
      </c>
      <c r="F1747" t="s">
        <v>16</v>
      </c>
      <c r="G1747" t="s">
        <v>17</v>
      </c>
      <c r="H1747" t="s">
        <v>22</v>
      </c>
      <c r="I1747">
        <v>92.32</v>
      </c>
      <c r="J1747">
        <v>43</v>
      </c>
      <c r="K1747" t="s">
        <v>25</v>
      </c>
      <c r="L1747" t="s">
        <v>15</v>
      </c>
    </row>
    <row r="1748" spans="1:12" x14ac:dyDescent="0.3">
      <c r="A1748">
        <v>29804</v>
      </c>
      <c r="B1748" t="s">
        <v>12</v>
      </c>
      <c r="C1748">
        <v>24</v>
      </c>
      <c r="D1748" t="s">
        <v>16</v>
      </c>
      <c r="E1748" t="s">
        <v>15</v>
      </c>
      <c r="F1748" t="s">
        <v>16</v>
      </c>
      <c r="G1748" t="s">
        <v>17</v>
      </c>
      <c r="H1748" t="s">
        <v>23</v>
      </c>
      <c r="I1748">
        <v>80.63</v>
      </c>
      <c r="J1748">
        <v>28.2</v>
      </c>
      <c r="K1748" t="s">
        <v>26</v>
      </c>
      <c r="L1748" t="s">
        <v>15</v>
      </c>
    </row>
    <row r="1749" spans="1:12" x14ac:dyDescent="0.3">
      <c r="A1749">
        <v>33906</v>
      </c>
      <c r="B1749" t="s">
        <v>12</v>
      </c>
      <c r="C1749">
        <v>51</v>
      </c>
      <c r="D1749" t="s">
        <v>15</v>
      </c>
      <c r="E1749" t="s">
        <v>15</v>
      </c>
      <c r="F1749" t="s">
        <v>16</v>
      </c>
      <c r="G1749" t="s">
        <v>19</v>
      </c>
      <c r="H1749" t="s">
        <v>22</v>
      </c>
      <c r="I1749">
        <v>92.32</v>
      </c>
      <c r="J1749">
        <v>34.700000000000003</v>
      </c>
      <c r="K1749" t="s">
        <v>26</v>
      </c>
      <c r="L1749" t="s">
        <v>15</v>
      </c>
    </row>
    <row r="1750" spans="1:12" x14ac:dyDescent="0.3">
      <c r="A1750">
        <v>43510</v>
      </c>
      <c r="B1750" t="s">
        <v>13</v>
      </c>
      <c r="C1750">
        <v>50</v>
      </c>
      <c r="D1750" t="s">
        <v>16</v>
      </c>
      <c r="E1750" t="s">
        <v>15</v>
      </c>
      <c r="F1750" t="s">
        <v>16</v>
      </c>
      <c r="G1750" t="s">
        <v>19</v>
      </c>
      <c r="H1750" t="s">
        <v>22</v>
      </c>
      <c r="I1750">
        <v>59.89</v>
      </c>
      <c r="J1750">
        <v>25.5</v>
      </c>
      <c r="K1750" t="s">
        <v>25</v>
      </c>
      <c r="L1750" t="s">
        <v>15</v>
      </c>
    </row>
    <row r="1751" spans="1:12" x14ac:dyDescent="0.3">
      <c r="A1751">
        <v>21202</v>
      </c>
      <c r="B1751" t="s">
        <v>13</v>
      </c>
      <c r="C1751">
        <v>27</v>
      </c>
      <c r="D1751" t="s">
        <v>15</v>
      </c>
      <c r="E1751" t="s">
        <v>15</v>
      </c>
      <c r="F1751" t="s">
        <v>16</v>
      </c>
      <c r="G1751" t="s">
        <v>17</v>
      </c>
      <c r="H1751" t="s">
        <v>22</v>
      </c>
      <c r="I1751">
        <v>80.569999999999993</v>
      </c>
      <c r="J1751">
        <v>39.799999999999997</v>
      </c>
      <c r="K1751" t="s">
        <v>26</v>
      </c>
      <c r="L1751" t="s">
        <v>15</v>
      </c>
    </row>
    <row r="1752" spans="1:12" x14ac:dyDescent="0.3">
      <c r="A1752">
        <v>7222</v>
      </c>
      <c r="B1752" t="s">
        <v>13</v>
      </c>
      <c r="C1752">
        <v>73</v>
      </c>
      <c r="D1752" t="s">
        <v>15</v>
      </c>
      <c r="E1752" t="s">
        <v>15</v>
      </c>
      <c r="F1752" t="s">
        <v>16</v>
      </c>
      <c r="G1752" t="s">
        <v>18</v>
      </c>
      <c r="H1752" t="s">
        <v>22</v>
      </c>
      <c r="I1752">
        <v>88.52</v>
      </c>
      <c r="J1752">
        <v>20.8</v>
      </c>
      <c r="K1752" t="s">
        <v>24</v>
      </c>
      <c r="L1752" t="s">
        <v>15</v>
      </c>
    </row>
    <row r="1753" spans="1:12" x14ac:dyDescent="0.3">
      <c r="A1753">
        <v>13561</v>
      </c>
      <c r="B1753" t="s">
        <v>13</v>
      </c>
      <c r="C1753">
        <v>65</v>
      </c>
      <c r="D1753" t="s">
        <v>15</v>
      </c>
      <c r="E1753" t="s">
        <v>15</v>
      </c>
      <c r="F1753" t="s">
        <v>16</v>
      </c>
      <c r="G1753" t="s">
        <v>17</v>
      </c>
      <c r="H1753" t="s">
        <v>22</v>
      </c>
      <c r="I1753">
        <v>88.82</v>
      </c>
      <c r="J1753">
        <v>28.2</v>
      </c>
      <c r="K1753" t="s">
        <v>24</v>
      </c>
      <c r="L1753" t="s">
        <v>15</v>
      </c>
    </row>
    <row r="1754" spans="1:12" x14ac:dyDescent="0.3">
      <c r="A1754">
        <v>29179</v>
      </c>
      <c r="B1754" t="s">
        <v>13</v>
      </c>
      <c r="C1754">
        <v>76</v>
      </c>
      <c r="D1754" t="s">
        <v>16</v>
      </c>
      <c r="E1754" t="s">
        <v>16</v>
      </c>
      <c r="F1754" t="s">
        <v>16</v>
      </c>
      <c r="G1754" t="s">
        <v>17</v>
      </c>
      <c r="H1754" t="s">
        <v>23</v>
      </c>
      <c r="I1754">
        <v>102.08</v>
      </c>
      <c r="J1754">
        <v>31</v>
      </c>
      <c r="K1754" t="s">
        <v>26</v>
      </c>
      <c r="L1754" t="s">
        <v>15</v>
      </c>
    </row>
    <row r="1755" spans="1:12" x14ac:dyDescent="0.3">
      <c r="A1755">
        <v>5511</v>
      </c>
      <c r="B1755" t="s">
        <v>12</v>
      </c>
      <c r="C1755">
        <v>66</v>
      </c>
      <c r="D1755" t="s">
        <v>15</v>
      </c>
      <c r="E1755" t="s">
        <v>15</v>
      </c>
      <c r="F1755" t="s">
        <v>16</v>
      </c>
      <c r="G1755" t="s">
        <v>18</v>
      </c>
      <c r="H1755" t="s">
        <v>22</v>
      </c>
      <c r="I1755">
        <v>71.38</v>
      </c>
      <c r="K1755" t="s">
        <v>24</v>
      </c>
      <c r="L1755" t="s">
        <v>15</v>
      </c>
    </row>
    <row r="1756" spans="1:12" x14ac:dyDescent="0.3">
      <c r="A1756">
        <v>20825</v>
      </c>
      <c r="B1756" t="s">
        <v>13</v>
      </c>
      <c r="C1756">
        <v>53</v>
      </c>
      <c r="D1756" t="s">
        <v>15</v>
      </c>
      <c r="E1756" t="s">
        <v>15</v>
      </c>
      <c r="F1756" t="s">
        <v>16</v>
      </c>
      <c r="G1756" t="s">
        <v>19</v>
      </c>
      <c r="H1756" t="s">
        <v>23</v>
      </c>
      <c r="I1756">
        <v>84.9</v>
      </c>
      <c r="J1756">
        <v>21.6</v>
      </c>
      <c r="K1756" t="s">
        <v>25</v>
      </c>
      <c r="L1756" t="s">
        <v>15</v>
      </c>
    </row>
    <row r="1757" spans="1:12" x14ac:dyDescent="0.3">
      <c r="A1757">
        <v>67144</v>
      </c>
      <c r="B1757" t="s">
        <v>13</v>
      </c>
      <c r="C1757">
        <v>65</v>
      </c>
      <c r="D1757" t="s">
        <v>15</v>
      </c>
      <c r="E1757" t="s">
        <v>15</v>
      </c>
      <c r="F1757" t="s">
        <v>16</v>
      </c>
      <c r="G1757" t="s">
        <v>18</v>
      </c>
      <c r="H1757" t="s">
        <v>22</v>
      </c>
      <c r="I1757">
        <v>82.21</v>
      </c>
      <c r="J1757">
        <v>26.2</v>
      </c>
      <c r="K1757" t="s">
        <v>27</v>
      </c>
      <c r="L1757" t="s">
        <v>15</v>
      </c>
    </row>
    <row r="1758" spans="1:12" x14ac:dyDescent="0.3">
      <c r="A1758">
        <v>15515</v>
      </c>
      <c r="B1758" t="s">
        <v>13</v>
      </c>
      <c r="C1758">
        <v>48</v>
      </c>
      <c r="D1758" t="s">
        <v>15</v>
      </c>
      <c r="E1758" t="s">
        <v>15</v>
      </c>
      <c r="F1758" t="s">
        <v>16</v>
      </c>
      <c r="G1758" t="s">
        <v>18</v>
      </c>
      <c r="H1758" t="s">
        <v>23</v>
      </c>
      <c r="I1758">
        <v>209.9</v>
      </c>
      <c r="K1758" t="s">
        <v>26</v>
      </c>
      <c r="L1758" t="s">
        <v>15</v>
      </c>
    </row>
    <row r="1759" spans="1:12" x14ac:dyDescent="0.3">
      <c r="A1759">
        <v>3753</v>
      </c>
      <c r="B1759" t="s">
        <v>12</v>
      </c>
      <c r="C1759">
        <v>31</v>
      </c>
      <c r="D1759" t="s">
        <v>15</v>
      </c>
      <c r="E1759" t="s">
        <v>15</v>
      </c>
      <c r="F1759" t="s">
        <v>16</v>
      </c>
      <c r="G1759" t="s">
        <v>17</v>
      </c>
      <c r="H1759" t="s">
        <v>22</v>
      </c>
      <c r="I1759">
        <v>74.05</v>
      </c>
      <c r="J1759">
        <v>26</v>
      </c>
      <c r="K1759" t="s">
        <v>27</v>
      </c>
      <c r="L1759" t="s">
        <v>15</v>
      </c>
    </row>
    <row r="1760" spans="1:12" x14ac:dyDescent="0.3">
      <c r="A1760">
        <v>27279</v>
      </c>
      <c r="B1760" t="s">
        <v>12</v>
      </c>
      <c r="C1760">
        <v>1.72</v>
      </c>
      <c r="D1760" t="s">
        <v>15</v>
      </c>
      <c r="E1760" t="s">
        <v>15</v>
      </c>
      <c r="F1760" t="s">
        <v>15</v>
      </c>
      <c r="G1760" t="s">
        <v>20</v>
      </c>
      <c r="H1760" t="s">
        <v>22</v>
      </c>
      <c r="I1760">
        <v>90.46</v>
      </c>
      <c r="J1760">
        <v>22.5</v>
      </c>
      <c r="K1760" t="s">
        <v>27</v>
      </c>
      <c r="L1760" t="s">
        <v>15</v>
      </c>
    </row>
    <row r="1761" spans="1:12" x14ac:dyDescent="0.3">
      <c r="A1761">
        <v>48759</v>
      </c>
      <c r="B1761" t="s">
        <v>13</v>
      </c>
      <c r="C1761">
        <v>45</v>
      </c>
      <c r="D1761" t="s">
        <v>15</v>
      </c>
      <c r="E1761" t="s">
        <v>15</v>
      </c>
      <c r="F1761" t="s">
        <v>16</v>
      </c>
      <c r="G1761" t="s">
        <v>17</v>
      </c>
      <c r="H1761" t="s">
        <v>23</v>
      </c>
      <c r="I1761">
        <v>176.48</v>
      </c>
      <c r="J1761">
        <v>24</v>
      </c>
      <c r="K1761" t="s">
        <v>24</v>
      </c>
      <c r="L1761" t="s">
        <v>15</v>
      </c>
    </row>
    <row r="1762" spans="1:12" x14ac:dyDescent="0.3">
      <c r="A1762">
        <v>69524</v>
      </c>
      <c r="B1762" t="s">
        <v>12</v>
      </c>
      <c r="C1762">
        <v>56</v>
      </c>
      <c r="D1762" t="s">
        <v>15</v>
      </c>
      <c r="E1762" t="s">
        <v>15</v>
      </c>
      <c r="F1762" t="s">
        <v>16</v>
      </c>
      <c r="G1762" t="s">
        <v>18</v>
      </c>
      <c r="H1762" t="s">
        <v>22</v>
      </c>
      <c r="I1762">
        <v>94.07</v>
      </c>
      <c r="J1762">
        <v>31.5</v>
      </c>
      <c r="K1762" t="s">
        <v>25</v>
      </c>
      <c r="L1762" t="s">
        <v>15</v>
      </c>
    </row>
    <row r="1763" spans="1:12" x14ac:dyDescent="0.3">
      <c r="A1763">
        <v>28443</v>
      </c>
      <c r="B1763" t="s">
        <v>12</v>
      </c>
      <c r="C1763">
        <v>62</v>
      </c>
      <c r="D1763" t="s">
        <v>15</v>
      </c>
      <c r="E1763" t="s">
        <v>15</v>
      </c>
      <c r="F1763" t="s">
        <v>16</v>
      </c>
      <c r="G1763" t="s">
        <v>18</v>
      </c>
      <c r="H1763" t="s">
        <v>22</v>
      </c>
      <c r="I1763">
        <v>85.12</v>
      </c>
      <c r="J1763">
        <v>36.299999999999997</v>
      </c>
      <c r="K1763" t="s">
        <v>24</v>
      </c>
      <c r="L1763" t="s">
        <v>15</v>
      </c>
    </row>
    <row r="1764" spans="1:12" x14ac:dyDescent="0.3">
      <c r="A1764">
        <v>38578</v>
      </c>
      <c r="B1764" t="s">
        <v>13</v>
      </c>
      <c r="C1764">
        <v>35</v>
      </c>
      <c r="D1764" t="s">
        <v>15</v>
      </c>
      <c r="E1764" t="s">
        <v>15</v>
      </c>
      <c r="F1764" t="s">
        <v>15</v>
      </c>
      <c r="G1764" t="s">
        <v>17</v>
      </c>
      <c r="H1764" t="s">
        <v>22</v>
      </c>
      <c r="I1764">
        <v>71.81</v>
      </c>
      <c r="J1764">
        <v>25.4</v>
      </c>
      <c r="K1764" t="s">
        <v>27</v>
      </c>
      <c r="L1764" t="s">
        <v>15</v>
      </c>
    </row>
    <row r="1765" spans="1:12" x14ac:dyDescent="0.3">
      <c r="A1765">
        <v>66502</v>
      </c>
      <c r="B1765" t="s">
        <v>12</v>
      </c>
      <c r="C1765">
        <v>16</v>
      </c>
      <c r="D1765" t="s">
        <v>15</v>
      </c>
      <c r="E1765" t="s">
        <v>15</v>
      </c>
      <c r="F1765" t="s">
        <v>15</v>
      </c>
      <c r="G1765" t="s">
        <v>17</v>
      </c>
      <c r="H1765" t="s">
        <v>23</v>
      </c>
      <c r="I1765">
        <v>111.93</v>
      </c>
      <c r="J1765">
        <v>32.200000000000003</v>
      </c>
      <c r="K1765" t="s">
        <v>25</v>
      </c>
      <c r="L1765" t="s">
        <v>15</v>
      </c>
    </row>
    <row r="1766" spans="1:12" x14ac:dyDescent="0.3">
      <c r="A1766">
        <v>50978</v>
      </c>
      <c r="B1766" t="s">
        <v>13</v>
      </c>
      <c r="C1766">
        <v>31</v>
      </c>
      <c r="D1766" t="s">
        <v>15</v>
      </c>
      <c r="E1766" t="s">
        <v>15</v>
      </c>
      <c r="F1766" t="s">
        <v>16</v>
      </c>
      <c r="G1766" t="s">
        <v>19</v>
      </c>
      <c r="H1766" t="s">
        <v>22</v>
      </c>
      <c r="I1766">
        <v>94.4</v>
      </c>
      <c r="J1766">
        <v>39.799999999999997</v>
      </c>
      <c r="K1766" t="s">
        <v>27</v>
      </c>
      <c r="L1766" t="s">
        <v>15</v>
      </c>
    </row>
    <row r="1767" spans="1:12" x14ac:dyDescent="0.3">
      <c r="A1767">
        <v>9034</v>
      </c>
      <c r="B1767" t="s">
        <v>12</v>
      </c>
      <c r="C1767">
        <v>5</v>
      </c>
      <c r="D1767" t="s">
        <v>15</v>
      </c>
      <c r="E1767" t="s">
        <v>15</v>
      </c>
      <c r="F1767" t="s">
        <v>15</v>
      </c>
      <c r="G1767" t="s">
        <v>20</v>
      </c>
      <c r="H1767" t="s">
        <v>22</v>
      </c>
      <c r="I1767">
        <v>70</v>
      </c>
      <c r="J1767">
        <v>18.600000000000001</v>
      </c>
      <c r="K1767" t="s">
        <v>27</v>
      </c>
      <c r="L1767" t="s">
        <v>15</v>
      </c>
    </row>
    <row r="1768" spans="1:12" x14ac:dyDescent="0.3">
      <c r="A1768">
        <v>16582</v>
      </c>
      <c r="B1768" t="s">
        <v>12</v>
      </c>
      <c r="C1768">
        <v>26</v>
      </c>
      <c r="D1768" t="s">
        <v>15</v>
      </c>
      <c r="E1768" t="s">
        <v>15</v>
      </c>
      <c r="F1768" t="s">
        <v>16</v>
      </c>
      <c r="G1768" t="s">
        <v>17</v>
      </c>
      <c r="H1768" t="s">
        <v>23</v>
      </c>
      <c r="I1768">
        <v>95.57</v>
      </c>
      <c r="J1768">
        <v>30.7</v>
      </c>
      <c r="K1768" t="s">
        <v>26</v>
      </c>
      <c r="L1768" t="s">
        <v>15</v>
      </c>
    </row>
    <row r="1769" spans="1:12" x14ac:dyDescent="0.3">
      <c r="A1769">
        <v>28500</v>
      </c>
      <c r="B1769" t="s">
        <v>12</v>
      </c>
      <c r="C1769">
        <v>10</v>
      </c>
      <c r="D1769" t="s">
        <v>15</v>
      </c>
      <c r="E1769" t="s">
        <v>15</v>
      </c>
      <c r="F1769" t="s">
        <v>15</v>
      </c>
      <c r="G1769" t="s">
        <v>20</v>
      </c>
      <c r="H1769" t="s">
        <v>22</v>
      </c>
      <c r="I1769">
        <v>91.98</v>
      </c>
      <c r="J1769">
        <v>16.399999999999999</v>
      </c>
      <c r="K1769" t="s">
        <v>27</v>
      </c>
      <c r="L1769" t="s">
        <v>15</v>
      </c>
    </row>
    <row r="1770" spans="1:12" x14ac:dyDescent="0.3">
      <c r="A1770">
        <v>70241</v>
      </c>
      <c r="B1770" t="s">
        <v>13</v>
      </c>
      <c r="C1770">
        <v>22</v>
      </c>
      <c r="D1770" t="s">
        <v>15</v>
      </c>
      <c r="E1770" t="s">
        <v>15</v>
      </c>
      <c r="F1770" t="s">
        <v>15</v>
      </c>
      <c r="G1770" t="s">
        <v>17</v>
      </c>
      <c r="H1770" t="s">
        <v>22</v>
      </c>
      <c r="I1770">
        <v>66.290000000000006</v>
      </c>
      <c r="J1770">
        <v>20.5</v>
      </c>
      <c r="K1770" t="s">
        <v>26</v>
      </c>
      <c r="L1770" t="s">
        <v>15</v>
      </c>
    </row>
    <row r="1771" spans="1:12" x14ac:dyDescent="0.3">
      <c r="A1771">
        <v>32452</v>
      </c>
      <c r="B1771" t="s">
        <v>13</v>
      </c>
      <c r="C1771">
        <v>82</v>
      </c>
      <c r="D1771" t="s">
        <v>15</v>
      </c>
      <c r="E1771" t="s">
        <v>16</v>
      </c>
      <c r="F1771" t="s">
        <v>16</v>
      </c>
      <c r="G1771" t="s">
        <v>18</v>
      </c>
      <c r="H1771" t="s">
        <v>23</v>
      </c>
      <c r="I1771">
        <v>211.88</v>
      </c>
      <c r="J1771">
        <v>28.7</v>
      </c>
      <c r="K1771" t="s">
        <v>25</v>
      </c>
      <c r="L1771" t="s">
        <v>15</v>
      </c>
    </row>
    <row r="1772" spans="1:12" x14ac:dyDescent="0.3">
      <c r="A1772">
        <v>45573</v>
      </c>
      <c r="B1772" t="s">
        <v>13</v>
      </c>
      <c r="C1772">
        <v>50</v>
      </c>
      <c r="D1772" t="s">
        <v>15</v>
      </c>
      <c r="E1772" t="s">
        <v>15</v>
      </c>
      <c r="F1772" t="s">
        <v>16</v>
      </c>
      <c r="G1772" t="s">
        <v>17</v>
      </c>
      <c r="H1772" t="s">
        <v>23</v>
      </c>
      <c r="I1772">
        <v>76.55</v>
      </c>
      <c r="J1772">
        <v>29</v>
      </c>
      <c r="K1772" t="s">
        <v>26</v>
      </c>
      <c r="L1772" t="s">
        <v>15</v>
      </c>
    </row>
    <row r="1773" spans="1:12" x14ac:dyDescent="0.3">
      <c r="A1773">
        <v>64412</v>
      </c>
      <c r="B1773" t="s">
        <v>13</v>
      </c>
      <c r="C1773">
        <v>47</v>
      </c>
      <c r="D1773" t="s">
        <v>15</v>
      </c>
      <c r="E1773" t="s">
        <v>15</v>
      </c>
      <c r="F1773" t="s">
        <v>16</v>
      </c>
      <c r="G1773" t="s">
        <v>17</v>
      </c>
      <c r="H1773" t="s">
        <v>22</v>
      </c>
      <c r="I1773">
        <v>56.67</v>
      </c>
      <c r="J1773">
        <v>24.4</v>
      </c>
      <c r="K1773" t="s">
        <v>25</v>
      </c>
      <c r="L1773" t="s">
        <v>15</v>
      </c>
    </row>
    <row r="1774" spans="1:12" x14ac:dyDescent="0.3">
      <c r="A1774">
        <v>66647</v>
      </c>
      <c r="B1774" t="s">
        <v>12</v>
      </c>
      <c r="C1774">
        <v>31</v>
      </c>
      <c r="D1774" t="s">
        <v>15</v>
      </c>
      <c r="E1774" t="s">
        <v>15</v>
      </c>
      <c r="F1774" t="s">
        <v>16</v>
      </c>
      <c r="G1774" t="s">
        <v>17</v>
      </c>
      <c r="H1774" t="s">
        <v>23</v>
      </c>
      <c r="I1774">
        <v>100.52</v>
      </c>
      <c r="J1774">
        <v>29.9</v>
      </c>
      <c r="K1774" t="s">
        <v>27</v>
      </c>
      <c r="L1774" t="s">
        <v>15</v>
      </c>
    </row>
    <row r="1775" spans="1:12" x14ac:dyDescent="0.3">
      <c r="A1775">
        <v>39450</v>
      </c>
      <c r="B1775" t="s">
        <v>12</v>
      </c>
      <c r="C1775">
        <v>22</v>
      </c>
      <c r="D1775" t="s">
        <v>15</v>
      </c>
      <c r="E1775" t="s">
        <v>15</v>
      </c>
      <c r="F1775" t="s">
        <v>15</v>
      </c>
      <c r="G1775" t="s">
        <v>17</v>
      </c>
      <c r="H1775" t="s">
        <v>23</v>
      </c>
      <c r="I1775">
        <v>58.96</v>
      </c>
      <c r="J1775">
        <v>25.3</v>
      </c>
      <c r="K1775" t="s">
        <v>27</v>
      </c>
      <c r="L1775" t="s">
        <v>15</v>
      </c>
    </row>
    <row r="1776" spans="1:12" x14ac:dyDescent="0.3">
      <c r="A1776">
        <v>57109</v>
      </c>
      <c r="B1776" t="s">
        <v>13</v>
      </c>
      <c r="C1776">
        <v>12</v>
      </c>
      <c r="D1776" t="s">
        <v>15</v>
      </c>
      <c r="E1776" t="s">
        <v>15</v>
      </c>
      <c r="F1776" t="s">
        <v>15</v>
      </c>
      <c r="G1776" t="s">
        <v>20</v>
      </c>
      <c r="H1776" t="s">
        <v>23</v>
      </c>
      <c r="I1776">
        <v>81.66</v>
      </c>
      <c r="J1776">
        <v>23.5</v>
      </c>
      <c r="K1776" t="s">
        <v>24</v>
      </c>
      <c r="L1776" t="s">
        <v>15</v>
      </c>
    </row>
    <row r="1777" spans="1:12" x14ac:dyDescent="0.3">
      <c r="A1777">
        <v>3591</v>
      </c>
      <c r="B1777" t="s">
        <v>13</v>
      </c>
      <c r="C1777">
        <v>63</v>
      </c>
      <c r="D1777" t="s">
        <v>16</v>
      </c>
      <c r="E1777" t="s">
        <v>15</v>
      </c>
      <c r="F1777" t="s">
        <v>16</v>
      </c>
      <c r="G1777" t="s">
        <v>17</v>
      </c>
      <c r="H1777" t="s">
        <v>23</v>
      </c>
      <c r="I1777">
        <v>96.77</v>
      </c>
      <c r="J1777">
        <v>20.5</v>
      </c>
      <c r="K1777" t="s">
        <v>25</v>
      </c>
      <c r="L1777" t="s">
        <v>15</v>
      </c>
    </row>
    <row r="1778" spans="1:12" x14ac:dyDescent="0.3">
      <c r="A1778">
        <v>25138</v>
      </c>
      <c r="B1778" t="s">
        <v>13</v>
      </c>
      <c r="C1778">
        <v>78</v>
      </c>
      <c r="D1778" t="s">
        <v>16</v>
      </c>
      <c r="E1778" t="s">
        <v>15</v>
      </c>
      <c r="F1778" t="s">
        <v>16</v>
      </c>
      <c r="G1778" t="s">
        <v>17</v>
      </c>
      <c r="H1778" t="s">
        <v>23</v>
      </c>
      <c r="I1778">
        <v>91.63</v>
      </c>
      <c r="J1778">
        <v>33.5</v>
      </c>
      <c r="K1778" t="s">
        <v>26</v>
      </c>
      <c r="L1778" t="s">
        <v>15</v>
      </c>
    </row>
    <row r="1779" spans="1:12" x14ac:dyDescent="0.3">
      <c r="A1779">
        <v>17277</v>
      </c>
      <c r="B1779" t="s">
        <v>12</v>
      </c>
      <c r="C1779">
        <v>4</v>
      </c>
      <c r="D1779" t="s">
        <v>15</v>
      </c>
      <c r="E1779" t="s">
        <v>15</v>
      </c>
      <c r="F1779" t="s">
        <v>15</v>
      </c>
      <c r="G1779" t="s">
        <v>20</v>
      </c>
      <c r="H1779" t="s">
        <v>22</v>
      </c>
      <c r="I1779">
        <v>97.51</v>
      </c>
      <c r="J1779">
        <v>22</v>
      </c>
      <c r="K1779" t="s">
        <v>27</v>
      </c>
      <c r="L1779" t="s">
        <v>15</v>
      </c>
    </row>
    <row r="1780" spans="1:12" x14ac:dyDescent="0.3">
      <c r="A1780">
        <v>35333</v>
      </c>
      <c r="B1780" t="s">
        <v>12</v>
      </c>
      <c r="C1780">
        <v>76</v>
      </c>
      <c r="D1780" t="s">
        <v>16</v>
      </c>
      <c r="E1780" t="s">
        <v>15</v>
      </c>
      <c r="F1780" t="s">
        <v>16</v>
      </c>
      <c r="G1780" t="s">
        <v>17</v>
      </c>
      <c r="H1780" t="s">
        <v>23</v>
      </c>
      <c r="I1780">
        <v>225.6</v>
      </c>
      <c r="J1780">
        <v>29</v>
      </c>
      <c r="K1780" t="s">
        <v>25</v>
      </c>
      <c r="L1780" t="s">
        <v>15</v>
      </c>
    </row>
    <row r="1781" spans="1:12" x14ac:dyDescent="0.3">
      <c r="A1781">
        <v>18861</v>
      </c>
      <c r="B1781" t="s">
        <v>12</v>
      </c>
      <c r="C1781">
        <v>32</v>
      </c>
      <c r="D1781" t="s">
        <v>15</v>
      </c>
      <c r="E1781" t="s">
        <v>15</v>
      </c>
      <c r="F1781" t="s">
        <v>15</v>
      </c>
      <c r="G1781" t="s">
        <v>17</v>
      </c>
      <c r="H1781" t="s">
        <v>23</v>
      </c>
      <c r="I1781">
        <v>95.58</v>
      </c>
      <c r="K1781" t="s">
        <v>26</v>
      </c>
      <c r="L1781" t="s">
        <v>15</v>
      </c>
    </row>
    <row r="1782" spans="1:12" x14ac:dyDescent="0.3">
      <c r="A1782">
        <v>15120</v>
      </c>
      <c r="B1782" t="s">
        <v>13</v>
      </c>
      <c r="C1782">
        <v>81</v>
      </c>
      <c r="D1782" t="s">
        <v>16</v>
      </c>
      <c r="E1782" t="s">
        <v>15</v>
      </c>
      <c r="F1782" t="s">
        <v>16</v>
      </c>
      <c r="G1782" t="s">
        <v>18</v>
      </c>
      <c r="H1782" t="s">
        <v>23</v>
      </c>
      <c r="I1782">
        <v>210.23</v>
      </c>
      <c r="J1782">
        <v>30.7</v>
      </c>
      <c r="K1782" t="s">
        <v>25</v>
      </c>
      <c r="L1782" t="s">
        <v>15</v>
      </c>
    </row>
    <row r="1783" spans="1:12" x14ac:dyDescent="0.3">
      <c r="A1783">
        <v>29221</v>
      </c>
      <c r="B1783" t="s">
        <v>13</v>
      </c>
      <c r="C1783">
        <v>39</v>
      </c>
      <c r="D1783" t="s">
        <v>15</v>
      </c>
      <c r="E1783" t="s">
        <v>15</v>
      </c>
      <c r="F1783" t="s">
        <v>16</v>
      </c>
      <c r="G1783" t="s">
        <v>17</v>
      </c>
      <c r="H1783" t="s">
        <v>22</v>
      </c>
      <c r="I1783">
        <v>92.82</v>
      </c>
      <c r="J1783">
        <v>37.4</v>
      </c>
      <c r="K1783" t="s">
        <v>25</v>
      </c>
      <c r="L1783" t="s">
        <v>15</v>
      </c>
    </row>
    <row r="1784" spans="1:12" x14ac:dyDescent="0.3">
      <c r="A1784">
        <v>11412</v>
      </c>
      <c r="B1784" t="s">
        <v>13</v>
      </c>
      <c r="C1784">
        <v>59</v>
      </c>
      <c r="D1784" t="s">
        <v>15</v>
      </c>
      <c r="E1784" t="s">
        <v>15</v>
      </c>
      <c r="F1784" t="s">
        <v>16</v>
      </c>
      <c r="G1784" t="s">
        <v>17</v>
      </c>
      <c r="H1784" t="s">
        <v>23</v>
      </c>
      <c r="I1784">
        <v>234.82</v>
      </c>
      <c r="J1784">
        <v>51.8</v>
      </c>
      <c r="K1784" t="s">
        <v>25</v>
      </c>
      <c r="L1784" t="s">
        <v>15</v>
      </c>
    </row>
    <row r="1785" spans="1:12" x14ac:dyDescent="0.3">
      <c r="A1785">
        <v>38858</v>
      </c>
      <c r="B1785" t="s">
        <v>12</v>
      </c>
      <c r="C1785">
        <v>2</v>
      </c>
      <c r="D1785" t="s">
        <v>15</v>
      </c>
      <c r="E1785" t="s">
        <v>15</v>
      </c>
      <c r="F1785" t="s">
        <v>15</v>
      </c>
      <c r="G1785" t="s">
        <v>20</v>
      </c>
      <c r="H1785" t="s">
        <v>23</v>
      </c>
      <c r="I1785">
        <v>65.67</v>
      </c>
      <c r="J1785">
        <v>16.600000000000001</v>
      </c>
      <c r="K1785" t="s">
        <v>27</v>
      </c>
      <c r="L1785" t="s">
        <v>15</v>
      </c>
    </row>
    <row r="1786" spans="1:12" x14ac:dyDescent="0.3">
      <c r="A1786">
        <v>6802</v>
      </c>
      <c r="B1786" t="s">
        <v>13</v>
      </c>
      <c r="C1786">
        <v>37</v>
      </c>
      <c r="D1786" t="s">
        <v>15</v>
      </c>
      <c r="E1786" t="s">
        <v>15</v>
      </c>
      <c r="F1786" t="s">
        <v>16</v>
      </c>
      <c r="G1786" t="s">
        <v>17</v>
      </c>
      <c r="H1786" t="s">
        <v>22</v>
      </c>
      <c r="I1786">
        <v>74.510000000000005</v>
      </c>
      <c r="J1786">
        <v>29.5</v>
      </c>
      <c r="K1786" t="s">
        <v>27</v>
      </c>
      <c r="L1786" t="s">
        <v>15</v>
      </c>
    </row>
    <row r="1787" spans="1:12" x14ac:dyDescent="0.3">
      <c r="A1787">
        <v>8644</v>
      </c>
      <c r="B1787" t="s">
        <v>13</v>
      </c>
      <c r="C1787">
        <v>78</v>
      </c>
      <c r="D1787" t="s">
        <v>15</v>
      </c>
      <c r="E1787" t="s">
        <v>16</v>
      </c>
      <c r="F1787" t="s">
        <v>16</v>
      </c>
      <c r="G1787" t="s">
        <v>17</v>
      </c>
      <c r="H1787" t="s">
        <v>23</v>
      </c>
      <c r="I1787">
        <v>81.99</v>
      </c>
      <c r="J1787">
        <v>27.3</v>
      </c>
      <c r="K1787" t="s">
        <v>24</v>
      </c>
      <c r="L1787" t="s">
        <v>15</v>
      </c>
    </row>
    <row r="1788" spans="1:12" x14ac:dyDescent="0.3">
      <c r="A1788">
        <v>54579</v>
      </c>
      <c r="B1788" t="s">
        <v>13</v>
      </c>
      <c r="C1788">
        <v>75</v>
      </c>
      <c r="D1788" t="s">
        <v>15</v>
      </c>
      <c r="E1788" t="s">
        <v>15</v>
      </c>
      <c r="F1788" t="s">
        <v>16</v>
      </c>
      <c r="G1788" t="s">
        <v>18</v>
      </c>
      <c r="H1788" t="s">
        <v>22</v>
      </c>
      <c r="I1788">
        <v>87.69</v>
      </c>
      <c r="J1788">
        <v>27.5</v>
      </c>
      <c r="K1788" t="s">
        <v>24</v>
      </c>
      <c r="L1788" t="s">
        <v>15</v>
      </c>
    </row>
    <row r="1789" spans="1:12" x14ac:dyDescent="0.3">
      <c r="A1789">
        <v>41935</v>
      </c>
      <c r="B1789" t="s">
        <v>12</v>
      </c>
      <c r="C1789">
        <v>34</v>
      </c>
      <c r="D1789" t="s">
        <v>15</v>
      </c>
      <c r="E1789" t="s">
        <v>15</v>
      </c>
      <c r="F1789" t="s">
        <v>15</v>
      </c>
      <c r="G1789" t="s">
        <v>17</v>
      </c>
      <c r="H1789" t="s">
        <v>23</v>
      </c>
      <c r="I1789">
        <v>125.29</v>
      </c>
      <c r="J1789">
        <v>33.9</v>
      </c>
      <c r="K1789" t="s">
        <v>25</v>
      </c>
      <c r="L1789" t="s">
        <v>15</v>
      </c>
    </row>
    <row r="1790" spans="1:12" x14ac:dyDescent="0.3">
      <c r="A1790">
        <v>17926</v>
      </c>
      <c r="B1790" t="s">
        <v>13</v>
      </c>
      <c r="C1790">
        <v>48</v>
      </c>
      <c r="D1790" t="s">
        <v>15</v>
      </c>
      <c r="E1790" t="s">
        <v>15</v>
      </c>
      <c r="F1790" t="s">
        <v>16</v>
      </c>
      <c r="G1790" t="s">
        <v>19</v>
      </c>
      <c r="H1790" t="s">
        <v>23</v>
      </c>
      <c r="I1790">
        <v>111.64</v>
      </c>
      <c r="J1790">
        <v>27.9</v>
      </c>
      <c r="K1790" t="s">
        <v>27</v>
      </c>
      <c r="L1790" t="s">
        <v>15</v>
      </c>
    </row>
    <row r="1791" spans="1:12" x14ac:dyDescent="0.3">
      <c r="A1791">
        <v>13862</v>
      </c>
      <c r="B1791" t="s">
        <v>13</v>
      </c>
      <c r="C1791">
        <v>13</v>
      </c>
      <c r="D1791" t="s">
        <v>15</v>
      </c>
      <c r="E1791" t="s">
        <v>15</v>
      </c>
      <c r="F1791" t="s">
        <v>15</v>
      </c>
      <c r="G1791" t="s">
        <v>21</v>
      </c>
      <c r="H1791" t="s">
        <v>22</v>
      </c>
      <c r="I1791">
        <v>70.930000000000007</v>
      </c>
      <c r="J1791">
        <v>22.9</v>
      </c>
      <c r="K1791" t="s">
        <v>25</v>
      </c>
      <c r="L1791" t="s">
        <v>15</v>
      </c>
    </row>
    <row r="1792" spans="1:12" x14ac:dyDescent="0.3">
      <c r="A1792">
        <v>64523</v>
      </c>
      <c r="B1792" t="s">
        <v>12</v>
      </c>
      <c r="C1792">
        <v>54</v>
      </c>
      <c r="D1792" t="s">
        <v>16</v>
      </c>
      <c r="E1792" t="s">
        <v>15</v>
      </c>
      <c r="F1792" t="s">
        <v>16</v>
      </c>
      <c r="G1792" t="s">
        <v>17</v>
      </c>
      <c r="H1792" t="s">
        <v>22</v>
      </c>
      <c r="I1792">
        <v>89.93</v>
      </c>
      <c r="J1792">
        <v>32.1</v>
      </c>
      <c r="K1792" t="s">
        <v>25</v>
      </c>
      <c r="L1792" t="s">
        <v>15</v>
      </c>
    </row>
    <row r="1793" spans="1:12" x14ac:dyDescent="0.3">
      <c r="A1793">
        <v>66065</v>
      </c>
      <c r="B1793" t="s">
        <v>12</v>
      </c>
      <c r="C1793">
        <v>13</v>
      </c>
      <c r="D1793" t="s">
        <v>15</v>
      </c>
      <c r="E1793" t="s">
        <v>15</v>
      </c>
      <c r="F1793" t="s">
        <v>15</v>
      </c>
      <c r="G1793" t="s">
        <v>20</v>
      </c>
      <c r="H1793" t="s">
        <v>23</v>
      </c>
      <c r="I1793">
        <v>137.44999999999999</v>
      </c>
      <c r="J1793">
        <v>18.2</v>
      </c>
      <c r="K1793" t="s">
        <v>27</v>
      </c>
      <c r="L1793" t="s">
        <v>15</v>
      </c>
    </row>
    <row r="1794" spans="1:12" x14ac:dyDescent="0.3">
      <c r="A1794">
        <v>71869</v>
      </c>
      <c r="B1794" t="s">
        <v>13</v>
      </c>
      <c r="C1794">
        <v>24</v>
      </c>
      <c r="D1794" t="s">
        <v>15</v>
      </c>
      <c r="E1794" t="s">
        <v>15</v>
      </c>
      <c r="F1794" t="s">
        <v>15</v>
      </c>
      <c r="G1794" t="s">
        <v>17</v>
      </c>
      <c r="H1794" t="s">
        <v>23</v>
      </c>
      <c r="I1794">
        <v>72.06</v>
      </c>
      <c r="J1794">
        <v>30.2</v>
      </c>
      <c r="K1794" t="s">
        <v>24</v>
      </c>
      <c r="L1794" t="s">
        <v>15</v>
      </c>
    </row>
    <row r="1795" spans="1:12" x14ac:dyDescent="0.3">
      <c r="A1795">
        <v>11024</v>
      </c>
      <c r="B1795" t="s">
        <v>13</v>
      </c>
      <c r="C1795">
        <v>76</v>
      </c>
      <c r="D1795" t="s">
        <v>15</v>
      </c>
      <c r="E1795" t="s">
        <v>15</v>
      </c>
      <c r="F1795" t="s">
        <v>16</v>
      </c>
      <c r="G1795" t="s">
        <v>17</v>
      </c>
      <c r="H1795" t="s">
        <v>23</v>
      </c>
      <c r="I1795">
        <v>97.9</v>
      </c>
      <c r="J1795">
        <v>31.3</v>
      </c>
      <c r="K1795" t="s">
        <v>24</v>
      </c>
      <c r="L1795" t="s">
        <v>15</v>
      </c>
    </row>
    <row r="1796" spans="1:12" x14ac:dyDescent="0.3">
      <c r="A1796">
        <v>46035</v>
      </c>
      <c r="B1796" t="s">
        <v>12</v>
      </c>
      <c r="C1796">
        <v>1</v>
      </c>
      <c r="D1796" t="s">
        <v>15</v>
      </c>
      <c r="E1796" t="s">
        <v>15</v>
      </c>
      <c r="F1796" t="s">
        <v>15</v>
      </c>
      <c r="G1796" t="s">
        <v>20</v>
      </c>
      <c r="H1796" t="s">
        <v>22</v>
      </c>
      <c r="I1796">
        <v>84.85</v>
      </c>
      <c r="J1796">
        <v>20.3</v>
      </c>
      <c r="K1796" t="s">
        <v>27</v>
      </c>
      <c r="L1796" t="s">
        <v>15</v>
      </c>
    </row>
    <row r="1797" spans="1:12" x14ac:dyDescent="0.3">
      <c r="A1797">
        <v>24630</v>
      </c>
      <c r="B1797" t="s">
        <v>12</v>
      </c>
      <c r="C1797">
        <v>57</v>
      </c>
      <c r="D1797" t="s">
        <v>15</v>
      </c>
      <c r="E1797" t="s">
        <v>15</v>
      </c>
      <c r="F1797" t="s">
        <v>16</v>
      </c>
      <c r="G1797" t="s">
        <v>17</v>
      </c>
      <c r="H1797" t="s">
        <v>23</v>
      </c>
      <c r="I1797">
        <v>230.59</v>
      </c>
      <c r="J1797">
        <v>23.2</v>
      </c>
      <c r="K1797" t="s">
        <v>24</v>
      </c>
      <c r="L1797" t="s">
        <v>15</v>
      </c>
    </row>
    <row r="1798" spans="1:12" x14ac:dyDescent="0.3">
      <c r="A1798">
        <v>11238</v>
      </c>
      <c r="B1798" t="s">
        <v>12</v>
      </c>
      <c r="C1798">
        <v>46</v>
      </c>
      <c r="D1798" t="s">
        <v>15</v>
      </c>
      <c r="E1798" t="s">
        <v>15</v>
      </c>
      <c r="F1798" t="s">
        <v>16</v>
      </c>
      <c r="G1798" t="s">
        <v>17</v>
      </c>
      <c r="H1798" t="s">
        <v>23</v>
      </c>
      <c r="I1798">
        <v>92.81</v>
      </c>
      <c r="J1798">
        <v>30.8</v>
      </c>
      <c r="K1798" t="s">
        <v>27</v>
      </c>
      <c r="L1798" t="s">
        <v>15</v>
      </c>
    </row>
    <row r="1799" spans="1:12" x14ac:dyDescent="0.3">
      <c r="A1799">
        <v>54946</v>
      </c>
      <c r="B1799" t="s">
        <v>13</v>
      </c>
      <c r="C1799">
        <v>26</v>
      </c>
      <c r="D1799" t="s">
        <v>15</v>
      </c>
      <c r="E1799" t="s">
        <v>15</v>
      </c>
      <c r="F1799" t="s">
        <v>15</v>
      </c>
      <c r="G1799" t="s">
        <v>17</v>
      </c>
      <c r="H1799" t="s">
        <v>22</v>
      </c>
      <c r="I1799">
        <v>168.15</v>
      </c>
      <c r="J1799">
        <v>22.9</v>
      </c>
      <c r="K1799" t="s">
        <v>25</v>
      </c>
      <c r="L1799" t="s">
        <v>15</v>
      </c>
    </row>
    <row r="1800" spans="1:12" x14ac:dyDescent="0.3">
      <c r="A1800">
        <v>24229</v>
      </c>
      <c r="B1800" t="s">
        <v>13</v>
      </c>
      <c r="C1800">
        <v>56</v>
      </c>
      <c r="D1800" t="s">
        <v>15</v>
      </c>
      <c r="E1800" t="s">
        <v>15</v>
      </c>
      <c r="F1800" t="s">
        <v>16</v>
      </c>
      <c r="G1800" t="s">
        <v>18</v>
      </c>
      <c r="H1800" t="s">
        <v>22</v>
      </c>
      <c r="I1800">
        <v>224.63</v>
      </c>
      <c r="J1800">
        <v>42.8</v>
      </c>
      <c r="K1800" t="s">
        <v>25</v>
      </c>
      <c r="L1800" t="s">
        <v>15</v>
      </c>
    </row>
    <row r="1801" spans="1:12" x14ac:dyDescent="0.3">
      <c r="A1801">
        <v>29934</v>
      </c>
      <c r="B1801" t="s">
        <v>12</v>
      </c>
      <c r="C1801">
        <v>34</v>
      </c>
      <c r="D1801" t="s">
        <v>15</v>
      </c>
      <c r="E1801" t="s">
        <v>15</v>
      </c>
      <c r="F1801" t="s">
        <v>16</v>
      </c>
      <c r="G1801" t="s">
        <v>17</v>
      </c>
      <c r="H1801" t="s">
        <v>22</v>
      </c>
      <c r="I1801">
        <v>108.12</v>
      </c>
      <c r="J1801">
        <v>22.2</v>
      </c>
      <c r="K1801" t="s">
        <v>27</v>
      </c>
      <c r="L1801" t="s">
        <v>15</v>
      </c>
    </row>
    <row r="1802" spans="1:12" x14ac:dyDescent="0.3">
      <c r="A1802">
        <v>28998</v>
      </c>
      <c r="B1802" t="s">
        <v>12</v>
      </c>
      <c r="C1802">
        <v>25</v>
      </c>
      <c r="D1802" t="s">
        <v>15</v>
      </c>
      <c r="E1802" t="s">
        <v>15</v>
      </c>
      <c r="F1802" t="s">
        <v>15</v>
      </c>
      <c r="G1802" t="s">
        <v>17</v>
      </c>
      <c r="H1802" t="s">
        <v>23</v>
      </c>
      <c r="I1802">
        <v>85.17</v>
      </c>
      <c r="J1802">
        <v>28.7</v>
      </c>
      <c r="K1802" t="s">
        <v>26</v>
      </c>
      <c r="L1802" t="s">
        <v>15</v>
      </c>
    </row>
    <row r="1803" spans="1:12" x14ac:dyDescent="0.3">
      <c r="A1803">
        <v>19805</v>
      </c>
      <c r="B1803" t="s">
        <v>12</v>
      </c>
      <c r="C1803">
        <v>60</v>
      </c>
      <c r="D1803" t="s">
        <v>15</v>
      </c>
      <c r="E1803" t="s">
        <v>15</v>
      </c>
      <c r="F1803" t="s">
        <v>15</v>
      </c>
      <c r="G1803" t="s">
        <v>17</v>
      </c>
      <c r="H1803" t="s">
        <v>22</v>
      </c>
      <c r="I1803">
        <v>84.14</v>
      </c>
      <c r="J1803">
        <v>32.299999999999997</v>
      </c>
      <c r="K1803" t="s">
        <v>25</v>
      </c>
      <c r="L1803" t="s">
        <v>15</v>
      </c>
    </row>
    <row r="1804" spans="1:12" x14ac:dyDescent="0.3">
      <c r="A1804">
        <v>63668</v>
      </c>
      <c r="B1804" t="s">
        <v>12</v>
      </c>
      <c r="C1804">
        <v>22</v>
      </c>
      <c r="D1804" t="s">
        <v>15</v>
      </c>
      <c r="E1804" t="s">
        <v>15</v>
      </c>
      <c r="F1804" t="s">
        <v>15</v>
      </c>
      <c r="G1804" t="s">
        <v>17</v>
      </c>
      <c r="H1804" t="s">
        <v>23</v>
      </c>
      <c r="I1804">
        <v>85.57</v>
      </c>
      <c r="J1804">
        <v>24.2</v>
      </c>
      <c r="K1804" t="s">
        <v>24</v>
      </c>
      <c r="L1804" t="s">
        <v>15</v>
      </c>
    </row>
    <row r="1805" spans="1:12" x14ac:dyDescent="0.3">
      <c r="A1805">
        <v>24876</v>
      </c>
      <c r="B1805" t="s">
        <v>12</v>
      </c>
      <c r="C1805">
        <v>35</v>
      </c>
      <c r="D1805" t="s">
        <v>15</v>
      </c>
      <c r="E1805" t="s">
        <v>15</v>
      </c>
      <c r="F1805" t="s">
        <v>16</v>
      </c>
      <c r="G1805" t="s">
        <v>17</v>
      </c>
      <c r="H1805" t="s">
        <v>22</v>
      </c>
      <c r="I1805">
        <v>82.81</v>
      </c>
      <c r="J1805">
        <v>23.9</v>
      </c>
      <c r="K1805" t="s">
        <v>25</v>
      </c>
      <c r="L1805" t="s">
        <v>15</v>
      </c>
    </row>
    <row r="1806" spans="1:12" x14ac:dyDescent="0.3">
      <c r="A1806">
        <v>34719</v>
      </c>
      <c r="B1806" t="s">
        <v>12</v>
      </c>
      <c r="C1806">
        <v>48</v>
      </c>
      <c r="D1806" t="s">
        <v>16</v>
      </c>
      <c r="E1806" t="s">
        <v>15</v>
      </c>
      <c r="F1806" t="s">
        <v>15</v>
      </c>
      <c r="G1806" t="s">
        <v>17</v>
      </c>
      <c r="H1806" t="s">
        <v>22</v>
      </c>
      <c r="I1806">
        <v>110.53</v>
      </c>
      <c r="J1806">
        <v>34.200000000000003</v>
      </c>
      <c r="K1806" t="s">
        <v>25</v>
      </c>
      <c r="L1806" t="s">
        <v>15</v>
      </c>
    </row>
    <row r="1807" spans="1:12" x14ac:dyDescent="0.3">
      <c r="A1807">
        <v>48769</v>
      </c>
      <c r="B1807" t="s">
        <v>13</v>
      </c>
      <c r="C1807">
        <v>38</v>
      </c>
      <c r="D1807" t="s">
        <v>15</v>
      </c>
      <c r="E1807" t="s">
        <v>15</v>
      </c>
      <c r="F1807" t="s">
        <v>16</v>
      </c>
      <c r="G1807" t="s">
        <v>17</v>
      </c>
      <c r="H1807" t="s">
        <v>23</v>
      </c>
      <c r="I1807">
        <v>61.88</v>
      </c>
      <c r="J1807">
        <v>29</v>
      </c>
      <c r="K1807" t="s">
        <v>27</v>
      </c>
      <c r="L1807" t="s">
        <v>15</v>
      </c>
    </row>
    <row r="1808" spans="1:12" x14ac:dyDescent="0.3">
      <c r="A1808">
        <v>22536</v>
      </c>
      <c r="B1808" t="s">
        <v>13</v>
      </c>
      <c r="C1808">
        <v>12</v>
      </c>
      <c r="D1808" t="s">
        <v>15</v>
      </c>
      <c r="E1808" t="s">
        <v>15</v>
      </c>
      <c r="F1808" t="s">
        <v>15</v>
      </c>
      <c r="G1808" t="s">
        <v>20</v>
      </c>
      <c r="H1808" t="s">
        <v>22</v>
      </c>
      <c r="I1808">
        <v>85.04</v>
      </c>
      <c r="J1808">
        <v>29.9</v>
      </c>
      <c r="K1808" t="s">
        <v>25</v>
      </c>
      <c r="L1808" t="s">
        <v>15</v>
      </c>
    </row>
    <row r="1809" spans="1:12" x14ac:dyDescent="0.3">
      <c r="A1809">
        <v>8760</v>
      </c>
      <c r="B1809" t="s">
        <v>13</v>
      </c>
      <c r="C1809">
        <v>22</v>
      </c>
      <c r="D1809" t="s">
        <v>15</v>
      </c>
      <c r="E1809" t="s">
        <v>15</v>
      </c>
      <c r="F1809" t="s">
        <v>15</v>
      </c>
      <c r="G1809" t="s">
        <v>17</v>
      </c>
      <c r="H1809" t="s">
        <v>22</v>
      </c>
      <c r="I1809">
        <v>140.4</v>
      </c>
      <c r="J1809">
        <v>23</v>
      </c>
      <c r="K1809" t="s">
        <v>26</v>
      </c>
      <c r="L1809" t="s">
        <v>15</v>
      </c>
    </row>
    <row r="1810" spans="1:12" x14ac:dyDescent="0.3">
      <c r="A1810">
        <v>53126</v>
      </c>
      <c r="B1810" t="s">
        <v>13</v>
      </c>
      <c r="C1810">
        <v>0.64</v>
      </c>
      <c r="D1810" t="s">
        <v>15</v>
      </c>
      <c r="E1810" t="s">
        <v>15</v>
      </c>
      <c r="F1810" t="s">
        <v>15</v>
      </c>
      <c r="G1810" t="s">
        <v>20</v>
      </c>
      <c r="H1810" t="s">
        <v>22</v>
      </c>
      <c r="I1810">
        <v>62.27</v>
      </c>
      <c r="J1810">
        <v>17.3</v>
      </c>
      <c r="K1810" t="s">
        <v>27</v>
      </c>
      <c r="L1810" t="s">
        <v>15</v>
      </c>
    </row>
    <row r="1811" spans="1:12" x14ac:dyDescent="0.3">
      <c r="A1811">
        <v>18179</v>
      </c>
      <c r="B1811" t="s">
        <v>12</v>
      </c>
      <c r="C1811">
        <v>13</v>
      </c>
      <c r="D1811" t="s">
        <v>15</v>
      </c>
      <c r="E1811" t="s">
        <v>15</v>
      </c>
      <c r="F1811" t="s">
        <v>15</v>
      </c>
      <c r="G1811" t="s">
        <v>17</v>
      </c>
      <c r="H1811" t="s">
        <v>23</v>
      </c>
      <c r="I1811">
        <v>99.44</v>
      </c>
      <c r="J1811">
        <v>21</v>
      </c>
      <c r="K1811" t="s">
        <v>25</v>
      </c>
      <c r="L1811" t="s">
        <v>15</v>
      </c>
    </row>
    <row r="1812" spans="1:12" x14ac:dyDescent="0.3">
      <c r="A1812">
        <v>38242</v>
      </c>
      <c r="B1812" t="s">
        <v>13</v>
      </c>
      <c r="C1812">
        <v>78</v>
      </c>
      <c r="D1812" t="s">
        <v>15</v>
      </c>
      <c r="E1812" t="s">
        <v>16</v>
      </c>
      <c r="F1812" t="s">
        <v>16</v>
      </c>
      <c r="G1812" t="s">
        <v>18</v>
      </c>
      <c r="H1812" t="s">
        <v>23</v>
      </c>
      <c r="I1812">
        <v>88.9</v>
      </c>
      <c r="J1812">
        <v>34.299999999999997</v>
      </c>
      <c r="K1812" t="s">
        <v>27</v>
      </c>
      <c r="L1812" t="s">
        <v>15</v>
      </c>
    </row>
    <row r="1813" spans="1:12" x14ac:dyDescent="0.3">
      <c r="A1813">
        <v>68708</v>
      </c>
      <c r="B1813" t="s">
        <v>13</v>
      </c>
      <c r="C1813">
        <v>23</v>
      </c>
      <c r="D1813" t="s">
        <v>15</v>
      </c>
      <c r="E1813" t="s">
        <v>15</v>
      </c>
      <c r="F1813" t="s">
        <v>15</v>
      </c>
      <c r="G1813" t="s">
        <v>17</v>
      </c>
      <c r="H1813" t="s">
        <v>22</v>
      </c>
      <c r="I1813">
        <v>64.099999999999994</v>
      </c>
      <c r="J1813">
        <v>19.8</v>
      </c>
      <c r="K1813" t="s">
        <v>27</v>
      </c>
      <c r="L1813" t="s">
        <v>15</v>
      </c>
    </row>
    <row r="1814" spans="1:12" x14ac:dyDescent="0.3">
      <c r="A1814">
        <v>12366</v>
      </c>
      <c r="B1814" t="s">
        <v>13</v>
      </c>
      <c r="C1814">
        <v>35</v>
      </c>
      <c r="D1814" t="s">
        <v>15</v>
      </c>
      <c r="E1814" t="s">
        <v>15</v>
      </c>
      <c r="F1814" t="s">
        <v>15</v>
      </c>
      <c r="G1814" t="s">
        <v>17</v>
      </c>
      <c r="H1814" t="s">
        <v>22</v>
      </c>
      <c r="I1814">
        <v>97.58</v>
      </c>
      <c r="J1814">
        <v>24.3</v>
      </c>
      <c r="K1814" t="s">
        <v>27</v>
      </c>
      <c r="L1814" t="s">
        <v>15</v>
      </c>
    </row>
    <row r="1815" spans="1:12" x14ac:dyDescent="0.3">
      <c r="A1815">
        <v>42465</v>
      </c>
      <c r="B1815" t="s">
        <v>13</v>
      </c>
      <c r="C1815">
        <v>78</v>
      </c>
      <c r="D1815" t="s">
        <v>16</v>
      </c>
      <c r="E1815" t="s">
        <v>15</v>
      </c>
      <c r="F1815" t="s">
        <v>16</v>
      </c>
      <c r="G1815" t="s">
        <v>17</v>
      </c>
      <c r="H1815" t="s">
        <v>23</v>
      </c>
      <c r="I1815">
        <v>58.66</v>
      </c>
      <c r="J1815">
        <v>16.399999999999999</v>
      </c>
      <c r="K1815" t="s">
        <v>25</v>
      </c>
      <c r="L1815" t="s">
        <v>15</v>
      </c>
    </row>
    <row r="1816" spans="1:12" x14ac:dyDescent="0.3">
      <c r="A1816">
        <v>24638</v>
      </c>
      <c r="B1816" t="s">
        <v>12</v>
      </c>
      <c r="C1816">
        <v>50</v>
      </c>
      <c r="D1816" t="s">
        <v>15</v>
      </c>
      <c r="E1816" t="s">
        <v>15</v>
      </c>
      <c r="F1816" t="s">
        <v>16</v>
      </c>
      <c r="G1816" t="s">
        <v>19</v>
      </c>
      <c r="H1816" t="s">
        <v>22</v>
      </c>
      <c r="I1816">
        <v>88.24</v>
      </c>
      <c r="J1816">
        <v>32.6</v>
      </c>
      <c r="K1816" t="s">
        <v>27</v>
      </c>
      <c r="L1816" t="s">
        <v>15</v>
      </c>
    </row>
    <row r="1817" spans="1:12" x14ac:dyDescent="0.3">
      <c r="A1817">
        <v>58587</v>
      </c>
      <c r="B1817" t="s">
        <v>12</v>
      </c>
      <c r="C1817">
        <v>61</v>
      </c>
      <c r="D1817" t="s">
        <v>15</v>
      </c>
      <c r="E1817" t="s">
        <v>15</v>
      </c>
      <c r="F1817" t="s">
        <v>16</v>
      </c>
      <c r="G1817" t="s">
        <v>17</v>
      </c>
      <c r="H1817" t="s">
        <v>22</v>
      </c>
      <c r="I1817">
        <v>61.32</v>
      </c>
      <c r="J1817">
        <v>23.7</v>
      </c>
      <c r="K1817" t="s">
        <v>26</v>
      </c>
      <c r="L1817" t="s">
        <v>15</v>
      </c>
    </row>
    <row r="1818" spans="1:12" x14ac:dyDescent="0.3">
      <c r="A1818">
        <v>9170</v>
      </c>
      <c r="B1818" t="s">
        <v>12</v>
      </c>
      <c r="C1818">
        <v>60</v>
      </c>
      <c r="D1818" t="s">
        <v>15</v>
      </c>
      <c r="E1818" t="s">
        <v>15</v>
      </c>
      <c r="F1818" t="s">
        <v>16</v>
      </c>
      <c r="G1818" t="s">
        <v>18</v>
      </c>
      <c r="H1818" t="s">
        <v>22</v>
      </c>
      <c r="I1818">
        <v>185.71</v>
      </c>
      <c r="K1818" t="s">
        <v>27</v>
      </c>
      <c r="L1818" t="s">
        <v>15</v>
      </c>
    </row>
    <row r="1819" spans="1:12" x14ac:dyDescent="0.3">
      <c r="A1819">
        <v>36545</v>
      </c>
      <c r="B1819" t="s">
        <v>12</v>
      </c>
      <c r="C1819">
        <v>43</v>
      </c>
      <c r="D1819" t="s">
        <v>15</v>
      </c>
      <c r="E1819" t="s">
        <v>15</v>
      </c>
      <c r="F1819" t="s">
        <v>16</v>
      </c>
      <c r="G1819" t="s">
        <v>17</v>
      </c>
      <c r="H1819" t="s">
        <v>23</v>
      </c>
      <c r="I1819">
        <v>62.99</v>
      </c>
      <c r="J1819">
        <v>27</v>
      </c>
      <c r="K1819" t="s">
        <v>24</v>
      </c>
      <c r="L1819" t="s">
        <v>15</v>
      </c>
    </row>
    <row r="1820" spans="1:12" x14ac:dyDescent="0.3">
      <c r="A1820">
        <v>19467</v>
      </c>
      <c r="B1820" t="s">
        <v>12</v>
      </c>
      <c r="C1820">
        <v>60</v>
      </c>
      <c r="D1820" t="s">
        <v>16</v>
      </c>
      <c r="E1820" t="s">
        <v>15</v>
      </c>
      <c r="F1820" t="s">
        <v>16</v>
      </c>
      <c r="G1820" t="s">
        <v>17</v>
      </c>
      <c r="H1820" t="s">
        <v>22</v>
      </c>
      <c r="I1820">
        <v>86.04</v>
      </c>
      <c r="J1820">
        <v>25.6</v>
      </c>
      <c r="K1820" t="s">
        <v>26</v>
      </c>
      <c r="L1820" t="s">
        <v>15</v>
      </c>
    </row>
    <row r="1821" spans="1:12" x14ac:dyDescent="0.3">
      <c r="A1821">
        <v>16868</v>
      </c>
      <c r="B1821" t="s">
        <v>13</v>
      </c>
      <c r="C1821">
        <v>51</v>
      </c>
      <c r="D1821" t="s">
        <v>15</v>
      </c>
      <c r="E1821" t="s">
        <v>15</v>
      </c>
      <c r="F1821" t="s">
        <v>16</v>
      </c>
      <c r="G1821" t="s">
        <v>17</v>
      </c>
      <c r="H1821" t="s">
        <v>23</v>
      </c>
      <c r="I1821">
        <v>83.3</v>
      </c>
      <c r="J1821">
        <v>34</v>
      </c>
      <c r="K1821" t="s">
        <v>24</v>
      </c>
      <c r="L1821" t="s">
        <v>15</v>
      </c>
    </row>
    <row r="1822" spans="1:12" x14ac:dyDescent="0.3">
      <c r="A1822">
        <v>47608</v>
      </c>
      <c r="B1822" t="s">
        <v>13</v>
      </c>
      <c r="C1822">
        <v>21</v>
      </c>
      <c r="D1822" t="s">
        <v>15</v>
      </c>
      <c r="E1822" t="s">
        <v>15</v>
      </c>
      <c r="F1822" t="s">
        <v>15</v>
      </c>
      <c r="G1822" t="s">
        <v>17</v>
      </c>
      <c r="H1822" t="s">
        <v>22</v>
      </c>
      <c r="I1822">
        <v>208.17</v>
      </c>
      <c r="J1822">
        <v>24.9</v>
      </c>
      <c r="K1822" t="s">
        <v>25</v>
      </c>
      <c r="L1822" t="s">
        <v>15</v>
      </c>
    </row>
    <row r="1823" spans="1:12" x14ac:dyDescent="0.3">
      <c r="A1823">
        <v>38440</v>
      </c>
      <c r="B1823" t="s">
        <v>12</v>
      </c>
      <c r="C1823">
        <v>16</v>
      </c>
      <c r="D1823" t="s">
        <v>15</v>
      </c>
      <c r="E1823" t="s">
        <v>15</v>
      </c>
      <c r="F1823" t="s">
        <v>15</v>
      </c>
      <c r="G1823" t="s">
        <v>17</v>
      </c>
      <c r="H1823" t="s">
        <v>23</v>
      </c>
      <c r="I1823">
        <v>133.19999999999999</v>
      </c>
      <c r="J1823">
        <v>26.3</v>
      </c>
      <c r="K1823" t="s">
        <v>27</v>
      </c>
      <c r="L1823" t="s">
        <v>15</v>
      </c>
    </row>
    <row r="1824" spans="1:12" x14ac:dyDescent="0.3">
      <c r="A1824">
        <v>23543</v>
      </c>
      <c r="B1824" t="s">
        <v>13</v>
      </c>
      <c r="C1824">
        <v>25</v>
      </c>
      <c r="D1824" t="s">
        <v>15</v>
      </c>
      <c r="E1824" t="s">
        <v>15</v>
      </c>
      <c r="F1824" t="s">
        <v>15</v>
      </c>
      <c r="G1824" t="s">
        <v>17</v>
      </c>
      <c r="H1824" t="s">
        <v>23</v>
      </c>
      <c r="I1824">
        <v>81.540000000000006</v>
      </c>
      <c r="J1824">
        <v>43.1</v>
      </c>
      <c r="K1824" t="s">
        <v>27</v>
      </c>
      <c r="L1824" t="s">
        <v>15</v>
      </c>
    </row>
    <row r="1825" spans="1:12" x14ac:dyDescent="0.3">
      <c r="A1825">
        <v>65396</v>
      </c>
      <c r="B1825" t="s">
        <v>13</v>
      </c>
      <c r="C1825">
        <v>36</v>
      </c>
      <c r="D1825" t="s">
        <v>15</v>
      </c>
      <c r="E1825" t="s">
        <v>15</v>
      </c>
      <c r="F1825" t="s">
        <v>16</v>
      </c>
      <c r="G1825" t="s">
        <v>17</v>
      </c>
      <c r="H1825" t="s">
        <v>23</v>
      </c>
      <c r="I1825">
        <v>146.61000000000001</v>
      </c>
      <c r="J1825">
        <v>39.6</v>
      </c>
      <c r="K1825" t="s">
        <v>25</v>
      </c>
      <c r="L1825" t="s">
        <v>15</v>
      </c>
    </row>
    <row r="1826" spans="1:12" x14ac:dyDescent="0.3">
      <c r="A1826">
        <v>34621</v>
      </c>
      <c r="B1826" t="s">
        <v>13</v>
      </c>
      <c r="C1826">
        <v>8</v>
      </c>
      <c r="D1826" t="s">
        <v>15</v>
      </c>
      <c r="E1826" t="s">
        <v>15</v>
      </c>
      <c r="F1826" t="s">
        <v>15</v>
      </c>
      <c r="G1826" t="s">
        <v>20</v>
      </c>
      <c r="H1826" t="s">
        <v>22</v>
      </c>
      <c r="I1826">
        <v>79.33</v>
      </c>
      <c r="J1826">
        <v>15.2</v>
      </c>
      <c r="K1826" t="s">
        <v>27</v>
      </c>
      <c r="L1826" t="s">
        <v>15</v>
      </c>
    </row>
    <row r="1827" spans="1:12" x14ac:dyDescent="0.3">
      <c r="A1827">
        <v>23561</v>
      </c>
      <c r="B1827" t="s">
        <v>13</v>
      </c>
      <c r="C1827">
        <v>48</v>
      </c>
      <c r="D1827" t="s">
        <v>15</v>
      </c>
      <c r="E1827" t="s">
        <v>15</v>
      </c>
      <c r="F1827" t="s">
        <v>16</v>
      </c>
      <c r="G1827" t="s">
        <v>17</v>
      </c>
      <c r="H1827" t="s">
        <v>23</v>
      </c>
      <c r="I1827">
        <v>84.56</v>
      </c>
      <c r="J1827">
        <v>41.8</v>
      </c>
      <c r="K1827" t="s">
        <v>25</v>
      </c>
      <c r="L1827" t="s">
        <v>15</v>
      </c>
    </row>
    <row r="1828" spans="1:12" x14ac:dyDescent="0.3">
      <c r="A1828">
        <v>16091</v>
      </c>
      <c r="B1828" t="s">
        <v>12</v>
      </c>
      <c r="C1828">
        <v>14</v>
      </c>
      <c r="D1828" t="s">
        <v>15</v>
      </c>
      <c r="E1828" t="s">
        <v>15</v>
      </c>
      <c r="F1828" t="s">
        <v>15</v>
      </c>
      <c r="G1828" t="s">
        <v>17</v>
      </c>
      <c r="H1828" t="s">
        <v>23</v>
      </c>
      <c r="I1828">
        <v>103.44</v>
      </c>
      <c r="J1828">
        <v>20.100000000000001</v>
      </c>
      <c r="K1828" t="s">
        <v>25</v>
      </c>
      <c r="L1828" t="s">
        <v>15</v>
      </c>
    </row>
    <row r="1829" spans="1:12" x14ac:dyDescent="0.3">
      <c r="A1829">
        <v>63597</v>
      </c>
      <c r="B1829" t="s">
        <v>13</v>
      </c>
      <c r="C1829">
        <v>60</v>
      </c>
      <c r="D1829" t="s">
        <v>15</v>
      </c>
      <c r="E1829" t="s">
        <v>15</v>
      </c>
      <c r="F1829" t="s">
        <v>16</v>
      </c>
      <c r="G1829" t="s">
        <v>17</v>
      </c>
      <c r="H1829" t="s">
        <v>22</v>
      </c>
      <c r="I1829">
        <v>185.31</v>
      </c>
      <c r="J1829">
        <v>39.299999999999997</v>
      </c>
      <c r="K1829" t="s">
        <v>25</v>
      </c>
      <c r="L1829" t="s">
        <v>15</v>
      </c>
    </row>
    <row r="1830" spans="1:12" x14ac:dyDescent="0.3">
      <c r="A1830">
        <v>57533</v>
      </c>
      <c r="B1830" t="s">
        <v>12</v>
      </c>
      <c r="C1830">
        <v>61</v>
      </c>
      <c r="D1830" t="s">
        <v>16</v>
      </c>
      <c r="E1830" t="s">
        <v>15</v>
      </c>
      <c r="F1830" t="s">
        <v>16</v>
      </c>
      <c r="G1830" t="s">
        <v>17</v>
      </c>
      <c r="H1830" t="s">
        <v>22</v>
      </c>
      <c r="I1830">
        <v>102.53</v>
      </c>
      <c r="J1830">
        <v>28.3</v>
      </c>
      <c r="K1830" t="s">
        <v>24</v>
      </c>
      <c r="L1830" t="s">
        <v>15</v>
      </c>
    </row>
    <row r="1831" spans="1:12" x14ac:dyDescent="0.3">
      <c r="A1831">
        <v>59370</v>
      </c>
      <c r="B1831" t="s">
        <v>13</v>
      </c>
      <c r="C1831">
        <v>60</v>
      </c>
      <c r="D1831" t="s">
        <v>15</v>
      </c>
      <c r="E1831" t="s">
        <v>15</v>
      </c>
      <c r="F1831" t="s">
        <v>16</v>
      </c>
      <c r="G1831" t="s">
        <v>17</v>
      </c>
      <c r="H1831" t="s">
        <v>22</v>
      </c>
      <c r="I1831">
        <v>65.78</v>
      </c>
      <c r="J1831">
        <v>27.5</v>
      </c>
      <c r="K1831" t="s">
        <v>27</v>
      </c>
      <c r="L1831" t="s">
        <v>15</v>
      </c>
    </row>
    <row r="1832" spans="1:12" x14ac:dyDescent="0.3">
      <c r="A1832">
        <v>57285</v>
      </c>
      <c r="B1832" t="s">
        <v>12</v>
      </c>
      <c r="C1832">
        <v>56</v>
      </c>
      <c r="D1832" t="s">
        <v>15</v>
      </c>
      <c r="E1832" t="s">
        <v>15</v>
      </c>
      <c r="F1832" t="s">
        <v>15</v>
      </c>
      <c r="G1832" t="s">
        <v>17</v>
      </c>
      <c r="H1832" t="s">
        <v>23</v>
      </c>
      <c r="I1832">
        <v>62.6</v>
      </c>
      <c r="J1832">
        <v>33.9</v>
      </c>
      <c r="K1832" t="s">
        <v>25</v>
      </c>
      <c r="L1832" t="s">
        <v>15</v>
      </c>
    </row>
    <row r="1833" spans="1:12" x14ac:dyDescent="0.3">
      <c r="A1833">
        <v>17515</v>
      </c>
      <c r="B1833" t="s">
        <v>13</v>
      </c>
      <c r="C1833">
        <v>9</v>
      </c>
      <c r="D1833" t="s">
        <v>15</v>
      </c>
      <c r="E1833" t="s">
        <v>15</v>
      </c>
      <c r="F1833" t="s">
        <v>15</v>
      </c>
      <c r="G1833" t="s">
        <v>20</v>
      </c>
      <c r="H1833" t="s">
        <v>23</v>
      </c>
      <c r="I1833">
        <v>81.180000000000007</v>
      </c>
      <c r="J1833">
        <v>20</v>
      </c>
      <c r="K1833" t="s">
        <v>27</v>
      </c>
      <c r="L1833" t="s">
        <v>15</v>
      </c>
    </row>
    <row r="1834" spans="1:12" x14ac:dyDescent="0.3">
      <c r="A1834">
        <v>23988</v>
      </c>
      <c r="B1834" t="s">
        <v>13</v>
      </c>
      <c r="C1834">
        <v>45</v>
      </c>
      <c r="D1834" t="s">
        <v>15</v>
      </c>
      <c r="E1834" t="s">
        <v>15</v>
      </c>
      <c r="F1834" t="s">
        <v>16</v>
      </c>
      <c r="G1834" t="s">
        <v>17</v>
      </c>
      <c r="H1834" t="s">
        <v>23</v>
      </c>
      <c r="I1834">
        <v>76.680000000000007</v>
      </c>
      <c r="J1834">
        <v>34.799999999999997</v>
      </c>
      <c r="K1834" t="s">
        <v>26</v>
      </c>
      <c r="L1834" t="s">
        <v>15</v>
      </c>
    </row>
    <row r="1835" spans="1:12" x14ac:dyDescent="0.3">
      <c r="A1835">
        <v>34958</v>
      </c>
      <c r="B1835" t="s">
        <v>12</v>
      </c>
      <c r="C1835">
        <v>14</v>
      </c>
      <c r="D1835" t="s">
        <v>15</v>
      </c>
      <c r="E1835" t="s">
        <v>15</v>
      </c>
      <c r="F1835" t="s">
        <v>15</v>
      </c>
      <c r="G1835" t="s">
        <v>20</v>
      </c>
      <c r="H1835" t="s">
        <v>22</v>
      </c>
      <c r="I1835">
        <v>92.86</v>
      </c>
      <c r="J1835">
        <v>20.7</v>
      </c>
      <c r="K1835" t="s">
        <v>24</v>
      </c>
      <c r="L1835" t="s">
        <v>15</v>
      </c>
    </row>
    <row r="1836" spans="1:12" x14ac:dyDescent="0.3">
      <c r="A1836">
        <v>30620</v>
      </c>
      <c r="B1836" t="s">
        <v>12</v>
      </c>
      <c r="C1836">
        <v>37</v>
      </c>
      <c r="D1836" t="s">
        <v>15</v>
      </c>
      <c r="E1836" t="s">
        <v>15</v>
      </c>
      <c r="F1836" t="s">
        <v>15</v>
      </c>
      <c r="G1836" t="s">
        <v>17</v>
      </c>
      <c r="H1836" t="s">
        <v>22</v>
      </c>
      <c r="I1836">
        <v>90.95</v>
      </c>
      <c r="J1836">
        <v>24.6</v>
      </c>
      <c r="K1836" t="s">
        <v>26</v>
      </c>
      <c r="L1836" t="s">
        <v>15</v>
      </c>
    </row>
    <row r="1837" spans="1:12" x14ac:dyDescent="0.3">
      <c r="A1837">
        <v>31811</v>
      </c>
      <c r="B1837" t="s">
        <v>13</v>
      </c>
      <c r="C1837">
        <v>52</v>
      </c>
      <c r="D1837" t="s">
        <v>15</v>
      </c>
      <c r="E1837" t="s">
        <v>16</v>
      </c>
      <c r="F1837" t="s">
        <v>16</v>
      </c>
      <c r="G1837" t="s">
        <v>17</v>
      </c>
      <c r="H1837" t="s">
        <v>22</v>
      </c>
      <c r="I1837">
        <v>85.66</v>
      </c>
      <c r="J1837">
        <v>39.4</v>
      </c>
      <c r="K1837" t="s">
        <v>25</v>
      </c>
      <c r="L1837" t="s">
        <v>15</v>
      </c>
    </row>
    <row r="1838" spans="1:12" x14ac:dyDescent="0.3">
      <c r="A1838">
        <v>1818</v>
      </c>
      <c r="B1838" t="s">
        <v>13</v>
      </c>
      <c r="C1838">
        <v>30</v>
      </c>
      <c r="D1838" t="s">
        <v>15</v>
      </c>
      <c r="E1838" t="s">
        <v>15</v>
      </c>
      <c r="F1838" t="s">
        <v>15</v>
      </c>
      <c r="G1838" t="s">
        <v>19</v>
      </c>
      <c r="H1838" t="s">
        <v>22</v>
      </c>
      <c r="I1838">
        <v>88.2</v>
      </c>
      <c r="K1838" t="s">
        <v>26</v>
      </c>
      <c r="L1838" t="s">
        <v>15</v>
      </c>
    </row>
    <row r="1839" spans="1:12" x14ac:dyDescent="0.3">
      <c r="A1839">
        <v>5478</v>
      </c>
      <c r="B1839" t="s">
        <v>13</v>
      </c>
      <c r="C1839">
        <v>60</v>
      </c>
      <c r="D1839" t="s">
        <v>15</v>
      </c>
      <c r="E1839" t="s">
        <v>15</v>
      </c>
      <c r="F1839" t="s">
        <v>16</v>
      </c>
      <c r="G1839" t="s">
        <v>18</v>
      </c>
      <c r="H1839" t="s">
        <v>22</v>
      </c>
      <c r="I1839">
        <v>203.04</v>
      </c>
      <c r="K1839" t="s">
        <v>26</v>
      </c>
      <c r="L1839" t="s">
        <v>15</v>
      </c>
    </row>
    <row r="1840" spans="1:12" x14ac:dyDescent="0.3">
      <c r="A1840">
        <v>26830</v>
      </c>
      <c r="B1840" t="s">
        <v>13</v>
      </c>
      <c r="C1840">
        <v>47</v>
      </c>
      <c r="D1840" t="s">
        <v>15</v>
      </c>
      <c r="E1840" t="s">
        <v>15</v>
      </c>
      <c r="F1840" t="s">
        <v>16</v>
      </c>
      <c r="G1840" t="s">
        <v>18</v>
      </c>
      <c r="H1840" t="s">
        <v>23</v>
      </c>
      <c r="I1840">
        <v>68.37</v>
      </c>
      <c r="J1840">
        <v>29.4</v>
      </c>
      <c r="K1840" t="s">
        <v>26</v>
      </c>
      <c r="L1840" t="s">
        <v>15</v>
      </c>
    </row>
    <row r="1841" spans="1:12" x14ac:dyDescent="0.3">
      <c r="A1841">
        <v>25883</v>
      </c>
      <c r="B1841" t="s">
        <v>13</v>
      </c>
      <c r="C1841">
        <v>82</v>
      </c>
      <c r="D1841" t="s">
        <v>16</v>
      </c>
      <c r="E1841" t="s">
        <v>15</v>
      </c>
      <c r="F1841" t="s">
        <v>16</v>
      </c>
      <c r="G1841" t="s">
        <v>18</v>
      </c>
      <c r="H1841" t="s">
        <v>22</v>
      </c>
      <c r="I1841">
        <v>77.319999999999993</v>
      </c>
      <c r="J1841">
        <v>24.8</v>
      </c>
      <c r="K1841" t="s">
        <v>27</v>
      </c>
      <c r="L1841" t="s">
        <v>15</v>
      </c>
    </row>
    <row r="1842" spans="1:12" x14ac:dyDescent="0.3">
      <c r="A1842">
        <v>43657</v>
      </c>
      <c r="B1842" t="s">
        <v>12</v>
      </c>
      <c r="C1842">
        <v>64</v>
      </c>
      <c r="D1842" t="s">
        <v>15</v>
      </c>
      <c r="E1842" t="s">
        <v>15</v>
      </c>
      <c r="F1842" t="s">
        <v>16</v>
      </c>
      <c r="G1842" t="s">
        <v>19</v>
      </c>
      <c r="H1842" t="s">
        <v>23</v>
      </c>
      <c r="I1842">
        <v>187.87</v>
      </c>
      <c r="J1842">
        <v>32.299999999999997</v>
      </c>
      <c r="K1842" t="s">
        <v>25</v>
      </c>
      <c r="L1842" t="s">
        <v>15</v>
      </c>
    </row>
    <row r="1843" spans="1:12" x14ac:dyDescent="0.3">
      <c r="A1843">
        <v>71917</v>
      </c>
      <c r="B1843" t="s">
        <v>12</v>
      </c>
      <c r="C1843">
        <v>12</v>
      </c>
      <c r="D1843" t="s">
        <v>15</v>
      </c>
      <c r="E1843" t="s">
        <v>15</v>
      </c>
      <c r="F1843" t="s">
        <v>15</v>
      </c>
      <c r="G1843" t="s">
        <v>20</v>
      </c>
      <c r="H1843" t="s">
        <v>23</v>
      </c>
      <c r="I1843">
        <v>213.87</v>
      </c>
      <c r="J1843">
        <v>25.3</v>
      </c>
      <c r="K1843" t="s">
        <v>25</v>
      </c>
      <c r="L1843" t="s">
        <v>15</v>
      </c>
    </row>
    <row r="1844" spans="1:12" x14ac:dyDescent="0.3">
      <c r="A1844">
        <v>61299</v>
      </c>
      <c r="B1844" t="s">
        <v>13</v>
      </c>
      <c r="C1844">
        <v>79</v>
      </c>
      <c r="D1844" t="s">
        <v>16</v>
      </c>
      <c r="E1844" t="s">
        <v>15</v>
      </c>
      <c r="F1844" t="s">
        <v>16</v>
      </c>
      <c r="G1844" t="s">
        <v>17</v>
      </c>
      <c r="H1844" t="s">
        <v>23</v>
      </c>
      <c r="I1844">
        <v>119.62</v>
      </c>
      <c r="J1844">
        <v>39</v>
      </c>
      <c r="K1844" t="s">
        <v>27</v>
      </c>
      <c r="L1844" t="s">
        <v>15</v>
      </c>
    </row>
    <row r="1845" spans="1:12" x14ac:dyDescent="0.3">
      <c r="A1845">
        <v>24603</v>
      </c>
      <c r="B1845" t="s">
        <v>12</v>
      </c>
      <c r="C1845">
        <v>77</v>
      </c>
      <c r="D1845" t="s">
        <v>15</v>
      </c>
      <c r="E1845" t="s">
        <v>15</v>
      </c>
      <c r="F1845" t="s">
        <v>16</v>
      </c>
      <c r="G1845" t="s">
        <v>17</v>
      </c>
      <c r="H1845" t="s">
        <v>22</v>
      </c>
      <c r="I1845">
        <v>222.85</v>
      </c>
      <c r="J1845">
        <v>29.4</v>
      </c>
      <c r="K1845" t="s">
        <v>24</v>
      </c>
      <c r="L1845" t="s">
        <v>15</v>
      </c>
    </row>
    <row r="1846" spans="1:12" x14ac:dyDescent="0.3">
      <c r="A1846">
        <v>70654</v>
      </c>
      <c r="B1846" t="s">
        <v>13</v>
      </c>
      <c r="C1846">
        <v>25</v>
      </c>
      <c r="D1846" t="s">
        <v>15</v>
      </c>
      <c r="E1846" t="s">
        <v>15</v>
      </c>
      <c r="F1846" t="s">
        <v>15</v>
      </c>
      <c r="G1846" t="s">
        <v>17</v>
      </c>
      <c r="H1846" t="s">
        <v>23</v>
      </c>
      <c r="I1846">
        <v>100.82</v>
      </c>
      <c r="J1846">
        <v>31.9</v>
      </c>
      <c r="K1846" t="s">
        <v>27</v>
      </c>
      <c r="L1846" t="s">
        <v>15</v>
      </c>
    </row>
    <row r="1847" spans="1:12" x14ac:dyDescent="0.3">
      <c r="A1847">
        <v>49485</v>
      </c>
      <c r="B1847" t="s">
        <v>13</v>
      </c>
      <c r="C1847">
        <v>26</v>
      </c>
      <c r="D1847" t="s">
        <v>15</v>
      </c>
      <c r="E1847" t="s">
        <v>15</v>
      </c>
      <c r="F1847" t="s">
        <v>15</v>
      </c>
      <c r="G1847" t="s">
        <v>17</v>
      </c>
      <c r="H1847" t="s">
        <v>23</v>
      </c>
      <c r="I1847">
        <v>136.1</v>
      </c>
      <c r="J1847">
        <v>26.4</v>
      </c>
      <c r="K1847" t="s">
        <v>27</v>
      </c>
      <c r="L1847" t="s">
        <v>15</v>
      </c>
    </row>
    <row r="1848" spans="1:12" x14ac:dyDescent="0.3">
      <c r="A1848">
        <v>61641</v>
      </c>
      <c r="B1848" t="s">
        <v>12</v>
      </c>
      <c r="C1848">
        <v>14</v>
      </c>
      <c r="D1848" t="s">
        <v>15</v>
      </c>
      <c r="E1848" t="s">
        <v>15</v>
      </c>
      <c r="F1848" t="s">
        <v>15</v>
      </c>
      <c r="G1848" t="s">
        <v>20</v>
      </c>
      <c r="H1848" t="s">
        <v>23</v>
      </c>
      <c r="I1848">
        <v>149.41999999999999</v>
      </c>
      <c r="J1848">
        <v>20.6</v>
      </c>
      <c r="K1848" t="s">
        <v>27</v>
      </c>
      <c r="L1848" t="s">
        <v>15</v>
      </c>
    </row>
    <row r="1849" spans="1:12" x14ac:dyDescent="0.3">
      <c r="A1849">
        <v>12600</v>
      </c>
      <c r="B1849" t="s">
        <v>13</v>
      </c>
      <c r="C1849">
        <v>42</v>
      </c>
      <c r="D1849" t="s">
        <v>15</v>
      </c>
      <c r="E1849" t="s">
        <v>15</v>
      </c>
      <c r="F1849" t="s">
        <v>16</v>
      </c>
      <c r="G1849" t="s">
        <v>18</v>
      </c>
      <c r="H1849" t="s">
        <v>23</v>
      </c>
      <c r="I1849">
        <v>79.989999999999995</v>
      </c>
      <c r="J1849">
        <v>26.3</v>
      </c>
      <c r="K1849" t="s">
        <v>25</v>
      </c>
      <c r="L1849" t="s">
        <v>15</v>
      </c>
    </row>
    <row r="1850" spans="1:12" x14ac:dyDescent="0.3">
      <c r="A1850">
        <v>11566</v>
      </c>
      <c r="B1850" t="s">
        <v>12</v>
      </c>
      <c r="C1850">
        <v>37</v>
      </c>
      <c r="D1850" t="s">
        <v>15</v>
      </c>
      <c r="E1850" t="s">
        <v>15</v>
      </c>
      <c r="F1850" t="s">
        <v>16</v>
      </c>
      <c r="G1850" t="s">
        <v>17</v>
      </c>
      <c r="H1850" t="s">
        <v>23</v>
      </c>
      <c r="I1850">
        <v>118.21</v>
      </c>
      <c r="J1850">
        <v>23.6</v>
      </c>
      <c r="K1850" t="s">
        <v>27</v>
      </c>
      <c r="L1850" t="s">
        <v>15</v>
      </c>
    </row>
    <row r="1851" spans="1:12" x14ac:dyDescent="0.3">
      <c r="A1851">
        <v>72108</v>
      </c>
      <c r="B1851" t="s">
        <v>12</v>
      </c>
      <c r="C1851">
        <v>8</v>
      </c>
      <c r="D1851" t="s">
        <v>15</v>
      </c>
      <c r="E1851" t="s">
        <v>15</v>
      </c>
      <c r="F1851" t="s">
        <v>15</v>
      </c>
      <c r="G1851" t="s">
        <v>20</v>
      </c>
      <c r="H1851" t="s">
        <v>23</v>
      </c>
      <c r="I1851">
        <v>56.3</v>
      </c>
      <c r="J1851">
        <v>18</v>
      </c>
      <c r="K1851" t="s">
        <v>27</v>
      </c>
      <c r="L1851" t="s">
        <v>15</v>
      </c>
    </row>
    <row r="1852" spans="1:12" x14ac:dyDescent="0.3">
      <c r="A1852">
        <v>35117</v>
      </c>
      <c r="B1852" t="s">
        <v>13</v>
      </c>
      <c r="C1852">
        <v>78</v>
      </c>
      <c r="D1852" t="s">
        <v>15</v>
      </c>
      <c r="E1852" t="s">
        <v>15</v>
      </c>
      <c r="F1852" t="s">
        <v>16</v>
      </c>
      <c r="G1852" t="s">
        <v>18</v>
      </c>
      <c r="H1852" t="s">
        <v>23</v>
      </c>
      <c r="I1852">
        <v>84.49</v>
      </c>
      <c r="J1852">
        <v>26.4</v>
      </c>
      <c r="K1852" t="s">
        <v>25</v>
      </c>
      <c r="L1852" t="s">
        <v>15</v>
      </c>
    </row>
    <row r="1853" spans="1:12" x14ac:dyDescent="0.3">
      <c r="A1853">
        <v>22967</v>
      </c>
      <c r="B1853" t="s">
        <v>12</v>
      </c>
      <c r="C1853">
        <v>18</v>
      </c>
      <c r="D1853" t="s">
        <v>15</v>
      </c>
      <c r="E1853" t="s">
        <v>15</v>
      </c>
      <c r="F1853" t="s">
        <v>15</v>
      </c>
      <c r="G1853" t="s">
        <v>17</v>
      </c>
      <c r="H1853" t="s">
        <v>23</v>
      </c>
      <c r="I1853">
        <v>89.61</v>
      </c>
      <c r="J1853">
        <v>22</v>
      </c>
      <c r="K1853" t="s">
        <v>25</v>
      </c>
      <c r="L1853" t="s">
        <v>15</v>
      </c>
    </row>
    <row r="1854" spans="1:12" x14ac:dyDescent="0.3">
      <c r="A1854">
        <v>28913</v>
      </c>
      <c r="B1854" t="s">
        <v>12</v>
      </c>
      <c r="C1854">
        <v>78</v>
      </c>
      <c r="D1854" t="s">
        <v>15</v>
      </c>
      <c r="E1854" t="s">
        <v>15</v>
      </c>
      <c r="F1854" t="s">
        <v>16</v>
      </c>
      <c r="G1854" t="s">
        <v>17</v>
      </c>
      <c r="H1854" t="s">
        <v>23</v>
      </c>
      <c r="I1854">
        <v>100.09</v>
      </c>
      <c r="J1854">
        <v>30.5</v>
      </c>
      <c r="K1854" t="s">
        <v>27</v>
      </c>
      <c r="L1854" t="s">
        <v>15</v>
      </c>
    </row>
    <row r="1855" spans="1:12" x14ac:dyDescent="0.3">
      <c r="A1855">
        <v>70857</v>
      </c>
      <c r="B1855" t="s">
        <v>13</v>
      </c>
      <c r="C1855">
        <v>55</v>
      </c>
      <c r="D1855" t="s">
        <v>15</v>
      </c>
      <c r="E1855" t="s">
        <v>15</v>
      </c>
      <c r="F1855" t="s">
        <v>16</v>
      </c>
      <c r="G1855" t="s">
        <v>19</v>
      </c>
      <c r="H1855" t="s">
        <v>22</v>
      </c>
      <c r="I1855">
        <v>198.36</v>
      </c>
      <c r="J1855">
        <v>29.1</v>
      </c>
      <c r="K1855" t="s">
        <v>26</v>
      </c>
      <c r="L1855" t="s">
        <v>15</v>
      </c>
    </row>
    <row r="1856" spans="1:12" x14ac:dyDescent="0.3">
      <c r="A1856">
        <v>42229</v>
      </c>
      <c r="B1856" t="s">
        <v>13</v>
      </c>
      <c r="C1856">
        <v>68</v>
      </c>
      <c r="D1856" t="s">
        <v>15</v>
      </c>
      <c r="E1856" t="s">
        <v>15</v>
      </c>
      <c r="F1856" t="s">
        <v>16</v>
      </c>
      <c r="G1856" t="s">
        <v>18</v>
      </c>
      <c r="H1856" t="s">
        <v>23</v>
      </c>
      <c r="I1856">
        <v>93.61</v>
      </c>
      <c r="J1856">
        <v>24.9</v>
      </c>
      <c r="K1856" t="s">
        <v>25</v>
      </c>
      <c r="L1856" t="s">
        <v>15</v>
      </c>
    </row>
    <row r="1857" spans="1:12" x14ac:dyDescent="0.3">
      <c r="A1857">
        <v>23459</v>
      </c>
      <c r="B1857" t="s">
        <v>13</v>
      </c>
      <c r="C1857">
        <v>47</v>
      </c>
      <c r="D1857" t="s">
        <v>15</v>
      </c>
      <c r="E1857" t="s">
        <v>15</v>
      </c>
      <c r="F1857" t="s">
        <v>16</v>
      </c>
      <c r="G1857" t="s">
        <v>17</v>
      </c>
      <c r="H1857" t="s">
        <v>23</v>
      </c>
      <c r="I1857">
        <v>75.430000000000007</v>
      </c>
      <c r="J1857">
        <v>36.4</v>
      </c>
      <c r="K1857" t="s">
        <v>26</v>
      </c>
      <c r="L1857" t="s">
        <v>15</v>
      </c>
    </row>
    <row r="1858" spans="1:12" x14ac:dyDescent="0.3">
      <c r="A1858">
        <v>2209</v>
      </c>
      <c r="B1858" t="s">
        <v>13</v>
      </c>
      <c r="C1858">
        <v>47</v>
      </c>
      <c r="D1858" t="s">
        <v>15</v>
      </c>
      <c r="E1858" t="s">
        <v>15</v>
      </c>
      <c r="F1858" t="s">
        <v>16</v>
      </c>
      <c r="G1858" t="s">
        <v>19</v>
      </c>
      <c r="H1858" t="s">
        <v>22</v>
      </c>
      <c r="I1858">
        <v>100.31</v>
      </c>
      <c r="J1858">
        <v>31.2</v>
      </c>
      <c r="K1858" t="s">
        <v>26</v>
      </c>
      <c r="L1858" t="s">
        <v>15</v>
      </c>
    </row>
    <row r="1859" spans="1:12" x14ac:dyDescent="0.3">
      <c r="A1859">
        <v>38673</v>
      </c>
      <c r="B1859" t="s">
        <v>13</v>
      </c>
      <c r="C1859">
        <v>51</v>
      </c>
      <c r="D1859" t="s">
        <v>15</v>
      </c>
      <c r="E1859" t="s">
        <v>15</v>
      </c>
      <c r="F1859" t="s">
        <v>16</v>
      </c>
      <c r="G1859" t="s">
        <v>17</v>
      </c>
      <c r="H1859" t="s">
        <v>23</v>
      </c>
      <c r="I1859">
        <v>105.63</v>
      </c>
      <c r="J1859">
        <v>32.799999999999997</v>
      </c>
      <c r="K1859" t="s">
        <v>25</v>
      </c>
      <c r="L1859" t="s">
        <v>15</v>
      </c>
    </row>
    <row r="1860" spans="1:12" x14ac:dyDescent="0.3">
      <c r="A1860">
        <v>42184</v>
      </c>
      <c r="B1860" t="s">
        <v>12</v>
      </c>
      <c r="C1860">
        <v>43</v>
      </c>
      <c r="D1860" t="s">
        <v>15</v>
      </c>
      <c r="E1860" t="s">
        <v>15</v>
      </c>
      <c r="F1860" t="s">
        <v>16</v>
      </c>
      <c r="G1860" t="s">
        <v>18</v>
      </c>
      <c r="H1860" t="s">
        <v>23</v>
      </c>
      <c r="I1860">
        <v>82.84</v>
      </c>
      <c r="J1860">
        <v>31.6</v>
      </c>
      <c r="K1860" t="s">
        <v>25</v>
      </c>
      <c r="L1860" t="s">
        <v>15</v>
      </c>
    </row>
    <row r="1861" spans="1:12" x14ac:dyDescent="0.3">
      <c r="A1861">
        <v>59250</v>
      </c>
      <c r="B1861" t="s">
        <v>13</v>
      </c>
      <c r="C1861">
        <v>78</v>
      </c>
      <c r="D1861" t="s">
        <v>15</v>
      </c>
      <c r="E1861" t="s">
        <v>15</v>
      </c>
      <c r="F1861" t="s">
        <v>16</v>
      </c>
      <c r="G1861" t="s">
        <v>19</v>
      </c>
      <c r="H1861" t="s">
        <v>22</v>
      </c>
      <c r="I1861">
        <v>58.88</v>
      </c>
      <c r="J1861">
        <v>35.799999999999997</v>
      </c>
      <c r="K1861" t="s">
        <v>27</v>
      </c>
      <c r="L1861" t="s">
        <v>15</v>
      </c>
    </row>
    <row r="1862" spans="1:12" x14ac:dyDescent="0.3">
      <c r="A1862">
        <v>29525</v>
      </c>
      <c r="B1862" t="s">
        <v>12</v>
      </c>
      <c r="C1862">
        <v>63</v>
      </c>
      <c r="D1862" t="s">
        <v>15</v>
      </c>
      <c r="E1862" t="s">
        <v>15</v>
      </c>
      <c r="F1862" t="s">
        <v>16</v>
      </c>
      <c r="G1862" t="s">
        <v>17</v>
      </c>
      <c r="H1862" t="s">
        <v>22</v>
      </c>
      <c r="I1862">
        <v>92.27</v>
      </c>
      <c r="J1862">
        <v>35.200000000000003</v>
      </c>
      <c r="K1862" t="s">
        <v>24</v>
      </c>
      <c r="L1862" t="s">
        <v>15</v>
      </c>
    </row>
    <row r="1863" spans="1:12" x14ac:dyDescent="0.3">
      <c r="A1863">
        <v>42713</v>
      </c>
      <c r="B1863" t="s">
        <v>13</v>
      </c>
      <c r="C1863">
        <v>45</v>
      </c>
      <c r="D1863" t="s">
        <v>15</v>
      </c>
      <c r="E1863" t="s">
        <v>15</v>
      </c>
      <c r="F1863" t="s">
        <v>16</v>
      </c>
      <c r="G1863" t="s">
        <v>17</v>
      </c>
      <c r="H1863" t="s">
        <v>22</v>
      </c>
      <c r="I1863">
        <v>115.23</v>
      </c>
      <c r="J1863">
        <v>28</v>
      </c>
      <c r="K1863" t="s">
        <v>25</v>
      </c>
      <c r="L1863" t="s">
        <v>15</v>
      </c>
    </row>
    <row r="1864" spans="1:12" x14ac:dyDescent="0.3">
      <c r="A1864">
        <v>16066</v>
      </c>
      <c r="B1864" t="s">
        <v>13</v>
      </c>
      <c r="C1864">
        <v>53</v>
      </c>
      <c r="D1864" t="s">
        <v>16</v>
      </c>
      <c r="E1864" t="s">
        <v>16</v>
      </c>
      <c r="F1864" t="s">
        <v>16</v>
      </c>
      <c r="G1864" t="s">
        <v>17</v>
      </c>
      <c r="H1864" t="s">
        <v>22</v>
      </c>
      <c r="I1864">
        <v>196.25</v>
      </c>
      <c r="J1864">
        <v>24.9</v>
      </c>
      <c r="K1864" t="s">
        <v>26</v>
      </c>
      <c r="L1864" t="s">
        <v>15</v>
      </c>
    </row>
    <row r="1865" spans="1:12" x14ac:dyDescent="0.3">
      <c r="A1865">
        <v>33692</v>
      </c>
      <c r="B1865" t="s">
        <v>13</v>
      </c>
      <c r="C1865">
        <v>12</v>
      </c>
      <c r="D1865" t="s">
        <v>15</v>
      </c>
      <c r="E1865" t="s">
        <v>15</v>
      </c>
      <c r="F1865" t="s">
        <v>15</v>
      </c>
      <c r="G1865" t="s">
        <v>20</v>
      </c>
      <c r="H1865" t="s">
        <v>23</v>
      </c>
      <c r="I1865">
        <v>85.97</v>
      </c>
      <c r="J1865">
        <v>35.700000000000003</v>
      </c>
      <c r="K1865" t="s">
        <v>27</v>
      </c>
      <c r="L1865" t="s">
        <v>15</v>
      </c>
    </row>
    <row r="1866" spans="1:12" x14ac:dyDescent="0.3">
      <c r="A1866">
        <v>29232</v>
      </c>
      <c r="B1866" t="s">
        <v>13</v>
      </c>
      <c r="C1866">
        <v>56</v>
      </c>
      <c r="D1866" t="s">
        <v>15</v>
      </c>
      <c r="E1866" t="s">
        <v>15</v>
      </c>
      <c r="F1866" t="s">
        <v>16</v>
      </c>
      <c r="G1866" t="s">
        <v>17</v>
      </c>
      <c r="H1866" t="s">
        <v>22</v>
      </c>
      <c r="I1866">
        <v>114.33</v>
      </c>
      <c r="J1866">
        <v>30.7</v>
      </c>
      <c r="K1866" t="s">
        <v>26</v>
      </c>
      <c r="L1866" t="s">
        <v>15</v>
      </c>
    </row>
    <row r="1867" spans="1:12" x14ac:dyDescent="0.3">
      <c r="A1867">
        <v>70122</v>
      </c>
      <c r="B1867" t="s">
        <v>13</v>
      </c>
      <c r="C1867">
        <v>29</v>
      </c>
      <c r="D1867" t="s">
        <v>15</v>
      </c>
      <c r="E1867" t="s">
        <v>15</v>
      </c>
      <c r="F1867" t="s">
        <v>16</v>
      </c>
      <c r="G1867" t="s">
        <v>17</v>
      </c>
      <c r="H1867" t="s">
        <v>23</v>
      </c>
      <c r="I1867">
        <v>72.52</v>
      </c>
      <c r="J1867">
        <v>33.9</v>
      </c>
      <c r="K1867" t="s">
        <v>25</v>
      </c>
      <c r="L1867" t="s">
        <v>15</v>
      </c>
    </row>
    <row r="1868" spans="1:12" x14ac:dyDescent="0.3">
      <c r="A1868">
        <v>25305</v>
      </c>
      <c r="B1868" t="s">
        <v>12</v>
      </c>
      <c r="C1868">
        <v>10</v>
      </c>
      <c r="D1868" t="s">
        <v>15</v>
      </c>
      <c r="E1868" t="s">
        <v>15</v>
      </c>
      <c r="F1868" t="s">
        <v>15</v>
      </c>
      <c r="G1868" t="s">
        <v>20</v>
      </c>
      <c r="H1868" t="s">
        <v>23</v>
      </c>
      <c r="I1868">
        <v>99.87</v>
      </c>
      <c r="K1868" t="s">
        <v>24</v>
      </c>
      <c r="L1868" t="s">
        <v>15</v>
      </c>
    </row>
    <row r="1869" spans="1:12" x14ac:dyDescent="0.3">
      <c r="A1869">
        <v>66110</v>
      </c>
      <c r="B1869" t="s">
        <v>13</v>
      </c>
      <c r="C1869">
        <v>55</v>
      </c>
      <c r="D1869" t="s">
        <v>15</v>
      </c>
      <c r="E1869" t="s">
        <v>15</v>
      </c>
      <c r="F1869" t="s">
        <v>16</v>
      </c>
      <c r="G1869" t="s">
        <v>17</v>
      </c>
      <c r="H1869" t="s">
        <v>23</v>
      </c>
      <c r="I1869">
        <v>63.47</v>
      </c>
      <c r="J1869">
        <v>27.8</v>
      </c>
      <c r="K1869" t="s">
        <v>27</v>
      </c>
      <c r="L1869" t="s">
        <v>15</v>
      </c>
    </row>
    <row r="1870" spans="1:12" x14ac:dyDescent="0.3">
      <c r="A1870">
        <v>69461</v>
      </c>
      <c r="B1870" t="s">
        <v>13</v>
      </c>
      <c r="C1870">
        <v>49</v>
      </c>
      <c r="D1870" t="s">
        <v>15</v>
      </c>
      <c r="E1870" t="s">
        <v>15</v>
      </c>
      <c r="F1870" t="s">
        <v>16</v>
      </c>
      <c r="G1870" t="s">
        <v>19</v>
      </c>
      <c r="H1870" t="s">
        <v>22</v>
      </c>
      <c r="I1870">
        <v>90.58</v>
      </c>
      <c r="J1870">
        <v>23.2</v>
      </c>
      <c r="K1870" t="s">
        <v>27</v>
      </c>
      <c r="L1870" t="s">
        <v>15</v>
      </c>
    </row>
    <row r="1871" spans="1:12" x14ac:dyDescent="0.3">
      <c r="A1871">
        <v>7885</v>
      </c>
      <c r="B1871" t="s">
        <v>13</v>
      </c>
      <c r="C1871">
        <v>23</v>
      </c>
      <c r="D1871" t="s">
        <v>15</v>
      </c>
      <c r="E1871" t="s">
        <v>15</v>
      </c>
      <c r="F1871" t="s">
        <v>15</v>
      </c>
      <c r="G1871" t="s">
        <v>17</v>
      </c>
      <c r="H1871" t="s">
        <v>23</v>
      </c>
      <c r="I1871">
        <v>92.26</v>
      </c>
      <c r="J1871">
        <v>17.100000000000001</v>
      </c>
      <c r="K1871" t="s">
        <v>27</v>
      </c>
      <c r="L1871" t="s">
        <v>15</v>
      </c>
    </row>
    <row r="1872" spans="1:12" x14ac:dyDescent="0.3">
      <c r="A1872">
        <v>60050</v>
      </c>
      <c r="B1872" t="s">
        <v>13</v>
      </c>
      <c r="C1872">
        <v>53</v>
      </c>
      <c r="D1872" t="s">
        <v>15</v>
      </c>
      <c r="E1872" t="s">
        <v>15</v>
      </c>
      <c r="F1872" t="s">
        <v>16</v>
      </c>
      <c r="G1872" t="s">
        <v>18</v>
      </c>
      <c r="H1872" t="s">
        <v>22</v>
      </c>
      <c r="I1872">
        <v>113.74</v>
      </c>
      <c r="J1872">
        <v>31.6</v>
      </c>
      <c r="K1872" t="s">
        <v>26</v>
      </c>
      <c r="L1872" t="s">
        <v>15</v>
      </c>
    </row>
    <row r="1873" spans="1:12" x14ac:dyDescent="0.3">
      <c r="A1873">
        <v>21608</v>
      </c>
      <c r="B1873" t="s">
        <v>12</v>
      </c>
      <c r="C1873">
        <v>56</v>
      </c>
      <c r="D1873" t="s">
        <v>16</v>
      </c>
      <c r="E1873" t="s">
        <v>15</v>
      </c>
      <c r="F1873" t="s">
        <v>16</v>
      </c>
      <c r="G1873" t="s">
        <v>19</v>
      </c>
      <c r="H1873" t="s">
        <v>22</v>
      </c>
      <c r="I1873">
        <v>72.790000000000006</v>
      </c>
      <c r="J1873">
        <v>23.8</v>
      </c>
      <c r="K1873" t="s">
        <v>26</v>
      </c>
      <c r="L1873" t="s">
        <v>15</v>
      </c>
    </row>
    <row r="1874" spans="1:12" x14ac:dyDescent="0.3">
      <c r="A1874">
        <v>32150</v>
      </c>
      <c r="B1874" t="s">
        <v>13</v>
      </c>
      <c r="C1874">
        <v>56</v>
      </c>
      <c r="D1874" t="s">
        <v>15</v>
      </c>
      <c r="E1874" t="s">
        <v>15</v>
      </c>
      <c r="F1874" t="s">
        <v>16</v>
      </c>
      <c r="G1874" t="s">
        <v>18</v>
      </c>
      <c r="H1874" t="s">
        <v>23</v>
      </c>
      <c r="I1874">
        <v>94.71</v>
      </c>
      <c r="J1874">
        <v>29.6</v>
      </c>
      <c r="K1874" t="s">
        <v>26</v>
      </c>
      <c r="L1874" t="s">
        <v>15</v>
      </c>
    </row>
    <row r="1875" spans="1:12" x14ac:dyDescent="0.3">
      <c r="A1875">
        <v>48069</v>
      </c>
      <c r="B1875" t="s">
        <v>13</v>
      </c>
      <c r="C1875">
        <v>61</v>
      </c>
      <c r="D1875" t="s">
        <v>15</v>
      </c>
      <c r="E1875" t="s">
        <v>15</v>
      </c>
      <c r="F1875" t="s">
        <v>16</v>
      </c>
      <c r="G1875" t="s">
        <v>17</v>
      </c>
      <c r="H1875" t="s">
        <v>23</v>
      </c>
      <c r="I1875">
        <v>194.53</v>
      </c>
      <c r="J1875">
        <v>45</v>
      </c>
      <c r="K1875" t="s">
        <v>25</v>
      </c>
      <c r="L1875" t="s">
        <v>15</v>
      </c>
    </row>
    <row r="1876" spans="1:12" x14ac:dyDescent="0.3">
      <c r="A1876">
        <v>24066</v>
      </c>
      <c r="B1876" t="s">
        <v>13</v>
      </c>
      <c r="C1876">
        <v>45</v>
      </c>
      <c r="D1876" t="s">
        <v>15</v>
      </c>
      <c r="E1876" t="s">
        <v>15</v>
      </c>
      <c r="F1876" t="s">
        <v>16</v>
      </c>
      <c r="G1876" t="s">
        <v>17</v>
      </c>
      <c r="H1876" t="s">
        <v>22</v>
      </c>
      <c r="I1876">
        <v>72.650000000000006</v>
      </c>
      <c r="J1876">
        <v>25.6</v>
      </c>
      <c r="K1876" t="s">
        <v>27</v>
      </c>
      <c r="L1876" t="s">
        <v>15</v>
      </c>
    </row>
    <row r="1877" spans="1:12" x14ac:dyDescent="0.3">
      <c r="A1877">
        <v>39242</v>
      </c>
      <c r="B1877" t="s">
        <v>12</v>
      </c>
      <c r="C1877">
        <v>80</v>
      </c>
      <c r="D1877" t="s">
        <v>16</v>
      </c>
      <c r="E1877" t="s">
        <v>16</v>
      </c>
      <c r="F1877" t="s">
        <v>16</v>
      </c>
      <c r="G1877" t="s">
        <v>17</v>
      </c>
      <c r="H1877" t="s">
        <v>22</v>
      </c>
      <c r="I1877">
        <v>86.68</v>
      </c>
      <c r="J1877">
        <v>27.7</v>
      </c>
      <c r="K1877" t="s">
        <v>24</v>
      </c>
      <c r="L1877" t="s">
        <v>15</v>
      </c>
    </row>
    <row r="1878" spans="1:12" x14ac:dyDescent="0.3">
      <c r="A1878">
        <v>57618</v>
      </c>
      <c r="B1878" t="s">
        <v>13</v>
      </c>
      <c r="C1878">
        <v>47</v>
      </c>
      <c r="D1878" t="s">
        <v>15</v>
      </c>
      <c r="E1878" t="s">
        <v>15</v>
      </c>
      <c r="F1878" t="s">
        <v>16</v>
      </c>
      <c r="G1878" t="s">
        <v>18</v>
      </c>
      <c r="H1878" t="s">
        <v>23</v>
      </c>
      <c r="I1878">
        <v>140.38999999999999</v>
      </c>
      <c r="J1878">
        <v>25.5</v>
      </c>
      <c r="K1878" t="s">
        <v>25</v>
      </c>
      <c r="L1878" t="s">
        <v>15</v>
      </c>
    </row>
    <row r="1879" spans="1:12" x14ac:dyDescent="0.3">
      <c r="A1879">
        <v>14599</v>
      </c>
      <c r="B1879" t="s">
        <v>13</v>
      </c>
      <c r="C1879">
        <v>3</v>
      </c>
      <c r="D1879" t="s">
        <v>15</v>
      </c>
      <c r="E1879" t="s">
        <v>15</v>
      </c>
      <c r="F1879" t="s">
        <v>15</v>
      </c>
      <c r="G1879" t="s">
        <v>20</v>
      </c>
      <c r="H1879" t="s">
        <v>23</v>
      </c>
      <c r="I1879">
        <v>77.87</v>
      </c>
      <c r="J1879">
        <v>18.3</v>
      </c>
      <c r="K1879" t="s">
        <v>27</v>
      </c>
      <c r="L1879" t="s">
        <v>15</v>
      </c>
    </row>
    <row r="1880" spans="1:12" x14ac:dyDescent="0.3">
      <c r="A1880">
        <v>27479</v>
      </c>
      <c r="B1880" t="s">
        <v>12</v>
      </c>
      <c r="C1880">
        <v>63</v>
      </c>
      <c r="D1880" t="s">
        <v>15</v>
      </c>
      <c r="E1880" t="s">
        <v>15</v>
      </c>
      <c r="F1880" t="s">
        <v>16</v>
      </c>
      <c r="G1880" t="s">
        <v>18</v>
      </c>
      <c r="H1880" t="s">
        <v>23</v>
      </c>
      <c r="I1880">
        <v>104.7</v>
      </c>
      <c r="J1880">
        <v>21</v>
      </c>
      <c r="K1880" t="s">
        <v>24</v>
      </c>
      <c r="L1880" t="s">
        <v>15</v>
      </c>
    </row>
    <row r="1881" spans="1:12" x14ac:dyDescent="0.3">
      <c r="A1881">
        <v>10238</v>
      </c>
      <c r="B1881" t="s">
        <v>13</v>
      </c>
      <c r="C1881">
        <v>68</v>
      </c>
      <c r="D1881" t="s">
        <v>16</v>
      </c>
      <c r="E1881" t="s">
        <v>15</v>
      </c>
      <c r="F1881" t="s">
        <v>16</v>
      </c>
      <c r="G1881" t="s">
        <v>17</v>
      </c>
      <c r="H1881" t="s">
        <v>22</v>
      </c>
      <c r="I1881">
        <v>95.82</v>
      </c>
      <c r="J1881">
        <v>28.6</v>
      </c>
      <c r="K1881" t="s">
        <v>25</v>
      </c>
      <c r="L1881" t="s">
        <v>15</v>
      </c>
    </row>
    <row r="1882" spans="1:12" x14ac:dyDescent="0.3">
      <c r="A1882">
        <v>49014</v>
      </c>
      <c r="B1882" t="s">
        <v>13</v>
      </c>
      <c r="C1882">
        <v>76</v>
      </c>
      <c r="D1882" t="s">
        <v>15</v>
      </c>
      <c r="E1882" t="s">
        <v>15</v>
      </c>
      <c r="F1882" t="s">
        <v>16</v>
      </c>
      <c r="G1882" t="s">
        <v>19</v>
      </c>
      <c r="H1882" t="s">
        <v>22</v>
      </c>
      <c r="I1882">
        <v>204.05</v>
      </c>
      <c r="J1882">
        <v>23.5</v>
      </c>
      <c r="K1882" t="s">
        <v>25</v>
      </c>
      <c r="L1882" t="s">
        <v>15</v>
      </c>
    </row>
    <row r="1883" spans="1:12" x14ac:dyDescent="0.3">
      <c r="A1883">
        <v>67063</v>
      </c>
      <c r="B1883" t="s">
        <v>12</v>
      </c>
      <c r="C1883">
        <v>62</v>
      </c>
      <c r="D1883" t="s">
        <v>15</v>
      </c>
      <c r="E1883" t="s">
        <v>15</v>
      </c>
      <c r="F1883" t="s">
        <v>16</v>
      </c>
      <c r="G1883" t="s">
        <v>18</v>
      </c>
      <c r="H1883" t="s">
        <v>22</v>
      </c>
      <c r="I1883">
        <v>130.56</v>
      </c>
      <c r="J1883">
        <v>36.1</v>
      </c>
      <c r="K1883" t="s">
        <v>27</v>
      </c>
      <c r="L1883" t="s">
        <v>15</v>
      </c>
    </row>
    <row r="1884" spans="1:12" x14ac:dyDescent="0.3">
      <c r="A1884">
        <v>38488</v>
      </c>
      <c r="B1884" t="s">
        <v>13</v>
      </c>
      <c r="C1884">
        <v>30</v>
      </c>
      <c r="D1884" t="s">
        <v>15</v>
      </c>
      <c r="E1884" t="s">
        <v>15</v>
      </c>
      <c r="F1884" t="s">
        <v>16</v>
      </c>
      <c r="G1884" t="s">
        <v>17</v>
      </c>
      <c r="H1884" t="s">
        <v>22</v>
      </c>
      <c r="I1884">
        <v>67.78</v>
      </c>
      <c r="J1884">
        <v>29.2</v>
      </c>
      <c r="K1884" t="s">
        <v>26</v>
      </c>
      <c r="L1884" t="s">
        <v>15</v>
      </c>
    </row>
    <row r="1885" spans="1:12" x14ac:dyDescent="0.3">
      <c r="A1885">
        <v>33298</v>
      </c>
      <c r="B1885" t="s">
        <v>13</v>
      </c>
      <c r="C1885">
        <v>44</v>
      </c>
      <c r="D1885" t="s">
        <v>15</v>
      </c>
      <c r="E1885" t="s">
        <v>15</v>
      </c>
      <c r="F1885" t="s">
        <v>16</v>
      </c>
      <c r="G1885" t="s">
        <v>17</v>
      </c>
      <c r="H1885" t="s">
        <v>22</v>
      </c>
      <c r="I1885">
        <v>105.29</v>
      </c>
      <c r="J1885">
        <v>27.6</v>
      </c>
      <c r="K1885" t="s">
        <v>24</v>
      </c>
      <c r="L1885" t="s">
        <v>15</v>
      </c>
    </row>
    <row r="1886" spans="1:12" x14ac:dyDescent="0.3">
      <c r="A1886">
        <v>48739</v>
      </c>
      <c r="B1886" t="s">
        <v>12</v>
      </c>
      <c r="C1886">
        <v>47</v>
      </c>
      <c r="D1886" t="s">
        <v>15</v>
      </c>
      <c r="E1886" t="s">
        <v>15</v>
      </c>
      <c r="F1886" t="s">
        <v>16</v>
      </c>
      <c r="G1886" t="s">
        <v>18</v>
      </c>
      <c r="H1886" t="s">
        <v>22</v>
      </c>
      <c r="I1886">
        <v>135.19</v>
      </c>
      <c r="J1886">
        <v>36</v>
      </c>
      <c r="K1886" t="s">
        <v>26</v>
      </c>
      <c r="L1886" t="s">
        <v>15</v>
      </c>
    </row>
    <row r="1887" spans="1:12" x14ac:dyDescent="0.3">
      <c r="A1887">
        <v>52428</v>
      </c>
      <c r="B1887" t="s">
        <v>12</v>
      </c>
      <c r="C1887">
        <v>25</v>
      </c>
      <c r="D1887" t="s">
        <v>15</v>
      </c>
      <c r="E1887" t="s">
        <v>15</v>
      </c>
      <c r="F1887" t="s">
        <v>15</v>
      </c>
      <c r="G1887" t="s">
        <v>17</v>
      </c>
      <c r="H1887" t="s">
        <v>22</v>
      </c>
      <c r="I1887">
        <v>116.12</v>
      </c>
      <c r="J1887">
        <v>20.399999999999999</v>
      </c>
      <c r="K1887" t="s">
        <v>26</v>
      </c>
      <c r="L1887" t="s">
        <v>15</v>
      </c>
    </row>
    <row r="1888" spans="1:12" x14ac:dyDescent="0.3">
      <c r="A1888">
        <v>61171</v>
      </c>
      <c r="B1888" t="s">
        <v>13</v>
      </c>
      <c r="C1888">
        <v>31</v>
      </c>
      <c r="D1888" t="s">
        <v>15</v>
      </c>
      <c r="E1888" t="s">
        <v>15</v>
      </c>
      <c r="F1888" t="s">
        <v>15</v>
      </c>
      <c r="G1888" t="s">
        <v>17</v>
      </c>
      <c r="H1888" t="s">
        <v>23</v>
      </c>
      <c r="I1888">
        <v>59.63</v>
      </c>
      <c r="J1888">
        <v>19.899999999999999</v>
      </c>
      <c r="K1888" t="s">
        <v>25</v>
      </c>
      <c r="L1888" t="s">
        <v>15</v>
      </c>
    </row>
    <row r="1889" spans="1:12" x14ac:dyDescent="0.3">
      <c r="A1889">
        <v>40878</v>
      </c>
      <c r="B1889" t="s">
        <v>12</v>
      </c>
      <c r="C1889">
        <v>71</v>
      </c>
      <c r="D1889" t="s">
        <v>15</v>
      </c>
      <c r="E1889" t="s">
        <v>15</v>
      </c>
      <c r="F1889" t="s">
        <v>16</v>
      </c>
      <c r="G1889" t="s">
        <v>18</v>
      </c>
      <c r="H1889" t="s">
        <v>23</v>
      </c>
      <c r="I1889">
        <v>56.43</v>
      </c>
      <c r="J1889">
        <v>29.2</v>
      </c>
      <c r="K1889" t="s">
        <v>24</v>
      </c>
      <c r="L1889" t="s">
        <v>15</v>
      </c>
    </row>
    <row r="1890" spans="1:12" x14ac:dyDescent="0.3">
      <c r="A1890">
        <v>61247</v>
      </c>
      <c r="B1890" t="s">
        <v>13</v>
      </c>
      <c r="C1890">
        <v>32</v>
      </c>
      <c r="D1890" t="s">
        <v>15</v>
      </c>
      <c r="E1890" t="s">
        <v>15</v>
      </c>
      <c r="F1890" t="s">
        <v>15</v>
      </c>
      <c r="G1890" t="s">
        <v>17</v>
      </c>
      <c r="H1890" t="s">
        <v>23</v>
      </c>
      <c r="I1890">
        <v>199.18</v>
      </c>
      <c r="J1890">
        <v>27.9</v>
      </c>
      <c r="K1890" t="s">
        <v>25</v>
      </c>
      <c r="L1890" t="s">
        <v>15</v>
      </c>
    </row>
    <row r="1891" spans="1:12" x14ac:dyDescent="0.3">
      <c r="A1891">
        <v>27799</v>
      </c>
      <c r="B1891" t="s">
        <v>12</v>
      </c>
      <c r="C1891">
        <v>72</v>
      </c>
      <c r="D1891" t="s">
        <v>15</v>
      </c>
      <c r="E1891" t="s">
        <v>15</v>
      </c>
      <c r="F1891" t="s">
        <v>16</v>
      </c>
      <c r="G1891" t="s">
        <v>17</v>
      </c>
      <c r="H1891" t="s">
        <v>23</v>
      </c>
      <c r="I1891">
        <v>209.26</v>
      </c>
      <c r="J1891">
        <v>38.1</v>
      </c>
      <c r="K1891" t="s">
        <v>24</v>
      </c>
      <c r="L1891" t="s">
        <v>15</v>
      </c>
    </row>
    <row r="1892" spans="1:12" x14ac:dyDescent="0.3">
      <c r="A1892">
        <v>2824</v>
      </c>
      <c r="B1892" t="s">
        <v>13</v>
      </c>
      <c r="C1892">
        <v>44</v>
      </c>
      <c r="D1892" t="s">
        <v>15</v>
      </c>
      <c r="E1892" t="s">
        <v>15</v>
      </c>
      <c r="F1892" t="s">
        <v>16</v>
      </c>
      <c r="G1892" t="s">
        <v>19</v>
      </c>
      <c r="H1892" t="s">
        <v>22</v>
      </c>
      <c r="I1892">
        <v>91.21</v>
      </c>
      <c r="J1892">
        <v>24.1</v>
      </c>
      <c r="K1892" t="s">
        <v>25</v>
      </c>
      <c r="L1892" t="s">
        <v>15</v>
      </c>
    </row>
    <row r="1893" spans="1:12" x14ac:dyDescent="0.3">
      <c r="A1893">
        <v>12376</v>
      </c>
      <c r="B1893" t="s">
        <v>12</v>
      </c>
      <c r="C1893">
        <v>63</v>
      </c>
      <c r="D1893" t="s">
        <v>15</v>
      </c>
      <c r="E1893" t="s">
        <v>15</v>
      </c>
      <c r="F1893" t="s">
        <v>16</v>
      </c>
      <c r="G1893" t="s">
        <v>19</v>
      </c>
      <c r="H1893" t="s">
        <v>22</v>
      </c>
      <c r="I1893">
        <v>95.16</v>
      </c>
      <c r="J1893">
        <v>37.799999999999997</v>
      </c>
      <c r="K1893" t="s">
        <v>24</v>
      </c>
      <c r="L1893" t="s">
        <v>15</v>
      </c>
    </row>
    <row r="1894" spans="1:12" x14ac:dyDescent="0.3">
      <c r="A1894">
        <v>72435</v>
      </c>
      <c r="B1894" t="s">
        <v>13</v>
      </c>
      <c r="C1894">
        <v>37</v>
      </c>
      <c r="D1894" t="s">
        <v>15</v>
      </c>
      <c r="E1894" t="s">
        <v>15</v>
      </c>
      <c r="F1894" t="s">
        <v>16</v>
      </c>
      <c r="G1894" t="s">
        <v>17</v>
      </c>
      <c r="H1894" t="s">
        <v>22</v>
      </c>
      <c r="I1894">
        <v>217.11</v>
      </c>
      <c r="J1894">
        <v>29.1</v>
      </c>
      <c r="K1894" t="s">
        <v>25</v>
      </c>
      <c r="L1894" t="s">
        <v>15</v>
      </c>
    </row>
    <row r="1895" spans="1:12" x14ac:dyDescent="0.3">
      <c r="A1895">
        <v>46864</v>
      </c>
      <c r="B1895" t="s">
        <v>12</v>
      </c>
      <c r="C1895">
        <v>54</v>
      </c>
      <c r="D1895" t="s">
        <v>15</v>
      </c>
      <c r="E1895" t="s">
        <v>16</v>
      </c>
      <c r="F1895" t="s">
        <v>16</v>
      </c>
      <c r="G1895" t="s">
        <v>19</v>
      </c>
      <c r="H1895" t="s">
        <v>22</v>
      </c>
      <c r="I1895">
        <v>222.46</v>
      </c>
      <c r="J1895">
        <v>35.700000000000003</v>
      </c>
      <c r="K1895" t="s">
        <v>25</v>
      </c>
      <c r="L1895" t="s">
        <v>15</v>
      </c>
    </row>
    <row r="1896" spans="1:12" x14ac:dyDescent="0.3">
      <c r="A1896">
        <v>2019</v>
      </c>
      <c r="B1896" t="s">
        <v>12</v>
      </c>
      <c r="C1896">
        <v>20</v>
      </c>
      <c r="D1896" t="s">
        <v>15</v>
      </c>
      <c r="E1896" t="s">
        <v>15</v>
      </c>
      <c r="F1896" t="s">
        <v>15</v>
      </c>
      <c r="G1896" t="s">
        <v>17</v>
      </c>
      <c r="H1896" t="s">
        <v>23</v>
      </c>
      <c r="I1896">
        <v>70.959999999999994</v>
      </c>
      <c r="K1896" t="s">
        <v>27</v>
      </c>
      <c r="L1896" t="s">
        <v>15</v>
      </c>
    </row>
    <row r="1897" spans="1:12" x14ac:dyDescent="0.3">
      <c r="A1897">
        <v>26154</v>
      </c>
      <c r="B1897" t="s">
        <v>12</v>
      </c>
      <c r="C1897">
        <v>56</v>
      </c>
      <c r="D1897" t="s">
        <v>15</v>
      </c>
      <c r="E1897" t="s">
        <v>15</v>
      </c>
      <c r="F1897" t="s">
        <v>16</v>
      </c>
      <c r="G1897" t="s">
        <v>17</v>
      </c>
      <c r="H1897" t="s">
        <v>23</v>
      </c>
      <c r="I1897">
        <v>82.44</v>
      </c>
      <c r="J1897">
        <v>34.5</v>
      </c>
      <c r="K1897" t="s">
        <v>25</v>
      </c>
      <c r="L1897" t="s">
        <v>15</v>
      </c>
    </row>
    <row r="1898" spans="1:12" x14ac:dyDescent="0.3">
      <c r="A1898">
        <v>47972</v>
      </c>
      <c r="B1898" t="s">
        <v>13</v>
      </c>
      <c r="C1898">
        <v>25</v>
      </c>
      <c r="D1898" t="s">
        <v>15</v>
      </c>
      <c r="E1898" t="s">
        <v>15</v>
      </c>
      <c r="F1898" t="s">
        <v>15</v>
      </c>
      <c r="G1898" t="s">
        <v>19</v>
      </c>
      <c r="H1898" t="s">
        <v>23</v>
      </c>
      <c r="I1898">
        <v>74.11</v>
      </c>
      <c r="J1898">
        <v>34.1</v>
      </c>
      <c r="K1898" t="s">
        <v>26</v>
      </c>
      <c r="L1898" t="s">
        <v>15</v>
      </c>
    </row>
    <row r="1899" spans="1:12" x14ac:dyDescent="0.3">
      <c r="A1899">
        <v>47751</v>
      </c>
      <c r="B1899" t="s">
        <v>13</v>
      </c>
      <c r="C1899">
        <v>19</v>
      </c>
      <c r="D1899" t="s">
        <v>15</v>
      </c>
      <c r="E1899" t="s">
        <v>15</v>
      </c>
      <c r="F1899" t="s">
        <v>15</v>
      </c>
      <c r="G1899" t="s">
        <v>17</v>
      </c>
      <c r="H1899" t="s">
        <v>22</v>
      </c>
      <c r="I1899">
        <v>131.22999999999999</v>
      </c>
      <c r="J1899">
        <v>21.1</v>
      </c>
      <c r="K1899" t="s">
        <v>27</v>
      </c>
      <c r="L1899" t="s">
        <v>15</v>
      </c>
    </row>
    <row r="1900" spans="1:12" x14ac:dyDescent="0.3">
      <c r="A1900">
        <v>25405</v>
      </c>
      <c r="B1900" t="s">
        <v>12</v>
      </c>
      <c r="C1900">
        <v>62</v>
      </c>
      <c r="D1900" t="s">
        <v>15</v>
      </c>
      <c r="E1900" t="s">
        <v>15</v>
      </c>
      <c r="F1900" t="s">
        <v>16</v>
      </c>
      <c r="G1900" t="s">
        <v>19</v>
      </c>
      <c r="H1900" t="s">
        <v>22</v>
      </c>
      <c r="I1900">
        <v>187.52</v>
      </c>
      <c r="J1900">
        <v>57.7</v>
      </c>
      <c r="K1900" t="s">
        <v>25</v>
      </c>
      <c r="L1900" t="s">
        <v>15</v>
      </c>
    </row>
    <row r="1901" spans="1:12" x14ac:dyDescent="0.3">
      <c r="A1901">
        <v>34525</v>
      </c>
      <c r="B1901" t="s">
        <v>13</v>
      </c>
      <c r="C1901">
        <v>27</v>
      </c>
      <c r="D1901" t="s">
        <v>15</v>
      </c>
      <c r="E1901" t="s">
        <v>15</v>
      </c>
      <c r="F1901" t="s">
        <v>15</v>
      </c>
      <c r="G1901" t="s">
        <v>17</v>
      </c>
      <c r="H1901" t="s">
        <v>23</v>
      </c>
      <c r="I1901">
        <v>83.26</v>
      </c>
      <c r="J1901">
        <v>22.2</v>
      </c>
      <c r="K1901" t="s">
        <v>25</v>
      </c>
      <c r="L1901" t="s">
        <v>15</v>
      </c>
    </row>
    <row r="1902" spans="1:12" x14ac:dyDescent="0.3">
      <c r="A1902">
        <v>13755</v>
      </c>
      <c r="B1902" t="s">
        <v>12</v>
      </c>
      <c r="C1902">
        <v>5</v>
      </c>
      <c r="D1902" t="s">
        <v>15</v>
      </c>
      <c r="E1902" t="s">
        <v>15</v>
      </c>
      <c r="F1902" t="s">
        <v>15</v>
      </c>
      <c r="G1902" t="s">
        <v>20</v>
      </c>
      <c r="H1902" t="s">
        <v>23</v>
      </c>
      <c r="I1902">
        <v>99.07</v>
      </c>
      <c r="J1902">
        <v>20.5</v>
      </c>
      <c r="K1902" t="s">
        <v>27</v>
      </c>
      <c r="L1902" t="s">
        <v>15</v>
      </c>
    </row>
    <row r="1903" spans="1:12" x14ac:dyDescent="0.3">
      <c r="A1903">
        <v>56019</v>
      </c>
      <c r="B1903" t="s">
        <v>13</v>
      </c>
      <c r="C1903">
        <v>20</v>
      </c>
      <c r="D1903" t="s">
        <v>15</v>
      </c>
      <c r="E1903" t="s">
        <v>15</v>
      </c>
      <c r="F1903" t="s">
        <v>15</v>
      </c>
      <c r="G1903" t="s">
        <v>17</v>
      </c>
      <c r="H1903" t="s">
        <v>22</v>
      </c>
      <c r="I1903">
        <v>76.63</v>
      </c>
      <c r="J1903">
        <v>26.2</v>
      </c>
      <c r="K1903" t="s">
        <v>25</v>
      </c>
      <c r="L1903" t="s">
        <v>15</v>
      </c>
    </row>
    <row r="1904" spans="1:12" x14ac:dyDescent="0.3">
      <c r="A1904">
        <v>67942</v>
      </c>
      <c r="B1904" t="s">
        <v>12</v>
      </c>
      <c r="C1904">
        <v>21</v>
      </c>
      <c r="D1904" t="s">
        <v>15</v>
      </c>
      <c r="E1904" t="s">
        <v>15</v>
      </c>
      <c r="F1904" t="s">
        <v>15</v>
      </c>
      <c r="G1904" t="s">
        <v>17</v>
      </c>
      <c r="H1904" t="s">
        <v>23</v>
      </c>
      <c r="I1904">
        <v>65.09</v>
      </c>
      <c r="J1904">
        <v>23.5</v>
      </c>
      <c r="K1904" t="s">
        <v>25</v>
      </c>
      <c r="L1904" t="s">
        <v>15</v>
      </c>
    </row>
    <row r="1905" spans="1:12" x14ac:dyDescent="0.3">
      <c r="A1905">
        <v>43806</v>
      </c>
      <c r="B1905" t="s">
        <v>12</v>
      </c>
      <c r="C1905">
        <v>44</v>
      </c>
      <c r="D1905" t="s">
        <v>15</v>
      </c>
      <c r="E1905" t="s">
        <v>15</v>
      </c>
      <c r="F1905" t="s">
        <v>16</v>
      </c>
      <c r="G1905" t="s">
        <v>17</v>
      </c>
      <c r="H1905" t="s">
        <v>22</v>
      </c>
      <c r="I1905">
        <v>142.31</v>
      </c>
      <c r="J1905">
        <v>29.1</v>
      </c>
      <c r="K1905" t="s">
        <v>26</v>
      </c>
      <c r="L1905" t="s">
        <v>15</v>
      </c>
    </row>
    <row r="1906" spans="1:12" x14ac:dyDescent="0.3">
      <c r="A1906">
        <v>39849</v>
      </c>
      <c r="B1906" t="s">
        <v>12</v>
      </c>
      <c r="C1906">
        <v>39</v>
      </c>
      <c r="D1906" t="s">
        <v>16</v>
      </c>
      <c r="E1906" t="s">
        <v>15</v>
      </c>
      <c r="F1906" t="s">
        <v>15</v>
      </c>
      <c r="G1906" t="s">
        <v>17</v>
      </c>
      <c r="H1906" t="s">
        <v>22</v>
      </c>
      <c r="I1906">
        <v>80.989999999999995</v>
      </c>
      <c r="J1906">
        <v>39.799999999999997</v>
      </c>
      <c r="K1906" t="s">
        <v>27</v>
      </c>
      <c r="L1906" t="s">
        <v>15</v>
      </c>
    </row>
    <row r="1907" spans="1:12" x14ac:dyDescent="0.3">
      <c r="A1907">
        <v>7344</v>
      </c>
      <c r="B1907" t="s">
        <v>12</v>
      </c>
      <c r="C1907">
        <v>38</v>
      </c>
      <c r="D1907" t="s">
        <v>15</v>
      </c>
      <c r="E1907" t="s">
        <v>15</v>
      </c>
      <c r="F1907" t="s">
        <v>16</v>
      </c>
      <c r="G1907" t="s">
        <v>19</v>
      </c>
      <c r="H1907" t="s">
        <v>23</v>
      </c>
      <c r="I1907">
        <v>237.74</v>
      </c>
      <c r="J1907">
        <v>21.2</v>
      </c>
      <c r="K1907" t="s">
        <v>25</v>
      </c>
      <c r="L1907" t="s">
        <v>15</v>
      </c>
    </row>
    <row r="1908" spans="1:12" x14ac:dyDescent="0.3">
      <c r="A1908">
        <v>1741</v>
      </c>
      <c r="B1908" t="s">
        <v>12</v>
      </c>
      <c r="C1908">
        <v>77</v>
      </c>
      <c r="D1908" t="s">
        <v>15</v>
      </c>
      <c r="E1908" t="s">
        <v>15</v>
      </c>
      <c r="F1908" t="s">
        <v>16</v>
      </c>
      <c r="G1908" t="s">
        <v>17</v>
      </c>
      <c r="H1908" t="s">
        <v>22</v>
      </c>
      <c r="I1908">
        <v>74.260000000000005</v>
      </c>
      <c r="K1908" t="s">
        <v>24</v>
      </c>
      <c r="L1908" t="s">
        <v>15</v>
      </c>
    </row>
    <row r="1909" spans="1:12" x14ac:dyDescent="0.3">
      <c r="A1909">
        <v>52220</v>
      </c>
      <c r="B1909" t="s">
        <v>13</v>
      </c>
      <c r="C1909">
        <v>26</v>
      </c>
      <c r="D1909" t="s">
        <v>15</v>
      </c>
      <c r="E1909" t="s">
        <v>15</v>
      </c>
      <c r="F1909" t="s">
        <v>15</v>
      </c>
      <c r="G1909" t="s">
        <v>17</v>
      </c>
      <c r="H1909" t="s">
        <v>23</v>
      </c>
      <c r="I1909">
        <v>154.08000000000001</v>
      </c>
      <c r="J1909">
        <v>20.2</v>
      </c>
      <c r="K1909" t="s">
        <v>24</v>
      </c>
      <c r="L1909" t="s">
        <v>15</v>
      </c>
    </row>
    <row r="1910" spans="1:12" x14ac:dyDescent="0.3">
      <c r="A1910">
        <v>20129</v>
      </c>
      <c r="B1910" t="s">
        <v>12</v>
      </c>
      <c r="C1910">
        <v>51</v>
      </c>
      <c r="D1910" t="s">
        <v>15</v>
      </c>
      <c r="E1910" t="s">
        <v>15</v>
      </c>
      <c r="F1910" t="s">
        <v>16</v>
      </c>
      <c r="G1910" t="s">
        <v>17</v>
      </c>
      <c r="H1910" t="s">
        <v>23</v>
      </c>
      <c r="I1910">
        <v>78.290000000000006</v>
      </c>
      <c r="J1910">
        <v>30.8</v>
      </c>
      <c r="K1910" t="s">
        <v>25</v>
      </c>
      <c r="L1910" t="s">
        <v>15</v>
      </c>
    </row>
    <row r="1911" spans="1:12" x14ac:dyDescent="0.3">
      <c r="A1911">
        <v>61178</v>
      </c>
      <c r="B1911" t="s">
        <v>12</v>
      </c>
      <c r="C1911">
        <v>39</v>
      </c>
      <c r="D1911" t="s">
        <v>15</v>
      </c>
      <c r="E1911" t="s">
        <v>15</v>
      </c>
      <c r="F1911" t="s">
        <v>16</v>
      </c>
      <c r="G1911" t="s">
        <v>17</v>
      </c>
      <c r="H1911" t="s">
        <v>22</v>
      </c>
      <c r="I1911">
        <v>164.67</v>
      </c>
      <c r="J1911">
        <v>33.799999999999997</v>
      </c>
      <c r="K1911" t="s">
        <v>27</v>
      </c>
      <c r="L1911" t="s">
        <v>15</v>
      </c>
    </row>
    <row r="1912" spans="1:12" x14ac:dyDescent="0.3">
      <c r="A1912">
        <v>48226</v>
      </c>
      <c r="B1912" t="s">
        <v>13</v>
      </c>
      <c r="C1912">
        <v>5</v>
      </c>
      <c r="D1912" t="s">
        <v>15</v>
      </c>
      <c r="E1912" t="s">
        <v>15</v>
      </c>
      <c r="F1912" t="s">
        <v>15</v>
      </c>
      <c r="G1912" t="s">
        <v>20</v>
      </c>
      <c r="H1912" t="s">
        <v>23</v>
      </c>
      <c r="I1912">
        <v>59.61</v>
      </c>
      <c r="J1912">
        <v>17.100000000000001</v>
      </c>
      <c r="K1912" t="s">
        <v>27</v>
      </c>
      <c r="L1912" t="s">
        <v>15</v>
      </c>
    </row>
    <row r="1913" spans="1:12" x14ac:dyDescent="0.3">
      <c r="A1913">
        <v>1151</v>
      </c>
      <c r="B1913" t="s">
        <v>13</v>
      </c>
      <c r="C1913">
        <v>59</v>
      </c>
      <c r="D1913" t="s">
        <v>15</v>
      </c>
      <c r="E1913" t="s">
        <v>15</v>
      </c>
      <c r="F1913" t="s">
        <v>16</v>
      </c>
      <c r="G1913" t="s">
        <v>18</v>
      </c>
      <c r="H1913" t="s">
        <v>22</v>
      </c>
      <c r="I1913">
        <v>67.75</v>
      </c>
      <c r="J1913">
        <v>21.3</v>
      </c>
      <c r="K1913" t="s">
        <v>24</v>
      </c>
      <c r="L1913" t="s">
        <v>15</v>
      </c>
    </row>
    <row r="1914" spans="1:12" x14ac:dyDescent="0.3">
      <c r="A1914">
        <v>6672</v>
      </c>
      <c r="B1914" t="s">
        <v>12</v>
      </c>
      <c r="C1914">
        <v>67</v>
      </c>
      <c r="D1914" t="s">
        <v>15</v>
      </c>
      <c r="E1914" t="s">
        <v>15</v>
      </c>
      <c r="F1914" t="s">
        <v>16</v>
      </c>
      <c r="G1914" t="s">
        <v>17</v>
      </c>
      <c r="H1914" t="s">
        <v>22</v>
      </c>
      <c r="I1914">
        <v>92.73</v>
      </c>
      <c r="K1914" t="s">
        <v>25</v>
      </c>
      <c r="L1914" t="s">
        <v>15</v>
      </c>
    </row>
    <row r="1915" spans="1:12" x14ac:dyDescent="0.3">
      <c r="A1915">
        <v>10333</v>
      </c>
      <c r="B1915" t="s">
        <v>13</v>
      </c>
      <c r="C1915">
        <v>45</v>
      </c>
      <c r="D1915" t="s">
        <v>15</v>
      </c>
      <c r="E1915" t="s">
        <v>15</v>
      </c>
      <c r="F1915" t="s">
        <v>16</v>
      </c>
      <c r="G1915" t="s">
        <v>17</v>
      </c>
      <c r="H1915" t="s">
        <v>22</v>
      </c>
      <c r="I1915">
        <v>90.35</v>
      </c>
      <c r="J1915">
        <v>22.3</v>
      </c>
      <c r="K1915" t="s">
        <v>25</v>
      </c>
      <c r="L1915" t="s">
        <v>15</v>
      </c>
    </row>
    <row r="1916" spans="1:12" x14ac:dyDescent="0.3">
      <c r="A1916">
        <v>11134</v>
      </c>
      <c r="B1916" t="s">
        <v>12</v>
      </c>
      <c r="C1916">
        <v>43</v>
      </c>
      <c r="D1916" t="s">
        <v>15</v>
      </c>
      <c r="E1916" t="s">
        <v>15</v>
      </c>
      <c r="F1916" t="s">
        <v>16</v>
      </c>
      <c r="G1916" t="s">
        <v>17</v>
      </c>
      <c r="H1916" t="s">
        <v>23</v>
      </c>
      <c r="I1916">
        <v>77.86</v>
      </c>
      <c r="J1916">
        <v>28.9</v>
      </c>
      <c r="K1916" t="s">
        <v>25</v>
      </c>
      <c r="L1916" t="s">
        <v>15</v>
      </c>
    </row>
    <row r="1917" spans="1:12" x14ac:dyDescent="0.3">
      <c r="A1917">
        <v>25199</v>
      </c>
      <c r="B1917" t="s">
        <v>13</v>
      </c>
      <c r="C1917">
        <v>80</v>
      </c>
      <c r="D1917" t="s">
        <v>15</v>
      </c>
      <c r="E1917" t="s">
        <v>15</v>
      </c>
      <c r="F1917" t="s">
        <v>16</v>
      </c>
      <c r="G1917" t="s">
        <v>17</v>
      </c>
      <c r="H1917" t="s">
        <v>23</v>
      </c>
      <c r="I1917">
        <v>71.88</v>
      </c>
      <c r="J1917">
        <v>26.7</v>
      </c>
      <c r="K1917" t="s">
        <v>25</v>
      </c>
      <c r="L1917" t="s">
        <v>15</v>
      </c>
    </row>
    <row r="1918" spans="1:12" x14ac:dyDescent="0.3">
      <c r="A1918">
        <v>66490</v>
      </c>
      <c r="B1918" t="s">
        <v>12</v>
      </c>
      <c r="C1918">
        <v>42</v>
      </c>
      <c r="D1918" t="s">
        <v>16</v>
      </c>
      <c r="E1918" t="s">
        <v>15</v>
      </c>
      <c r="F1918" t="s">
        <v>16</v>
      </c>
      <c r="G1918" t="s">
        <v>19</v>
      </c>
      <c r="H1918" t="s">
        <v>22</v>
      </c>
      <c r="I1918">
        <v>118.82</v>
      </c>
      <c r="J1918">
        <v>41</v>
      </c>
      <c r="K1918" t="s">
        <v>26</v>
      </c>
      <c r="L1918" t="s">
        <v>15</v>
      </c>
    </row>
    <row r="1919" spans="1:12" x14ac:dyDescent="0.3">
      <c r="A1919">
        <v>10390</v>
      </c>
      <c r="B1919" t="s">
        <v>13</v>
      </c>
      <c r="C1919">
        <v>8</v>
      </c>
      <c r="D1919" t="s">
        <v>15</v>
      </c>
      <c r="E1919" t="s">
        <v>15</v>
      </c>
      <c r="F1919" t="s">
        <v>15</v>
      </c>
      <c r="G1919" t="s">
        <v>20</v>
      </c>
      <c r="H1919" t="s">
        <v>22</v>
      </c>
      <c r="I1919">
        <v>67.33</v>
      </c>
      <c r="J1919">
        <v>16.7</v>
      </c>
      <c r="K1919" t="s">
        <v>27</v>
      </c>
      <c r="L1919" t="s">
        <v>15</v>
      </c>
    </row>
    <row r="1920" spans="1:12" x14ac:dyDescent="0.3">
      <c r="A1920">
        <v>33144</v>
      </c>
      <c r="B1920" t="s">
        <v>13</v>
      </c>
      <c r="C1920">
        <v>68</v>
      </c>
      <c r="D1920" t="s">
        <v>15</v>
      </c>
      <c r="E1920" t="s">
        <v>15</v>
      </c>
      <c r="F1920" t="s">
        <v>15</v>
      </c>
      <c r="G1920" t="s">
        <v>19</v>
      </c>
      <c r="H1920" t="s">
        <v>22</v>
      </c>
      <c r="I1920">
        <v>121.66</v>
      </c>
      <c r="J1920">
        <v>29.1</v>
      </c>
      <c r="K1920" t="s">
        <v>26</v>
      </c>
      <c r="L1920" t="s">
        <v>15</v>
      </c>
    </row>
    <row r="1921" spans="1:12" x14ac:dyDescent="0.3">
      <c r="A1921">
        <v>72497</v>
      </c>
      <c r="B1921" t="s">
        <v>13</v>
      </c>
      <c r="C1921">
        <v>5</v>
      </c>
      <c r="D1921" t="s">
        <v>15</v>
      </c>
      <c r="E1921" t="s">
        <v>15</v>
      </c>
      <c r="F1921" t="s">
        <v>15</v>
      </c>
      <c r="G1921" t="s">
        <v>20</v>
      </c>
      <c r="H1921" t="s">
        <v>23</v>
      </c>
      <c r="I1921">
        <v>111.92</v>
      </c>
      <c r="J1921">
        <v>23.6</v>
      </c>
      <c r="K1921" t="s">
        <v>27</v>
      </c>
      <c r="L1921" t="s">
        <v>15</v>
      </c>
    </row>
    <row r="1922" spans="1:12" x14ac:dyDescent="0.3">
      <c r="A1922">
        <v>16783</v>
      </c>
      <c r="B1922" t="s">
        <v>12</v>
      </c>
      <c r="C1922">
        <v>57</v>
      </c>
      <c r="D1922" t="s">
        <v>15</v>
      </c>
      <c r="E1922" t="s">
        <v>16</v>
      </c>
      <c r="F1922" t="s">
        <v>16</v>
      </c>
      <c r="G1922" t="s">
        <v>18</v>
      </c>
      <c r="H1922" t="s">
        <v>22</v>
      </c>
      <c r="I1922">
        <v>92.82</v>
      </c>
      <c r="J1922">
        <v>27.8</v>
      </c>
      <c r="K1922" t="s">
        <v>24</v>
      </c>
      <c r="L1922" t="s">
        <v>15</v>
      </c>
    </row>
    <row r="1923" spans="1:12" x14ac:dyDescent="0.3">
      <c r="A1923">
        <v>727</v>
      </c>
      <c r="B1923" t="s">
        <v>12</v>
      </c>
      <c r="C1923">
        <v>44</v>
      </c>
      <c r="D1923" t="s">
        <v>15</v>
      </c>
      <c r="E1923" t="s">
        <v>15</v>
      </c>
      <c r="F1923" t="s">
        <v>16</v>
      </c>
      <c r="G1923" t="s">
        <v>17</v>
      </c>
      <c r="H1923" t="s">
        <v>23</v>
      </c>
      <c r="I1923">
        <v>95.46</v>
      </c>
      <c r="J1923">
        <v>31.4</v>
      </c>
      <c r="K1923" t="s">
        <v>26</v>
      </c>
      <c r="L1923" t="s">
        <v>15</v>
      </c>
    </row>
    <row r="1924" spans="1:12" x14ac:dyDescent="0.3">
      <c r="A1924">
        <v>51935</v>
      </c>
      <c r="B1924" t="s">
        <v>12</v>
      </c>
      <c r="C1924">
        <v>16</v>
      </c>
      <c r="D1924" t="s">
        <v>15</v>
      </c>
      <c r="E1924" t="s">
        <v>15</v>
      </c>
      <c r="F1924" t="s">
        <v>15</v>
      </c>
      <c r="G1924" t="s">
        <v>21</v>
      </c>
      <c r="H1924" t="s">
        <v>22</v>
      </c>
      <c r="I1924">
        <v>59.99</v>
      </c>
      <c r="J1924">
        <v>28.2</v>
      </c>
      <c r="K1924" t="s">
        <v>25</v>
      </c>
      <c r="L1924" t="s">
        <v>15</v>
      </c>
    </row>
    <row r="1925" spans="1:12" x14ac:dyDescent="0.3">
      <c r="A1925">
        <v>44177</v>
      </c>
      <c r="B1925" t="s">
        <v>13</v>
      </c>
      <c r="C1925">
        <v>60</v>
      </c>
      <c r="D1925" t="s">
        <v>15</v>
      </c>
      <c r="E1925" t="s">
        <v>15</v>
      </c>
      <c r="F1925" t="s">
        <v>16</v>
      </c>
      <c r="G1925" t="s">
        <v>18</v>
      </c>
      <c r="H1925" t="s">
        <v>23</v>
      </c>
      <c r="I1925">
        <v>68.959999999999994</v>
      </c>
      <c r="J1925">
        <v>30.8</v>
      </c>
      <c r="K1925" t="s">
        <v>27</v>
      </c>
      <c r="L1925" t="s">
        <v>15</v>
      </c>
    </row>
    <row r="1926" spans="1:12" x14ac:dyDescent="0.3">
      <c r="A1926">
        <v>2421</v>
      </c>
      <c r="B1926" t="s">
        <v>13</v>
      </c>
      <c r="C1926">
        <v>58</v>
      </c>
      <c r="D1926" t="s">
        <v>15</v>
      </c>
      <c r="E1926" t="s">
        <v>15</v>
      </c>
      <c r="F1926" t="s">
        <v>16</v>
      </c>
      <c r="G1926" t="s">
        <v>17</v>
      </c>
      <c r="H1926" t="s">
        <v>22</v>
      </c>
      <c r="I1926">
        <v>90.26</v>
      </c>
      <c r="J1926">
        <v>36.1</v>
      </c>
      <c r="K1926" t="s">
        <v>25</v>
      </c>
      <c r="L1926" t="s">
        <v>15</v>
      </c>
    </row>
    <row r="1927" spans="1:12" x14ac:dyDescent="0.3">
      <c r="A1927">
        <v>48693</v>
      </c>
      <c r="B1927" t="s">
        <v>13</v>
      </c>
      <c r="C1927">
        <v>43</v>
      </c>
      <c r="D1927" t="s">
        <v>15</v>
      </c>
      <c r="E1927" t="s">
        <v>15</v>
      </c>
      <c r="F1927" t="s">
        <v>16</v>
      </c>
      <c r="G1927" t="s">
        <v>17</v>
      </c>
      <c r="H1927" t="s">
        <v>23</v>
      </c>
      <c r="I1927">
        <v>91.9</v>
      </c>
      <c r="J1927">
        <v>32.700000000000003</v>
      </c>
      <c r="K1927" t="s">
        <v>24</v>
      </c>
      <c r="L1927" t="s">
        <v>15</v>
      </c>
    </row>
    <row r="1928" spans="1:12" x14ac:dyDescent="0.3">
      <c r="A1928">
        <v>5723</v>
      </c>
      <c r="B1928" t="s">
        <v>13</v>
      </c>
      <c r="C1928">
        <v>50</v>
      </c>
      <c r="D1928" t="s">
        <v>15</v>
      </c>
      <c r="E1928" t="s">
        <v>15</v>
      </c>
      <c r="F1928" t="s">
        <v>16</v>
      </c>
      <c r="G1928" t="s">
        <v>17</v>
      </c>
      <c r="H1928" t="s">
        <v>22</v>
      </c>
      <c r="I1928">
        <v>91.08</v>
      </c>
      <c r="J1928">
        <v>26.4</v>
      </c>
      <c r="K1928" t="s">
        <v>25</v>
      </c>
      <c r="L1928" t="s">
        <v>15</v>
      </c>
    </row>
    <row r="1929" spans="1:12" x14ac:dyDescent="0.3">
      <c r="A1929">
        <v>29470</v>
      </c>
      <c r="B1929" t="s">
        <v>13</v>
      </c>
      <c r="C1929">
        <v>1.48</v>
      </c>
      <c r="D1929" t="s">
        <v>15</v>
      </c>
      <c r="E1929" t="s">
        <v>15</v>
      </c>
      <c r="F1929" t="s">
        <v>15</v>
      </c>
      <c r="G1929" t="s">
        <v>20</v>
      </c>
      <c r="H1929" t="s">
        <v>23</v>
      </c>
      <c r="I1929">
        <v>118.55</v>
      </c>
      <c r="J1929">
        <v>20.7</v>
      </c>
      <c r="K1929" t="s">
        <v>27</v>
      </c>
      <c r="L1929" t="s">
        <v>15</v>
      </c>
    </row>
    <row r="1930" spans="1:12" x14ac:dyDescent="0.3">
      <c r="A1930">
        <v>71590</v>
      </c>
      <c r="B1930" t="s">
        <v>13</v>
      </c>
      <c r="C1930">
        <v>5</v>
      </c>
      <c r="D1930" t="s">
        <v>15</v>
      </c>
      <c r="E1930" t="s">
        <v>15</v>
      </c>
      <c r="F1930" t="s">
        <v>15</v>
      </c>
      <c r="G1930" t="s">
        <v>20</v>
      </c>
      <c r="H1930" t="s">
        <v>23</v>
      </c>
      <c r="I1930">
        <v>102.04</v>
      </c>
      <c r="J1930">
        <v>18.5</v>
      </c>
      <c r="K1930" t="s">
        <v>27</v>
      </c>
      <c r="L1930" t="s">
        <v>15</v>
      </c>
    </row>
    <row r="1931" spans="1:12" x14ac:dyDescent="0.3">
      <c r="A1931">
        <v>16600</v>
      </c>
      <c r="B1931" t="s">
        <v>12</v>
      </c>
      <c r="C1931">
        <v>9</v>
      </c>
      <c r="D1931" t="s">
        <v>15</v>
      </c>
      <c r="E1931" t="s">
        <v>15</v>
      </c>
      <c r="F1931" t="s">
        <v>15</v>
      </c>
      <c r="G1931" t="s">
        <v>20</v>
      </c>
      <c r="H1931" t="s">
        <v>23</v>
      </c>
      <c r="I1931">
        <v>65.52</v>
      </c>
      <c r="J1931">
        <v>33.5</v>
      </c>
      <c r="K1931" t="s">
        <v>27</v>
      </c>
      <c r="L1931" t="s">
        <v>15</v>
      </c>
    </row>
    <row r="1932" spans="1:12" x14ac:dyDescent="0.3">
      <c r="A1932">
        <v>28309</v>
      </c>
      <c r="B1932" t="s">
        <v>13</v>
      </c>
      <c r="C1932">
        <v>67</v>
      </c>
      <c r="D1932" t="s">
        <v>15</v>
      </c>
      <c r="E1932" t="s">
        <v>15</v>
      </c>
      <c r="F1932" t="s">
        <v>16</v>
      </c>
      <c r="G1932" t="s">
        <v>17</v>
      </c>
      <c r="H1932" t="s">
        <v>22</v>
      </c>
      <c r="I1932">
        <v>82.09</v>
      </c>
      <c r="J1932">
        <v>14.1</v>
      </c>
      <c r="K1932" t="s">
        <v>25</v>
      </c>
      <c r="L1932" t="s">
        <v>15</v>
      </c>
    </row>
    <row r="1933" spans="1:12" x14ac:dyDescent="0.3">
      <c r="A1933">
        <v>41911</v>
      </c>
      <c r="B1933" t="s">
        <v>13</v>
      </c>
      <c r="C1933">
        <v>21</v>
      </c>
      <c r="D1933" t="s">
        <v>15</v>
      </c>
      <c r="E1933" t="s">
        <v>15</v>
      </c>
      <c r="F1933" t="s">
        <v>16</v>
      </c>
      <c r="G1933" t="s">
        <v>17</v>
      </c>
      <c r="H1933" t="s">
        <v>23</v>
      </c>
      <c r="I1933">
        <v>149.9</v>
      </c>
      <c r="J1933">
        <v>23.4</v>
      </c>
      <c r="K1933" t="s">
        <v>27</v>
      </c>
      <c r="L1933" t="s">
        <v>15</v>
      </c>
    </row>
    <row r="1934" spans="1:12" x14ac:dyDescent="0.3">
      <c r="A1934">
        <v>3390</v>
      </c>
      <c r="B1934" t="s">
        <v>13</v>
      </c>
      <c r="C1934">
        <v>36</v>
      </c>
      <c r="D1934" t="s">
        <v>15</v>
      </c>
      <c r="E1934" t="s">
        <v>15</v>
      </c>
      <c r="F1934" t="s">
        <v>16</v>
      </c>
      <c r="G1934" t="s">
        <v>17</v>
      </c>
      <c r="H1934" t="s">
        <v>23</v>
      </c>
      <c r="I1934">
        <v>100.33</v>
      </c>
      <c r="J1934">
        <v>23.2</v>
      </c>
      <c r="K1934" t="s">
        <v>25</v>
      </c>
      <c r="L1934" t="s">
        <v>15</v>
      </c>
    </row>
    <row r="1935" spans="1:12" x14ac:dyDescent="0.3">
      <c r="A1935">
        <v>31806</v>
      </c>
      <c r="B1935" t="s">
        <v>13</v>
      </c>
      <c r="C1935">
        <v>70</v>
      </c>
      <c r="D1935" t="s">
        <v>15</v>
      </c>
      <c r="E1935" t="s">
        <v>15</v>
      </c>
      <c r="F1935" t="s">
        <v>16</v>
      </c>
      <c r="G1935" t="s">
        <v>17</v>
      </c>
      <c r="H1935" t="s">
        <v>22</v>
      </c>
      <c r="I1935">
        <v>91.25</v>
      </c>
      <c r="J1935">
        <v>36</v>
      </c>
      <c r="K1935" t="s">
        <v>27</v>
      </c>
      <c r="L1935" t="s">
        <v>15</v>
      </c>
    </row>
    <row r="1936" spans="1:12" x14ac:dyDescent="0.3">
      <c r="A1936">
        <v>68750</v>
      </c>
      <c r="B1936" t="s">
        <v>12</v>
      </c>
      <c r="C1936">
        <v>57</v>
      </c>
      <c r="D1936" t="s">
        <v>15</v>
      </c>
      <c r="E1936" t="s">
        <v>15</v>
      </c>
      <c r="F1936" t="s">
        <v>16</v>
      </c>
      <c r="G1936" t="s">
        <v>17</v>
      </c>
      <c r="H1936" t="s">
        <v>23</v>
      </c>
      <c r="I1936">
        <v>89.81</v>
      </c>
      <c r="J1936">
        <v>35.6</v>
      </c>
      <c r="K1936" t="s">
        <v>25</v>
      </c>
      <c r="L1936" t="s">
        <v>15</v>
      </c>
    </row>
    <row r="1937" spans="1:12" x14ac:dyDescent="0.3">
      <c r="A1937">
        <v>32840</v>
      </c>
      <c r="B1937" t="s">
        <v>13</v>
      </c>
      <c r="C1937">
        <v>52</v>
      </c>
      <c r="D1937" t="s">
        <v>15</v>
      </c>
      <c r="E1937" t="s">
        <v>15</v>
      </c>
      <c r="F1937" t="s">
        <v>16</v>
      </c>
      <c r="G1937" t="s">
        <v>17</v>
      </c>
      <c r="H1937" t="s">
        <v>22</v>
      </c>
      <c r="I1937">
        <v>97.32</v>
      </c>
      <c r="J1937">
        <v>21.8</v>
      </c>
      <c r="K1937" t="s">
        <v>26</v>
      </c>
      <c r="L1937" t="s">
        <v>15</v>
      </c>
    </row>
    <row r="1938" spans="1:12" x14ac:dyDescent="0.3">
      <c r="A1938">
        <v>49797</v>
      </c>
      <c r="B1938" t="s">
        <v>13</v>
      </c>
      <c r="C1938">
        <v>28</v>
      </c>
      <c r="D1938" t="s">
        <v>15</v>
      </c>
      <c r="E1938" t="s">
        <v>15</v>
      </c>
      <c r="F1938" t="s">
        <v>15</v>
      </c>
      <c r="G1938" t="s">
        <v>17</v>
      </c>
      <c r="H1938" t="s">
        <v>23</v>
      </c>
      <c r="I1938">
        <v>75.53</v>
      </c>
      <c r="J1938">
        <v>34.9</v>
      </c>
      <c r="K1938" t="s">
        <v>25</v>
      </c>
      <c r="L1938" t="s">
        <v>15</v>
      </c>
    </row>
    <row r="1939" spans="1:12" x14ac:dyDescent="0.3">
      <c r="A1939">
        <v>72096</v>
      </c>
      <c r="B1939" t="s">
        <v>13</v>
      </c>
      <c r="C1939">
        <v>41</v>
      </c>
      <c r="D1939" t="s">
        <v>15</v>
      </c>
      <c r="E1939" t="s">
        <v>15</v>
      </c>
      <c r="F1939" t="s">
        <v>16</v>
      </c>
      <c r="G1939" t="s">
        <v>17</v>
      </c>
      <c r="H1939" t="s">
        <v>23</v>
      </c>
      <c r="I1939">
        <v>121.44</v>
      </c>
      <c r="J1939">
        <v>20.399999999999999</v>
      </c>
      <c r="K1939" t="s">
        <v>25</v>
      </c>
      <c r="L1939" t="s">
        <v>15</v>
      </c>
    </row>
    <row r="1940" spans="1:12" x14ac:dyDescent="0.3">
      <c r="A1940">
        <v>13503</v>
      </c>
      <c r="B1940" t="s">
        <v>12</v>
      </c>
      <c r="C1940">
        <v>81</v>
      </c>
      <c r="D1940" t="s">
        <v>15</v>
      </c>
      <c r="E1940" t="s">
        <v>15</v>
      </c>
      <c r="F1940" t="s">
        <v>16</v>
      </c>
      <c r="G1940" t="s">
        <v>18</v>
      </c>
      <c r="H1940" t="s">
        <v>22</v>
      </c>
      <c r="I1940">
        <v>83.52</v>
      </c>
      <c r="J1940">
        <v>25</v>
      </c>
      <c r="K1940" t="s">
        <v>25</v>
      </c>
      <c r="L1940" t="s">
        <v>15</v>
      </c>
    </row>
    <row r="1941" spans="1:12" x14ac:dyDescent="0.3">
      <c r="A1941">
        <v>41536</v>
      </c>
      <c r="B1941" t="s">
        <v>13</v>
      </c>
      <c r="C1941">
        <v>33</v>
      </c>
      <c r="D1941" t="s">
        <v>15</v>
      </c>
      <c r="E1941" t="s">
        <v>15</v>
      </c>
      <c r="F1941" t="s">
        <v>16</v>
      </c>
      <c r="G1941" t="s">
        <v>19</v>
      </c>
      <c r="H1941" t="s">
        <v>23</v>
      </c>
      <c r="I1941">
        <v>57.92</v>
      </c>
      <c r="J1941">
        <v>22.3</v>
      </c>
      <c r="K1941" t="s">
        <v>27</v>
      </c>
      <c r="L1941" t="s">
        <v>15</v>
      </c>
    </row>
    <row r="1942" spans="1:12" x14ac:dyDescent="0.3">
      <c r="A1942">
        <v>17441</v>
      </c>
      <c r="B1942" t="s">
        <v>13</v>
      </c>
      <c r="C1942">
        <v>31</v>
      </c>
      <c r="D1942" t="s">
        <v>15</v>
      </c>
      <c r="E1942" t="s">
        <v>15</v>
      </c>
      <c r="F1942" t="s">
        <v>15</v>
      </c>
      <c r="G1942" t="s">
        <v>18</v>
      </c>
      <c r="H1942" t="s">
        <v>23</v>
      </c>
      <c r="I1942">
        <v>75.27</v>
      </c>
      <c r="J1942">
        <v>27.3</v>
      </c>
      <c r="K1942" t="s">
        <v>25</v>
      </c>
      <c r="L1942" t="s">
        <v>15</v>
      </c>
    </row>
    <row r="1943" spans="1:12" x14ac:dyDescent="0.3">
      <c r="A1943">
        <v>62238</v>
      </c>
      <c r="B1943" t="s">
        <v>13</v>
      </c>
      <c r="C1943">
        <v>42</v>
      </c>
      <c r="D1943" t="s">
        <v>15</v>
      </c>
      <c r="E1943" t="s">
        <v>15</v>
      </c>
      <c r="F1943" t="s">
        <v>15</v>
      </c>
      <c r="G1943" t="s">
        <v>17</v>
      </c>
      <c r="H1943" t="s">
        <v>22</v>
      </c>
      <c r="I1943">
        <v>80.239999999999995</v>
      </c>
      <c r="J1943">
        <v>28.9</v>
      </c>
      <c r="K1943" t="s">
        <v>25</v>
      </c>
      <c r="L1943" t="s">
        <v>15</v>
      </c>
    </row>
    <row r="1944" spans="1:12" x14ac:dyDescent="0.3">
      <c r="A1944">
        <v>737</v>
      </c>
      <c r="B1944" t="s">
        <v>12</v>
      </c>
      <c r="C1944">
        <v>10</v>
      </c>
      <c r="D1944" t="s">
        <v>15</v>
      </c>
      <c r="E1944" t="s">
        <v>15</v>
      </c>
      <c r="F1944" t="s">
        <v>15</v>
      </c>
      <c r="G1944" t="s">
        <v>20</v>
      </c>
      <c r="H1944" t="s">
        <v>22</v>
      </c>
      <c r="I1944">
        <v>88.69</v>
      </c>
      <c r="J1944">
        <v>30.4</v>
      </c>
      <c r="K1944" t="s">
        <v>27</v>
      </c>
      <c r="L1944" t="s">
        <v>15</v>
      </c>
    </row>
    <row r="1945" spans="1:12" x14ac:dyDescent="0.3">
      <c r="A1945">
        <v>4627</v>
      </c>
      <c r="B1945" t="s">
        <v>12</v>
      </c>
      <c r="C1945">
        <v>34</v>
      </c>
      <c r="D1945" t="s">
        <v>15</v>
      </c>
      <c r="E1945" t="s">
        <v>15</v>
      </c>
      <c r="F1945" t="s">
        <v>15</v>
      </c>
      <c r="G1945" t="s">
        <v>17</v>
      </c>
      <c r="H1945" t="s">
        <v>22</v>
      </c>
      <c r="I1945">
        <v>69.09</v>
      </c>
      <c r="J1945">
        <v>36.9</v>
      </c>
      <c r="K1945" t="s">
        <v>24</v>
      </c>
      <c r="L1945" t="s">
        <v>15</v>
      </c>
    </row>
    <row r="1946" spans="1:12" x14ac:dyDescent="0.3">
      <c r="A1946">
        <v>47208</v>
      </c>
      <c r="B1946" t="s">
        <v>13</v>
      </c>
      <c r="C1946">
        <v>70</v>
      </c>
      <c r="D1946" t="s">
        <v>15</v>
      </c>
      <c r="E1946" t="s">
        <v>15</v>
      </c>
      <c r="F1946" t="s">
        <v>16</v>
      </c>
      <c r="G1946" t="s">
        <v>18</v>
      </c>
      <c r="H1946" t="s">
        <v>23</v>
      </c>
      <c r="I1946">
        <v>62.67</v>
      </c>
      <c r="J1946">
        <v>27.7</v>
      </c>
      <c r="K1946" t="s">
        <v>25</v>
      </c>
      <c r="L1946" t="s">
        <v>15</v>
      </c>
    </row>
    <row r="1947" spans="1:12" x14ac:dyDescent="0.3">
      <c r="A1947">
        <v>6844</v>
      </c>
      <c r="B1947" t="s">
        <v>12</v>
      </c>
      <c r="C1947">
        <v>33</v>
      </c>
      <c r="D1947" t="s">
        <v>15</v>
      </c>
      <c r="E1947" t="s">
        <v>15</v>
      </c>
      <c r="F1947" t="s">
        <v>16</v>
      </c>
      <c r="G1947" t="s">
        <v>17</v>
      </c>
      <c r="H1947" t="s">
        <v>22</v>
      </c>
      <c r="I1947">
        <v>98.74</v>
      </c>
      <c r="J1947">
        <v>44.4</v>
      </c>
      <c r="K1947" t="s">
        <v>25</v>
      </c>
      <c r="L1947" t="s">
        <v>15</v>
      </c>
    </row>
    <row r="1948" spans="1:12" x14ac:dyDescent="0.3">
      <c r="A1948">
        <v>60001</v>
      </c>
      <c r="B1948" t="s">
        <v>13</v>
      </c>
      <c r="C1948">
        <v>58</v>
      </c>
      <c r="D1948" t="s">
        <v>15</v>
      </c>
      <c r="E1948" t="s">
        <v>15</v>
      </c>
      <c r="F1948" t="s">
        <v>16</v>
      </c>
      <c r="G1948" t="s">
        <v>17</v>
      </c>
      <c r="H1948" t="s">
        <v>23</v>
      </c>
      <c r="I1948">
        <v>56.51</v>
      </c>
      <c r="J1948">
        <v>28.2</v>
      </c>
      <c r="K1948" t="s">
        <v>26</v>
      </c>
      <c r="L1948" t="s">
        <v>15</v>
      </c>
    </row>
    <row r="1949" spans="1:12" x14ac:dyDescent="0.3">
      <c r="A1949">
        <v>44503</v>
      </c>
      <c r="B1949" t="s">
        <v>13</v>
      </c>
      <c r="C1949">
        <v>25</v>
      </c>
      <c r="D1949" t="s">
        <v>15</v>
      </c>
      <c r="E1949" t="s">
        <v>15</v>
      </c>
      <c r="F1949" t="s">
        <v>15</v>
      </c>
      <c r="G1949" t="s">
        <v>17</v>
      </c>
      <c r="H1949" t="s">
        <v>23</v>
      </c>
      <c r="I1949">
        <v>65.95</v>
      </c>
      <c r="J1949">
        <v>35</v>
      </c>
      <c r="K1949" t="s">
        <v>25</v>
      </c>
      <c r="L1949" t="s">
        <v>15</v>
      </c>
    </row>
    <row r="1950" spans="1:12" x14ac:dyDescent="0.3">
      <c r="A1950">
        <v>44938</v>
      </c>
      <c r="B1950" t="s">
        <v>13</v>
      </c>
      <c r="C1950">
        <v>1.4</v>
      </c>
      <c r="D1950" t="s">
        <v>15</v>
      </c>
      <c r="E1950" t="s">
        <v>15</v>
      </c>
      <c r="F1950" t="s">
        <v>15</v>
      </c>
      <c r="G1950" t="s">
        <v>20</v>
      </c>
      <c r="H1950" t="s">
        <v>22</v>
      </c>
      <c r="I1950">
        <v>129.07</v>
      </c>
      <c r="J1950">
        <v>20.6</v>
      </c>
      <c r="K1950" t="s">
        <v>27</v>
      </c>
      <c r="L1950" t="s">
        <v>15</v>
      </c>
    </row>
    <row r="1951" spans="1:12" x14ac:dyDescent="0.3">
      <c r="A1951">
        <v>40371</v>
      </c>
      <c r="B1951" t="s">
        <v>13</v>
      </c>
      <c r="C1951">
        <v>47</v>
      </c>
      <c r="D1951" t="s">
        <v>15</v>
      </c>
      <c r="E1951" t="s">
        <v>15</v>
      </c>
      <c r="F1951" t="s">
        <v>16</v>
      </c>
      <c r="G1951" t="s">
        <v>17</v>
      </c>
      <c r="H1951" t="s">
        <v>22</v>
      </c>
      <c r="I1951">
        <v>62.47</v>
      </c>
      <c r="J1951">
        <v>26.5</v>
      </c>
      <c r="K1951" t="s">
        <v>25</v>
      </c>
      <c r="L1951" t="s">
        <v>15</v>
      </c>
    </row>
    <row r="1952" spans="1:12" x14ac:dyDescent="0.3">
      <c r="A1952">
        <v>39011</v>
      </c>
      <c r="B1952" t="s">
        <v>13</v>
      </c>
      <c r="C1952">
        <v>14</v>
      </c>
      <c r="D1952" t="s">
        <v>15</v>
      </c>
      <c r="E1952" t="s">
        <v>15</v>
      </c>
      <c r="F1952" t="s">
        <v>15</v>
      </c>
      <c r="G1952" t="s">
        <v>20</v>
      </c>
      <c r="H1952" t="s">
        <v>22</v>
      </c>
      <c r="I1952">
        <v>69.819999999999993</v>
      </c>
      <c r="J1952">
        <v>25.1</v>
      </c>
      <c r="K1952" t="s">
        <v>25</v>
      </c>
      <c r="L1952" t="s">
        <v>15</v>
      </c>
    </row>
    <row r="1953" spans="1:12" x14ac:dyDescent="0.3">
      <c r="A1953">
        <v>1460</v>
      </c>
      <c r="B1953" t="s">
        <v>13</v>
      </c>
      <c r="C1953">
        <v>82</v>
      </c>
      <c r="D1953" t="s">
        <v>15</v>
      </c>
      <c r="E1953" t="s">
        <v>15</v>
      </c>
      <c r="F1953" t="s">
        <v>16</v>
      </c>
      <c r="G1953" t="s">
        <v>17</v>
      </c>
      <c r="H1953" t="s">
        <v>22</v>
      </c>
      <c r="I1953">
        <v>99.68</v>
      </c>
      <c r="J1953">
        <v>22.2</v>
      </c>
      <c r="K1953" t="s">
        <v>27</v>
      </c>
      <c r="L1953" t="s">
        <v>15</v>
      </c>
    </row>
    <row r="1954" spans="1:12" x14ac:dyDescent="0.3">
      <c r="A1954">
        <v>48364</v>
      </c>
      <c r="B1954" t="s">
        <v>12</v>
      </c>
      <c r="C1954">
        <v>52</v>
      </c>
      <c r="D1954" t="s">
        <v>15</v>
      </c>
      <c r="E1954" t="s">
        <v>15</v>
      </c>
      <c r="F1954" t="s">
        <v>16</v>
      </c>
      <c r="G1954" t="s">
        <v>19</v>
      </c>
      <c r="H1954" t="s">
        <v>22</v>
      </c>
      <c r="I1954">
        <v>223.35</v>
      </c>
      <c r="J1954">
        <v>27.3</v>
      </c>
      <c r="K1954" t="s">
        <v>24</v>
      </c>
      <c r="L1954" t="s">
        <v>15</v>
      </c>
    </row>
    <row r="1955" spans="1:12" x14ac:dyDescent="0.3">
      <c r="A1955">
        <v>30285</v>
      </c>
      <c r="B1955" t="s">
        <v>12</v>
      </c>
      <c r="C1955">
        <v>72</v>
      </c>
      <c r="D1955" t="s">
        <v>15</v>
      </c>
      <c r="E1955" t="s">
        <v>16</v>
      </c>
      <c r="F1955" t="s">
        <v>16</v>
      </c>
      <c r="G1955" t="s">
        <v>18</v>
      </c>
      <c r="H1955" t="s">
        <v>23</v>
      </c>
      <c r="I1955">
        <v>74.36</v>
      </c>
      <c r="J1955">
        <v>27.3</v>
      </c>
      <c r="K1955" t="s">
        <v>25</v>
      </c>
      <c r="L1955" t="s">
        <v>15</v>
      </c>
    </row>
    <row r="1956" spans="1:12" x14ac:dyDescent="0.3">
      <c r="A1956">
        <v>21472</v>
      </c>
      <c r="B1956" t="s">
        <v>12</v>
      </c>
      <c r="C1956">
        <v>52</v>
      </c>
      <c r="D1956" t="s">
        <v>15</v>
      </c>
      <c r="E1956" t="s">
        <v>16</v>
      </c>
      <c r="F1956" t="s">
        <v>16</v>
      </c>
      <c r="G1956" t="s">
        <v>18</v>
      </c>
      <c r="H1956" t="s">
        <v>23</v>
      </c>
      <c r="I1956">
        <v>102.97</v>
      </c>
      <c r="J1956">
        <v>41.9</v>
      </c>
      <c r="K1956" t="s">
        <v>24</v>
      </c>
      <c r="L1956" t="s">
        <v>15</v>
      </c>
    </row>
    <row r="1957" spans="1:12" x14ac:dyDescent="0.3">
      <c r="A1957">
        <v>71182</v>
      </c>
      <c r="B1957" t="s">
        <v>13</v>
      </c>
      <c r="C1957">
        <v>61</v>
      </c>
      <c r="D1957" t="s">
        <v>16</v>
      </c>
      <c r="E1957" t="s">
        <v>15</v>
      </c>
      <c r="F1957" t="s">
        <v>16</v>
      </c>
      <c r="G1957" t="s">
        <v>19</v>
      </c>
      <c r="H1957" t="s">
        <v>22</v>
      </c>
      <c r="I1957">
        <v>153.38</v>
      </c>
      <c r="J1957">
        <v>38.799999999999997</v>
      </c>
      <c r="K1957" t="s">
        <v>25</v>
      </c>
      <c r="L1957" t="s">
        <v>15</v>
      </c>
    </row>
    <row r="1958" spans="1:12" x14ac:dyDescent="0.3">
      <c r="A1958">
        <v>33412</v>
      </c>
      <c r="B1958" t="s">
        <v>13</v>
      </c>
      <c r="C1958">
        <v>15</v>
      </c>
      <c r="D1958" t="s">
        <v>15</v>
      </c>
      <c r="E1958" t="s">
        <v>15</v>
      </c>
      <c r="F1958" t="s">
        <v>15</v>
      </c>
      <c r="G1958" t="s">
        <v>17</v>
      </c>
      <c r="H1958" t="s">
        <v>23</v>
      </c>
      <c r="I1958">
        <v>87.1</v>
      </c>
      <c r="J1958">
        <v>18.3</v>
      </c>
      <c r="K1958" t="s">
        <v>25</v>
      </c>
      <c r="L1958" t="s">
        <v>15</v>
      </c>
    </row>
    <row r="1959" spans="1:12" x14ac:dyDescent="0.3">
      <c r="A1959">
        <v>16061</v>
      </c>
      <c r="B1959" t="s">
        <v>13</v>
      </c>
      <c r="C1959">
        <v>1.56</v>
      </c>
      <c r="D1959" t="s">
        <v>15</v>
      </c>
      <c r="E1959" t="s">
        <v>15</v>
      </c>
      <c r="F1959" t="s">
        <v>15</v>
      </c>
      <c r="G1959" t="s">
        <v>20</v>
      </c>
      <c r="H1959" t="s">
        <v>22</v>
      </c>
      <c r="I1959">
        <v>113.4</v>
      </c>
      <c r="J1959">
        <v>19.5</v>
      </c>
      <c r="K1959" t="s">
        <v>27</v>
      </c>
      <c r="L1959" t="s">
        <v>15</v>
      </c>
    </row>
    <row r="1960" spans="1:12" x14ac:dyDescent="0.3">
      <c r="A1960">
        <v>60266</v>
      </c>
      <c r="B1960" t="s">
        <v>12</v>
      </c>
      <c r="C1960">
        <v>6</v>
      </c>
      <c r="D1960" t="s">
        <v>15</v>
      </c>
      <c r="E1960" t="s">
        <v>15</v>
      </c>
      <c r="F1960" t="s">
        <v>15</v>
      </c>
      <c r="G1960" t="s">
        <v>20</v>
      </c>
      <c r="H1960" t="s">
        <v>23</v>
      </c>
      <c r="I1960">
        <v>94.88</v>
      </c>
      <c r="J1960">
        <v>17.2</v>
      </c>
      <c r="K1960" t="s">
        <v>27</v>
      </c>
      <c r="L1960" t="s">
        <v>15</v>
      </c>
    </row>
    <row r="1961" spans="1:12" x14ac:dyDescent="0.3">
      <c r="A1961">
        <v>70965</v>
      </c>
      <c r="B1961" t="s">
        <v>12</v>
      </c>
      <c r="C1961">
        <v>3</v>
      </c>
      <c r="D1961" t="s">
        <v>15</v>
      </c>
      <c r="E1961" t="s">
        <v>15</v>
      </c>
      <c r="F1961" t="s">
        <v>15</v>
      </c>
      <c r="G1961" t="s">
        <v>20</v>
      </c>
      <c r="H1961" t="s">
        <v>22</v>
      </c>
      <c r="I1961">
        <v>82.73</v>
      </c>
      <c r="J1961">
        <v>20.8</v>
      </c>
      <c r="K1961" t="s">
        <v>27</v>
      </c>
      <c r="L1961" t="s">
        <v>15</v>
      </c>
    </row>
    <row r="1962" spans="1:12" x14ac:dyDescent="0.3">
      <c r="A1962">
        <v>56736</v>
      </c>
      <c r="B1962" t="s">
        <v>12</v>
      </c>
      <c r="C1962">
        <v>18</v>
      </c>
      <c r="D1962" t="s">
        <v>15</v>
      </c>
      <c r="E1962" t="s">
        <v>15</v>
      </c>
      <c r="F1962" t="s">
        <v>15</v>
      </c>
      <c r="G1962" t="s">
        <v>17</v>
      </c>
      <c r="H1962" t="s">
        <v>23</v>
      </c>
      <c r="I1962">
        <v>67.8</v>
      </c>
      <c r="J1962">
        <v>23.8</v>
      </c>
      <c r="K1962" t="s">
        <v>27</v>
      </c>
      <c r="L1962" t="s">
        <v>15</v>
      </c>
    </row>
    <row r="1963" spans="1:12" x14ac:dyDescent="0.3">
      <c r="A1963">
        <v>6537</v>
      </c>
      <c r="B1963" t="s">
        <v>13</v>
      </c>
      <c r="C1963">
        <v>53</v>
      </c>
      <c r="D1963" t="s">
        <v>15</v>
      </c>
      <c r="E1963" t="s">
        <v>15</v>
      </c>
      <c r="F1963" t="s">
        <v>16</v>
      </c>
      <c r="G1963" t="s">
        <v>18</v>
      </c>
      <c r="H1963" t="s">
        <v>22</v>
      </c>
      <c r="I1963">
        <v>84.85</v>
      </c>
      <c r="J1963">
        <v>24.7</v>
      </c>
      <c r="K1963" t="s">
        <v>25</v>
      </c>
      <c r="L1963" t="s">
        <v>15</v>
      </c>
    </row>
    <row r="1964" spans="1:12" x14ac:dyDescent="0.3">
      <c r="A1964">
        <v>41827</v>
      </c>
      <c r="B1964" t="s">
        <v>12</v>
      </c>
      <c r="C1964">
        <v>58</v>
      </c>
      <c r="D1964" t="s">
        <v>15</v>
      </c>
      <c r="E1964" t="s">
        <v>15</v>
      </c>
      <c r="F1964" t="s">
        <v>16</v>
      </c>
      <c r="G1964" t="s">
        <v>17</v>
      </c>
      <c r="H1964" t="s">
        <v>23</v>
      </c>
      <c r="I1964">
        <v>135.88999999999999</v>
      </c>
      <c r="J1964">
        <v>23.1</v>
      </c>
      <c r="K1964" t="s">
        <v>24</v>
      </c>
      <c r="L1964" t="s">
        <v>15</v>
      </c>
    </row>
    <row r="1965" spans="1:12" x14ac:dyDescent="0.3">
      <c r="A1965">
        <v>49480</v>
      </c>
      <c r="B1965" t="s">
        <v>13</v>
      </c>
      <c r="C1965">
        <v>31</v>
      </c>
      <c r="D1965" t="s">
        <v>15</v>
      </c>
      <c r="E1965" t="s">
        <v>15</v>
      </c>
      <c r="F1965" t="s">
        <v>15</v>
      </c>
      <c r="G1965" t="s">
        <v>17</v>
      </c>
      <c r="H1965" t="s">
        <v>22</v>
      </c>
      <c r="I1965">
        <v>106.13</v>
      </c>
      <c r="J1965">
        <v>22.4</v>
      </c>
      <c r="K1965" t="s">
        <v>25</v>
      </c>
      <c r="L1965" t="s">
        <v>15</v>
      </c>
    </row>
    <row r="1966" spans="1:12" x14ac:dyDescent="0.3">
      <c r="A1966">
        <v>36704</v>
      </c>
      <c r="B1966" t="s">
        <v>13</v>
      </c>
      <c r="C1966">
        <v>29</v>
      </c>
      <c r="D1966" t="s">
        <v>15</v>
      </c>
      <c r="E1966" t="s">
        <v>15</v>
      </c>
      <c r="F1966" t="s">
        <v>16</v>
      </c>
      <c r="G1966" t="s">
        <v>18</v>
      </c>
      <c r="H1966" t="s">
        <v>23</v>
      </c>
      <c r="I1966">
        <v>74.33</v>
      </c>
      <c r="J1966">
        <v>29.9</v>
      </c>
      <c r="K1966" t="s">
        <v>26</v>
      </c>
      <c r="L1966" t="s">
        <v>15</v>
      </c>
    </row>
    <row r="1967" spans="1:12" x14ac:dyDescent="0.3">
      <c r="A1967">
        <v>8884</v>
      </c>
      <c r="B1967" t="s">
        <v>13</v>
      </c>
      <c r="C1967">
        <v>5</v>
      </c>
      <c r="D1967" t="s">
        <v>15</v>
      </c>
      <c r="E1967" t="s">
        <v>15</v>
      </c>
      <c r="F1967" t="s">
        <v>15</v>
      </c>
      <c r="G1967" t="s">
        <v>20</v>
      </c>
      <c r="H1967" t="s">
        <v>23</v>
      </c>
      <c r="I1967">
        <v>109.4</v>
      </c>
      <c r="J1967">
        <v>20</v>
      </c>
      <c r="K1967" t="s">
        <v>27</v>
      </c>
      <c r="L1967" t="s">
        <v>15</v>
      </c>
    </row>
    <row r="1968" spans="1:12" x14ac:dyDescent="0.3">
      <c r="A1968">
        <v>49775</v>
      </c>
      <c r="B1968" t="s">
        <v>12</v>
      </c>
      <c r="C1968">
        <v>40</v>
      </c>
      <c r="D1968" t="s">
        <v>15</v>
      </c>
      <c r="E1968" t="s">
        <v>15</v>
      </c>
      <c r="F1968" t="s">
        <v>16</v>
      </c>
      <c r="G1968" t="s">
        <v>17</v>
      </c>
      <c r="H1968" t="s">
        <v>23</v>
      </c>
      <c r="I1968">
        <v>75.400000000000006</v>
      </c>
      <c r="J1968">
        <v>28.7</v>
      </c>
      <c r="K1968" t="s">
        <v>27</v>
      </c>
      <c r="L1968" t="s">
        <v>15</v>
      </c>
    </row>
    <row r="1969" spans="1:12" x14ac:dyDescent="0.3">
      <c r="A1969">
        <v>25777</v>
      </c>
      <c r="B1969" t="s">
        <v>12</v>
      </c>
      <c r="C1969">
        <v>75</v>
      </c>
      <c r="D1969" t="s">
        <v>15</v>
      </c>
      <c r="E1969" t="s">
        <v>15</v>
      </c>
      <c r="F1969" t="s">
        <v>16</v>
      </c>
      <c r="G1969" t="s">
        <v>17</v>
      </c>
      <c r="H1969" t="s">
        <v>23</v>
      </c>
      <c r="I1969">
        <v>87.69</v>
      </c>
      <c r="J1969">
        <v>26.2</v>
      </c>
      <c r="K1969" t="s">
        <v>24</v>
      </c>
      <c r="L1969" t="s">
        <v>15</v>
      </c>
    </row>
    <row r="1970" spans="1:12" x14ac:dyDescent="0.3">
      <c r="A1970">
        <v>2070</v>
      </c>
      <c r="B1970" t="s">
        <v>12</v>
      </c>
      <c r="C1970">
        <v>52</v>
      </c>
      <c r="D1970" t="s">
        <v>15</v>
      </c>
      <c r="E1970" t="s">
        <v>15</v>
      </c>
      <c r="F1970" t="s">
        <v>16</v>
      </c>
      <c r="G1970" t="s">
        <v>17</v>
      </c>
      <c r="H1970" t="s">
        <v>22</v>
      </c>
      <c r="I1970">
        <v>95.85</v>
      </c>
      <c r="J1970">
        <v>29.6</v>
      </c>
      <c r="K1970" t="s">
        <v>26</v>
      </c>
      <c r="L1970" t="s">
        <v>15</v>
      </c>
    </row>
    <row r="1971" spans="1:12" x14ac:dyDescent="0.3">
      <c r="A1971">
        <v>15752</v>
      </c>
      <c r="B1971" t="s">
        <v>12</v>
      </c>
      <c r="C1971">
        <v>39</v>
      </c>
      <c r="D1971" t="s">
        <v>15</v>
      </c>
      <c r="E1971" t="s">
        <v>15</v>
      </c>
      <c r="F1971" t="s">
        <v>16</v>
      </c>
      <c r="G1971" t="s">
        <v>17</v>
      </c>
      <c r="H1971" t="s">
        <v>22</v>
      </c>
      <c r="I1971">
        <v>90.36</v>
      </c>
      <c r="J1971">
        <v>30.8</v>
      </c>
      <c r="K1971" t="s">
        <v>24</v>
      </c>
      <c r="L1971" t="s">
        <v>15</v>
      </c>
    </row>
    <row r="1972" spans="1:12" x14ac:dyDescent="0.3">
      <c r="A1972">
        <v>45915</v>
      </c>
      <c r="B1972" t="s">
        <v>13</v>
      </c>
      <c r="C1972">
        <v>40</v>
      </c>
      <c r="D1972" t="s">
        <v>15</v>
      </c>
      <c r="E1972" t="s">
        <v>15</v>
      </c>
      <c r="F1972" t="s">
        <v>15</v>
      </c>
      <c r="G1972" t="s">
        <v>17</v>
      </c>
      <c r="H1972" t="s">
        <v>23</v>
      </c>
      <c r="I1972">
        <v>63.45</v>
      </c>
      <c r="J1972">
        <v>32.700000000000003</v>
      </c>
      <c r="K1972" t="s">
        <v>24</v>
      </c>
      <c r="L1972" t="s">
        <v>15</v>
      </c>
    </row>
    <row r="1973" spans="1:12" x14ac:dyDescent="0.3">
      <c r="A1973">
        <v>48775</v>
      </c>
      <c r="B1973" t="s">
        <v>13</v>
      </c>
      <c r="C1973">
        <v>78</v>
      </c>
      <c r="D1973" t="s">
        <v>16</v>
      </c>
      <c r="E1973" t="s">
        <v>15</v>
      </c>
      <c r="F1973" t="s">
        <v>16</v>
      </c>
      <c r="G1973" t="s">
        <v>18</v>
      </c>
      <c r="H1973" t="s">
        <v>23</v>
      </c>
      <c r="I1973">
        <v>201.07</v>
      </c>
      <c r="J1973">
        <v>21.8</v>
      </c>
      <c r="K1973" t="s">
        <v>27</v>
      </c>
      <c r="L1973" t="s">
        <v>15</v>
      </c>
    </row>
    <row r="1974" spans="1:12" x14ac:dyDescent="0.3">
      <c r="A1974">
        <v>65697</v>
      </c>
      <c r="B1974" t="s">
        <v>13</v>
      </c>
      <c r="C1974">
        <v>39</v>
      </c>
      <c r="D1974" t="s">
        <v>15</v>
      </c>
      <c r="E1974" t="s">
        <v>15</v>
      </c>
      <c r="F1974" t="s">
        <v>16</v>
      </c>
      <c r="G1974" t="s">
        <v>17</v>
      </c>
      <c r="H1974" t="s">
        <v>22</v>
      </c>
      <c r="I1974">
        <v>122.91</v>
      </c>
      <c r="J1974">
        <v>35.700000000000003</v>
      </c>
      <c r="K1974" t="s">
        <v>25</v>
      </c>
      <c r="L1974" t="s">
        <v>15</v>
      </c>
    </row>
    <row r="1975" spans="1:12" x14ac:dyDescent="0.3">
      <c r="A1975">
        <v>65229</v>
      </c>
      <c r="B1975" t="s">
        <v>13</v>
      </c>
      <c r="C1975">
        <v>17</v>
      </c>
      <c r="D1975" t="s">
        <v>15</v>
      </c>
      <c r="E1975" t="s">
        <v>15</v>
      </c>
      <c r="F1975" t="s">
        <v>15</v>
      </c>
      <c r="G1975" t="s">
        <v>17</v>
      </c>
      <c r="H1975" t="s">
        <v>23</v>
      </c>
      <c r="I1975">
        <v>55.41</v>
      </c>
      <c r="J1975">
        <v>25.4</v>
      </c>
      <c r="K1975" t="s">
        <v>27</v>
      </c>
      <c r="L1975" t="s">
        <v>15</v>
      </c>
    </row>
    <row r="1976" spans="1:12" x14ac:dyDescent="0.3">
      <c r="A1976">
        <v>56889</v>
      </c>
      <c r="B1976" t="s">
        <v>12</v>
      </c>
      <c r="C1976">
        <v>45</v>
      </c>
      <c r="D1976" t="s">
        <v>16</v>
      </c>
      <c r="E1976" t="s">
        <v>15</v>
      </c>
      <c r="F1976" t="s">
        <v>16</v>
      </c>
      <c r="G1976" t="s">
        <v>17</v>
      </c>
      <c r="H1976" t="s">
        <v>22</v>
      </c>
      <c r="I1976">
        <v>60.99</v>
      </c>
      <c r="J1976">
        <v>32.799999999999997</v>
      </c>
      <c r="K1976" t="s">
        <v>27</v>
      </c>
      <c r="L1976" t="s">
        <v>15</v>
      </c>
    </row>
    <row r="1977" spans="1:12" x14ac:dyDescent="0.3">
      <c r="A1977">
        <v>6596</v>
      </c>
      <c r="B1977" t="s">
        <v>12</v>
      </c>
      <c r="C1977">
        <v>0.56000000000000005</v>
      </c>
      <c r="D1977" t="s">
        <v>15</v>
      </c>
      <c r="E1977" t="s">
        <v>15</v>
      </c>
      <c r="F1977" t="s">
        <v>15</v>
      </c>
      <c r="G1977" t="s">
        <v>20</v>
      </c>
      <c r="H1977" t="s">
        <v>23</v>
      </c>
      <c r="I1977">
        <v>111.77</v>
      </c>
      <c r="J1977">
        <v>21.1</v>
      </c>
      <c r="K1977" t="s">
        <v>27</v>
      </c>
      <c r="L1977" t="s">
        <v>15</v>
      </c>
    </row>
    <row r="1978" spans="1:12" x14ac:dyDescent="0.3">
      <c r="A1978">
        <v>46577</v>
      </c>
      <c r="B1978" t="s">
        <v>13</v>
      </c>
      <c r="C1978">
        <v>13</v>
      </c>
      <c r="D1978" t="s">
        <v>15</v>
      </c>
      <c r="E1978" t="s">
        <v>15</v>
      </c>
      <c r="F1978" t="s">
        <v>15</v>
      </c>
      <c r="G1978" t="s">
        <v>17</v>
      </c>
      <c r="H1978" t="s">
        <v>22</v>
      </c>
      <c r="I1978">
        <v>77.63</v>
      </c>
      <c r="J1978">
        <v>31.7</v>
      </c>
      <c r="K1978" t="s">
        <v>25</v>
      </c>
      <c r="L1978" t="s">
        <v>15</v>
      </c>
    </row>
    <row r="1979" spans="1:12" x14ac:dyDescent="0.3">
      <c r="A1979">
        <v>63455</v>
      </c>
      <c r="B1979" t="s">
        <v>12</v>
      </c>
      <c r="C1979">
        <v>26</v>
      </c>
      <c r="D1979" t="s">
        <v>15</v>
      </c>
      <c r="E1979" t="s">
        <v>15</v>
      </c>
      <c r="F1979" t="s">
        <v>16</v>
      </c>
      <c r="G1979" t="s">
        <v>17</v>
      </c>
      <c r="H1979" t="s">
        <v>22</v>
      </c>
      <c r="I1979">
        <v>70.61</v>
      </c>
      <c r="J1979">
        <v>20</v>
      </c>
      <c r="K1979" t="s">
        <v>25</v>
      </c>
      <c r="L1979" t="s">
        <v>15</v>
      </c>
    </row>
    <row r="1980" spans="1:12" x14ac:dyDescent="0.3">
      <c r="A1980">
        <v>21724</v>
      </c>
      <c r="B1980" t="s">
        <v>13</v>
      </c>
      <c r="C1980">
        <v>42</v>
      </c>
      <c r="D1980" t="s">
        <v>15</v>
      </c>
      <c r="E1980" t="s">
        <v>15</v>
      </c>
      <c r="F1980" t="s">
        <v>16</v>
      </c>
      <c r="G1980" t="s">
        <v>18</v>
      </c>
      <c r="H1980" t="s">
        <v>22</v>
      </c>
      <c r="I1980">
        <v>124.34</v>
      </c>
      <c r="J1980">
        <v>34.700000000000003</v>
      </c>
      <c r="K1980" t="s">
        <v>24</v>
      </c>
      <c r="L1980" t="s">
        <v>15</v>
      </c>
    </row>
    <row r="1981" spans="1:12" x14ac:dyDescent="0.3">
      <c r="A1981">
        <v>29863</v>
      </c>
      <c r="B1981" t="s">
        <v>12</v>
      </c>
      <c r="C1981">
        <v>44</v>
      </c>
      <c r="D1981" t="s">
        <v>15</v>
      </c>
      <c r="E1981" t="s">
        <v>15</v>
      </c>
      <c r="F1981" t="s">
        <v>15</v>
      </c>
      <c r="G1981" t="s">
        <v>17</v>
      </c>
      <c r="H1981" t="s">
        <v>22</v>
      </c>
      <c r="I1981">
        <v>103.44</v>
      </c>
      <c r="J1981">
        <v>28</v>
      </c>
      <c r="K1981" t="s">
        <v>25</v>
      </c>
      <c r="L1981" t="s">
        <v>15</v>
      </c>
    </row>
    <row r="1982" spans="1:12" x14ac:dyDescent="0.3">
      <c r="A1982">
        <v>69249</v>
      </c>
      <c r="B1982" t="s">
        <v>13</v>
      </c>
      <c r="C1982">
        <v>3</v>
      </c>
      <c r="D1982" t="s">
        <v>15</v>
      </c>
      <c r="E1982" t="s">
        <v>15</v>
      </c>
      <c r="F1982" t="s">
        <v>15</v>
      </c>
      <c r="G1982" t="s">
        <v>20</v>
      </c>
      <c r="H1982" t="s">
        <v>22</v>
      </c>
      <c r="I1982">
        <v>124.5</v>
      </c>
      <c r="J1982">
        <v>16.399999999999999</v>
      </c>
      <c r="K1982" t="s">
        <v>27</v>
      </c>
      <c r="L1982" t="s">
        <v>15</v>
      </c>
    </row>
    <row r="1983" spans="1:12" x14ac:dyDescent="0.3">
      <c r="A1983">
        <v>8968</v>
      </c>
      <c r="B1983" t="s">
        <v>13</v>
      </c>
      <c r="C1983">
        <v>42</v>
      </c>
      <c r="D1983" t="s">
        <v>15</v>
      </c>
      <c r="E1983" t="s">
        <v>15</v>
      </c>
      <c r="F1983" t="s">
        <v>16</v>
      </c>
      <c r="G1983" t="s">
        <v>17</v>
      </c>
      <c r="H1983" t="s">
        <v>22</v>
      </c>
      <c r="I1983">
        <v>208.06</v>
      </c>
      <c r="K1983" t="s">
        <v>26</v>
      </c>
      <c r="L1983" t="s">
        <v>15</v>
      </c>
    </row>
    <row r="1984" spans="1:12" x14ac:dyDescent="0.3">
      <c r="A1984">
        <v>20310</v>
      </c>
      <c r="B1984" t="s">
        <v>12</v>
      </c>
      <c r="C1984">
        <v>25</v>
      </c>
      <c r="D1984" t="s">
        <v>15</v>
      </c>
      <c r="E1984" t="s">
        <v>15</v>
      </c>
      <c r="F1984" t="s">
        <v>15</v>
      </c>
      <c r="G1984" t="s">
        <v>19</v>
      </c>
      <c r="H1984" t="s">
        <v>22</v>
      </c>
      <c r="I1984">
        <v>75.5</v>
      </c>
      <c r="J1984">
        <v>24.6</v>
      </c>
      <c r="K1984" t="s">
        <v>25</v>
      </c>
      <c r="L1984" t="s">
        <v>15</v>
      </c>
    </row>
    <row r="1985" spans="1:12" x14ac:dyDescent="0.3">
      <c r="A1985">
        <v>11450</v>
      </c>
      <c r="B1985" t="s">
        <v>13</v>
      </c>
      <c r="C1985">
        <v>41</v>
      </c>
      <c r="D1985" t="s">
        <v>15</v>
      </c>
      <c r="E1985" t="s">
        <v>15</v>
      </c>
      <c r="F1985" t="s">
        <v>16</v>
      </c>
      <c r="G1985" t="s">
        <v>18</v>
      </c>
      <c r="H1985" t="s">
        <v>22</v>
      </c>
      <c r="I1985">
        <v>98.85</v>
      </c>
      <c r="J1985">
        <v>24.6</v>
      </c>
      <c r="K1985" t="s">
        <v>25</v>
      </c>
      <c r="L1985" t="s">
        <v>15</v>
      </c>
    </row>
    <row r="1986" spans="1:12" x14ac:dyDescent="0.3">
      <c r="A1986">
        <v>31999</v>
      </c>
      <c r="B1986" t="s">
        <v>12</v>
      </c>
      <c r="C1986">
        <v>51</v>
      </c>
      <c r="D1986" t="s">
        <v>15</v>
      </c>
      <c r="E1986" t="s">
        <v>16</v>
      </c>
      <c r="F1986" t="s">
        <v>16</v>
      </c>
      <c r="G1986" t="s">
        <v>17</v>
      </c>
      <c r="H1986" t="s">
        <v>23</v>
      </c>
      <c r="I1986">
        <v>96.06</v>
      </c>
      <c r="J1986">
        <v>30.3</v>
      </c>
      <c r="K1986" t="s">
        <v>27</v>
      </c>
      <c r="L1986" t="s">
        <v>15</v>
      </c>
    </row>
    <row r="1987" spans="1:12" x14ac:dyDescent="0.3">
      <c r="A1987">
        <v>34133</v>
      </c>
      <c r="B1987" t="s">
        <v>13</v>
      </c>
      <c r="C1987">
        <v>20</v>
      </c>
      <c r="D1987" t="s">
        <v>15</v>
      </c>
      <c r="E1987" t="s">
        <v>15</v>
      </c>
      <c r="F1987" t="s">
        <v>15</v>
      </c>
      <c r="G1987" t="s">
        <v>17</v>
      </c>
      <c r="H1987" t="s">
        <v>23</v>
      </c>
      <c r="I1987">
        <v>93.74</v>
      </c>
      <c r="J1987">
        <v>23.7</v>
      </c>
      <c r="K1987" t="s">
        <v>27</v>
      </c>
      <c r="L1987" t="s">
        <v>15</v>
      </c>
    </row>
    <row r="1988" spans="1:12" x14ac:dyDescent="0.3">
      <c r="A1988">
        <v>44202</v>
      </c>
      <c r="B1988" t="s">
        <v>13</v>
      </c>
      <c r="C1988">
        <v>25</v>
      </c>
      <c r="D1988" t="s">
        <v>15</v>
      </c>
      <c r="E1988" t="s">
        <v>15</v>
      </c>
      <c r="F1988" t="s">
        <v>16</v>
      </c>
      <c r="G1988" t="s">
        <v>17</v>
      </c>
      <c r="H1988" t="s">
        <v>22</v>
      </c>
      <c r="I1988">
        <v>65.599999999999994</v>
      </c>
      <c r="J1988">
        <v>33.5</v>
      </c>
      <c r="K1988" t="s">
        <v>25</v>
      </c>
      <c r="L1988" t="s">
        <v>15</v>
      </c>
    </row>
    <row r="1989" spans="1:12" x14ac:dyDescent="0.3">
      <c r="A1989">
        <v>72311</v>
      </c>
      <c r="B1989" t="s">
        <v>12</v>
      </c>
      <c r="C1989">
        <v>18</v>
      </c>
      <c r="D1989" t="s">
        <v>15</v>
      </c>
      <c r="E1989" t="s">
        <v>15</v>
      </c>
      <c r="F1989" t="s">
        <v>15</v>
      </c>
      <c r="G1989" t="s">
        <v>17</v>
      </c>
      <c r="H1989" t="s">
        <v>22</v>
      </c>
      <c r="I1989">
        <v>113.24</v>
      </c>
      <c r="J1989">
        <v>24.9</v>
      </c>
      <c r="K1989" t="s">
        <v>27</v>
      </c>
      <c r="L1989" t="s">
        <v>15</v>
      </c>
    </row>
    <row r="1990" spans="1:12" x14ac:dyDescent="0.3">
      <c r="A1990">
        <v>18704</v>
      </c>
      <c r="B1990" t="s">
        <v>13</v>
      </c>
      <c r="C1990">
        <v>37</v>
      </c>
      <c r="D1990" t="s">
        <v>15</v>
      </c>
      <c r="E1990" t="s">
        <v>15</v>
      </c>
      <c r="F1990" t="s">
        <v>16</v>
      </c>
      <c r="G1990" t="s">
        <v>17</v>
      </c>
      <c r="H1990" t="s">
        <v>23</v>
      </c>
      <c r="I1990">
        <v>94.77</v>
      </c>
      <c r="J1990">
        <v>48.9</v>
      </c>
      <c r="K1990" t="s">
        <v>27</v>
      </c>
      <c r="L1990" t="s">
        <v>15</v>
      </c>
    </row>
    <row r="1991" spans="1:12" x14ac:dyDescent="0.3">
      <c r="A1991">
        <v>36518</v>
      </c>
      <c r="B1991" t="s">
        <v>13</v>
      </c>
      <c r="C1991">
        <v>51</v>
      </c>
      <c r="D1991" t="s">
        <v>15</v>
      </c>
      <c r="E1991" t="s">
        <v>15</v>
      </c>
      <c r="F1991" t="s">
        <v>16</v>
      </c>
      <c r="G1991" t="s">
        <v>17</v>
      </c>
      <c r="H1991" t="s">
        <v>22</v>
      </c>
      <c r="I1991">
        <v>145.22</v>
      </c>
      <c r="J1991">
        <v>31.4</v>
      </c>
      <c r="K1991" t="s">
        <v>27</v>
      </c>
      <c r="L1991" t="s">
        <v>15</v>
      </c>
    </row>
    <row r="1992" spans="1:12" x14ac:dyDescent="0.3">
      <c r="A1992">
        <v>35651</v>
      </c>
      <c r="B1992" t="s">
        <v>12</v>
      </c>
      <c r="C1992">
        <v>2</v>
      </c>
      <c r="D1992" t="s">
        <v>15</v>
      </c>
      <c r="E1992" t="s">
        <v>15</v>
      </c>
      <c r="F1992" t="s">
        <v>15</v>
      </c>
      <c r="G1992" t="s">
        <v>20</v>
      </c>
      <c r="H1992" t="s">
        <v>22</v>
      </c>
      <c r="I1992">
        <v>112.92</v>
      </c>
      <c r="J1992">
        <v>18.399999999999999</v>
      </c>
      <c r="K1992" t="s">
        <v>27</v>
      </c>
      <c r="L1992" t="s">
        <v>15</v>
      </c>
    </row>
    <row r="1993" spans="1:12" x14ac:dyDescent="0.3">
      <c r="A1993">
        <v>13749</v>
      </c>
      <c r="B1993" t="s">
        <v>13</v>
      </c>
      <c r="C1993">
        <v>38</v>
      </c>
      <c r="D1993" t="s">
        <v>15</v>
      </c>
      <c r="E1993" t="s">
        <v>15</v>
      </c>
      <c r="F1993" t="s">
        <v>16</v>
      </c>
      <c r="G1993" t="s">
        <v>17</v>
      </c>
      <c r="H1993" t="s">
        <v>23</v>
      </c>
      <c r="I1993">
        <v>84.79</v>
      </c>
      <c r="J1993">
        <v>24.2</v>
      </c>
      <c r="K1993" t="s">
        <v>24</v>
      </c>
      <c r="L1993" t="s">
        <v>15</v>
      </c>
    </row>
    <row r="1994" spans="1:12" x14ac:dyDescent="0.3">
      <c r="A1994">
        <v>21521</v>
      </c>
      <c r="B1994" t="s">
        <v>12</v>
      </c>
      <c r="C1994">
        <v>64</v>
      </c>
      <c r="D1994" t="s">
        <v>15</v>
      </c>
      <c r="E1994" t="s">
        <v>16</v>
      </c>
      <c r="F1994" t="s">
        <v>16</v>
      </c>
      <c r="G1994" t="s">
        <v>17</v>
      </c>
      <c r="H1994" t="s">
        <v>22</v>
      </c>
      <c r="I1994">
        <v>103.28</v>
      </c>
      <c r="J1994">
        <v>34.299999999999997</v>
      </c>
      <c r="K1994" t="s">
        <v>26</v>
      </c>
      <c r="L1994" t="s">
        <v>15</v>
      </c>
    </row>
    <row r="1995" spans="1:12" x14ac:dyDescent="0.3">
      <c r="A1995">
        <v>27163</v>
      </c>
      <c r="B1995" t="s">
        <v>13</v>
      </c>
      <c r="C1995">
        <v>60</v>
      </c>
      <c r="D1995" t="s">
        <v>16</v>
      </c>
      <c r="E1995" t="s">
        <v>15</v>
      </c>
      <c r="F1995" t="s">
        <v>16</v>
      </c>
      <c r="G1995" t="s">
        <v>17</v>
      </c>
      <c r="H1995" t="s">
        <v>22</v>
      </c>
      <c r="I1995">
        <v>109</v>
      </c>
      <c r="K1995" t="s">
        <v>27</v>
      </c>
      <c r="L1995" t="s">
        <v>15</v>
      </c>
    </row>
    <row r="1996" spans="1:12" x14ac:dyDescent="0.3">
      <c r="A1996">
        <v>8882</v>
      </c>
      <c r="B1996" t="s">
        <v>12</v>
      </c>
      <c r="C1996">
        <v>22</v>
      </c>
      <c r="D1996" t="s">
        <v>15</v>
      </c>
      <c r="E1996" t="s">
        <v>15</v>
      </c>
      <c r="F1996" t="s">
        <v>15</v>
      </c>
      <c r="G1996" t="s">
        <v>19</v>
      </c>
      <c r="H1996" t="s">
        <v>23</v>
      </c>
      <c r="I1996">
        <v>96.18</v>
      </c>
      <c r="J1996">
        <v>25.1</v>
      </c>
      <c r="K1996" t="s">
        <v>25</v>
      </c>
      <c r="L1996" t="s">
        <v>15</v>
      </c>
    </row>
    <row r="1997" spans="1:12" x14ac:dyDescent="0.3">
      <c r="A1997">
        <v>32016</v>
      </c>
      <c r="B1997" t="s">
        <v>12</v>
      </c>
      <c r="C1997">
        <v>71</v>
      </c>
      <c r="D1997" t="s">
        <v>16</v>
      </c>
      <c r="E1997" t="s">
        <v>15</v>
      </c>
      <c r="F1997" t="s">
        <v>16</v>
      </c>
      <c r="G1997" t="s">
        <v>17</v>
      </c>
      <c r="H1997" t="s">
        <v>23</v>
      </c>
      <c r="I1997">
        <v>186.95</v>
      </c>
      <c r="J1997">
        <v>33.299999999999997</v>
      </c>
      <c r="K1997" t="s">
        <v>25</v>
      </c>
      <c r="L1997" t="s">
        <v>15</v>
      </c>
    </row>
    <row r="1998" spans="1:12" x14ac:dyDescent="0.3">
      <c r="A1998">
        <v>14287</v>
      </c>
      <c r="B1998" t="s">
        <v>13</v>
      </c>
      <c r="C1998">
        <v>32</v>
      </c>
      <c r="D1998" t="s">
        <v>15</v>
      </c>
      <c r="E1998" t="s">
        <v>15</v>
      </c>
      <c r="F1998" t="s">
        <v>16</v>
      </c>
      <c r="G1998" t="s">
        <v>17</v>
      </c>
      <c r="H1998" t="s">
        <v>22</v>
      </c>
      <c r="I1998">
        <v>68.66</v>
      </c>
      <c r="J1998">
        <v>22.6</v>
      </c>
      <c r="K1998" t="s">
        <v>27</v>
      </c>
      <c r="L1998" t="s">
        <v>15</v>
      </c>
    </row>
    <row r="1999" spans="1:12" x14ac:dyDescent="0.3">
      <c r="A1999">
        <v>60139</v>
      </c>
      <c r="B1999" t="s">
        <v>13</v>
      </c>
      <c r="C1999">
        <v>32</v>
      </c>
      <c r="D1999" t="s">
        <v>15</v>
      </c>
      <c r="E1999" t="s">
        <v>15</v>
      </c>
      <c r="F1999" t="s">
        <v>16</v>
      </c>
      <c r="G1999" t="s">
        <v>18</v>
      </c>
      <c r="H1999" t="s">
        <v>23</v>
      </c>
      <c r="I1999">
        <v>128.72</v>
      </c>
      <c r="J1999">
        <v>26.3</v>
      </c>
      <c r="K1999" t="s">
        <v>26</v>
      </c>
      <c r="L1999" t="s">
        <v>15</v>
      </c>
    </row>
    <row r="2000" spans="1:12" x14ac:dyDescent="0.3">
      <c r="A2000">
        <v>2447</v>
      </c>
      <c r="B2000" t="s">
        <v>13</v>
      </c>
      <c r="C2000">
        <v>63</v>
      </c>
      <c r="D2000" t="s">
        <v>15</v>
      </c>
      <c r="E2000" t="s">
        <v>15</v>
      </c>
      <c r="F2000" t="s">
        <v>16</v>
      </c>
      <c r="G2000" t="s">
        <v>17</v>
      </c>
      <c r="H2000" t="s">
        <v>22</v>
      </c>
      <c r="I2000">
        <v>85.04</v>
      </c>
      <c r="J2000">
        <v>29.7</v>
      </c>
      <c r="K2000" t="s">
        <v>24</v>
      </c>
      <c r="L2000" t="s">
        <v>15</v>
      </c>
    </row>
    <row r="2001" spans="1:12" x14ac:dyDescent="0.3">
      <c r="A2001">
        <v>42500</v>
      </c>
      <c r="B2001" t="s">
        <v>12</v>
      </c>
      <c r="C2001">
        <v>0.24</v>
      </c>
      <c r="D2001" t="s">
        <v>15</v>
      </c>
      <c r="E2001" t="s">
        <v>15</v>
      </c>
      <c r="F2001" t="s">
        <v>15</v>
      </c>
      <c r="G2001" t="s">
        <v>20</v>
      </c>
      <c r="H2001" t="s">
        <v>23</v>
      </c>
      <c r="I2001">
        <v>146.97</v>
      </c>
      <c r="J2001">
        <v>18.5</v>
      </c>
      <c r="K2001" t="s">
        <v>27</v>
      </c>
      <c r="L2001" t="s">
        <v>15</v>
      </c>
    </row>
    <row r="2002" spans="1:12" x14ac:dyDescent="0.3">
      <c r="A2002">
        <v>44391</v>
      </c>
      <c r="B2002" t="s">
        <v>12</v>
      </c>
      <c r="C2002">
        <v>54</v>
      </c>
      <c r="D2002" t="s">
        <v>15</v>
      </c>
      <c r="E2002" t="s">
        <v>15</v>
      </c>
      <c r="F2002" t="s">
        <v>16</v>
      </c>
      <c r="G2002" t="s">
        <v>17</v>
      </c>
      <c r="H2002" t="s">
        <v>22</v>
      </c>
      <c r="I2002">
        <v>65.69</v>
      </c>
      <c r="J2002">
        <v>21.4</v>
      </c>
      <c r="K2002" t="s">
        <v>25</v>
      </c>
      <c r="L2002" t="s">
        <v>15</v>
      </c>
    </row>
    <row r="2003" spans="1:12" x14ac:dyDescent="0.3">
      <c r="A2003">
        <v>12741</v>
      </c>
      <c r="B2003" t="s">
        <v>13</v>
      </c>
      <c r="C2003">
        <v>25</v>
      </c>
      <c r="D2003" t="s">
        <v>15</v>
      </c>
      <c r="E2003" t="s">
        <v>15</v>
      </c>
      <c r="F2003" t="s">
        <v>16</v>
      </c>
      <c r="G2003" t="s">
        <v>17</v>
      </c>
      <c r="H2003" t="s">
        <v>23</v>
      </c>
      <c r="I2003">
        <v>97.52</v>
      </c>
      <c r="J2003">
        <v>45.5</v>
      </c>
      <c r="K2003" t="s">
        <v>24</v>
      </c>
      <c r="L2003" t="s">
        <v>15</v>
      </c>
    </row>
    <row r="2004" spans="1:12" x14ac:dyDescent="0.3">
      <c r="A2004">
        <v>15418</v>
      </c>
      <c r="B2004" t="s">
        <v>13</v>
      </c>
      <c r="C2004">
        <v>80</v>
      </c>
      <c r="D2004" t="s">
        <v>15</v>
      </c>
      <c r="E2004" t="s">
        <v>15</v>
      </c>
      <c r="F2004" t="s">
        <v>16</v>
      </c>
      <c r="G2004" t="s">
        <v>18</v>
      </c>
      <c r="H2004" t="s">
        <v>23</v>
      </c>
      <c r="I2004">
        <v>90.43</v>
      </c>
      <c r="J2004">
        <v>34.200000000000003</v>
      </c>
      <c r="K2004" t="s">
        <v>25</v>
      </c>
      <c r="L2004" t="s">
        <v>15</v>
      </c>
    </row>
    <row r="2005" spans="1:12" x14ac:dyDescent="0.3">
      <c r="A2005">
        <v>69482</v>
      </c>
      <c r="B2005" t="s">
        <v>13</v>
      </c>
      <c r="C2005">
        <v>31</v>
      </c>
      <c r="D2005" t="s">
        <v>15</v>
      </c>
      <c r="E2005" t="s">
        <v>15</v>
      </c>
      <c r="F2005" t="s">
        <v>16</v>
      </c>
      <c r="G2005" t="s">
        <v>19</v>
      </c>
      <c r="H2005" t="s">
        <v>22</v>
      </c>
      <c r="I2005">
        <v>81.709999999999994</v>
      </c>
      <c r="J2005">
        <v>32.700000000000003</v>
      </c>
      <c r="K2005" t="s">
        <v>27</v>
      </c>
      <c r="L2005" t="s">
        <v>15</v>
      </c>
    </row>
    <row r="2006" spans="1:12" x14ac:dyDescent="0.3">
      <c r="A2006">
        <v>32270</v>
      </c>
      <c r="B2006" t="s">
        <v>12</v>
      </c>
      <c r="C2006">
        <v>53</v>
      </c>
      <c r="D2006" t="s">
        <v>15</v>
      </c>
      <c r="E2006" t="s">
        <v>15</v>
      </c>
      <c r="F2006" t="s">
        <v>16</v>
      </c>
      <c r="G2006" t="s">
        <v>17</v>
      </c>
      <c r="H2006" t="s">
        <v>23</v>
      </c>
      <c r="I2006">
        <v>198.24</v>
      </c>
      <c r="J2006">
        <v>38.1</v>
      </c>
      <c r="K2006" t="s">
        <v>25</v>
      </c>
      <c r="L2006" t="s">
        <v>15</v>
      </c>
    </row>
    <row r="2007" spans="1:12" x14ac:dyDescent="0.3">
      <c r="A2007">
        <v>50983</v>
      </c>
      <c r="B2007" t="s">
        <v>12</v>
      </c>
      <c r="C2007">
        <v>35</v>
      </c>
      <c r="D2007" t="s">
        <v>15</v>
      </c>
      <c r="E2007" t="s">
        <v>15</v>
      </c>
      <c r="F2007" t="s">
        <v>16</v>
      </c>
      <c r="G2007" t="s">
        <v>17</v>
      </c>
      <c r="H2007" t="s">
        <v>23</v>
      </c>
      <c r="I2007">
        <v>90.51</v>
      </c>
      <c r="J2007">
        <v>26.7</v>
      </c>
      <c r="K2007" t="s">
        <v>25</v>
      </c>
      <c r="L2007" t="s">
        <v>15</v>
      </c>
    </row>
    <row r="2008" spans="1:12" x14ac:dyDescent="0.3">
      <c r="A2008">
        <v>6493</v>
      </c>
      <c r="B2008" t="s">
        <v>12</v>
      </c>
      <c r="C2008">
        <v>31</v>
      </c>
      <c r="D2008" t="s">
        <v>15</v>
      </c>
      <c r="E2008" t="s">
        <v>15</v>
      </c>
      <c r="F2008" t="s">
        <v>15</v>
      </c>
      <c r="G2008" t="s">
        <v>17</v>
      </c>
      <c r="H2008" t="s">
        <v>22</v>
      </c>
      <c r="I2008">
        <v>97.78</v>
      </c>
      <c r="J2008">
        <v>22.6</v>
      </c>
      <c r="K2008" t="s">
        <v>26</v>
      </c>
      <c r="L2008" t="s">
        <v>15</v>
      </c>
    </row>
    <row r="2009" spans="1:12" x14ac:dyDescent="0.3">
      <c r="A2009">
        <v>45399</v>
      </c>
      <c r="B2009" t="s">
        <v>12</v>
      </c>
      <c r="C2009">
        <v>60</v>
      </c>
      <c r="D2009" t="s">
        <v>15</v>
      </c>
      <c r="E2009" t="s">
        <v>15</v>
      </c>
      <c r="F2009" t="s">
        <v>16</v>
      </c>
      <c r="G2009" t="s">
        <v>17</v>
      </c>
      <c r="H2009" t="s">
        <v>22</v>
      </c>
      <c r="I2009">
        <v>80.739999999999995</v>
      </c>
      <c r="J2009">
        <v>27.7</v>
      </c>
      <c r="K2009" t="s">
        <v>27</v>
      </c>
      <c r="L2009" t="s">
        <v>15</v>
      </c>
    </row>
    <row r="2010" spans="1:12" x14ac:dyDescent="0.3">
      <c r="A2010">
        <v>67099</v>
      </c>
      <c r="B2010" t="s">
        <v>12</v>
      </c>
      <c r="C2010">
        <v>0.56000000000000005</v>
      </c>
      <c r="D2010" t="s">
        <v>15</v>
      </c>
      <c r="E2010" t="s">
        <v>15</v>
      </c>
      <c r="F2010" t="s">
        <v>15</v>
      </c>
      <c r="G2010" t="s">
        <v>20</v>
      </c>
      <c r="H2010" t="s">
        <v>23</v>
      </c>
      <c r="I2010">
        <v>57.02</v>
      </c>
      <c r="J2010">
        <v>20.7</v>
      </c>
      <c r="K2010" t="s">
        <v>27</v>
      </c>
      <c r="L2010" t="s">
        <v>15</v>
      </c>
    </row>
    <row r="2011" spans="1:12" x14ac:dyDescent="0.3">
      <c r="A2011">
        <v>19585</v>
      </c>
      <c r="B2011" t="s">
        <v>13</v>
      </c>
      <c r="C2011">
        <v>21</v>
      </c>
      <c r="D2011" t="s">
        <v>15</v>
      </c>
      <c r="E2011" t="s">
        <v>15</v>
      </c>
      <c r="F2011" t="s">
        <v>15</v>
      </c>
      <c r="G2011" t="s">
        <v>17</v>
      </c>
      <c r="H2011" t="s">
        <v>23</v>
      </c>
      <c r="I2011">
        <v>93</v>
      </c>
      <c r="J2011">
        <v>25.7</v>
      </c>
      <c r="K2011" t="s">
        <v>25</v>
      </c>
      <c r="L2011" t="s">
        <v>15</v>
      </c>
    </row>
    <row r="2012" spans="1:12" x14ac:dyDescent="0.3">
      <c r="A2012">
        <v>26247</v>
      </c>
      <c r="B2012" t="s">
        <v>13</v>
      </c>
      <c r="C2012">
        <v>78</v>
      </c>
      <c r="D2012" t="s">
        <v>15</v>
      </c>
      <c r="E2012" t="s">
        <v>15</v>
      </c>
      <c r="F2012" t="s">
        <v>16</v>
      </c>
      <c r="G2012" t="s">
        <v>17</v>
      </c>
      <c r="H2012" t="s">
        <v>23</v>
      </c>
      <c r="I2012">
        <v>95.37</v>
      </c>
      <c r="J2012">
        <v>17.3</v>
      </c>
      <c r="K2012" t="s">
        <v>27</v>
      </c>
      <c r="L2012" t="s">
        <v>15</v>
      </c>
    </row>
    <row r="2013" spans="1:12" x14ac:dyDescent="0.3">
      <c r="A2013">
        <v>25818</v>
      </c>
      <c r="B2013" t="s">
        <v>12</v>
      </c>
      <c r="C2013">
        <v>59</v>
      </c>
      <c r="D2013" t="s">
        <v>15</v>
      </c>
      <c r="E2013" t="s">
        <v>15</v>
      </c>
      <c r="F2013" t="s">
        <v>16</v>
      </c>
      <c r="G2013" t="s">
        <v>19</v>
      </c>
      <c r="H2013" t="s">
        <v>23</v>
      </c>
      <c r="I2013">
        <v>96.25</v>
      </c>
      <c r="J2013">
        <v>23.3</v>
      </c>
      <c r="K2013" t="s">
        <v>24</v>
      </c>
      <c r="L2013" t="s">
        <v>15</v>
      </c>
    </row>
    <row r="2014" spans="1:12" x14ac:dyDescent="0.3">
      <c r="A2014">
        <v>34261</v>
      </c>
      <c r="B2014" t="s">
        <v>12</v>
      </c>
      <c r="C2014">
        <v>0.64</v>
      </c>
      <c r="D2014" t="s">
        <v>15</v>
      </c>
      <c r="E2014" t="s">
        <v>15</v>
      </c>
      <c r="F2014" t="s">
        <v>15</v>
      </c>
      <c r="G2014" t="s">
        <v>20</v>
      </c>
      <c r="H2014" t="s">
        <v>23</v>
      </c>
      <c r="I2014">
        <v>86.74</v>
      </c>
      <c r="J2014">
        <v>16.2</v>
      </c>
      <c r="K2014" t="s">
        <v>27</v>
      </c>
      <c r="L2014" t="s">
        <v>15</v>
      </c>
    </row>
    <row r="2015" spans="1:12" x14ac:dyDescent="0.3">
      <c r="A2015">
        <v>64128</v>
      </c>
      <c r="B2015" t="s">
        <v>12</v>
      </c>
      <c r="C2015">
        <v>10</v>
      </c>
      <c r="D2015" t="s">
        <v>15</v>
      </c>
      <c r="E2015" t="s">
        <v>15</v>
      </c>
      <c r="F2015" t="s">
        <v>15</v>
      </c>
      <c r="G2015" t="s">
        <v>20</v>
      </c>
      <c r="H2015" t="s">
        <v>22</v>
      </c>
      <c r="I2015">
        <v>63.08</v>
      </c>
      <c r="J2015">
        <v>20.5</v>
      </c>
      <c r="K2015" t="s">
        <v>26</v>
      </c>
      <c r="L2015" t="s">
        <v>15</v>
      </c>
    </row>
    <row r="2016" spans="1:12" x14ac:dyDescent="0.3">
      <c r="A2016">
        <v>62817</v>
      </c>
      <c r="B2016" t="s">
        <v>12</v>
      </c>
      <c r="C2016">
        <v>60</v>
      </c>
      <c r="D2016" t="s">
        <v>15</v>
      </c>
      <c r="E2016" t="s">
        <v>15</v>
      </c>
      <c r="F2016" t="s">
        <v>16</v>
      </c>
      <c r="G2016" t="s">
        <v>17</v>
      </c>
      <c r="H2016" t="s">
        <v>22</v>
      </c>
      <c r="I2016">
        <v>129.16</v>
      </c>
      <c r="J2016">
        <v>33.6</v>
      </c>
      <c r="K2016" t="s">
        <v>26</v>
      </c>
      <c r="L2016" t="s">
        <v>15</v>
      </c>
    </row>
    <row r="2017" spans="1:12" x14ac:dyDescent="0.3">
      <c r="A2017">
        <v>69339</v>
      </c>
      <c r="B2017" t="s">
        <v>12</v>
      </c>
      <c r="C2017">
        <v>11</v>
      </c>
      <c r="D2017" t="s">
        <v>15</v>
      </c>
      <c r="E2017" t="s">
        <v>15</v>
      </c>
      <c r="F2017" t="s">
        <v>15</v>
      </c>
      <c r="G2017" t="s">
        <v>20</v>
      </c>
      <c r="H2017" t="s">
        <v>22</v>
      </c>
      <c r="I2017">
        <v>99.79</v>
      </c>
      <c r="J2017">
        <v>20.2</v>
      </c>
      <c r="K2017" t="s">
        <v>27</v>
      </c>
      <c r="L2017" t="s">
        <v>15</v>
      </c>
    </row>
    <row r="2018" spans="1:12" x14ac:dyDescent="0.3">
      <c r="A2018">
        <v>25919</v>
      </c>
      <c r="B2018" t="s">
        <v>12</v>
      </c>
      <c r="C2018">
        <v>48</v>
      </c>
      <c r="D2018" t="s">
        <v>16</v>
      </c>
      <c r="E2018" t="s">
        <v>15</v>
      </c>
      <c r="F2018" t="s">
        <v>16</v>
      </c>
      <c r="G2018" t="s">
        <v>18</v>
      </c>
      <c r="H2018" t="s">
        <v>22</v>
      </c>
      <c r="I2018">
        <v>83.34</v>
      </c>
      <c r="J2018">
        <v>49.3</v>
      </c>
      <c r="K2018" t="s">
        <v>25</v>
      </c>
      <c r="L2018" t="s">
        <v>15</v>
      </c>
    </row>
    <row r="2019" spans="1:12" x14ac:dyDescent="0.3">
      <c r="A2019">
        <v>71978</v>
      </c>
      <c r="B2019" t="s">
        <v>13</v>
      </c>
      <c r="C2019">
        <v>50</v>
      </c>
      <c r="D2019" t="s">
        <v>15</v>
      </c>
      <c r="E2019" t="s">
        <v>15</v>
      </c>
      <c r="F2019" t="s">
        <v>16</v>
      </c>
      <c r="G2019" t="s">
        <v>17</v>
      </c>
      <c r="H2019" t="s">
        <v>22</v>
      </c>
      <c r="I2019">
        <v>95.01</v>
      </c>
      <c r="J2019">
        <v>26.2</v>
      </c>
      <c r="K2019" t="s">
        <v>24</v>
      </c>
      <c r="L2019" t="s">
        <v>15</v>
      </c>
    </row>
    <row r="2020" spans="1:12" x14ac:dyDescent="0.3">
      <c r="A2020">
        <v>1473</v>
      </c>
      <c r="B2020" t="s">
        <v>12</v>
      </c>
      <c r="C2020">
        <v>69</v>
      </c>
      <c r="D2020" t="s">
        <v>16</v>
      </c>
      <c r="E2020" t="s">
        <v>15</v>
      </c>
      <c r="F2020" t="s">
        <v>16</v>
      </c>
      <c r="G2020" t="s">
        <v>17</v>
      </c>
      <c r="H2020" t="s">
        <v>22</v>
      </c>
      <c r="I2020">
        <v>229.21</v>
      </c>
      <c r="J2020">
        <v>30.1</v>
      </c>
      <c r="K2020" t="s">
        <v>26</v>
      </c>
      <c r="L2020" t="s">
        <v>15</v>
      </c>
    </row>
    <row r="2021" spans="1:12" x14ac:dyDescent="0.3">
      <c r="A2021">
        <v>66546</v>
      </c>
      <c r="B2021" t="s">
        <v>13</v>
      </c>
      <c r="C2021">
        <v>20</v>
      </c>
      <c r="D2021" t="s">
        <v>15</v>
      </c>
      <c r="E2021" t="s">
        <v>15</v>
      </c>
      <c r="F2021" t="s">
        <v>15</v>
      </c>
      <c r="G2021" t="s">
        <v>17</v>
      </c>
      <c r="H2021" t="s">
        <v>22</v>
      </c>
      <c r="I2021">
        <v>80.08</v>
      </c>
      <c r="J2021">
        <v>25.1</v>
      </c>
      <c r="K2021" t="s">
        <v>25</v>
      </c>
      <c r="L2021" t="s">
        <v>15</v>
      </c>
    </row>
    <row r="2022" spans="1:12" x14ac:dyDescent="0.3">
      <c r="A2022">
        <v>56584</v>
      </c>
      <c r="B2022" t="s">
        <v>13</v>
      </c>
      <c r="C2022">
        <v>22</v>
      </c>
      <c r="D2022" t="s">
        <v>15</v>
      </c>
      <c r="E2022" t="s">
        <v>15</v>
      </c>
      <c r="F2022" t="s">
        <v>15</v>
      </c>
      <c r="G2022" t="s">
        <v>17</v>
      </c>
      <c r="H2022" t="s">
        <v>23</v>
      </c>
      <c r="I2022">
        <v>62</v>
      </c>
      <c r="J2022">
        <v>32.700000000000003</v>
      </c>
      <c r="K2022" t="s">
        <v>26</v>
      </c>
      <c r="L2022" t="s">
        <v>15</v>
      </c>
    </row>
    <row r="2023" spans="1:12" x14ac:dyDescent="0.3">
      <c r="A2023">
        <v>38316</v>
      </c>
      <c r="B2023" t="s">
        <v>12</v>
      </c>
      <c r="C2023">
        <v>55</v>
      </c>
      <c r="D2023" t="s">
        <v>15</v>
      </c>
      <c r="E2023" t="s">
        <v>15</v>
      </c>
      <c r="F2023" t="s">
        <v>16</v>
      </c>
      <c r="G2023" t="s">
        <v>17</v>
      </c>
      <c r="H2023" t="s">
        <v>23</v>
      </c>
      <c r="I2023">
        <v>118.69</v>
      </c>
      <c r="J2023">
        <v>26.4</v>
      </c>
      <c r="K2023" t="s">
        <v>27</v>
      </c>
      <c r="L2023" t="s">
        <v>15</v>
      </c>
    </row>
    <row r="2024" spans="1:12" x14ac:dyDescent="0.3">
      <c r="A2024">
        <v>15647</v>
      </c>
      <c r="B2024" t="s">
        <v>13</v>
      </c>
      <c r="C2024">
        <v>57</v>
      </c>
      <c r="D2024" t="s">
        <v>15</v>
      </c>
      <c r="E2024" t="s">
        <v>15</v>
      </c>
      <c r="F2024" t="s">
        <v>15</v>
      </c>
      <c r="G2024" t="s">
        <v>17</v>
      </c>
      <c r="H2024" t="s">
        <v>23</v>
      </c>
      <c r="I2024">
        <v>77.569999999999993</v>
      </c>
      <c r="J2024">
        <v>21</v>
      </c>
      <c r="K2024" t="s">
        <v>27</v>
      </c>
      <c r="L2024" t="s">
        <v>15</v>
      </c>
    </row>
    <row r="2025" spans="1:12" x14ac:dyDescent="0.3">
      <c r="A2025">
        <v>59933</v>
      </c>
      <c r="B2025" t="s">
        <v>13</v>
      </c>
      <c r="C2025">
        <v>29</v>
      </c>
      <c r="D2025" t="s">
        <v>15</v>
      </c>
      <c r="E2025" t="s">
        <v>15</v>
      </c>
      <c r="F2025" t="s">
        <v>15</v>
      </c>
      <c r="G2025" t="s">
        <v>17</v>
      </c>
      <c r="H2025" t="s">
        <v>23</v>
      </c>
      <c r="I2025">
        <v>108.75</v>
      </c>
      <c r="J2025">
        <v>24.1</v>
      </c>
      <c r="K2025" t="s">
        <v>27</v>
      </c>
      <c r="L2025" t="s">
        <v>15</v>
      </c>
    </row>
    <row r="2026" spans="1:12" x14ac:dyDescent="0.3">
      <c r="A2026">
        <v>3429</v>
      </c>
      <c r="B2026" t="s">
        <v>13</v>
      </c>
      <c r="C2026">
        <v>32</v>
      </c>
      <c r="D2026" t="s">
        <v>15</v>
      </c>
      <c r="E2026" t="s">
        <v>15</v>
      </c>
      <c r="F2026" t="s">
        <v>15</v>
      </c>
      <c r="G2026" t="s">
        <v>19</v>
      </c>
      <c r="H2026" t="s">
        <v>22</v>
      </c>
      <c r="I2026">
        <v>108.23</v>
      </c>
      <c r="J2026">
        <v>20.399999999999999</v>
      </c>
      <c r="K2026" t="s">
        <v>27</v>
      </c>
      <c r="L2026" t="s">
        <v>15</v>
      </c>
    </row>
    <row r="2027" spans="1:12" x14ac:dyDescent="0.3">
      <c r="A2027">
        <v>60963</v>
      </c>
      <c r="B2027" t="s">
        <v>13</v>
      </c>
      <c r="C2027">
        <v>54</v>
      </c>
      <c r="D2027" t="s">
        <v>15</v>
      </c>
      <c r="E2027" t="s">
        <v>15</v>
      </c>
      <c r="F2027" t="s">
        <v>16</v>
      </c>
      <c r="G2027" t="s">
        <v>17</v>
      </c>
      <c r="H2027" t="s">
        <v>23</v>
      </c>
      <c r="I2027">
        <v>151.33000000000001</v>
      </c>
      <c r="J2027">
        <v>30.9</v>
      </c>
      <c r="K2027" t="s">
        <v>24</v>
      </c>
      <c r="L2027" t="s">
        <v>15</v>
      </c>
    </row>
    <row r="2028" spans="1:12" x14ac:dyDescent="0.3">
      <c r="A2028">
        <v>67689</v>
      </c>
      <c r="B2028" t="s">
        <v>12</v>
      </c>
      <c r="C2028">
        <v>37</v>
      </c>
      <c r="D2028" t="s">
        <v>15</v>
      </c>
      <c r="E2028" t="s">
        <v>15</v>
      </c>
      <c r="F2028" t="s">
        <v>16</v>
      </c>
      <c r="G2028" t="s">
        <v>18</v>
      </c>
      <c r="H2028" t="s">
        <v>23</v>
      </c>
      <c r="I2028">
        <v>82.43</v>
      </c>
      <c r="J2028">
        <v>39.1</v>
      </c>
      <c r="K2028" t="s">
        <v>27</v>
      </c>
      <c r="L2028" t="s">
        <v>15</v>
      </c>
    </row>
    <row r="2029" spans="1:12" x14ac:dyDescent="0.3">
      <c r="A2029">
        <v>31689</v>
      </c>
      <c r="B2029" t="s">
        <v>13</v>
      </c>
      <c r="C2029">
        <v>58</v>
      </c>
      <c r="D2029" t="s">
        <v>15</v>
      </c>
      <c r="E2029" t="s">
        <v>15</v>
      </c>
      <c r="F2029" t="s">
        <v>16</v>
      </c>
      <c r="G2029" t="s">
        <v>17</v>
      </c>
      <c r="H2029" t="s">
        <v>23</v>
      </c>
      <c r="I2029">
        <v>107.17</v>
      </c>
      <c r="J2029">
        <v>27.7</v>
      </c>
      <c r="K2029" t="s">
        <v>27</v>
      </c>
      <c r="L2029" t="s">
        <v>15</v>
      </c>
    </row>
    <row r="2030" spans="1:12" x14ac:dyDescent="0.3">
      <c r="A2030">
        <v>23240</v>
      </c>
      <c r="B2030" t="s">
        <v>13</v>
      </c>
      <c r="C2030">
        <v>41</v>
      </c>
      <c r="D2030" t="s">
        <v>15</v>
      </c>
      <c r="E2030" t="s">
        <v>15</v>
      </c>
      <c r="F2030" t="s">
        <v>16</v>
      </c>
      <c r="G2030" t="s">
        <v>17</v>
      </c>
      <c r="H2030" t="s">
        <v>23</v>
      </c>
      <c r="I2030">
        <v>91.46</v>
      </c>
      <c r="J2030">
        <v>29.5</v>
      </c>
      <c r="K2030" t="s">
        <v>25</v>
      </c>
      <c r="L2030" t="s">
        <v>15</v>
      </c>
    </row>
    <row r="2031" spans="1:12" x14ac:dyDescent="0.3">
      <c r="A2031">
        <v>30850</v>
      </c>
      <c r="B2031" t="s">
        <v>12</v>
      </c>
      <c r="C2031">
        <v>72</v>
      </c>
      <c r="D2031" t="s">
        <v>15</v>
      </c>
      <c r="E2031" t="s">
        <v>15</v>
      </c>
      <c r="F2031" t="s">
        <v>16</v>
      </c>
      <c r="G2031" t="s">
        <v>17</v>
      </c>
      <c r="H2031" t="s">
        <v>22</v>
      </c>
      <c r="I2031">
        <v>81.05</v>
      </c>
      <c r="J2031">
        <v>30.3</v>
      </c>
      <c r="K2031" t="s">
        <v>27</v>
      </c>
      <c r="L2031" t="s">
        <v>15</v>
      </c>
    </row>
    <row r="2032" spans="1:12" x14ac:dyDescent="0.3">
      <c r="A2032">
        <v>38920</v>
      </c>
      <c r="B2032" t="s">
        <v>12</v>
      </c>
      <c r="C2032">
        <v>0.48</v>
      </c>
      <c r="D2032" t="s">
        <v>15</v>
      </c>
      <c r="E2032" t="s">
        <v>15</v>
      </c>
      <c r="F2032" t="s">
        <v>15</v>
      </c>
      <c r="G2032" t="s">
        <v>20</v>
      </c>
      <c r="H2032" t="s">
        <v>22</v>
      </c>
      <c r="I2032">
        <v>73.02</v>
      </c>
      <c r="K2032" t="s">
        <v>27</v>
      </c>
      <c r="L2032" t="s">
        <v>15</v>
      </c>
    </row>
    <row r="2033" spans="1:12" x14ac:dyDescent="0.3">
      <c r="A2033">
        <v>66080</v>
      </c>
      <c r="B2033" t="s">
        <v>13</v>
      </c>
      <c r="C2033">
        <v>32</v>
      </c>
      <c r="D2033" t="s">
        <v>15</v>
      </c>
      <c r="E2033" t="s">
        <v>15</v>
      </c>
      <c r="F2033" t="s">
        <v>15</v>
      </c>
      <c r="G2033" t="s">
        <v>17</v>
      </c>
      <c r="H2033" t="s">
        <v>22</v>
      </c>
      <c r="I2033">
        <v>114.37</v>
      </c>
      <c r="J2033">
        <v>37.799999999999997</v>
      </c>
      <c r="K2033" t="s">
        <v>27</v>
      </c>
      <c r="L2033" t="s">
        <v>15</v>
      </c>
    </row>
    <row r="2034" spans="1:12" x14ac:dyDescent="0.3">
      <c r="A2034">
        <v>57263</v>
      </c>
      <c r="B2034" t="s">
        <v>13</v>
      </c>
      <c r="C2034">
        <v>54</v>
      </c>
      <c r="D2034" t="s">
        <v>15</v>
      </c>
      <c r="E2034" t="s">
        <v>15</v>
      </c>
      <c r="F2034" t="s">
        <v>16</v>
      </c>
      <c r="G2034" t="s">
        <v>17</v>
      </c>
      <c r="H2034" t="s">
        <v>22</v>
      </c>
      <c r="I2034">
        <v>100.29</v>
      </c>
      <c r="J2034">
        <v>30.2</v>
      </c>
      <c r="K2034" t="s">
        <v>25</v>
      </c>
      <c r="L2034" t="s">
        <v>15</v>
      </c>
    </row>
    <row r="2035" spans="1:12" x14ac:dyDescent="0.3">
      <c r="A2035">
        <v>60126</v>
      </c>
      <c r="B2035" t="s">
        <v>13</v>
      </c>
      <c r="C2035">
        <v>79</v>
      </c>
      <c r="D2035" t="s">
        <v>15</v>
      </c>
      <c r="E2035" t="s">
        <v>15</v>
      </c>
      <c r="F2035" t="s">
        <v>16</v>
      </c>
      <c r="G2035" t="s">
        <v>17</v>
      </c>
      <c r="H2035" t="s">
        <v>22</v>
      </c>
      <c r="I2035">
        <v>68.37</v>
      </c>
      <c r="J2035">
        <v>24.2</v>
      </c>
      <c r="K2035" t="s">
        <v>26</v>
      </c>
      <c r="L2035" t="s">
        <v>15</v>
      </c>
    </row>
    <row r="2036" spans="1:12" x14ac:dyDescent="0.3">
      <c r="A2036">
        <v>64393</v>
      </c>
      <c r="B2036" t="s">
        <v>12</v>
      </c>
      <c r="C2036">
        <v>56</v>
      </c>
      <c r="D2036" t="s">
        <v>15</v>
      </c>
      <c r="E2036" t="s">
        <v>15</v>
      </c>
      <c r="F2036" t="s">
        <v>15</v>
      </c>
      <c r="G2036" t="s">
        <v>18</v>
      </c>
      <c r="H2036" t="s">
        <v>23</v>
      </c>
      <c r="I2036">
        <v>87.95</v>
      </c>
      <c r="J2036">
        <v>25.2</v>
      </c>
      <c r="K2036" t="s">
        <v>25</v>
      </c>
      <c r="L2036" t="s">
        <v>15</v>
      </c>
    </row>
    <row r="2037" spans="1:12" x14ac:dyDescent="0.3">
      <c r="A2037">
        <v>69285</v>
      </c>
      <c r="B2037" t="s">
        <v>13</v>
      </c>
      <c r="C2037">
        <v>45</v>
      </c>
      <c r="D2037" t="s">
        <v>15</v>
      </c>
      <c r="E2037" t="s">
        <v>15</v>
      </c>
      <c r="F2037" t="s">
        <v>16</v>
      </c>
      <c r="G2037" t="s">
        <v>17</v>
      </c>
      <c r="H2037" t="s">
        <v>22</v>
      </c>
      <c r="I2037">
        <v>73.27</v>
      </c>
      <c r="J2037">
        <v>22.2</v>
      </c>
      <c r="K2037" t="s">
        <v>26</v>
      </c>
      <c r="L2037" t="s">
        <v>15</v>
      </c>
    </row>
    <row r="2038" spans="1:12" x14ac:dyDescent="0.3">
      <c r="A2038">
        <v>24428</v>
      </c>
      <c r="B2038" t="s">
        <v>12</v>
      </c>
      <c r="C2038">
        <v>6</v>
      </c>
      <c r="D2038" t="s">
        <v>15</v>
      </c>
      <c r="E2038" t="s">
        <v>15</v>
      </c>
      <c r="F2038" t="s">
        <v>15</v>
      </c>
      <c r="G2038" t="s">
        <v>20</v>
      </c>
      <c r="H2038" t="s">
        <v>23</v>
      </c>
      <c r="I2038">
        <v>131.43</v>
      </c>
      <c r="J2038">
        <v>17.7</v>
      </c>
      <c r="K2038" t="s">
        <v>27</v>
      </c>
      <c r="L2038" t="s">
        <v>15</v>
      </c>
    </row>
    <row r="2039" spans="1:12" x14ac:dyDescent="0.3">
      <c r="A2039">
        <v>59642</v>
      </c>
      <c r="B2039" t="s">
        <v>13</v>
      </c>
      <c r="C2039">
        <v>45</v>
      </c>
      <c r="D2039" t="s">
        <v>15</v>
      </c>
      <c r="E2039" t="s">
        <v>15</v>
      </c>
      <c r="F2039" t="s">
        <v>16</v>
      </c>
      <c r="G2039" t="s">
        <v>17</v>
      </c>
      <c r="H2039" t="s">
        <v>22</v>
      </c>
      <c r="I2039">
        <v>107.29</v>
      </c>
      <c r="J2039">
        <v>29.6</v>
      </c>
      <c r="K2039" t="s">
        <v>25</v>
      </c>
      <c r="L2039" t="s">
        <v>15</v>
      </c>
    </row>
    <row r="2040" spans="1:12" x14ac:dyDescent="0.3">
      <c r="A2040">
        <v>12064</v>
      </c>
      <c r="B2040" t="s">
        <v>12</v>
      </c>
      <c r="C2040">
        <v>60</v>
      </c>
      <c r="D2040" t="s">
        <v>15</v>
      </c>
      <c r="E2040" t="s">
        <v>15</v>
      </c>
      <c r="F2040" t="s">
        <v>16</v>
      </c>
      <c r="G2040" t="s">
        <v>17</v>
      </c>
      <c r="H2040" t="s">
        <v>23</v>
      </c>
      <c r="I2040">
        <v>68.239999999999995</v>
      </c>
      <c r="J2040">
        <v>32.200000000000003</v>
      </c>
      <c r="K2040" t="s">
        <v>27</v>
      </c>
      <c r="L2040" t="s">
        <v>15</v>
      </c>
    </row>
    <row r="2041" spans="1:12" x14ac:dyDescent="0.3">
      <c r="A2041">
        <v>59737</v>
      </c>
      <c r="B2041" t="s">
        <v>13</v>
      </c>
      <c r="C2041">
        <v>65</v>
      </c>
      <c r="D2041" t="s">
        <v>15</v>
      </c>
      <c r="E2041" t="s">
        <v>15</v>
      </c>
      <c r="F2041" t="s">
        <v>16</v>
      </c>
      <c r="G2041" t="s">
        <v>17</v>
      </c>
      <c r="H2041" t="s">
        <v>22</v>
      </c>
      <c r="I2041">
        <v>74.010000000000005</v>
      </c>
      <c r="J2041">
        <v>28.7</v>
      </c>
      <c r="K2041" t="s">
        <v>26</v>
      </c>
      <c r="L2041" t="s">
        <v>15</v>
      </c>
    </row>
    <row r="2042" spans="1:12" x14ac:dyDescent="0.3">
      <c r="A2042">
        <v>19352</v>
      </c>
      <c r="B2042" t="s">
        <v>13</v>
      </c>
      <c r="C2042">
        <v>57</v>
      </c>
      <c r="D2042" t="s">
        <v>15</v>
      </c>
      <c r="E2042" t="s">
        <v>15</v>
      </c>
      <c r="F2042" t="s">
        <v>16</v>
      </c>
      <c r="G2042" t="s">
        <v>17</v>
      </c>
      <c r="H2042" t="s">
        <v>22</v>
      </c>
      <c r="I2042">
        <v>95.4</v>
      </c>
      <c r="J2042">
        <v>19.5</v>
      </c>
      <c r="K2042" t="s">
        <v>27</v>
      </c>
      <c r="L2042" t="s">
        <v>15</v>
      </c>
    </row>
    <row r="2043" spans="1:12" x14ac:dyDescent="0.3">
      <c r="A2043">
        <v>61903</v>
      </c>
      <c r="B2043" t="s">
        <v>12</v>
      </c>
      <c r="C2043">
        <v>58</v>
      </c>
      <c r="D2043" t="s">
        <v>15</v>
      </c>
      <c r="E2043" t="s">
        <v>15</v>
      </c>
      <c r="F2043" t="s">
        <v>15</v>
      </c>
      <c r="G2043" t="s">
        <v>19</v>
      </c>
      <c r="H2043" t="s">
        <v>23</v>
      </c>
      <c r="I2043">
        <v>95.75</v>
      </c>
      <c r="J2043">
        <v>38.5</v>
      </c>
      <c r="K2043" t="s">
        <v>26</v>
      </c>
      <c r="L2043" t="s">
        <v>15</v>
      </c>
    </row>
    <row r="2044" spans="1:12" x14ac:dyDescent="0.3">
      <c r="A2044">
        <v>47701</v>
      </c>
      <c r="B2044" t="s">
        <v>12</v>
      </c>
      <c r="C2044">
        <v>8</v>
      </c>
      <c r="D2044" t="s">
        <v>15</v>
      </c>
      <c r="E2044" t="s">
        <v>15</v>
      </c>
      <c r="F2044" t="s">
        <v>15</v>
      </c>
      <c r="G2044" t="s">
        <v>20</v>
      </c>
      <c r="H2044" t="s">
        <v>22</v>
      </c>
      <c r="I2044">
        <v>104.51</v>
      </c>
      <c r="J2044">
        <v>20.6</v>
      </c>
      <c r="K2044" t="s">
        <v>27</v>
      </c>
      <c r="L2044" t="s">
        <v>15</v>
      </c>
    </row>
    <row r="2045" spans="1:12" x14ac:dyDescent="0.3">
      <c r="A2045">
        <v>15225</v>
      </c>
      <c r="B2045" t="s">
        <v>12</v>
      </c>
      <c r="C2045">
        <v>18</v>
      </c>
      <c r="D2045" t="s">
        <v>15</v>
      </c>
      <c r="E2045" t="s">
        <v>15</v>
      </c>
      <c r="F2045" t="s">
        <v>15</v>
      </c>
      <c r="G2045" t="s">
        <v>17</v>
      </c>
      <c r="H2045" t="s">
        <v>23</v>
      </c>
      <c r="I2045">
        <v>108.87</v>
      </c>
      <c r="J2045">
        <v>21.5</v>
      </c>
      <c r="K2045" t="s">
        <v>27</v>
      </c>
      <c r="L2045" t="s">
        <v>15</v>
      </c>
    </row>
    <row r="2046" spans="1:12" x14ac:dyDescent="0.3">
      <c r="A2046">
        <v>66431</v>
      </c>
      <c r="B2046" t="s">
        <v>12</v>
      </c>
      <c r="C2046">
        <v>49</v>
      </c>
      <c r="D2046" t="s">
        <v>15</v>
      </c>
      <c r="E2046" t="s">
        <v>15</v>
      </c>
      <c r="F2046" t="s">
        <v>16</v>
      </c>
      <c r="G2046" t="s">
        <v>17</v>
      </c>
      <c r="H2046" t="s">
        <v>22</v>
      </c>
      <c r="I2046">
        <v>209.06</v>
      </c>
      <c r="J2046">
        <v>43.8</v>
      </c>
      <c r="K2046" t="s">
        <v>27</v>
      </c>
      <c r="L2046" t="s">
        <v>15</v>
      </c>
    </row>
    <row r="2047" spans="1:12" x14ac:dyDescent="0.3">
      <c r="A2047">
        <v>57236</v>
      </c>
      <c r="B2047" t="s">
        <v>12</v>
      </c>
      <c r="C2047">
        <v>2</v>
      </c>
      <c r="D2047" t="s">
        <v>15</v>
      </c>
      <c r="E2047" t="s">
        <v>15</v>
      </c>
      <c r="F2047" t="s">
        <v>15</v>
      </c>
      <c r="G2047" t="s">
        <v>20</v>
      </c>
      <c r="H2047" t="s">
        <v>23</v>
      </c>
      <c r="I2047">
        <v>86.57</v>
      </c>
      <c r="J2047">
        <v>18</v>
      </c>
      <c r="K2047" t="s">
        <v>27</v>
      </c>
      <c r="L2047" t="s">
        <v>15</v>
      </c>
    </row>
    <row r="2048" spans="1:12" x14ac:dyDescent="0.3">
      <c r="A2048">
        <v>48453</v>
      </c>
      <c r="B2048" t="s">
        <v>13</v>
      </c>
      <c r="C2048">
        <v>52</v>
      </c>
      <c r="D2048" t="s">
        <v>15</v>
      </c>
      <c r="E2048" t="s">
        <v>15</v>
      </c>
      <c r="F2048" t="s">
        <v>16</v>
      </c>
      <c r="G2048" t="s">
        <v>17</v>
      </c>
      <c r="H2048" t="s">
        <v>22</v>
      </c>
      <c r="I2048">
        <v>120.25</v>
      </c>
      <c r="J2048">
        <v>28.2</v>
      </c>
      <c r="K2048" t="s">
        <v>27</v>
      </c>
      <c r="L2048" t="s">
        <v>15</v>
      </c>
    </row>
    <row r="2049" spans="1:12" x14ac:dyDescent="0.3">
      <c r="A2049">
        <v>8031</v>
      </c>
      <c r="B2049" t="s">
        <v>13</v>
      </c>
      <c r="C2049">
        <v>63</v>
      </c>
      <c r="D2049" t="s">
        <v>15</v>
      </c>
      <c r="E2049" t="s">
        <v>15</v>
      </c>
      <c r="F2049" t="s">
        <v>16</v>
      </c>
      <c r="G2049" t="s">
        <v>18</v>
      </c>
      <c r="H2049" t="s">
        <v>23</v>
      </c>
      <c r="I2049">
        <v>85.51</v>
      </c>
      <c r="J2049">
        <v>26.6</v>
      </c>
      <c r="K2049" t="s">
        <v>26</v>
      </c>
      <c r="L2049" t="s">
        <v>15</v>
      </c>
    </row>
    <row r="2050" spans="1:12" x14ac:dyDescent="0.3">
      <c r="A2050">
        <v>39139</v>
      </c>
      <c r="B2050" t="s">
        <v>13</v>
      </c>
      <c r="C2050">
        <v>57</v>
      </c>
      <c r="D2050" t="s">
        <v>15</v>
      </c>
      <c r="E2050" t="s">
        <v>15</v>
      </c>
      <c r="F2050" t="s">
        <v>16</v>
      </c>
      <c r="G2050" t="s">
        <v>17</v>
      </c>
      <c r="H2050" t="s">
        <v>23</v>
      </c>
      <c r="I2050">
        <v>84.18</v>
      </c>
      <c r="J2050">
        <v>35.5</v>
      </c>
      <c r="K2050" t="s">
        <v>25</v>
      </c>
      <c r="L2050" t="s">
        <v>15</v>
      </c>
    </row>
    <row r="2051" spans="1:12" x14ac:dyDescent="0.3">
      <c r="A2051">
        <v>4838</v>
      </c>
      <c r="B2051" t="s">
        <v>13</v>
      </c>
      <c r="C2051">
        <v>50</v>
      </c>
      <c r="D2051" t="s">
        <v>15</v>
      </c>
      <c r="E2051" t="s">
        <v>15</v>
      </c>
      <c r="F2051" t="s">
        <v>16</v>
      </c>
      <c r="G2051" t="s">
        <v>19</v>
      </c>
      <c r="H2051" t="s">
        <v>22</v>
      </c>
      <c r="I2051">
        <v>82.37</v>
      </c>
      <c r="J2051">
        <v>30.7</v>
      </c>
      <c r="K2051" t="s">
        <v>25</v>
      </c>
      <c r="L2051" t="s">
        <v>15</v>
      </c>
    </row>
    <row r="2052" spans="1:12" x14ac:dyDescent="0.3">
      <c r="A2052">
        <v>22689</v>
      </c>
      <c r="B2052" t="s">
        <v>12</v>
      </c>
      <c r="C2052">
        <v>12</v>
      </c>
      <c r="D2052" t="s">
        <v>15</v>
      </c>
      <c r="E2052" t="s">
        <v>15</v>
      </c>
      <c r="F2052" t="s">
        <v>15</v>
      </c>
      <c r="G2052" t="s">
        <v>20</v>
      </c>
      <c r="H2052" t="s">
        <v>23</v>
      </c>
      <c r="I2052">
        <v>96.15</v>
      </c>
      <c r="J2052">
        <v>18.7</v>
      </c>
      <c r="K2052" t="s">
        <v>27</v>
      </c>
      <c r="L2052" t="s">
        <v>15</v>
      </c>
    </row>
    <row r="2053" spans="1:12" x14ac:dyDescent="0.3">
      <c r="A2053">
        <v>37752</v>
      </c>
      <c r="B2053" t="s">
        <v>13</v>
      </c>
      <c r="C2053">
        <v>35</v>
      </c>
      <c r="D2053" t="s">
        <v>15</v>
      </c>
      <c r="E2053" t="s">
        <v>15</v>
      </c>
      <c r="F2053" t="s">
        <v>16</v>
      </c>
      <c r="G2053" t="s">
        <v>17</v>
      </c>
      <c r="H2053" t="s">
        <v>23</v>
      </c>
      <c r="I2053">
        <v>74.55</v>
      </c>
      <c r="J2053">
        <v>22.4</v>
      </c>
      <c r="K2053" t="s">
        <v>25</v>
      </c>
      <c r="L2053" t="s">
        <v>15</v>
      </c>
    </row>
    <row r="2054" spans="1:12" x14ac:dyDescent="0.3">
      <c r="A2054">
        <v>32320</v>
      </c>
      <c r="B2054" t="s">
        <v>13</v>
      </c>
      <c r="C2054">
        <v>35</v>
      </c>
      <c r="D2054" t="s">
        <v>15</v>
      </c>
      <c r="E2054" t="s">
        <v>15</v>
      </c>
      <c r="F2054" t="s">
        <v>16</v>
      </c>
      <c r="G2054" t="s">
        <v>18</v>
      </c>
      <c r="H2054" t="s">
        <v>22</v>
      </c>
      <c r="I2054">
        <v>114.45</v>
      </c>
      <c r="J2054">
        <v>25.2</v>
      </c>
      <c r="K2054" t="s">
        <v>26</v>
      </c>
      <c r="L2054" t="s">
        <v>15</v>
      </c>
    </row>
    <row r="2055" spans="1:12" x14ac:dyDescent="0.3">
      <c r="A2055">
        <v>14889</v>
      </c>
      <c r="B2055" t="s">
        <v>12</v>
      </c>
      <c r="C2055">
        <v>64</v>
      </c>
      <c r="D2055" t="s">
        <v>15</v>
      </c>
      <c r="E2055" t="s">
        <v>15</v>
      </c>
      <c r="F2055" t="s">
        <v>16</v>
      </c>
      <c r="G2055" t="s">
        <v>19</v>
      </c>
      <c r="H2055" t="s">
        <v>23</v>
      </c>
      <c r="I2055">
        <v>113.68</v>
      </c>
      <c r="J2055">
        <v>24.2</v>
      </c>
      <c r="K2055" t="s">
        <v>25</v>
      </c>
      <c r="L2055" t="s">
        <v>15</v>
      </c>
    </row>
    <row r="2056" spans="1:12" x14ac:dyDescent="0.3">
      <c r="A2056">
        <v>13964</v>
      </c>
      <c r="B2056" t="s">
        <v>13</v>
      </c>
      <c r="C2056">
        <v>42</v>
      </c>
      <c r="D2056" t="s">
        <v>15</v>
      </c>
      <c r="E2056" t="s">
        <v>15</v>
      </c>
      <c r="F2056" t="s">
        <v>16</v>
      </c>
      <c r="G2056" t="s">
        <v>17</v>
      </c>
      <c r="H2056" t="s">
        <v>23</v>
      </c>
      <c r="I2056">
        <v>107.91</v>
      </c>
      <c r="J2056">
        <v>20.5</v>
      </c>
      <c r="K2056" t="s">
        <v>25</v>
      </c>
      <c r="L2056" t="s">
        <v>15</v>
      </c>
    </row>
    <row r="2057" spans="1:12" x14ac:dyDescent="0.3">
      <c r="A2057">
        <v>31746</v>
      </c>
      <c r="B2057" t="s">
        <v>13</v>
      </c>
      <c r="C2057">
        <v>62</v>
      </c>
      <c r="D2057" t="s">
        <v>15</v>
      </c>
      <c r="E2057" t="s">
        <v>15</v>
      </c>
      <c r="F2057" t="s">
        <v>16</v>
      </c>
      <c r="G2057" t="s">
        <v>17</v>
      </c>
      <c r="H2057" t="s">
        <v>23</v>
      </c>
      <c r="I2057">
        <v>83.85</v>
      </c>
      <c r="J2057">
        <v>24.5</v>
      </c>
      <c r="K2057" t="s">
        <v>25</v>
      </c>
      <c r="L2057" t="s">
        <v>15</v>
      </c>
    </row>
    <row r="2058" spans="1:12" x14ac:dyDescent="0.3">
      <c r="A2058">
        <v>17492</v>
      </c>
      <c r="B2058" t="s">
        <v>13</v>
      </c>
      <c r="C2058">
        <v>3</v>
      </c>
      <c r="D2058" t="s">
        <v>15</v>
      </c>
      <c r="E2058" t="s">
        <v>15</v>
      </c>
      <c r="F2058" t="s">
        <v>15</v>
      </c>
      <c r="G2058" t="s">
        <v>20</v>
      </c>
      <c r="H2058" t="s">
        <v>22</v>
      </c>
      <c r="I2058">
        <v>101.3</v>
      </c>
      <c r="J2058">
        <v>24.8</v>
      </c>
      <c r="K2058" t="s">
        <v>27</v>
      </c>
      <c r="L2058" t="s">
        <v>15</v>
      </c>
    </row>
    <row r="2059" spans="1:12" x14ac:dyDescent="0.3">
      <c r="A2059">
        <v>1499</v>
      </c>
      <c r="B2059" t="s">
        <v>13</v>
      </c>
      <c r="C2059">
        <v>43</v>
      </c>
      <c r="D2059" t="s">
        <v>15</v>
      </c>
      <c r="E2059" t="s">
        <v>15</v>
      </c>
      <c r="F2059" t="s">
        <v>16</v>
      </c>
      <c r="G2059" t="s">
        <v>19</v>
      </c>
      <c r="H2059" t="s">
        <v>23</v>
      </c>
      <c r="I2059">
        <v>72.13</v>
      </c>
      <c r="J2059">
        <v>42.6</v>
      </c>
      <c r="K2059" t="s">
        <v>25</v>
      </c>
      <c r="L2059" t="s">
        <v>15</v>
      </c>
    </row>
    <row r="2060" spans="1:12" x14ac:dyDescent="0.3">
      <c r="A2060">
        <v>34396</v>
      </c>
      <c r="B2060" t="s">
        <v>13</v>
      </c>
      <c r="C2060">
        <v>52</v>
      </c>
      <c r="D2060" t="s">
        <v>16</v>
      </c>
      <c r="E2060" t="s">
        <v>15</v>
      </c>
      <c r="F2060" t="s">
        <v>16</v>
      </c>
      <c r="G2060" t="s">
        <v>17</v>
      </c>
      <c r="H2060" t="s">
        <v>22</v>
      </c>
      <c r="I2060">
        <v>94.98</v>
      </c>
      <c r="J2060">
        <v>23.8</v>
      </c>
      <c r="K2060" t="s">
        <v>25</v>
      </c>
      <c r="L2060" t="s">
        <v>15</v>
      </c>
    </row>
    <row r="2061" spans="1:12" x14ac:dyDescent="0.3">
      <c r="A2061">
        <v>36750</v>
      </c>
      <c r="B2061" t="s">
        <v>12</v>
      </c>
      <c r="C2061">
        <v>64</v>
      </c>
      <c r="D2061" t="s">
        <v>16</v>
      </c>
      <c r="E2061" t="s">
        <v>15</v>
      </c>
      <c r="F2061" t="s">
        <v>16</v>
      </c>
      <c r="G2061" t="s">
        <v>17</v>
      </c>
      <c r="H2061" t="s">
        <v>23</v>
      </c>
      <c r="I2061">
        <v>228.42</v>
      </c>
      <c r="J2061">
        <v>42.3</v>
      </c>
      <c r="K2061" t="s">
        <v>24</v>
      </c>
      <c r="L2061" t="s">
        <v>15</v>
      </c>
    </row>
    <row r="2062" spans="1:12" x14ac:dyDescent="0.3">
      <c r="A2062">
        <v>68816</v>
      </c>
      <c r="B2062" t="s">
        <v>12</v>
      </c>
      <c r="C2062">
        <v>59</v>
      </c>
      <c r="D2062" t="s">
        <v>15</v>
      </c>
      <c r="E2062" t="s">
        <v>15</v>
      </c>
      <c r="F2062" t="s">
        <v>16</v>
      </c>
      <c r="G2062" t="s">
        <v>17</v>
      </c>
      <c r="H2062" t="s">
        <v>23</v>
      </c>
      <c r="I2062">
        <v>93.9</v>
      </c>
      <c r="J2062">
        <v>42.2</v>
      </c>
      <c r="K2062" t="s">
        <v>25</v>
      </c>
      <c r="L2062" t="s">
        <v>15</v>
      </c>
    </row>
    <row r="2063" spans="1:12" x14ac:dyDescent="0.3">
      <c r="A2063">
        <v>16129</v>
      </c>
      <c r="B2063" t="s">
        <v>13</v>
      </c>
      <c r="C2063">
        <v>81</v>
      </c>
      <c r="D2063" t="s">
        <v>15</v>
      </c>
      <c r="E2063" t="s">
        <v>15</v>
      </c>
      <c r="F2063" t="s">
        <v>16</v>
      </c>
      <c r="G2063" t="s">
        <v>18</v>
      </c>
      <c r="H2063" t="s">
        <v>22</v>
      </c>
      <c r="I2063">
        <v>93.13</v>
      </c>
      <c r="J2063">
        <v>26.1</v>
      </c>
      <c r="K2063" t="s">
        <v>27</v>
      </c>
      <c r="L2063" t="s">
        <v>15</v>
      </c>
    </row>
    <row r="2064" spans="1:12" x14ac:dyDescent="0.3">
      <c r="A2064">
        <v>64006</v>
      </c>
      <c r="B2064" t="s">
        <v>13</v>
      </c>
      <c r="C2064">
        <v>15</v>
      </c>
      <c r="D2064" t="s">
        <v>15</v>
      </c>
      <c r="E2064" t="s">
        <v>15</v>
      </c>
      <c r="F2064" t="s">
        <v>15</v>
      </c>
      <c r="G2064" t="s">
        <v>17</v>
      </c>
      <c r="H2064" t="s">
        <v>22</v>
      </c>
      <c r="I2064">
        <v>121.6</v>
      </c>
      <c r="J2064">
        <v>22.8</v>
      </c>
      <c r="K2064" t="s">
        <v>25</v>
      </c>
      <c r="L2064" t="s">
        <v>15</v>
      </c>
    </row>
    <row r="2065" spans="1:12" x14ac:dyDescent="0.3">
      <c r="A2065">
        <v>51845</v>
      </c>
      <c r="B2065" t="s">
        <v>12</v>
      </c>
      <c r="C2065">
        <v>50</v>
      </c>
      <c r="D2065" t="s">
        <v>15</v>
      </c>
      <c r="E2065" t="s">
        <v>15</v>
      </c>
      <c r="F2065" t="s">
        <v>16</v>
      </c>
      <c r="G2065" t="s">
        <v>19</v>
      </c>
      <c r="H2065" t="s">
        <v>23</v>
      </c>
      <c r="I2065">
        <v>84.4</v>
      </c>
      <c r="J2065">
        <v>42.3</v>
      </c>
      <c r="K2065" t="s">
        <v>24</v>
      </c>
      <c r="L2065" t="s">
        <v>15</v>
      </c>
    </row>
    <row r="2066" spans="1:12" x14ac:dyDescent="0.3">
      <c r="A2066">
        <v>30692</v>
      </c>
      <c r="B2066" t="s">
        <v>12</v>
      </c>
      <c r="C2066">
        <v>73</v>
      </c>
      <c r="D2066" t="s">
        <v>15</v>
      </c>
      <c r="E2066" t="s">
        <v>15</v>
      </c>
      <c r="F2066" t="s">
        <v>16</v>
      </c>
      <c r="G2066" t="s">
        <v>17</v>
      </c>
      <c r="H2066" t="s">
        <v>23</v>
      </c>
      <c r="I2066">
        <v>82.13</v>
      </c>
      <c r="J2066">
        <v>28.5</v>
      </c>
      <c r="K2066" t="s">
        <v>25</v>
      </c>
      <c r="L2066" t="s">
        <v>15</v>
      </c>
    </row>
    <row r="2067" spans="1:12" x14ac:dyDescent="0.3">
      <c r="A2067">
        <v>65712</v>
      </c>
      <c r="B2067" t="s">
        <v>12</v>
      </c>
      <c r="C2067">
        <v>19</v>
      </c>
      <c r="D2067" t="s">
        <v>15</v>
      </c>
      <c r="E2067" t="s">
        <v>15</v>
      </c>
      <c r="F2067" t="s">
        <v>15</v>
      </c>
      <c r="G2067" t="s">
        <v>17</v>
      </c>
      <c r="H2067" t="s">
        <v>22</v>
      </c>
      <c r="I2067">
        <v>73.33</v>
      </c>
      <c r="J2067">
        <v>23</v>
      </c>
      <c r="K2067" t="s">
        <v>25</v>
      </c>
      <c r="L2067" t="s">
        <v>15</v>
      </c>
    </row>
    <row r="2068" spans="1:12" x14ac:dyDescent="0.3">
      <c r="A2068">
        <v>42161</v>
      </c>
      <c r="B2068" t="s">
        <v>13</v>
      </c>
      <c r="C2068">
        <v>30</v>
      </c>
      <c r="D2068" t="s">
        <v>15</v>
      </c>
      <c r="E2068" t="s">
        <v>15</v>
      </c>
      <c r="F2068" t="s">
        <v>16</v>
      </c>
      <c r="G2068" t="s">
        <v>17</v>
      </c>
      <c r="H2068" t="s">
        <v>22</v>
      </c>
      <c r="I2068">
        <v>75.88</v>
      </c>
      <c r="J2068">
        <v>32.799999999999997</v>
      </c>
      <c r="K2068" t="s">
        <v>27</v>
      </c>
      <c r="L2068" t="s">
        <v>15</v>
      </c>
    </row>
    <row r="2069" spans="1:12" x14ac:dyDescent="0.3">
      <c r="A2069">
        <v>16938</v>
      </c>
      <c r="B2069" t="s">
        <v>13</v>
      </c>
      <c r="C2069">
        <v>40</v>
      </c>
      <c r="D2069" t="s">
        <v>15</v>
      </c>
      <c r="E2069" t="s">
        <v>15</v>
      </c>
      <c r="F2069" t="s">
        <v>16</v>
      </c>
      <c r="G2069" t="s">
        <v>18</v>
      </c>
      <c r="H2069" t="s">
        <v>23</v>
      </c>
      <c r="I2069">
        <v>212.97</v>
      </c>
      <c r="J2069">
        <v>49.8</v>
      </c>
      <c r="K2069" t="s">
        <v>24</v>
      </c>
      <c r="L2069" t="s">
        <v>15</v>
      </c>
    </row>
    <row r="2070" spans="1:12" x14ac:dyDescent="0.3">
      <c r="A2070">
        <v>16113</v>
      </c>
      <c r="B2070" t="s">
        <v>13</v>
      </c>
      <c r="C2070">
        <v>47</v>
      </c>
      <c r="D2070" t="s">
        <v>15</v>
      </c>
      <c r="E2070" t="s">
        <v>15</v>
      </c>
      <c r="F2070" t="s">
        <v>16</v>
      </c>
      <c r="G2070" t="s">
        <v>19</v>
      </c>
      <c r="H2070" t="s">
        <v>23</v>
      </c>
      <c r="I2070">
        <v>100.41</v>
      </c>
      <c r="J2070">
        <v>23.8</v>
      </c>
      <c r="K2070" t="s">
        <v>25</v>
      </c>
      <c r="L2070" t="s">
        <v>15</v>
      </c>
    </row>
    <row r="2071" spans="1:12" x14ac:dyDescent="0.3">
      <c r="A2071">
        <v>29388</v>
      </c>
      <c r="B2071" t="s">
        <v>13</v>
      </c>
      <c r="C2071">
        <v>66</v>
      </c>
      <c r="D2071" t="s">
        <v>15</v>
      </c>
      <c r="E2071" t="s">
        <v>15</v>
      </c>
      <c r="F2071" t="s">
        <v>16</v>
      </c>
      <c r="G2071" t="s">
        <v>17</v>
      </c>
      <c r="H2071" t="s">
        <v>22</v>
      </c>
      <c r="I2071">
        <v>202.05</v>
      </c>
      <c r="J2071">
        <v>31.7</v>
      </c>
      <c r="K2071" t="s">
        <v>26</v>
      </c>
      <c r="L2071" t="s">
        <v>15</v>
      </c>
    </row>
    <row r="2072" spans="1:12" x14ac:dyDescent="0.3">
      <c r="A2072">
        <v>65109</v>
      </c>
      <c r="B2072" t="s">
        <v>12</v>
      </c>
      <c r="C2072">
        <v>47</v>
      </c>
      <c r="D2072" t="s">
        <v>15</v>
      </c>
      <c r="E2072" t="s">
        <v>15</v>
      </c>
      <c r="F2072" t="s">
        <v>16</v>
      </c>
      <c r="G2072" t="s">
        <v>17</v>
      </c>
      <c r="H2072" t="s">
        <v>22</v>
      </c>
      <c r="I2072">
        <v>71.42</v>
      </c>
      <c r="J2072">
        <v>34.9</v>
      </c>
      <c r="K2072" t="s">
        <v>26</v>
      </c>
      <c r="L2072" t="s">
        <v>15</v>
      </c>
    </row>
    <row r="2073" spans="1:12" x14ac:dyDescent="0.3">
      <c r="A2073">
        <v>61242</v>
      </c>
      <c r="B2073" t="s">
        <v>13</v>
      </c>
      <c r="C2073">
        <v>41</v>
      </c>
      <c r="D2073" t="s">
        <v>16</v>
      </c>
      <c r="E2073" t="s">
        <v>15</v>
      </c>
      <c r="F2073" t="s">
        <v>16</v>
      </c>
      <c r="G2073" t="s">
        <v>19</v>
      </c>
      <c r="H2073" t="s">
        <v>23</v>
      </c>
      <c r="I2073">
        <v>107.5</v>
      </c>
      <c r="J2073">
        <v>54</v>
      </c>
      <c r="K2073" t="s">
        <v>25</v>
      </c>
      <c r="L2073" t="s">
        <v>15</v>
      </c>
    </row>
    <row r="2074" spans="1:12" x14ac:dyDescent="0.3">
      <c r="A2074">
        <v>65252</v>
      </c>
      <c r="B2074" t="s">
        <v>13</v>
      </c>
      <c r="C2074">
        <v>63</v>
      </c>
      <c r="D2074" t="s">
        <v>15</v>
      </c>
      <c r="E2074" t="s">
        <v>15</v>
      </c>
      <c r="F2074" t="s">
        <v>16</v>
      </c>
      <c r="G2074" t="s">
        <v>19</v>
      </c>
      <c r="H2074" t="s">
        <v>23</v>
      </c>
      <c r="I2074">
        <v>55.57</v>
      </c>
      <c r="J2074">
        <v>26.8</v>
      </c>
      <c r="K2074" t="s">
        <v>24</v>
      </c>
      <c r="L2074" t="s">
        <v>15</v>
      </c>
    </row>
    <row r="2075" spans="1:12" x14ac:dyDescent="0.3">
      <c r="A2075">
        <v>49615</v>
      </c>
      <c r="B2075" t="s">
        <v>13</v>
      </c>
      <c r="C2075">
        <v>12</v>
      </c>
      <c r="D2075" t="s">
        <v>15</v>
      </c>
      <c r="E2075" t="s">
        <v>15</v>
      </c>
      <c r="F2075" t="s">
        <v>15</v>
      </c>
      <c r="G2075" t="s">
        <v>20</v>
      </c>
      <c r="H2075" t="s">
        <v>22</v>
      </c>
      <c r="I2075">
        <v>58.14</v>
      </c>
      <c r="J2075">
        <v>21.3</v>
      </c>
      <c r="K2075" t="s">
        <v>25</v>
      </c>
      <c r="L2075" t="s">
        <v>15</v>
      </c>
    </row>
    <row r="2076" spans="1:12" x14ac:dyDescent="0.3">
      <c r="A2076">
        <v>63511</v>
      </c>
      <c r="B2076" t="s">
        <v>12</v>
      </c>
      <c r="C2076">
        <v>1.32</v>
      </c>
      <c r="D2076" t="s">
        <v>15</v>
      </c>
      <c r="E2076" t="s">
        <v>15</v>
      </c>
      <c r="F2076" t="s">
        <v>15</v>
      </c>
      <c r="G2076" t="s">
        <v>20</v>
      </c>
      <c r="H2076" t="s">
        <v>23</v>
      </c>
      <c r="I2076">
        <v>78.53</v>
      </c>
      <c r="J2076">
        <v>19.8</v>
      </c>
      <c r="K2076" t="s">
        <v>27</v>
      </c>
      <c r="L2076" t="s">
        <v>15</v>
      </c>
    </row>
    <row r="2077" spans="1:12" x14ac:dyDescent="0.3">
      <c r="A2077">
        <v>14089</v>
      </c>
      <c r="B2077" t="s">
        <v>13</v>
      </c>
      <c r="C2077">
        <v>46</v>
      </c>
      <c r="D2077" t="s">
        <v>15</v>
      </c>
      <c r="E2077" t="s">
        <v>15</v>
      </c>
      <c r="F2077" t="s">
        <v>16</v>
      </c>
      <c r="G2077" t="s">
        <v>17</v>
      </c>
      <c r="H2077" t="s">
        <v>22</v>
      </c>
      <c r="I2077">
        <v>78.790000000000006</v>
      </c>
      <c r="J2077">
        <v>42.4</v>
      </c>
      <c r="K2077" t="s">
        <v>26</v>
      </c>
      <c r="L2077" t="s">
        <v>15</v>
      </c>
    </row>
    <row r="2078" spans="1:12" x14ac:dyDescent="0.3">
      <c r="A2078">
        <v>16987</v>
      </c>
      <c r="B2078" t="s">
        <v>13</v>
      </c>
      <c r="C2078">
        <v>8</v>
      </c>
      <c r="D2078" t="s">
        <v>15</v>
      </c>
      <c r="E2078" t="s">
        <v>15</v>
      </c>
      <c r="F2078" t="s">
        <v>15</v>
      </c>
      <c r="G2078" t="s">
        <v>20</v>
      </c>
      <c r="H2078" t="s">
        <v>22</v>
      </c>
      <c r="I2078">
        <v>96.62</v>
      </c>
      <c r="J2078">
        <v>16.399999999999999</v>
      </c>
      <c r="K2078" t="s">
        <v>27</v>
      </c>
      <c r="L2078" t="s">
        <v>15</v>
      </c>
    </row>
    <row r="2079" spans="1:12" x14ac:dyDescent="0.3">
      <c r="A2079">
        <v>53399</v>
      </c>
      <c r="B2079" t="s">
        <v>12</v>
      </c>
      <c r="C2079">
        <v>74</v>
      </c>
      <c r="D2079" t="s">
        <v>15</v>
      </c>
      <c r="E2079" t="s">
        <v>15</v>
      </c>
      <c r="F2079" t="s">
        <v>16</v>
      </c>
      <c r="G2079" t="s">
        <v>17</v>
      </c>
      <c r="H2079" t="s">
        <v>23</v>
      </c>
      <c r="I2079">
        <v>65.28</v>
      </c>
      <c r="J2079">
        <v>28.2</v>
      </c>
      <c r="K2079" t="s">
        <v>25</v>
      </c>
      <c r="L2079" t="s">
        <v>15</v>
      </c>
    </row>
    <row r="2080" spans="1:12" x14ac:dyDescent="0.3">
      <c r="A2080">
        <v>36946</v>
      </c>
      <c r="B2080" t="s">
        <v>12</v>
      </c>
      <c r="C2080">
        <v>74</v>
      </c>
      <c r="D2080" t="s">
        <v>15</v>
      </c>
      <c r="E2080" t="s">
        <v>15</v>
      </c>
      <c r="F2080" t="s">
        <v>16</v>
      </c>
      <c r="G2080" t="s">
        <v>17</v>
      </c>
      <c r="H2080" t="s">
        <v>23</v>
      </c>
      <c r="I2080">
        <v>92.67</v>
      </c>
      <c r="J2080">
        <v>26.3</v>
      </c>
      <c r="K2080" t="s">
        <v>24</v>
      </c>
      <c r="L2080" t="s">
        <v>15</v>
      </c>
    </row>
    <row r="2081" spans="1:12" x14ac:dyDescent="0.3">
      <c r="A2081">
        <v>55522</v>
      </c>
      <c r="B2081" t="s">
        <v>13</v>
      </c>
      <c r="C2081">
        <v>4</v>
      </c>
      <c r="D2081" t="s">
        <v>15</v>
      </c>
      <c r="E2081" t="s">
        <v>15</v>
      </c>
      <c r="F2081" t="s">
        <v>15</v>
      </c>
      <c r="G2081" t="s">
        <v>20</v>
      </c>
      <c r="H2081" t="s">
        <v>23</v>
      </c>
      <c r="I2081">
        <v>206.25</v>
      </c>
      <c r="J2081">
        <v>17</v>
      </c>
      <c r="K2081" t="s">
        <v>27</v>
      </c>
      <c r="L2081" t="s">
        <v>15</v>
      </c>
    </row>
    <row r="2082" spans="1:12" x14ac:dyDescent="0.3">
      <c r="A2082">
        <v>27954</v>
      </c>
      <c r="B2082" t="s">
        <v>13</v>
      </c>
      <c r="C2082">
        <v>26</v>
      </c>
      <c r="D2082" t="s">
        <v>15</v>
      </c>
      <c r="E2082" t="s">
        <v>15</v>
      </c>
      <c r="F2082" t="s">
        <v>15</v>
      </c>
      <c r="G2082" t="s">
        <v>17</v>
      </c>
      <c r="H2082" t="s">
        <v>22</v>
      </c>
      <c r="I2082">
        <v>114.18</v>
      </c>
      <c r="J2082">
        <v>23.3</v>
      </c>
      <c r="K2082" t="s">
        <v>25</v>
      </c>
      <c r="L2082" t="s">
        <v>15</v>
      </c>
    </row>
    <row r="2083" spans="1:12" x14ac:dyDescent="0.3">
      <c r="A2083">
        <v>5355</v>
      </c>
      <c r="B2083" t="s">
        <v>12</v>
      </c>
      <c r="C2083">
        <v>63</v>
      </c>
      <c r="D2083" t="s">
        <v>15</v>
      </c>
      <c r="E2083" t="s">
        <v>15</v>
      </c>
      <c r="F2083" t="s">
        <v>16</v>
      </c>
      <c r="G2083" t="s">
        <v>19</v>
      </c>
      <c r="H2083" t="s">
        <v>23</v>
      </c>
      <c r="I2083">
        <v>231.69</v>
      </c>
      <c r="J2083">
        <v>56.1</v>
      </c>
      <c r="K2083" t="s">
        <v>24</v>
      </c>
      <c r="L2083" t="s">
        <v>15</v>
      </c>
    </row>
    <row r="2084" spans="1:12" x14ac:dyDescent="0.3">
      <c r="A2084">
        <v>69069</v>
      </c>
      <c r="B2084" t="s">
        <v>13</v>
      </c>
      <c r="C2084">
        <v>48</v>
      </c>
      <c r="D2084" t="s">
        <v>15</v>
      </c>
      <c r="E2084" t="s">
        <v>16</v>
      </c>
      <c r="F2084" t="s">
        <v>15</v>
      </c>
      <c r="G2084" t="s">
        <v>17</v>
      </c>
      <c r="H2084" t="s">
        <v>23</v>
      </c>
      <c r="I2084">
        <v>101.89</v>
      </c>
      <c r="J2084">
        <v>25.1</v>
      </c>
      <c r="K2084" t="s">
        <v>26</v>
      </c>
      <c r="L2084" t="s">
        <v>15</v>
      </c>
    </row>
    <row r="2085" spans="1:12" x14ac:dyDescent="0.3">
      <c r="A2085">
        <v>11539</v>
      </c>
      <c r="B2085" t="s">
        <v>13</v>
      </c>
      <c r="C2085">
        <v>24</v>
      </c>
      <c r="D2085" t="s">
        <v>16</v>
      </c>
      <c r="E2085" t="s">
        <v>15</v>
      </c>
      <c r="F2085" t="s">
        <v>15</v>
      </c>
      <c r="G2085" t="s">
        <v>17</v>
      </c>
      <c r="H2085" t="s">
        <v>22</v>
      </c>
      <c r="I2085">
        <v>107.22</v>
      </c>
      <c r="J2085">
        <v>35.299999999999997</v>
      </c>
      <c r="K2085" t="s">
        <v>26</v>
      </c>
      <c r="L2085" t="s">
        <v>15</v>
      </c>
    </row>
    <row r="2086" spans="1:12" x14ac:dyDescent="0.3">
      <c r="A2086">
        <v>16847</v>
      </c>
      <c r="B2086" t="s">
        <v>12</v>
      </c>
      <c r="C2086">
        <v>47</v>
      </c>
      <c r="D2086" t="s">
        <v>15</v>
      </c>
      <c r="E2086" t="s">
        <v>15</v>
      </c>
      <c r="F2086" t="s">
        <v>15</v>
      </c>
      <c r="G2086" t="s">
        <v>17</v>
      </c>
      <c r="H2086" t="s">
        <v>23</v>
      </c>
      <c r="I2086">
        <v>101.99</v>
      </c>
      <c r="J2086">
        <v>36.299999999999997</v>
      </c>
      <c r="K2086" t="s">
        <v>25</v>
      </c>
      <c r="L2086" t="s">
        <v>15</v>
      </c>
    </row>
    <row r="2087" spans="1:12" x14ac:dyDescent="0.3">
      <c r="A2087">
        <v>15873</v>
      </c>
      <c r="B2087" t="s">
        <v>12</v>
      </c>
      <c r="C2087">
        <v>70</v>
      </c>
      <c r="D2087" t="s">
        <v>15</v>
      </c>
      <c r="E2087" t="s">
        <v>15</v>
      </c>
      <c r="F2087" t="s">
        <v>16</v>
      </c>
      <c r="G2087" t="s">
        <v>17</v>
      </c>
      <c r="H2087" t="s">
        <v>23</v>
      </c>
      <c r="I2087">
        <v>72.56</v>
      </c>
      <c r="J2087">
        <v>30.4</v>
      </c>
      <c r="K2087" t="s">
        <v>24</v>
      </c>
      <c r="L2087" t="s">
        <v>15</v>
      </c>
    </row>
    <row r="2088" spans="1:12" x14ac:dyDescent="0.3">
      <c r="A2088">
        <v>15415</v>
      </c>
      <c r="B2088" t="s">
        <v>12</v>
      </c>
      <c r="C2088">
        <v>41</v>
      </c>
      <c r="D2088" t="s">
        <v>16</v>
      </c>
      <c r="E2088" t="s">
        <v>16</v>
      </c>
      <c r="F2088" t="s">
        <v>16</v>
      </c>
      <c r="G2088" t="s">
        <v>17</v>
      </c>
      <c r="H2088" t="s">
        <v>22</v>
      </c>
      <c r="I2088">
        <v>94.47</v>
      </c>
      <c r="J2088">
        <v>43.9</v>
      </c>
      <c r="K2088" t="s">
        <v>25</v>
      </c>
      <c r="L2088" t="s">
        <v>15</v>
      </c>
    </row>
    <row r="2089" spans="1:12" x14ac:dyDescent="0.3">
      <c r="A2089">
        <v>22891</v>
      </c>
      <c r="B2089" t="s">
        <v>13</v>
      </c>
      <c r="C2089">
        <v>42</v>
      </c>
      <c r="D2089" t="s">
        <v>15</v>
      </c>
      <c r="E2089" t="s">
        <v>15</v>
      </c>
      <c r="F2089" t="s">
        <v>16</v>
      </c>
      <c r="G2089" t="s">
        <v>18</v>
      </c>
      <c r="H2089" t="s">
        <v>22</v>
      </c>
      <c r="I2089">
        <v>98.76</v>
      </c>
      <c r="J2089">
        <v>26.4</v>
      </c>
      <c r="K2089" t="s">
        <v>26</v>
      </c>
      <c r="L2089" t="s">
        <v>15</v>
      </c>
    </row>
    <row r="2090" spans="1:12" x14ac:dyDescent="0.3">
      <c r="A2090">
        <v>7394</v>
      </c>
      <c r="B2090" t="s">
        <v>13</v>
      </c>
      <c r="C2090">
        <v>57</v>
      </c>
      <c r="D2090" t="s">
        <v>16</v>
      </c>
      <c r="E2090" t="s">
        <v>15</v>
      </c>
      <c r="F2090" t="s">
        <v>15</v>
      </c>
      <c r="G2090" t="s">
        <v>17</v>
      </c>
      <c r="H2090" t="s">
        <v>23</v>
      </c>
      <c r="I2090">
        <v>116.93</v>
      </c>
      <c r="J2090">
        <v>28.3</v>
      </c>
      <c r="K2090" t="s">
        <v>25</v>
      </c>
      <c r="L2090" t="s">
        <v>15</v>
      </c>
    </row>
    <row r="2091" spans="1:12" x14ac:dyDescent="0.3">
      <c r="A2091">
        <v>29915</v>
      </c>
      <c r="B2091" t="s">
        <v>13</v>
      </c>
      <c r="C2091">
        <v>51</v>
      </c>
      <c r="D2091" t="s">
        <v>15</v>
      </c>
      <c r="E2091" t="s">
        <v>15</v>
      </c>
      <c r="F2091" t="s">
        <v>15</v>
      </c>
      <c r="G2091" t="s">
        <v>17</v>
      </c>
      <c r="H2091" t="s">
        <v>23</v>
      </c>
      <c r="I2091">
        <v>219.96</v>
      </c>
      <c r="J2091">
        <v>42.3</v>
      </c>
      <c r="K2091" t="s">
        <v>25</v>
      </c>
      <c r="L2091" t="s">
        <v>15</v>
      </c>
    </row>
    <row r="2092" spans="1:12" x14ac:dyDescent="0.3">
      <c r="A2092">
        <v>62607</v>
      </c>
      <c r="B2092" t="s">
        <v>12</v>
      </c>
      <c r="C2092">
        <v>15</v>
      </c>
      <c r="D2092" t="s">
        <v>15</v>
      </c>
      <c r="E2092" t="s">
        <v>15</v>
      </c>
      <c r="F2092" t="s">
        <v>15</v>
      </c>
      <c r="G2092" t="s">
        <v>17</v>
      </c>
      <c r="H2092" t="s">
        <v>22</v>
      </c>
      <c r="I2092">
        <v>75.77</v>
      </c>
      <c r="J2092">
        <v>38</v>
      </c>
      <c r="K2092" t="s">
        <v>25</v>
      </c>
      <c r="L2092" t="s">
        <v>15</v>
      </c>
    </row>
    <row r="2093" spans="1:12" x14ac:dyDescent="0.3">
      <c r="A2093">
        <v>24404</v>
      </c>
      <c r="B2093" t="s">
        <v>12</v>
      </c>
      <c r="C2093">
        <v>11</v>
      </c>
      <c r="D2093" t="s">
        <v>15</v>
      </c>
      <c r="E2093" t="s">
        <v>15</v>
      </c>
      <c r="F2093" t="s">
        <v>15</v>
      </c>
      <c r="G2093" t="s">
        <v>20</v>
      </c>
      <c r="H2093" t="s">
        <v>22</v>
      </c>
      <c r="I2093">
        <v>124.35</v>
      </c>
      <c r="J2093">
        <v>32.700000000000003</v>
      </c>
      <c r="K2093" t="s">
        <v>27</v>
      </c>
      <c r="L2093" t="s">
        <v>15</v>
      </c>
    </row>
    <row r="2094" spans="1:12" x14ac:dyDescent="0.3">
      <c r="A2094">
        <v>69666</v>
      </c>
      <c r="B2094" t="s">
        <v>13</v>
      </c>
      <c r="C2094">
        <v>27</v>
      </c>
      <c r="D2094" t="s">
        <v>15</v>
      </c>
      <c r="E2094" t="s">
        <v>15</v>
      </c>
      <c r="F2094" t="s">
        <v>16</v>
      </c>
      <c r="G2094" t="s">
        <v>18</v>
      </c>
      <c r="H2094" t="s">
        <v>22</v>
      </c>
      <c r="I2094">
        <v>88.97</v>
      </c>
      <c r="J2094">
        <v>28.8</v>
      </c>
      <c r="K2094" t="s">
        <v>25</v>
      </c>
      <c r="L2094" t="s">
        <v>15</v>
      </c>
    </row>
    <row r="2095" spans="1:12" x14ac:dyDescent="0.3">
      <c r="A2095">
        <v>54997</v>
      </c>
      <c r="B2095" t="s">
        <v>13</v>
      </c>
      <c r="C2095">
        <v>53</v>
      </c>
      <c r="D2095" t="s">
        <v>15</v>
      </c>
      <c r="E2095" t="s">
        <v>15</v>
      </c>
      <c r="F2095" t="s">
        <v>16</v>
      </c>
      <c r="G2095" t="s">
        <v>18</v>
      </c>
      <c r="H2095" t="s">
        <v>23</v>
      </c>
      <c r="I2095">
        <v>72.489999999999995</v>
      </c>
      <c r="J2095">
        <v>38.5</v>
      </c>
      <c r="K2095" t="s">
        <v>25</v>
      </c>
      <c r="L2095" t="s">
        <v>15</v>
      </c>
    </row>
    <row r="2096" spans="1:12" x14ac:dyDescent="0.3">
      <c r="A2096">
        <v>6199</v>
      </c>
      <c r="B2096" t="s">
        <v>13</v>
      </c>
      <c r="C2096">
        <v>52</v>
      </c>
      <c r="D2096" t="s">
        <v>15</v>
      </c>
      <c r="E2096" t="s">
        <v>15</v>
      </c>
      <c r="F2096" t="s">
        <v>16</v>
      </c>
      <c r="G2096" t="s">
        <v>19</v>
      </c>
      <c r="H2096" t="s">
        <v>23</v>
      </c>
      <c r="I2096">
        <v>107.27</v>
      </c>
      <c r="J2096">
        <v>30.1</v>
      </c>
      <c r="K2096" t="s">
        <v>27</v>
      </c>
      <c r="L2096" t="s">
        <v>15</v>
      </c>
    </row>
    <row r="2097" spans="1:12" x14ac:dyDescent="0.3">
      <c r="A2097">
        <v>4635</v>
      </c>
      <c r="B2097" t="s">
        <v>13</v>
      </c>
      <c r="C2097">
        <v>68</v>
      </c>
      <c r="D2097" t="s">
        <v>15</v>
      </c>
      <c r="E2097" t="s">
        <v>15</v>
      </c>
      <c r="F2097" t="s">
        <v>16</v>
      </c>
      <c r="G2097" t="s">
        <v>17</v>
      </c>
      <c r="H2097" t="s">
        <v>23</v>
      </c>
      <c r="I2097">
        <v>97.96</v>
      </c>
      <c r="J2097">
        <v>31.3</v>
      </c>
      <c r="K2097" t="s">
        <v>25</v>
      </c>
      <c r="L2097" t="s">
        <v>15</v>
      </c>
    </row>
    <row r="2098" spans="1:12" x14ac:dyDescent="0.3">
      <c r="A2098">
        <v>3305</v>
      </c>
      <c r="B2098" t="s">
        <v>12</v>
      </c>
      <c r="C2098">
        <v>65</v>
      </c>
      <c r="D2098" t="s">
        <v>15</v>
      </c>
      <c r="E2098" t="s">
        <v>15</v>
      </c>
      <c r="F2098" t="s">
        <v>16</v>
      </c>
      <c r="G2098" t="s">
        <v>17</v>
      </c>
      <c r="H2098" t="s">
        <v>22</v>
      </c>
      <c r="I2098">
        <v>197.69</v>
      </c>
      <c r="J2098">
        <v>28.4</v>
      </c>
      <c r="K2098" t="s">
        <v>26</v>
      </c>
      <c r="L2098" t="s">
        <v>15</v>
      </c>
    </row>
    <row r="2099" spans="1:12" x14ac:dyDescent="0.3">
      <c r="A2099">
        <v>24342</v>
      </c>
      <c r="B2099" t="s">
        <v>13</v>
      </c>
      <c r="C2099">
        <v>23</v>
      </c>
      <c r="D2099" t="s">
        <v>15</v>
      </c>
      <c r="E2099" t="s">
        <v>15</v>
      </c>
      <c r="F2099" t="s">
        <v>15</v>
      </c>
      <c r="G2099" t="s">
        <v>17</v>
      </c>
      <c r="H2099" t="s">
        <v>23</v>
      </c>
      <c r="I2099">
        <v>112.3</v>
      </c>
      <c r="J2099">
        <v>26.6</v>
      </c>
      <c r="K2099" t="s">
        <v>27</v>
      </c>
      <c r="L2099" t="s">
        <v>15</v>
      </c>
    </row>
    <row r="2100" spans="1:12" x14ac:dyDescent="0.3">
      <c r="A2100">
        <v>65093</v>
      </c>
      <c r="B2100" t="s">
        <v>13</v>
      </c>
      <c r="C2100">
        <v>43</v>
      </c>
      <c r="D2100" t="s">
        <v>15</v>
      </c>
      <c r="E2100" t="s">
        <v>15</v>
      </c>
      <c r="F2100" t="s">
        <v>16</v>
      </c>
      <c r="G2100" t="s">
        <v>18</v>
      </c>
      <c r="H2100" t="s">
        <v>22</v>
      </c>
      <c r="I2100">
        <v>75.77</v>
      </c>
      <c r="J2100">
        <v>20.399999999999999</v>
      </c>
      <c r="K2100" t="s">
        <v>24</v>
      </c>
      <c r="L2100" t="s">
        <v>15</v>
      </c>
    </row>
    <row r="2101" spans="1:12" x14ac:dyDescent="0.3">
      <c r="A2101">
        <v>46261</v>
      </c>
      <c r="B2101" t="s">
        <v>12</v>
      </c>
      <c r="C2101">
        <v>55</v>
      </c>
      <c r="D2101" t="s">
        <v>15</v>
      </c>
      <c r="E2101" t="s">
        <v>15</v>
      </c>
      <c r="F2101" t="s">
        <v>16</v>
      </c>
      <c r="G2101" t="s">
        <v>17</v>
      </c>
      <c r="H2101" t="s">
        <v>22</v>
      </c>
      <c r="I2101">
        <v>76.510000000000005</v>
      </c>
      <c r="J2101">
        <v>34.700000000000003</v>
      </c>
      <c r="K2101" t="s">
        <v>27</v>
      </c>
      <c r="L2101" t="s">
        <v>15</v>
      </c>
    </row>
    <row r="2102" spans="1:12" x14ac:dyDescent="0.3">
      <c r="A2102">
        <v>42624</v>
      </c>
      <c r="B2102" t="s">
        <v>13</v>
      </c>
      <c r="C2102">
        <v>52</v>
      </c>
      <c r="D2102" t="s">
        <v>15</v>
      </c>
      <c r="E2102" t="s">
        <v>15</v>
      </c>
      <c r="F2102" t="s">
        <v>16</v>
      </c>
      <c r="G2102" t="s">
        <v>17</v>
      </c>
      <c r="H2102" t="s">
        <v>22</v>
      </c>
      <c r="I2102">
        <v>93.14</v>
      </c>
      <c r="J2102">
        <v>32.5</v>
      </c>
      <c r="K2102" t="s">
        <v>25</v>
      </c>
      <c r="L2102" t="s">
        <v>15</v>
      </c>
    </row>
    <row r="2103" spans="1:12" x14ac:dyDescent="0.3">
      <c r="A2103">
        <v>24735</v>
      </c>
      <c r="B2103" t="s">
        <v>13</v>
      </c>
      <c r="C2103">
        <v>21</v>
      </c>
      <c r="D2103" t="s">
        <v>15</v>
      </c>
      <c r="E2103" t="s">
        <v>15</v>
      </c>
      <c r="F2103" t="s">
        <v>15</v>
      </c>
      <c r="G2103" t="s">
        <v>17</v>
      </c>
      <c r="H2103" t="s">
        <v>23</v>
      </c>
      <c r="I2103">
        <v>80.84</v>
      </c>
      <c r="J2103">
        <v>30.7</v>
      </c>
      <c r="K2103" t="s">
        <v>27</v>
      </c>
      <c r="L2103" t="s">
        <v>15</v>
      </c>
    </row>
    <row r="2104" spans="1:12" x14ac:dyDescent="0.3">
      <c r="A2104">
        <v>50671</v>
      </c>
      <c r="B2104" t="s">
        <v>12</v>
      </c>
      <c r="C2104">
        <v>78</v>
      </c>
      <c r="D2104" t="s">
        <v>16</v>
      </c>
      <c r="E2104" t="s">
        <v>16</v>
      </c>
      <c r="F2104" t="s">
        <v>16</v>
      </c>
      <c r="G2104" t="s">
        <v>18</v>
      </c>
      <c r="H2104" t="s">
        <v>23</v>
      </c>
      <c r="I2104">
        <v>199.88</v>
      </c>
      <c r="J2104">
        <v>29.6</v>
      </c>
      <c r="K2104" t="s">
        <v>24</v>
      </c>
      <c r="L2104" t="s">
        <v>15</v>
      </c>
    </row>
    <row r="2105" spans="1:12" x14ac:dyDescent="0.3">
      <c r="A2105">
        <v>1679</v>
      </c>
      <c r="B2105" t="s">
        <v>12</v>
      </c>
      <c r="C2105">
        <v>35</v>
      </c>
      <c r="D2105" t="s">
        <v>15</v>
      </c>
      <c r="E2105" t="s">
        <v>15</v>
      </c>
      <c r="F2105" t="s">
        <v>16</v>
      </c>
      <c r="G2105" t="s">
        <v>17</v>
      </c>
      <c r="H2105" t="s">
        <v>23</v>
      </c>
      <c r="I2105">
        <v>77.48</v>
      </c>
      <c r="K2105" t="s">
        <v>24</v>
      </c>
      <c r="L2105" t="s">
        <v>15</v>
      </c>
    </row>
    <row r="2106" spans="1:12" x14ac:dyDescent="0.3">
      <c r="A2106">
        <v>66680</v>
      </c>
      <c r="B2106" t="s">
        <v>13</v>
      </c>
      <c r="C2106">
        <v>49</v>
      </c>
      <c r="D2106" t="s">
        <v>16</v>
      </c>
      <c r="E2106" t="s">
        <v>15</v>
      </c>
      <c r="F2106" t="s">
        <v>16</v>
      </c>
      <c r="G2106" t="s">
        <v>17</v>
      </c>
      <c r="H2106" t="s">
        <v>23</v>
      </c>
      <c r="I2106">
        <v>65.34</v>
      </c>
      <c r="J2106">
        <v>39.4</v>
      </c>
      <c r="K2106" t="s">
        <v>25</v>
      </c>
      <c r="L2106" t="s">
        <v>15</v>
      </c>
    </row>
    <row r="2107" spans="1:12" x14ac:dyDescent="0.3">
      <c r="A2107">
        <v>34248</v>
      </c>
      <c r="B2107" t="s">
        <v>12</v>
      </c>
      <c r="C2107">
        <v>50</v>
      </c>
      <c r="D2107" t="s">
        <v>16</v>
      </c>
      <c r="E2107" t="s">
        <v>15</v>
      </c>
      <c r="F2107" t="s">
        <v>15</v>
      </c>
      <c r="G2107" t="s">
        <v>17</v>
      </c>
      <c r="H2107" t="s">
        <v>22</v>
      </c>
      <c r="I2107">
        <v>81.96</v>
      </c>
      <c r="K2107" t="s">
        <v>24</v>
      </c>
      <c r="L2107" t="s">
        <v>15</v>
      </c>
    </row>
    <row r="2108" spans="1:12" x14ac:dyDescent="0.3">
      <c r="A2108">
        <v>65336</v>
      </c>
      <c r="B2108" t="s">
        <v>13</v>
      </c>
      <c r="C2108">
        <v>27</v>
      </c>
      <c r="D2108" t="s">
        <v>15</v>
      </c>
      <c r="E2108" t="s">
        <v>15</v>
      </c>
      <c r="F2108" t="s">
        <v>16</v>
      </c>
      <c r="G2108" t="s">
        <v>17</v>
      </c>
      <c r="H2108" t="s">
        <v>22</v>
      </c>
      <c r="I2108">
        <v>98.71</v>
      </c>
      <c r="J2108">
        <v>26.1</v>
      </c>
      <c r="K2108" t="s">
        <v>24</v>
      </c>
      <c r="L2108" t="s">
        <v>15</v>
      </c>
    </row>
    <row r="2109" spans="1:12" x14ac:dyDescent="0.3">
      <c r="A2109">
        <v>68333</v>
      </c>
      <c r="B2109" t="s">
        <v>13</v>
      </c>
      <c r="C2109">
        <v>52</v>
      </c>
      <c r="D2109" t="s">
        <v>16</v>
      </c>
      <c r="E2109" t="s">
        <v>15</v>
      </c>
      <c r="F2109" t="s">
        <v>15</v>
      </c>
      <c r="G2109" t="s">
        <v>17</v>
      </c>
      <c r="H2109" t="s">
        <v>23</v>
      </c>
      <c r="I2109">
        <v>170.22</v>
      </c>
      <c r="J2109">
        <v>27.2</v>
      </c>
      <c r="K2109" t="s">
        <v>24</v>
      </c>
      <c r="L2109" t="s">
        <v>15</v>
      </c>
    </row>
    <row r="2110" spans="1:12" x14ac:dyDescent="0.3">
      <c r="A2110">
        <v>60210</v>
      </c>
      <c r="B2110" t="s">
        <v>13</v>
      </c>
      <c r="C2110">
        <v>22</v>
      </c>
      <c r="D2110" t="s">
        <v>15</v>
      </c>
      <c r="E2110" t="s">
        <v>15</v>
      </c>
      <c r="F2110" t="s">
        <v>15</v>
      </c>
      <c r="G2110" t="s">
        <v>17</v>
      </c>
      <c r="H2110" t="s">
        <v>22</v>
      </c>
      <c r="I2110">
        <v>73.5</v>
      </c>
      <c r="J2110">
        <v>41.3</v>
      </c>
      <c r="K2110" t="s">
        <v>26</v>
      </c>
      <c r="L2110" t="s">
        <v>15</v>
      </c>
    </row>
    <row r="2111" spans="1:12" x14ac:dyDescent="0.3">
      <c r="A2111">
        <v>11573</v>
      </c>
      <c r="B2111" t="s">
        <v>13</v>
      </c>
      <c r="C2111">
        <v>19</v>
      </c>
      <c r="D2111" t="s">
        <v>15</v>
      </c>
      <c r="E2111" t="s">
        <v>15</v>
      </c>
      <c r="F2111" t="s">
        <v>15</v>
      </c>
      <c r="G2111" t="s">
        <v>17</v>
      </c>
      <c r="H2111" t="s">
        <v>23</v>
      </c>
      <c r="I2111">
        <v>72.39</v>
      </c>
      <c r="K2111" t="s">
        <v>26</v>
      </c>
      <c r="L2111" t="s">
        <v>15</v>
      </c>
    </row>
    <row r="2112" spans="1:12" x14ac:dyDescent="0.3">
      <c r="A2112">
        <v>67890</v>
      </c>
      <c r="B2112" t="s">
        <v>12</v>
      </c>
      <c r="C2112">
        <v>77</v>
      </c>
      <c r="D2112" t="s">
        <v>15</v>
      </c>
      <c r="E2112" t="s">
        <v>16</v>
      </c>
      <c r="F2112" t="s">
        <v>16</v>
      </c>
      <c r="G2112" t="s">
        <v>17</v>
      </c>
      <c r="H2112" t="s">
        <v>22</v>
      </c>
      <c r="I2112">
        <v>102.96</v>
      </c>
      <c r="J2112">
        <v>20.9</v>
      </c>
      <c r="K2112" t="s">
        <v>24</v>
      </c>
      <c r="L2112" t="s">
        <v>15</v>
      </c>
    </row>
    <row r="2113" spans="1:12" x14ac:dyDescent="0.3">
      <c r="A2113">
        <v>49254</v>
      </c>
      <c r="B2113" t="s">
        <v>12</v>
      </c>
      <c r="C2113">
        <v>57</v>
      </c>
      <c r="D2113" t="s">
        <v>16</v>
      </c>
      <c r="E2113" t="s">
        <v>15</v>
      </c>
      <c r="F2113" t="s">
        <v>16</v>
      </c>
      <c r="G2113" t="s">
        <v>17</v>
      </c>
      <c r="H2113" t="s">
        <v>22</v>
      </c>
      <c r="I2113">
        <v>80.72</v>
      </c>
      <c r="J2113">
        <v>41.5</v>
      </c>
      <c r="K2113" t="s">
        <v>24</v>
      </c>
      <c r="L2113" t="s">
        <v>15</v>
      </c>
    </row>
    <row r="2114" spans="1:12" x14ac:dyDescent="0.3">
      <c r="A2114">
        <v>9199</v>
      </c>
      <c r="B2114" t="s">
        <v>12</v>
      </c>
      <c r="C2114">
        <v>13</v>
      </c>
      <c r="D2114" t="s">
        <v>15</v>
      </c>
      <c r="E2114" t="s">
        <v>15</v>
      </c>
      <c r="F2114" t="s">
        <v>15</v>
      </c>
      <c r="G2114" t="s">
        <v>18</v>
      </c>
      <c r="H2114" t="s">
        <v>22</v>
      </c>
      <c r="I2114">
        <v>74.19</v>
      </c>
      <c r="J2114">
        <v>31.1</v>
      </c>
      <c r="K2114" t="s">
        <v>24</v>
      </c>
      <c r="L2114" t="s">
        <v>15</v>
      </c>
    </row>
    <row r="2115" spans="1:12" x14ac:dyDescent="0.3">
      <c r="A2115">
        <v>35402</v>
      </c>
      <c r="B2115" t="s">
        <v>12</v>
      </c>
      <c r="C2115">
        <v>14</v>
      </c>
      <c r="D2115" t="s">
        <v>15</v>
      </c>
      <c r="E2115" t="s">
        <v>15</v>
      </c>
      <c r="F2115" t="s">
        <v>15</v>
      </c>
      <c r="G2115" t="s">
        <v>17</v>
      </c>
      <c r="H2115" t="s">
        <v>22</v>
      </c>
      <c r="I2115">
        <v>77.12</v>
      </c>
      <c r="J2115">
        <v>24.5</v>
      </c>
      <c r="K2115" t="s">
        <v>24</v>
      </c>
      <c r="L2115" t="s">
        <v>15</v>
      </c>
    </row>
    <row r="2116" spans="1:12" x14ac:dyDescent="0.3">
      <c r="A2116">
        <v>25996</v>
      </c>
      <c r="B2116" t="s">
        <v>13</v>
      </c>
      <c r="C2116">
        <v>29</v>
      </c>
      <c r="D2116" t="s">
        <v>15</v>
      </c>
      <c r="E2116" t="s">
        <v>15</v>
      </c>
      <c r="F2116" t="s">
        <v>16</v>
      </c>
      <c r="G2116" t="s">
        <v>17</v>
      </c>
      <c r="H2116" t="s">
        <v>22</v>
      </c>
      <c r="I2116">
        <v>81.2</v>
      </c>
      <c r="J2116">
        <v>23</v>
      </c>
      <c r="K2116" t="s">
        <v>27</v>
      </c>
      <c r="L2116" t="s">
        <v>15</v>
      </c>
    </row>
    <row r="2117" spans="1:12" x14ac:dyDescent="0.3">
      <c r="A2117">
        <v>8345</v>
      </c>
      <c r="B2117" t="s">
        <v>13</v>
      </c>
      <c r="C2117">
        <v>49</v>
      </c>
      <c r="D2117" t="s">
        <v>15</v>
      </c>
      <c r="E2117" t="s">
        <v>15</v>
      </c>
      <c r="F2117" t="s">
        <v>16</v>
      </c>
      <c r="G2117" t="s">
        <v>17</v>
      </c>
      <c r="H2117" t="s">
        <v>23</v>
      </c>
      <c r="I2117">
        <v>114.76</v>
      </c>
      <c r="J2117">
        <v>24.7</v>
      </c>
      <c r="K2117" t="s">
        <v>25</v>
      </c>
      <c r="L2117" t="s">
        <v>15</v>
      </c>
    </row>
    <row r="2118" spans="1:12" x14ac:dyDescent="0.3">
      <c r="A2118">
        <v>63219</v>
      </c>
      <c r="B2118" t="s">
        <v>12</v>
      </c>
      <c r="C2118">
        <v>1.24</v>
      </c>
      <c r="D2118" t="s">
        <v>15</v>
      </c>
      <c r="E2118" t="s">
        <v>15</v>
      </c>
      <c r="F2118" t="s">
        <v>15</v>
      </c>
      <c r="G2118" t="s">
        <v>20</v>
      </c>
      <c r="H2118" t="s">
        <v>22</v>
      </c>
      <c r="I2118">
        <v>109.97</v>
      </c>
      <c r="J2118">
        <v>19.3</v>
      </c>
      <c r="K2118" t="s">
        <v>27</v>
      </c>
      <c r="L2118" t="s">
        <v>15</v>
      </c>
    </row>
    <row r="2119" spans="1:12" x14ac:dyDescent="0.3">
      <c r="A2119">
        <v>8770</v>
      </c>
      <c r="B2119" t="s">
        <v>12</v>
      </c>
      <c r="C2119">
        <v>21</v>
      </c>
      <c r="D2119" t="s">
        <v>15</v>
      </c>
      <c r="E2119" t="s">
        <v>15</v>
      </c>
      <c r="F2119" t="s">
        <v>15</v>
      </c>
      <c r="G2119" t="s">
        <v>18</v>
      </c>
      <c r="H2119" t="s">
        <v>22</v>
      </c>
      <c r="I2119">
        <v>92.87</v>
      </c>
      <c r="J2119">
        <v>37</v>
      </c>
      <c r="K2119" t="s">
        <v>25</v>
      </c>
      <c r="L2119" t="s">
        <v>15</v>
      </c>
    </row>
    <row r="2120" spans="1:12" x14ac:dyDescent="0.3">
      <c r="A2120">
        <v>22370</v>
      </c>
      <c r="B2120" t="s">
        <v>12</v>
      </c>
      <c r="C2120">
        <v>36</v>
      </c>
      <c r="D2120" t="s">
        <v>16</v>
      </c>
      <c r="E2120" t="s">
        <v>15</v>
      </c>
      <c r="F2120" t="s">
        <v>15</v>
      </c>
      <c r="G2120" t="s">
        <v>19</v>
      </c>
      <c r="H2120" t="s">
        <v>22</v>
      </c>
      <c r="I2120">
        <v>113.05</v>
      </c>
      <c r="J2120">
        <v>31</v>
      </c>
      <c r="K2120" t="s">
        <v>26</v>
      </c>
      <c r="L2120" t="s">
        <v>15</v>
      </c>
    </row>
    <row r="2121" spans="1:12" x14ac:dyDescent="0.3">
      <c r="A2121">
        <v>25930</v>
      </c>
      <c r="B2121" t="s">
        <v>12</v>
      </c>
      <c r="C2121">
        <v>42</v>
      </c>
      <c r="D2121" t="s">
        <v>15</v>
      </c>
      <c r="E2121" t="s">
        <v>15</v>
      </c>
      <c r="F2121" t="s">
        <v>16</v>
      </c>
      <c r="G2121" t="s">
        <v>17</v>
      </c>
      <c r="H2121" t="s">
        <v>22</v>
      </c>
      <c r="I2121">
        <v>68.239999999999995</v>
      </c>
      <c r="J2121">
        <v>33.1</v>
      </c>
      <c r="K2121" t="s">
        <v>24</v>
      </c>
      <c r="L2121" t="s">
        <v>15</v>
      </c>
    </row>
    <row r="2122" spans="1:12" x14ac:dyDescent="0.3">
      <c r="A2122">
        <v>33478</v>
      </c>
      <c r="B2122" t="s">
        <v>13</v>
      </c>
      <c r="C2122">
        <v>56</v>
      </c>
      <c r="D2122" t="s">
        <v>15</v>
      </c>
      <c r="E2122" t="s">
        <v>15</v>
      </c>
      <c r="F2122" t="s">
        <v>15</v>
      </c>
      <c r="G2122" t="s">
        <v>17</v>
      </c>
      <c r="H2122" t="s">
        <v>23</v>
      </c>
      <c r="I2122">
        <v>74.349999999999994</v>
      </c>
      <c r="J2122">
        <v>26.6</v>
      </c>
      <c r="K2122" t="s">
        <v>26</v>
      </c>
      <c r="L2122" t="s">
        <v>15</v>
      </c>
    </row>
    <row r="2123" spans="1:12" x14ac:dyDescent="0.3">
      <c r="A2123">
        <v>23009</v>
      </c>
      <c r="B2123" t="s">
        <v>12</v>
      </c>
      <c r="C2123">
        <v>46</v>
      </c>
      <c r="D2123" t="s">
        <v>15</v>
      </c>
      <c r="E2123" t="s">
        <v>15</v>
      </c>
      <c r="F2123" t="s">
        <v>16</v>
      </c>
      <c r="G2123" t="s">
        <v>17</v>
      </c>
      <c r="H2123" t="s">
        <v>22</v>
      </c>
      <c r="I2123">
        <v>91.08</v>
      </c>
      <c r="J2123">
        <v>27.7</v>
      </c>
      <c r="K2123" t="s">
        <v>25</v>
      </c>
      <c r="L2123" t="s">
        <v>15</v>
      </c>
    </row>
    <row r="2124" spans="1:12" x14ac:dyDescent="0.3">
      <c r="A2124">
        <v>24885</v>
      </c>
      <c r="B2124" t="s">
        <v>12</v>
      </c>
      <c r="C2124">
        <v>79</v>
      </c>
      <c r="D2124" t="s">
        <v>15</v>
      </c>
      <c r="E2124" t="s">
        <v>16</v>
      </c>
      <c r="F2124" t="s">
        <v>16</v>
      </c>
      <c r="G2124" t="s">
        <v>18</v>
      </c>
      <c r="H2124" t="s">
        <v>22</v>
      </c>
      <c r="I2124">
        <v>88.83</v>
      </c>
      <c r="J2124">
        <v>40.299999999999997</v>
      </c>
      <c r="K2124" t="s">
        <v>26</v>
      </c>
      <c r="L2124" t="s">
        <v>15</v>
      </c>
    </row>
    <row r="2125" spans="1:12" x14ac:dyDescent="0.3">
      <c r="A2125">
        <v>58591</v>
      </c>
      <c r="B2125" t="s">
        <v>13</v>
      </c>
      <c r="C2125">
        <v>25</v>
      </c>
      <c r="D2125" t="s">
        <v>15</v>
      </c>
      <c r="E2125" t="s">
        <v>15</v>
      </c>
      <c r="F2125" t="s">
        <v>15</v>
      </c>
      <c r="G2125" t="s">
        <v>17</v>
      </c>
      <c r="H2125" t="s">
        <v>23</v>
      </c>
      <c r="I2125">
        <v>134.33000000000001</v>
      </c>
      <c r="J2125">
        <v>19.5</v>
      </c>
      <c r="K2125" t="s">
        <v>27</v>
      </c>
      <c r="L2125" t="s">
        <v>15</v>
      </c>
    </row>
    <row r="2126" spans="1:12" x14ac:dyDescent="0.3">
      <c r="A2126">
        <v>44777</v>
      </c>
      <c r="B2126" t="s">
        <v>12</v>
      </c>
      <c r="C2126">
        <v>67</v>
      </c>
      <c r="D2126" t="s">
        <v>15</v>
      </c>
      <c r="E2126" t="s">
        <v>15</v>
      </c>
      <c r="F2126" t="s">
        <v>16</v>
      </c>
      <c r="G2126" t="s">
        <v>17</v>
      </c>
      <c r="H2126" t="s">
        <v>23</v>
      </c>
      <c r="I2126">
        <v>208.78</v>
      </c>
      <c r="J2126">
        <v>26.7</v>
      </c>
      <c r="K2126" t="s">
        <v>27</v>
      </c>
      <c r="L2126" t="s">
        <v>15</v>
      </c>
    </row>
    <row r="2127" spans="1:12" x14ac:dyDescent="0.3">
      <c r="A2127">
        <v>46363</v>
      </c>
      <c r="B2127" t="s">
        <v>12</v>
      </c>
      <c r="C2127">
        <v>37</v>
      </c>
      <c r="D2127" t="s">
        <v>15</v>
      </c>
      <c r="E2127" t="s">
        <v>15</v>
      </c>
      <c r="F2127" t="s">
        <v>16</v>
      </c>
      <c r="G2127" t="s">
        <v>17</v>
      </c>
      <c r="H2127" t="s">
        <v>23</v>
      </c>
      <c r="I2127">
        <v>66.17</v>
      </c>
      <c r="J2127">
        <v>26.1</v>
      </c>
      <c r="K2127" t="s">
        <v>25</v>
      </c>
      <c r="L2127" t="s">
        <v>15</v>
      </c>
    </row>
    <row r="2128" spans="1:12" x14ac:dyDescent="0.3">
      <c r="A2128">
        <v>36377</v>
      </c>
      <c r="B2128" t="s">
        <v>13</v>
      </c>
      <c r="C2128">
        <v>44</v>
      </c>
      <c r="D2128" t="s">
        <v>15</v>
      </c>
      <c r="E2128" t="s">
        <v>15</v>
      </c>
      <c r="F2128" t="s">
        <v>16</v>
      </c>
      <c r="G2128" t="s">
        <v>17</v>
      </c>
      <c r="H2128" t="s">
        <v>23</v>
      </c>
      <c r="I2128">
        <v>222.29</v>
      </c>
      <c r="J2128">
        <v>38.200000000000003</v>
      </c>
      <c r="K2128" t="s">
        <v>25</v>
      </c>
      <c r="L2128" t="s">
        <v>15</v>
      </c>
    </row>
    <row r="2129" spans="1:12" x14ac:dyDescent="0.3">
      <c r="A2129">
        <v>15440</v>
      </c>
      <c r="B2129" t="s">
        <v>13</v>
      </c>
      <c r="C2129">
        <v>36</v>
      </c>
      <c r="D2129" t="s">
        <v>15</v>
      </c>
      <c r="E2129" t="s">
        <v>15</v>
      </c>
      <c r="F2129" t="s">
        <v>16</v>
      </c>
      <c r="G2129" t="s">
        <v>17</v>
      </c>
      <c r="H2129" t="s">
        <v>23</v>
      </c>
      <c r="I2129">
        <v>114.16</v>
      </c>
      <c r="J2129">
        <v>21.3</v>
      </c>
      <c r="K2129" t="s">
        <v>26</v>
      </c>
      <c r="L2129" t="s">
        <v>15</v>
      </c>
    </row>
    <row r="2130" spans="1:12" x14ac:dyDescent="0.3">
      <c r="A2130">
        <v>56420</v>
      </c>
      <c r="B2130" t="s">
        <v>12</v>
      </c>
      <c r="C2130">
        <v>17</v>
      </c>
      <c r="D2130" t="s">
        <v>16</v>
      </c>
      <c r="E2130" t="s">
        <v>15</v>
      </c>
      <c r="F2130" t="s">
        <v>15</v>
      </c>
      <c r="G2130" t="s">
        <v>17</v>
      </c>
      <c r="H2130" t="s">
        <v>23</v>
      </c>
      <c r="I2130">
        <v>61.67</v>
      </c>
      <c r="J2130">
        <v>97.6</v>
      </c>
      <c r="K2130" t="s">
        <v>27</v>
      </c>
      <c r="L2130" t="s">
        <v>15</v>
      </c>
    </row>
    <row r="2131" spans="1:12" x14ac:dyDescent="0.3">
      <c r="A2131">
        <v>39531</v>
      </c>
      <c r="B2131" t="s">
        <v>12</v>
      </c>
      <c r="C2131">
        <v>50</v>
      </c>
      <c r="D2131" t="s">
        <v>16</v>
      </c>
      <c r="E2131" t="s">
        <v>15</v>
      </c>
      <c r="F2131" t="s">
        <v>16</v>
      </c>
      <c r="G2131" t="s">
        <v>17</v>
      </c>
      <c r="H2131" t="s">
        <v>23</v>
      </c>
      <c r="I2131">
        <v>220.36</v>
      </c>
      <c r="J2131">
        <v>40.9</v>
      </c>
      <c r="K2131" t="s">
        <v>24</v>
      </c>
      <c r="L2131" t="s">
        <v>15</v>
      </c>
    </row>
    <row r="2132" spans="1:12" x14ac:dyDescent="0.3">
      <c r="A2132">
        <v>55220</v>
      </c>
      <c r="B2132" t="s">
        <v>12</v>
      </c>
      <c r="C2132">
        <v>53</v>
      </c>
      <c r="D2132" t="s">
        <v>15</v>
      </c>
      <c r="E2132" t="s">
        <v>15</v>
      </c>
      <c r="F2132" t="s">
        <v>16</v>
      </c>
      <c r="G2132" t="s">
        <v>17</v>
      </c>
      <c r="H2132" t="s">
        <v>22</v>
      </c>
      <c r="I2132">
        <v>76.03</v>
      </c>
      <c r="J2132">
        <v>27.3</v>
      </c>
      <c r="K2132" t="s">
        <v>25</v>
      </c>
      <c r="L2132" t="s">
        <v>15</v>
      </c>
    </row>
    <row r="2133" spans="1:12" x14ac:dyDescent="0.3">
      <c r="A2133">
        <v>30731</v>
      </c>
      <c r="B2133" t="s">
        <v>13</v>
      </c>
      <c r="C2133">
        <v>39</v>
      </c>
      <c r="D2133" t="s">
        <v>15</v>
      </c>
      <c r="E2133" t="s">
        <v>15</v>
      </c>
      <c r="F2133" t="s">
        <v>15</v>
      </c>
      <c r="G2133" t="s">
        <v>18</v>
      </c>
      <c r="H2133" t="s">
        <v>22</v>
      </c>
      <c r="I2133">
        <v>73.06</v>
      </c>
      <c r="J2133">
        <v>20.9</v>
      </c>
      <c r="K2133" t="s">
        <v>25</v>
      </c>
      <c r="L2133" t="s">
        <v>15</v>
      </c>
    </row>
    <row r="2134" spans="1:12" x14ac:dyDescent="0.3">
      <c r="A2134">
        <v>14479</v>
      </c>
      <c r="B2134" t="s">
        <v>13</v>
      </c>
      <c r="C2134">
        <v>71</v>
      </c>
      <c r="D2134" t="s">
        <v>15</v>
      </c>
      <c r="E2134" t="s">
        <v>16</v>
      </c>
      <c r="F2134" t="s">
        <v>16</v>
      </c>
      <c r="G2134" t="s">
        <v>17</v>
      </c>
      <c r="H2134" t="s">
        <v>22</v>
      </c>
      <c r="I2134">
        <v>187.88</v>
      </c>
      <c r="J2134">
        <v>29.2</v>
      </c>
      <c r="K2134" t="s">
        <v>24</v>
      </c>
      <c r="L2134" t="s">
        <v>15</v>
      </c>
    </row>
    <row r="2135" spans="1:12" x14ac:dyDescent="0.3">
      <c r="A2135">
        <v>40471</v>
      </c>
      <c r="B2135" t="s">
        <v>13</v>
      </c>
      <c r="C2135">
        <v>18</v>
      </c>
      <c r="D2135" t="s">
        <v>15</v>
      </c>
      <c r="E2135" t="s">
        <v>15</v>
      </c>
      <c r="F2135" t="s">
        <v>15</v>
      </c>
      <c r="G2135" t="s">
        <v>17</v>
      </c>
      <c r="H2135" t="s">
        <v>22</v>
      </c>
      <c r="I2135">
        <v>79.89</v>
      </c>
      <c r="J2135">
        <v>17.899999999999999</v>
      </c>
      <c r="K2135" t="s">
        <v>27</v>
      </c>
      <c r="L2135" t="s">
        <v>15</v>
      </c>
    </row>
    <row r="2136" spans="1:12" x14ac:dyDescent="0.3">
      <c r="A2136">
        <v>7384</v>
      </c>
      <c r="B2136" t="s">
        <v>12</v>
      </c>
      <c r="C2136">
        <v>55</v>
      </c>
      <c r="D2136" t="s">
        <v>15</v>
      </c>
      <c r="E2136" t="s">
        <v>15</v>
      </c>
      <c r="F2136" t="s">
        <v>15</v>
      </c>
      <c r="G2136" t="s">
        <v>18</v>
      </c>
      <c r="H2136" t="s">
        <v>23</v>
      </c>
      <c r="I2136">
        <v>79.02</v>
      </c>
      <c r="J2136">
        <v>38</v>
      </c>
      <c r="K2136" t="s">
        <v>27</v>
      </c>
      <c r="L2136" t="s">
        <v>15</v>
      </c>
    </row>
    <row r="2137" spans="1:12" x14ac:dyDescent="0.3">
      <c r="A2137">
        <v>53422</v>
      </c>
      <c r="B2137" t="s">
        <v>12</v>
      </c>
      <c r="C2137">
        <v>52</v>
      </c>
      <c r="D2137" t="s">
        <v>15</v>
      </c>
      <c r="E2137" t="s">
        <v>15</v>
      </c>
      <c r="F2137" t="s">
        <v>16</v>
      </c>
      <c r="G2137" t="s">
        <v>17</v>
      </c>
      <c r="H2137" t="s">
        <v>23</v>
      </c>
      <c r="I2137">
        <v>191.66</v>
      </c>
      <c r="J2137">
        <v>26.1</v>
      </c>
      <c r="K2137" t="s">
        <v>26</v>
      </c>
      <c r="L2137" t="s">
        <v>15</v>
      </c>
    </row>
    <row r="2138" spans="1:12" x14ac:dyDescent="0.3">
      <c r="A2138">
        <v>59745</v>
      </c>
      <c r="B2138" t="s">
        <v>13</v>
      </c>
      <c r="C2138">
        <v>27</v>
      </c>
      <c r="D2138" t="s">
        <v>15</v>
      </c>
      <c r="E2138" t="s">
        <v>15</v>
      </c>
      <c r="F2138" t="s">
        <v>16</v>
      </c>
      <c r="G2138" t="s">
        <v>17</v>
      </c>
      <c r="H2138" t="s">
        <v>22</v>
      </c>
      <c r="I2138">
        <v>76.739999999999995</v>
      </c>
      <c r="J2138">
        <v>53.9</v>
      </c>
      <c r="K2138" t="s">
        <v>27</v>
      </c>
      <c r="L2138" t="s">
        <v>15</v>
      </c>
    </row>
    <row r="2139" spans="1:12" x14ac:dyDescent="0.3">
      <c r="A2139">
        <v>24721</v>
      </c>
      <c r="B2139" t="s">
        <v>12</v>
      </c>
      <c r="C2139">
        <v>24</v>
      </c>
      <c r="D2139" t="s">
        <v>15</v>
      </c>
      <c r="E2139" t="s">
        <v>15</v>
      </c>
      <c r="F2139" t="s">
        <v>15</v>
      </c>
      <c r="G2139" t="s">
        <v>17</v>
      </c>
      <c r="H2139" t="s">
        <v>22</v>
      </c>
      <c r="I2139">
        <v>72.290000000000006</v>
      </c>
      <c r="J2139">
        <v>22.2</v>
      </c>
      <c r="K2139" t="s">
        <v>27</v>
      </c>
      <c r="L2139" t="s">
        <v>15</v>
      </c>
    </row>
    <row r="2140" spans="1:12" x14ac:dyDescent="0.3">
      <c r="A2140">
        <v>9644</v>
      </c>
      <c r="B2140" t="s">
        <v>12</v>
      </c>
      <c r="C2140">
        <v>72</v>
      </c>
      <c r="D2140" t="s">
        <v>15</v>
      </c>
      <c r="E2140" t="s">
        <v>15</v>
      </c>
      <c r="F2140" t="s">
        <v>16</v>
      </c>
      <c r="G2140" t="s">
        <v>17</v>
      </c>
      <c r="H2140" t="s">
        <v>22</v>
      </c>
      <c r="I2140">
        <v>92.59</v>
      </c>
      <c r="J2140">
        <v>24.6</v>
      </c>
      <c r="K2140" t="s">
        <v>24</v>
      </c>
      <c r="L2140" t="s">
        <v>15</v>
      </c>
    </row>
    <row r="2141" spans="1:12" x14ac:dyDescent="0.3">
      <c r="A2141">
        <v>50837</v>
      </c>
      <c r="B2141" t="s">
        <v>12</v>
      </c>
      <c r="C2141">
        <v>41</v>
      </c>
      <c r="D2141" t="s">
        <v>15</v>
      </c>
      <c r="E2141" t="s">
        <v>15</v>
      </c>
      <c r="F2141" t="s">
        <v>16</v>
      </c>
      <c r="G2141" t="s">
        <v>18</v>
      </c>
      <c r="H2141" t="s">
        <v>23</v>
      </c>
      <c r="I2141">
        <v>80.42</v>
      </c>
      <c r="J2141">
        <v>33.4</v>
      </c>
      <c r="K2141" t="s">
        <v>24</v>
      </c>
      <c r="L2141" t="s">
        <v>15</v>
      </c>
    </row>
    <row r="2142" spans="1:12" x14ac:dyDescent="0.3">
      <c r="A2142">
        <v>67941</v>
      </c>
      <c r="B2142" t="s">
        <v>13</v>
      </c>
      <c r="C2142">
        <v>29</v>
      </c>
      <c r="D2142" t="s">
        <v>15</v>
      </c>
      <c r="E2142" t="s">
        <v>15</v>
      </c>
      <c r="F2142" t="s">
        <v>15</v>
      </c>
      <c r="G2142" t="s">
        <v>18</v>
      </c>
      <c r="H2142" t="s">
        <v>23</v>
      </c>
      <c r="I2142">
        <v>62.47</v>
      </c>
      <c r="J2142">
        <v>34.4</v>
      </c>
      <c r="K2142" t="s">
        <v>24</v>
      </c>
      <c r="L2142" t="s">
        <v>15</v>
      </c>
    </row>
    <row r="2143" spans="1:12" x14ac:dyDescent="0.3">
      <c r="A2143">
        <v>43590</v>
      </c>
      <c r="B2143" t="s">
        <v>13</v>
      </c>
      <c r="C2143">
        <v>26</v>
      </c>
      <c r="D2143" t="s">
        <v>15</v>
      </c>
      <c r="E2143" t="s">
        <v>15</v>
      </c>
      <c r="F2143" t="s">
        <v>16</v>
      </c>
      <c r="G2143" t="s">
        <v>17</v>
      </c>
      <c r="H2143" t="s">
        <v>23</v>
      </c>
      <c r="I2143">
        <v>63.94</v>
      </c>
      <c r="J2143">
        <v>17.600000000000001</v>
      </c>
      <c r="K2143" t="s">
        <v>25</v>
      </c>
      <c r="L2143" t="s">
        <v>15</v>
      </c>
    </row>
    <row r="2144" spans="1:12" x14ac:dyDescent="0.3">
      <c r="A2144">
        <v>29014</v>
      </c>
      <c r="B2144" t="s">
        <v>13</v>
      </c>
      <c r="C2144">
        <v>23</v>
      </c>
      <c r="D2144" t="s">
        <v>15</v>
      </c>
      <c r="E2144" t="s">
        <v>15</v>
      </c>
      <c r="F2144" t="s">
        <v>16</v>
      </c>
      <c r="G2144" t="s">
        <v>17</v>
      </c>
      <c r="H2144" t="s">
        <v>23</v>
      </c>
      <c r="I2144">
        <v>77.73</v>
      </c>
      <c r="J2144">
        <v>19.2</v>
      </c>
      <c r="K2144" t="s">
        <v>25</v>
      </c>
      <c r="L2144" t="s">
        <v>15</v>
      </c>
    </row>
    <row r="2145" spans="1:12" x14ac:dyDescent="0.3">
      <c r="A2145">
        <v>66051</v>
      </c>
      <c r="B2145" t="s">
        <v>12</v>
      </c>
      <c r="C2145">
        <v>43</v>
      </c>
      <c r="D2145" t="s">
        <v>15</v>
      </c>
      <c r="E2145" t="s">
        <v>15</v>
      </c>
      <c r="F2145" t="s">
        <v>16</v>
      </c>
      <c r="G2145" t="s">
        <v>18</v>
      </c>
      <c r="H2145" t="s">
        <v>23</v>
      </c>
      <c r="I2145">
        <v>115.79</v>
      </c>
      <c r="J2145">
        <v>31.8</v>
      </c>
      <c r="K2145" t="s">
        <v>27</v>
      </c>
      <c r="L2145" t="s">
        <v>15</v>
      </c>
    </row>
    <row r="2146" spans="1:12" x14ac:dyDescent="0.3">
      <c r="A2146">
        <v>70783</v>
      </c>
      <c r="B2146" t="s">
        <v>13</v>
      </c>
      <c r="C2146">
        <v>43</v>
      </c>
      <c r="D2146" t="s">
        <v>15</v>
      </c>
      <c r="E2146" t="s">
        <v>15</v>
      </c>
      <c r="F2146" t="s">
        <v>16</v>
      </c>
      <c r="G2146" t="s">
        <v>17</v>
      </c>
      <c r="H2146" t="s">
        <v>22</v>
      </c>
      <c r="I2146">
        <v>96.3</v>
      </c>
      <c r="J2146">
        <v>28.1</v>
      </c>
      <c r="K2146" t="s">
        <v>26</v>
      </c>
      <c r="L2146" t="s">
        <v>15</v>
      </c>
    </row>
    <row r="2147" spans="1:12" x14ac:dyDescent="0.3">
      <c r="A2147">
        <v>10716</v>
      </c>
      <c r="B2147" t="s">
        <v>13</v>
      </c>
      <c r="C2147">
        <v>49</v>
      </c>
      <c r="D2147" t="s">
        <v>15</v>
      </c>
      <c r="E2147" t="s">
        <v>15</v>
      </c>
      <c r="F2147" t="s">
        <v>16</v>
      </c>
      <c r="G2147" t="s">
        <v>17</v>
      </c>
      <c r="H2147" t="s">
        <v>23</v>
      </c>
      <c r="I2147">
        <v>107.46</v>
      </c>
      <c r="J2147">
        <v>32.1</v>
      </c>
      <c r="K2147" t="s">
        <v>25</v>
      </c>
      <c r="L2147" t="s">
        <v>15</v>
      </c>
    </row>
    <row r="2148" spans="1:12" x14ac:dyDescent="0.3">
      <c r="A2148">
        <v>7868</v>
      </c>
      <c r="B2148" t="s">
        <v>12</v>
      </c>
      <c r="C2148">
        <v>13</v>
      </c>
      <c r="D2148" t="s">
        <v>15</v>
      </c>
      <c r="E2148" t="s">
        <v>15</v>
      </c>
      <c r="F2148" t="s">
        <v>15</v>
      </c>
      <c r="G2148" t="s">
        <v>20</v>
      </c>
      <c r="H2148" t="s">
        <v>23</v>
      </c>
      <c r="I2148">
        <v>108.33</v>
      </c>
      <c r="J2148">
        <v>17.399999999999999</v>
      </c>
      <c r="K2148" t="s">
        <v>25</v>
      </c>
      <c r="L2148" t="s">
        <v>15</v>
      </c>
    </row>
    <row r="2149" spans="1:12" x14ac:dyDescent="0.3">
      <c r="A2149">
        <v>58350</v>
      </c>
      <c r="B2149" t="s">
        <v>13</v>
      </c>
      <c r="C2149">
        <v>26</v>
      </c>
      <c r="D2149" t="s">
        <v>15</v>
      </c>
      <c r="E2149" t="s">
        <v>15</v>
      </c>
      <c r="F2149" t="s">
        <v>15</v>
      </c>
      <c r="G2149" t="s">
        <v>19</v>
      </c>
      <c r="H2149" t="s">
        <v>23</v>
      </c>
      <c r="I2149">
        <v>89.37</v>
      </c>
      <c r="J2149">
        <v>20.2</v>
      </c>
      <c r="K2149" t="s">
        <v>25</v>
      </c>
      <c r="L2149" t="s">
        <v>15</v>
      </c>
    </row>
    <row r="2150" spans="1:12" x14ac:dyDescent="0.3">
      <c r="A2150">
        <v>18927</v>
      </c>
      <c r="B2150" t="s">
        <v>13</v>
      </c>
      <c r="C2150">
        <v>10</v>
      </c>
      <c r="D2150" t="s">
        <v>15</v>
      </c>
      <c r="E2150" t="s">
        <v>15</v>
      </c>
      <c r="F2150" t="s">
        <v>15</v>
      </c>
      <c r="G2150" t="s">
        <v>20</v>
      </c>
      <c r="H2150" t="s">
        <v>22</v>
      </c>
      <c r="I2150">
        <v>93.64</v>
      </c>
      <c r="J2150">
        <v>23.4</v>
      </c>
      <c r="K2150" t="s">
        <v>27</v>
      </c>
      <c r="L2150" t="s">
        <v>15</v>
      </c>
    </row>
    <row r="2151" spans="1:12" x14ac:dyDescent="0.3">
      <c r="A2151">
        <v>19550</v>
      </c>
      <c r="B2151" t="s">
        <v>12</v>
      </c>
      <c r="C2151">
        <v>39</v>
      </c>
      <c r="D2151" t="s">
        <v>15</v>
      </c>
      <c r="E2151" t="s">
        <v>15</v>
      </c>
      <c r="F2151" t="s">
        <v>16</v>
      </c>
      <c r="G2151" t="s">
        <v>17</v>
      </c>
      <c r="H2151" t="s">
        <v>22</v>
      </c>
      <c r="I2151">
        <v>217.75</v>
      </c>
      <c r="J2151">
        <v>39.5</v>
      </c>
      <c r="K2151" t="s">
        <v>25</v>
      </c>
      <c r="L2151" t="s">
        <v>15</v>
      </c>
    </row>
    <row r="2152" spans="1:12" x14ac:dyDescent="0.3">
      <c r="A2152">
        <v>31372</v>
      </c>
      <c r="B2152" t="s">
        <v>13</v>
      </c>
      <c r="C2152">
        <v>41</v>
      </c>
      <c r="D2152" t="s">
        <v>15</v>
      </c>
      <c r="E2152" t="s">
        <v>15</v>
      </c>
      <c r="F2152" t="s">
        <v>16</v>
      </c>
      <c r="G2152" t="s">
        <v>17</v>
      </c>
      <c r="H2152" t="s">
        <v>23</v>
      </c>
      <c r="I2152">
        <v>83.44</v>
      </c>
      <c r="J2152">
        <v>21.5</v>
      </c>
      <c r="K2152" t="s">
        <v>27</v>
      </c>
      <c r="L2152" t="s">
        <v>15</v>
      </c>
    </row>
    <row r="2153" spans="1:12" x14ac:dyDescent="0.3">
      <c r="A2153">
        <v>55262</v>
      </c>
      <c r="B2153" t="s">
        <v>12</v>
      </c>
      <c r="C2153">
        <v>25</v>
      </c>
      <c r="D2153" t="s">
        <v>15</v>
      </c>
      <c r="E2153" t="s">
        <v>15</v>
      </c>
      <c r="F2153" t="s">
        <v>16</v>
      </c>
      <c r="G2153" t="s">
        <v>17</v>
      </c>
      <c r="H2153" t="s">
        <v>23</v>
      </c>
      <c r="I2153">
        <v>93.88</v>
      </c>
      <c r="J2153">
        <v>24.3</v>
      </c>
      <c r="K2153" t="s">
        <v>26</v>
      </c>
      <c r="L2153" t="s">
        <v>15</v>
      </c>
    </row>
    <row r="2154" spans="1:12" x14ac:dyDescent="0.3">
      <c r="A2154">
        <v>50238</v>
      </c>
      <c r="B2154" t="s">
        <v>12</v>
      </c>
      <c r="C2154">
        <v>10</v>
      </c>
      <c r="D2154" t="s">
        <v>15</v>
      </c>
      <c r="E2154" t="s">
        <v>15</v>
      </c>
      <c r="F2154" t="s">
        <v>15</v>
      </c>
      <c r="G2154" t="s">
        <v>20</v>
      </c>
      <c r="H2154" t="s">
        <v>22</v>
      </c>
      <c r="I2154">
        <v>55.34</v>
      </c>
      <c r="J2154">
        <v>15.3</v>
      </c>
      <c r="K2154" t="s">
        <v>27</v>
      </c>
      <c r="L2154" t="s">
        <v>15</v>
      </c>
    </row>
    <row r="2155" spans="1:12" x14ac:dyDescent="0.3">
      <c r="A2155">
        <v>2868</v>
      </c>
      <c r="B2155" t="s">
        <v>13</v>
      </c>
      <c r="C2155">
        <v>54</v>
      </c>
      <c r="D2155" t="s">
        <v>15</v>
      </c>
      <c r="E2155" t="s">
        <v>15</v>
      </c>
      <c r="F2155" t="s">
        <v>16</v>
      </c>
      <c r="G2155" t="s">
        <v>19</v>
      </c>
      <c r="H2155" t="s">
        <v>23</v>
      </c>
      <c r="I2155">
        <v>102.61</v>
      </c>
      <c r="J2155">
        <v>32.4</v>
      </c>
      <c r="K2155" t="s">
        <v>27</v>
      </c>
      <c r="L2155" t="s">
        <v>15</v>
      </c>
    </row>
    <row r="2156" spans="1:12" x14ac:dyDescent="0.3">
      <c r="A2156">
        <v>51343</v>
      </c>
      <c r="B2156" t="s">
        <v>12</v>
      </c>
      <c r="C2156">
        <v>7</v>
      </c>
      <c r="D2156" t="s">
        <v>15</v>
      </c>
      <c r="E2156" t="s">
        <v>15</v>
      </c>
      <c r="F2156" t="s">
        <v>15</v>
      </c>
      <c r="G2156" t="s">
        <v>20</v>
      </c>
      <c r="H2156" t="s">
        <v>23</v>
      </c>
      <c r="I2156">
        <v>62.08</v>
      </c>
      <c r="J2156">
        <v>16.100000000000001</v>
      </c>
      <c r="K2156" t="s">
        <v>27</v>
      </c>
      <c r="L2156" t="s">
        <v>15</v>
      </c>
    </row>
    <row r="2157" spans="1:12" x14ac:dyDescent="0.3">
      <c r="A2157">
        <v>56324</v>
      </c>
      <c r="B2157" t="s">
        <v>13</v>
      </c>
      <c r="C2157">
        <v>53</v>
      </c>
      <c r="D2157" t="s">
        <v>15</v>
      </c>
      <c r="E2157" t="s">
        <v>15</v>
      </c>
      <c r="F2157" t="s">
        <v>16</v>
      </c>
      <c r="G2157" t="s">
        <v>18</v>
      </c>
      <c r="H2157" t="s">
        <v>23</v>
      </c>
      <c r="I2157">
        <v>81.760000000000005</v>
      </c>
      <c r="J2157">
        <v>34.299999999999997</v>
      </c>
      <c r="K2157" t="s">
        <v>24</v>
      </c>
      <c r="L2157" t="s">
        <v>15</v>
      </c>
    </row>
    <row r="2158" spans="1:12" x14ac:dyDescent="0.3">
      <c r="A2158">
        <v>42047</v>
      </c>
      <c r="B2158" t="s">
        <v>13</v>
      </c>
      <c r="C2158">
        <v>55</v>
      </c>
      <c r="D2158" t="s">
        <v>15</v>
      </c>
      <c r="E2158" t="s">
        <v>15</v>
      </c>
      <c r="F2158" t="s">
        <v>16</v>
      </c>
      <c r="G2158" t="s">
        <v>18</v>
      </c>
      <c r="H2158" t="s">
        <v>22</v>
      </c>
      <c r="I2158">
        <v>59.2</v>
      </c>
      <c r="J2158">
        <v>43.8</v>
      </c>
      <c r="K2158" t="s">
        <v>25</v>
      </c>
      <c r="L2158" t="s">
        <v>15</v>
      </c>
    </row>
    <row r="2159" spans="1:12" x14ac:dyDescent="0.3">
      <c r="A2159">
        <v>36486</v>
      </c>
      <c r="B2159" t="s">
        <v>12</v>
      </c>
      <c r="C2159">
        <v>6</v>
      </c>
      <c r="D2159" t="s">
        <v>15</v>
      </c>
      <c r="E2159" t="s">
        <v>15</v>
      </c>
      <c r="F2159" t="s">
        <v>15</v>
      </c>
      <c r="G2159" t="s">
        <v>20</v>
      </c>
      <c r="H2159" t="s">
        <v>22</v>
      </c>
      <c r="I2159">
        <v>55.61</v>
      </c>
      <c r="J2159">
        <v>19.600000000000001</v>
      </c>
      <c r="K2159" t="s">
        <v>27</v>
      </c>
      <c r="L2159" t="s">
        <v>15</v>
      </c>
    </row>
    <row r="2160" spans="1:12" x14ac:dyDescent="0.3">
      <c r="A2160">
        <v>62456</v>
      </c>
      <c r="B2160" t="s">
        <v>13</v>
      </c>
      <c r="C2160">
        <v>72</v>
      </c>
      <c r="D2160" t="s">
        <v>15</v>
      </c>
      <c r="E2160" t="s">
        <v>15</v>
      </c>
      <c r="F2160" t="s">
        <v>16</v>
      </c>
      <c r="G2160" t="s">
        <v>18</v>
      </c>
      <c r="H2160" t="s">
        <v>22</v>
      </c>
      <c r="I2160">
        <v>226.88</v>
      </c>
      <c r="J2160">
        <v>36.700000000000003</v>
      </c>
      <c r="K2160" t="s">
        <v>24</v>
      </c>
      <c r="L2160" t="s">
        <v>15</v>
      </c>
    </row>
    <row r="2161" spans="1:12" x14ac:dyDescent="0.3">
      <c r="A2161">
        <v>64980</v>
      </c>
      <c r="B2161" t="s">
        <v>13</v>
      </c>
      <c r="C2161">
        <v>42</v>
      </c>
      <c r="D2161" t="s">
        <v>15</v>
      </c>
      <c r="E2161" t="s">
        <v>15</v>
      </c>
      <c r="F2161" t="s">
        <v>16</v>
      </c>
      <c r="G2161" t="s">
        <v>19</v>
      </c>
      <c r="H2161" t="s">
        <v>22</v>
      </c>
      <c r="I2161">
        <v>65.66</v>
      </c>
      <c r="J2161">
        <v>33.700000000000003</v>
      </c>
      <c r="K2161" t="s">
        <v>25</v>
      </c>
      <c r="L2161" t="s">
        <v>15</v>
      </c>
    </row>
    <row r="2162" spans="1:12" x14ac:dyDescent="0.3">
      <c r="A2162">
        <v>65962</v>
      </c>
      <c r="B2162" t="s">
        <v>12</v>
      </c>
      <c r="C2162">
        <v>50</v>
      </c>
      <c r="D2162" t="s">
        <v>15</v>
      </c>
      <c r="E2162" t="s">
        <v>15</v>
      </c>
      <c r="F2162" t="s">
        <v>16</v>
      </c>
      <c r="G2162" t="s">
        <v>17</v>
      </c>
      <c r="H2162" t="s">
        <v>22</v>
      </c>
      <c r="I2162">
        <v>58.7</v>
      </c>
      <c r="J2162">
        <v>38.9</v>
      </c>
      <c r="K2162" t="s">
        <v>26</v>
      </c>
      <c r="L2162" t="s">
        <v>15</v>
      </c>
    </row>
    <row r="2163" spans="1:12" x14ac:dyDescent="0.3">
      <c r="A2163">
        <v>47521</v>
      </c>
      <c r="B2163" t="s">
        <v>13</v>
      </c>
      <c r="C2163">
        <v>55</v>
      </c>
      <c r="D2163" t="s">
        <v>16</v>
      </c>
      <c r="E2163" t="s">
        <v>15</v>
      </c>
      <c r="F2163" t="s">
        <v>16</v>
      </c>
      <c r="G2163" t="s">
        <v>19</v>
      </c>
      <c r="H2163" t="s">
        <v>22</v>
      </c>
      <c r="I2163">
        <v>186.4</v>
      </c>
      <c r="J2163">
        <v>28</v>
      </c>
      <c r="K2163" t="s">
        <v>25</v>
      </c>
      <c r="L2163" t="s">
        <v>15</v>
      </c>
    </row>
    <row r="2164" spans="1:12" x14ac:dyDescent="0.3">
      <c r="A2164">
        <v>41501</v>
      </c>
      <c r="B2164" t="s">
        <v>13</v>
      </c>
      <c r="C2164">
        <v>47</v>
      </c>
      <c r="D2164" t="s">
        <v>15</v>
      </c>
      <c r="E2164" t="s">
        <v>15</v>
      </c>
      <c r="F2164" t="s">
        <v>16</v>
      </c>
      <c r="G2164" t="s">
        <v>19</v>
      </c>
      <c r="H2164" t="s">
        <v>22</v>
      </c>
      <c r="I2164">
        <v>122.32</v>
      </c>
      <c r="J2164">
        <v>23.9</v>
      </c>
      <c r="K2164" t="s">
        <v>27</v>
      </c>
      <c r="L2164" t="s">
        <v>15</v>
      </c>
    </row>
    <row r="2165" spans="1:12" x14ac:dyDescent="0.3">
      <c r="A2165">
        <v>47582</v>
      </c>
      <c r="B2165" t="s">
        <v>12</v>
      </c>
      <c r="C2165">
        <v>3</v>
      </c>
      <c r="D2165" t="s">
        <v>15</v>
      </c>
      <c r="E2165" t="s">
        <v>15</v>
      </c>
      <c r="F2165" t="s">
        <v>15</v>
      </c>
      <c r="G2165" t="s">
        <v>20</v>
      </c>
      <c r="H2165" t="s">
        <v>22</v>
      </c>
      <c r="I2165">
        <v>59.05</v>
      </c>
      <c r="J2165">
        <v>16.600000000000001</v>
      </c>
      <c r="K2165" t="s">
        <v>27</v>
      </c>
      <c r="L2165" t="s">
        <v>15</v>
      </c>
    </row>
    <row r="2166" spans="1:12" x14ac:dyDescent="0.3">
      <c r="A2166">
        <v>63938</v>
      </c>
      <c r="B2166" t="s">
        <v>13</v>
      </c>
      <c r="C2166">
        <v>49</v>
      </c>
      <c r="D2166" t="s">
        <v>15</v>
      </c>
      <c r="E2166" t="s">
        <v>15</v>
      </c>
      <c r="F2166" t="s">
        <v>16</v>
      </c>
      <c r="G2166" t="s">
        <v>18</v>
      </c>
      <c r="H2166" t="s">
        <v>22</v>
      </c>
      <c r="I2166">
        <v>149.13</v>
      </c>
      <c r="J2166">
        <v>42.9</v>
      </c>
      <c r="K2166" t="s">
        <v>26</v>
      </c>
      <c r="L2166" t="s">
        <v>15</v>
      </c>
    </row>
    <row r="2167" spans="1:12" x14ac:dyDescent="0.3">
      <c r="A2167">
        <v>49627</v>
      </c>
      <c r="B2167" t="s">
        <v>13</v>
      </c>
      <c r="C2167">
        <v>12</v>
      </c>
      <c r="D2167" t="s">
        <v>15</v>
      </c>
      <c r="E2167" t="s">
        <v>15</v>
      </c>
      <c r="F2167" t="s">
        <v>15</v>
      </c>
      <c r="G2167" t="s">
        <v>20</v>
      </c>
      <c r="H2167" t="s">
        <v>22</v>
      </c>
      <c r="I2167">
        <v>82.39</v>
      </c>
      <c r="J2167">
        <v>17.100000000000001</v>
      </c>
      <c r="K2167" t="s">
        <v>25</v>
      </c>
      <c r="L2167" t="s">
        <v>15</v>
      </c>
    </row>
    <row r="2168" spans="1:12" x14ac:dyDescent="0.3">
      <c r="A2168">
        <v>61291</v>
      </c>
      <c r="B2168" t="s">
        <v>12</v>
      </c>
      <c r="C2168">
        <v>28</v>
      </c>
      <c r="D2168" t="s">
        <v>15</v>
      </c>
      <c r="E2168" t="s">
        <v>15</v>
      </c>
      <c r="F2168" t="s">
        <v>16</v>
      </c>
      <c r="G2168" t="s">
        <v>17</v>
      </c>
      <c r="H2168" t="s">
        <v>23</v>
      </c>
      <c r="I2168">
        <v>169.49</v>
      </c>
      <c r="J2168">
        <v>27.2</v>
      </c>
      <c r="K2168" t="s">
        <v>27</v>
      </c>
      <c r="L2168" t="s">
        <v>15</v>
      </c>
    </row>
    <row r="2169" spans="1:12" x14ac:dyDescent="0.3">
      <c r="A2169">
        <v>53032</v>
      </c>
      <c r="B2169" t="s">
        <v>12</v>
      </c>
      <c r="C2169">
        <v>40</v>
      </c>
      <c r="D2169" t="s">
        <v>15</v>
      </c>
      <c r="E2169" t="s">
        <v>15</v>
      </c>
      <c r="F2169" t="s">
        <v>16</v>
      </c>
      <c r="G2169" t="s">
        <v>17</v>
      </c>
      <c r="H2169" t="s">
        <v>23</v>
      </c>
      <c r="I2169">
        <v>80.25</v>
      </c>
      <c r="J2169">
        <v>30.3</v>
      </c>
      <c r="K2169" t="s">
        <v>24</v>
      </c>
      <c r="L2169" t="s">
        <v>15</v>
      </c>
    </row>
    <row r="2170" spans="1:12" x14ac:dyDescent="0.3">
      <c r="A2170">
        <v>45040</v>
      </c>
      <c r="B2170" t="s">
        <v>12</v>
      </c>
      <c r="C2170">
        <v>55</v>
      </c>
      <c r="D2170" t="s">
        <v>15</v>
      </c>
      <c r="E2170" t="s">
        <v>15</v>
      </c>
      <c r="F2170" t="s">
        <v>16</v>
      </c>
      <c r="G2170" t="s">
        <v>17</v>
      </c>
      <c r="H2170" t="s">
        <v>22</v>
      </c>
      <c r="I2170">
        <v>203.81</v>
      </c>
      <c r="J2170">
        <v>33.9</v>
      </c>
      <c r="K2170" t="s">
        <v>24</v>
      </c>
      <c r="L2170" t="s">
        <v>15</v>
      </c>
    </row>
    <row r="2171" spans="1:12" x14ac:dyDescent="0.3">
      <c r="A2171">
        <v>56791</v>
      </c>
      <c r="B2171" t="s">
        <v>12</v>
      </c>
      <c r="C2171">
        <v>9</v>
      </c>
      <c r="D2171" t="s">
        <v>15</v>
      </c>
      <c r="E2171" t="s">
        <v>15</v>
      </c>
      <c r="F2171" t="s">
        <v>15</v>
      </c>
      <c r="G2171" t="s">
        <v>20</v>
      </c>
      <c r="H2171" t="s">
        <v>22</v>
      </c>
      <c r="I2171">
        <v>170.76</v>
      </c>
      <c r="J2171">
        <v>20</v>
      </c>
      <c r="K2171" t="s">
        <v>27</v>
      </c>
      <c r="L2171" t="s">
        <v>15</v>
      </c>
    </row>
    <row r="2172" spans="1:12" x14ac:dyDescent="0.3">
      <c r="A2172">
        <v>37320</v>
      </c>
      <c r="B2172" t="s">
        <v>13</v>
      </c>
      <c r="C2172">
        <v>77</v>
      </c>
      <c r="D2172" t="s">
        <v>15</v>
      </c>
      <c r="E2172" t="s">
        <v>15</v>
      </c>
      <c r="F2172" t="s">
        <v>16</v>
      </c>
      <c r="G2172" t="s">
        <v>17</v>
      </c>
      <c r="H2172" t="s">
        <v>23</v>
      </c>
      <c r="I2172">
        <v>80.849999999999994</v>
      </c>
      <c r="J2172">
        <v>19.399999999999999</v>
      </c>
      <c r="K2172" t="s">
        <v>27</v>
      </c>
      <c r="L2172" t="s">
        <v>15</v>
      </c>
    </row>
    <row r="2173" spans="1:12" x14ac:dyDescent="0.3">
      <c r="A2173">
        <v>72514</v>
      </c>
      <c r="B2173" t="s">
        <v>12</v>
      </c>
      <c r="C2173">
        <v>18</v>
      </c>
      <c r="D2173" t="s">
        <v>15</v>
      </c>
      <c r="E2173" t="s">
        <v>15</v>
      </c>
      <c r="F2173" t="s">
        <v>15</v>
      </c>
      <c r="G2173" t="s">
        <v>17</v>
      </c>
      <c r="H2173" t="s">
        <v>23</v>
      </c>
      <c r="I2173">
        <v>120.58</v>
      </c>
      <c r="J2173">
        <v>21.5</v>
      </c>
      <c r="K2173" t="s">
        <v>25</v>
      </c>
      <c r="L2173" t="s">
        <v>15</v>
      </c>
    </row>
    <row r="2174" spans="1:12" x14ac:dyDescent="0.3">
      <c r="A2174">
        <v>3842</v>
      </c>
      <c r="B2174" t="s">
        <v>12</v>
      </c>
      <c r="C2174">
        <v>73</v>
      </c>
      <c r="D2174" t="s">
        <v>15</v>
      </c>
      <c r="E2174" t="s">
        <v>15</v>
      </c>
      <c r="F2174" t="s">
        <v>16</v>
      </c>
      <c r="G2174" t="s">
        <v>17</v>
      </c>
      <c r="H2174" t="s">
        <v>23</v>
      </c>
      <c r="I2174">
        <v>86.57</v>
      </c>
      <c r="J2174">
        <v>28.5</v>
      </c>
      <c r="K2174" t="s">
        <v>24</v>
      </c>
      <c r="L2174" t="s">
        <v>15</v>
      </c>
    </row>
    <row r="2175" spans="1:12" x14ac:dyDescent="0.3">
      <c r="A2175">
        <v>38143</v>
      </c>
      <c r="B2175" t="s">
        <v>13</v>
      </c>
      <c r="C2175">
        <v>67</v>
      </c>
      <c r="D2175" t="s">
        <v>16</v>
      </c>
      <c r="E2175" t="s">
        <v>15</v>
      </c>
      <c r="F2175" t="s">
        <v>16</v>
      </c>
      <c r="G2175" t="s">
        <v>17</v>
      </c>
      <c r="H2175" t="s">
        <v>22</v>
      </c>
      <c r="I2175">
        <v>90.01</v>
      </c>
      <c r="J2175">
        <v>34.4</v>
      </c>
      <c r="K2175" t="s">
        <v>26</v>
      </c>
      <c r="L2175" t="s">
        <v>15</v>
      </c>
    </row>
    <row r="2176" spans="1:12" x14ac:dyDescent="0.3">
      <c r="A2176">
        <v>54296</v>
      </c>
      <c r="B2176" t="s">
        <v>12</v>
      </c>
      <c r="C2176">
        <v>58</v>
      </c>
      <c r="D2176" t="s">
        <v>15</v>
      </c>
      <c r="E2176" t="s">
        <v>15</v>
      </c>
      <c r="F2176" t="s">
        <v>16</v>
      </c>
      <c r="G2176" t="s">
        <v>18</v>
      </c>
      <c r="H2176" t="s">
        <v>23</v>
      </c>
      <c r="I2176">
        <v>68.84</v>
      </c>
      <c r="J2176">
        <v>43.7</v>
      </c>
      <c r="K2176" t="s">
        <v>24</v>
      </c>
      <c r="L2176" t="s">
        <v>15</v>
      </c>
    </row>
    <row r="2177" spans="1:12" x14ac:dyDescent="0.3">
      <c r="A2177">
        <v>48435</v>
      </c>
      <c r="B2177" t="s">
        <v>13</v>
      </c>
      <c r="C2177">
        <v>2</v>
      </c>
      <c r="D2177" t="s">
        <v>15</v>
      </c>
      <c r="E2177" t="s">
        <v>15</v>
      </c>
      <c r="F2177" t="s">
        <v>15</v>
      </c>
      <c r="G2177" t="s">
        <v>20</v>
      </c>
      <c r="H2177" t="s">
        <v>23</v>
      </c>
      <c r="I2177">
        <v>155.13999999999999</v>
      </c>
      <c r="J2177">
        <v>13.7</v>
      </c>
      <c r="K2177" t="s">
        <v>27</v>
      </c>
      <c r="L2177" t="s">
        <v>15</v>
      </c>
    </row>
    <row r="2178" spans="1:12" x14ac:dyDescent="0.3">
      <c r="A2178">
        <v>42212</v>
      </c>
      <c r="B2178" t="s">
        <v>13</v>
      </c>
      <c r="C2178">
        <v>38</v>
      </c>
      <c r="D2178" t="s">
        <v>15</v>
      </c>
      <c r="E2178" t="s">
        <v>15</v>
      </c>
      <c r="F2178" t="s">
        <v>16</v>
      </c>
      <c r="G2178" t="s">
        <v>17</v>
      </c>
      <c r="H2178" t="s">
        <v>22</v>
      </c>
      <c r="I2178">
        <v>158.47999999999999</v>
      </c>
      <c r="J2178">
        <v>33.700000000000003</v>
      </c>
      <c r="K2178" t="s">
        <v>24</v>
      </c>
      <c r="L2178" t="s">
        <v>15</v>
      </c>
    </row>
    <row r="2179" spans="1:12" x14ac:dyDescent="0.3">
      <c r="A2179">
        <v>47607</v>
      </c>
      <c r="B2179" t="s">
        <v>12</v>
      </c>
      <c r="C2179">
        <v>5</v>
      </c>
      <c r="D2179" t="s">
        <v>15</v>
      </c>
      <c r="E2179" t="s">
        <v>15</v>
      </c>
      <c r="F2179" t="s">
        <v>15</v>
      </c>
      <c r="G2179" t="s">
        <v>20</v>
      </c>
      <c r="H2179" t="s">
        <v>23</v>
      </c>
      <c r="I2179">
        <v>92.56</v>
      </c>
      <c r="J2179">
        <v>18</v>
      </c>
      <c r="K2179" t="s">
        <v>27</v>
      </c>
      <c r="L2179" t="s">
        <v>15</v>
      </c>
    </row>
    <row r="2180" spans="1:12" x14ac:dyDescent="0.3">
      <c r="A2180">
        <v>16535</v>
      </c>
      <c r="B2180" t="s">
        <v>13</v>
      </c>
      <c r="C2180">
        <v>34</v>
      </c>
      <c r="D2180" t="s">
        <v>15</v>
      </c>
      <c r="E2180" t="s">
        <v>15</v>
      </c>
      <c r="F2180" t="s">
        <v>15</v>
      </c>
      <c r="G2180" t="s">
        <v>17</v>
      </c>
      <c r="H2180" t="s">
        <v>23</v>
      </c>
      <c r="I2180">
        <v>90.15</v>
      </c>
      <c r="J2180">
        <v>27.9</v>
      </c>
      <c r="K2180" t="s">
        <v>24</v>
      </c>
      <c r="L2180" t="s">
        <v>15</v>
      </c>
    </row>
    <row r="2181" spans="1:12" x14ac:dyDescent="0.3">
      <c r="A2181">
        <v>66677</v>
      </c>
      <c r="B2181" t="s">
        <v>12</v>
      </c>
      <c r="C2181">
        <v>78</v>
      </c>
      <c r="D2181" t="s">
        <v>15</v>
      </c>
      <c r="E2181" t="s">
        <v>15</v>
      </c>
      <c r="F2181" t="s">
        <v>16</v>
      </c>
      <c r="G2181" t="s">
        <v>17</v>
      </c>
      <c r="H2181" t="s">
        <v>23</v>
      </c>
      <c r="I2181">
        <v>80.09</v>
      </c>
      <c r="J2181">
        <v>21.8</v>
      </c>
      <c r="K2181" t="s">
        <v>25</v>
      </c>
      <c r="L2181" t="s">
        <v>15</v>
      </c>
    </row>
    <row r="2182" spans="1:12" x14ac:dyDescent="0.3">
      <c r="A2182">
        <v>57270</v>
      </c>
      <c r="B2182" t="s">
        <v>13</v>
      </c>
      <c r="C2182">
        <v>57</v>
      </c>
      <c r="D2182" t="s">
        <v>15</v>
      </c>
      <c r="E2182" t="s">
        <v>15</v>
      </c>
      <c r="F2182" t="s">
        <v>16</v>
      </c>
      <c r="G2182" t="s">
        <v>17</v>
      </c>
      <c r="H2182" t="s">
        <v>23</v>
      </c>
      <c r="I2182">
        <v>189.44</v>
      </c>
      <c r="J2182">
        <v>35.799999999999997</v>
      </c>
      <c r="K2182" t="s">
        <v>25</v>
      </c>
      <c r="L2182" t="s">
        <v>15</v>
      </c>
    </row>
    <row r="2183" spans="1:12" x14ac:dyDescent="0.3">
      <c r="A2183">
        <v>22414</v>
      </c>
      <c r="B2183" t="s">
        <v>13</v>
      </c>
      <c r="C2183">
        <v>17</v>
      </c>
      <c r="D2183" t="s">
        <v>15</v>
      </c>
      <c r="E2183" t="s">
        <v>15</v>
      </c>
      <c r="F2183" t="s">
        <v>15</v>
      </c>
      <c r="G2183" t="s">
        <v>17</v>
      </c>
      <c r="H2183" t="s">
        <v>23</v>
      </c>
      <c r="I2183">
        <v>70.03</v>
      </c>
      <c r="J2183">
        <v>23.1</v>
      </c>
      <c r="K2183" t="s">
        <v>26</v>
      </c>
      <c r="L2183" t="s">
        <v>15</v>
      </c>
    </row>
    <row r="2184" spans="1:12" x14ac:dyDescent="0.3">
      <c r="A2184">
        <v>63401</v>
      </c>
      <c r="B2184" t="s">
        <v>13</v>
      </c>
      <c r="C2184">
        <v>71</v>
      </c>
      <c r="D2184" t="s">
        <v>15</v>
      </c>
      <c r="E2184" t="s">
        <v>15</v>
      </c>
      <c r="F2184" t="s">
        <v>16</v>
      </c>
      <c r="G2184" t="s">
        <v>18</v>
      </c>
      <c r="H2184" t="s">
        <v>23</v>
      </c>
      <c r="I2184">
        <v>249.29</v>
      </c>
      <c r="J2184">
        <v>30.3</v>
      </c>
      <c r="K2184" t="s">
        <v>26</v>
      </c>
      <c r="L2184" t="s">
        <v>15</v>
      </c>
    </row>
    <row r="2185" spans="1:12" x14ac:dyDescent="0.3">
      <c r="A2185">
        <v>32252</v>
      </c>
      <c r="B2185" t="s">
        <v>13</v>
      </c>
      <c r="C2185">
        <v>19</v>
      </c>
      <c r="D2185" t="s">
        <v>15</v>
      </c>
      <c r="E2185" t="s">
        <v>15</v>
      </c>
      <c r="F2185" t="s">
        <v>15</v>
      </c>
      <c r="G2185" t="s">
        <v>17</v>
      </c>
      <c r="H2185" t="s">
        <v>23</v>
      </c>
      <c r="I2185">
        <v>72.52</v>
      </c>
      <c r="J2185">
        <v>32</v>
      </c>
      <c r="K2185" t="s">
        <v>27</v>
      </c>
      <c r="L2185" t="s">
        <v>15</v>
      </c>
    </row>
    <row r="2186" spans="1:12" x14ac:dyDescent="0.3">
      <c r="A2186">
        <v>17950</v>
      </c>
      <c r="B2186" t="s">
        <v>12</v>
      </c>
      <c r="C2186">
        <v>56</v>
      </c>
      <c r="D2186" t="s">
        <v>15</v>
      </c>
      <c r="E2186" t="s">
        <v>15</v>
      </c>
      <c r="F2186" t="s">
        <v>16</v>
      </c>
      <c r="G2186" t="s">
        <v>17</v>
      </c>
      <c r="H2186" t="s">
        <v>22</v>
      </c>
      <c r="I2186">
        <v>96.93</v>
      </c>
      <c r="J2186">
        <v>25</v>
      </c>
      <c r="K2186" t="s">
        <v>26</v>
      </c>
      <c r="L2186" t="s">
        <v>15</v>
      </c>
    </row>
    <row r="2187" spans="1:12" x14ac:dyDescent="0.3">
      <c r="A2187">
        <v>53990</v>
      </c>
      <c r="B2187" t="s">
        <v>12</v>
      </c>
      <c r="C2187">
        <v>64</v>
      </c>
      <c r="D2187" t="s">
        <v>15</v>
      </c>
      <c r="E2187" t="s">
        <v>16</v>
      </c>
      <c r="F2187" t="s">
        <v>16</v>
      </c>
      <c r="G2187" t="s">
        <v>17</v>
      </c>
      <c r="H2187" t="s">
        <v>22</v>
      </c>
      <c r="I2187">
        <v>211.35</v>
      </c>
      <c r="J2187">
        <v>30.7</v>
      </c>
      <c r="K2187" t="s">
        <v>24</v>
      </c>
      <c r="L2187" t="s">
        <v>15</v>
      </c>
    </row>
    <row r="2188" spans="1:12" x14ac:dyDescent="0.3">
      <c r="A2188">
        <v>20565</v>
      </c>
      <c r="B2188" t="s">
        <v>12</v>
      </c>
      <c r="C2188">
        <v>13</v>
      </c>
      <c r="D2188" t="s">
        <v>15</v>
      </c>
      <c r="E2188" t="s">
        <v>15</v>
      </c>
      <c r="F2188" t="s">
        <v>15</v>
      </c>
      <c r="G2188" t="s">
        <v>20</v>
      </c>
      <c r="H2188" t="s">
        <v>23</v>
      </c>
      <c r="I2188">
        <v>85.87</v>
      </c>
      <c r="J2188">
        <v>24.3</v>
      </c>
      <c r="K2188" t="s">
        <v>27</v>
      </c>
      <c r="L2188" t="s">
        <v>15</v>
      </c>
    </row>
    <row r="2189" spans="1:12" x14ac:dyDescent="0.3">
      <c r="A2189">
        <v>59993</v>
      </c>
      <c r="B2189" t="s">
        <v>12</v>
      </c>
      <c r="C2189">
        <v>40</v>
      </c>
      <c r="D2189" t="s">
        <v>15</v>
      </c>
      <c r="E2189" t="s">
        <v>15</v>
      </c>
      <c r="F2189" t="s">
        <v>16</v>
      </c>
      <c r="G2189" t="s">
        <v>17</v>
      </c>
      <c r="H2189" t="s">
        <v>23</v>
      </c>
      <c r="I2189">
        <v>60.96</v>
      </c>
      <c r="J2189">
        <v>11.5</v>
      </c>
      <c r="K2189" t="s">
        <v>25</v>
      </c>
      <c r="L2189" t="s">
        <v>15</v>
      </c>
    </row>
    <row r="2190" spans="1:12" x14ac:dyDescent="0.3">
      <c r="A2190">
        <v>42830</v>
      </c>
      <c r="B2190" t="s">
        <v>12</v>
      </c>
      <c r="C2190">
        <v>80</v>
      </c>
      <c r="D2190" t="s">
        <v>15</v>
      </c>
      <c r="E2190" t="s">
        <v>16</v>
      </c>
      <c r="F2190" t="s">
        <v>16</v>
      </c>
      <c r="G2190" t="s">
        <v>17</v>
      </c>
      <c r="H2190" t="s">
        <v>22</v>
      </c>
      <c r="I2190">
        <v>120.09</v>
      </c>
      <c r="J2190">
        <v>30.7</v>
      </c>
      <c r="K2190" t="s">
        <v>25</v>
      </c>
      <c r="L2190" t="s">
        <v>15</v>
      </c>
    </row>
    <row r="2191" spans="1:12" x14ac:dyDescent="0.3">
      <c r="A2191">
        <v>34721</v>
      </c>
      <c r="B2191" t="s">
        <v>13</v>
      </c>
      <c r="C2191">
        <v>62</v>
      </c>
      <c r="D2191" t="s">
        <v>16</v>
      </c>
      <c r="E2191" t="s">
        <v>15</v>
      </c>
      <c r="F2191" t="s">
        <v>16</v>
      </c>
      <c r="G2191" t="s">
        <v>19</v>
      </c>
      <c r="H2191" t="s">
        <v>22</v>
      </c>
      <c r="I2191">
        <v>92.13</v>
      </c>
      <c r="J2191">
        <v>33.700000000000003</v>
      </c>
      <c r="K2191" t="s">
        <v>25</v>
      </c>
      <c r="L2191" t="s">
        <v>15</v>
      </c>
    </row>
    <row r="2192" spans="1:12" x14ac:dyDescent="0.3">
      <c r="A2192">
        <v>5157</v>
      </c>
      <c r="B2192" t="s">
        <v>12</v>
      </c>
      <c r="C2192">
        <v>79</v>
      </c>
      <c r="D2192" t="s">
        <v>16</v>
      </c>
      <c r="E2192" t="s">
        <v>15</v>
      </c>
      <c r="F2192" t="s">
        <v>16</v>
      </c>
      <c r="G2192" t="s">
        <v>18</v>
      </c>
      <c r="H2192" t="s">
        <v>22</v>
      </c>
      <c r="I2192">
        <v>83.07</v>
      </c>
      <c r="J2192">
        <v>26.5</v>
      </c>
      <c r="K2192" t="s">
        <v>26</v>
      </c>
      <c r="L2192" t="s">
        <v>15</v>
      </c>
    </row>
    <row r="2193" spans="1:12" x14ac:dyDescent="0.3">
      <c r="A2193">
        <v>48851</v>
      </c>
      <c r="B2193" t="s">
        <v>13</v>
      </c>
      <c r="C2193">
        <v>9</v>
      </c>
      <c r="D2193" t="s">
        <v>15</v>
      </c>
      <c r="E2193" t="s">
        <v>15</v>
      </c>
      <c r="F2193" t="s">
        <v>15</v>
      </c>
      <c r="G2193" t="s">
        <v>20</v>
      </c>
      <c r="H2193" t="s">
        <v>23</v>
      </c>
      <c r="I2193">
        <v>77.67</v>
      </c>
      <c r="J2193">
        <v>17.600000000000001</v>
      </c>
      <c r="K2193" t="s">
        <v>27</v>
      </c>
      <c r="L2193" t="s">
        <v>15</v>
      </c>
    </row>
    <row r="2194" spans="1:12" x14ac:dyDescent="0.3">
      <c r="A2194">
        <v>26084</v>
      </c>
      <c r="B2194" t="s">
        <v>13</v>
      </c>
      <c r="C2194">
        <v>77</v>
      </c>
      <c r="D2194" t="s">
        <v>16</v>
      </c>
      <c r="E2194" t="s">
        <v>15</v>
      </c>
      <c r="F2194" t="s">
        <v>16</v>
      </c>
      <c r="G2194" t="s">
        <v>18</v>
      </c>
      <c r="H2194" t="s">
        <v>22</v>
      </c>
      <c r="I2194">
        <v>109.51</v>
      </c>
      <c r="K2194" t="s">
        <v>25</v>
      </c>
      <c r="L2194" t="s">
        <v>15</v>
      </c>
    </row>
    <row r="2195" spans="1:12" x14ac:dyDescent="0.3">
      <c r="A2195">
        <v>23413</v>
      </c>
      <c r="B2195" t="s">
        <v>13</v>
      </c>
      <c r="C2195">
        <v>26</v>
      </c>
      <c r="D2195" t="s">
        <v>15</v>
      </c>
      <c r="E2195" t="s">
        <v>15</v>
      </c>
      <c r="F2195" t="s">
        <v>15</v>
      </c>
      <c r="G2195" t="s">
        <v>17</v>
      </c>
      <c r="H2195" t="s">
        <v>22</v>
      </c>
      <c r="I2195">
        <v>97.24</v>
      </c>
      <c r="J2195">
        <v>22.5</v>
      </c>
      <c r="K2195" t="s">
        <v>25</v>
      </c>
      <c r="L2195" t="s">
        <v>15</v>
      </c>
    </row>
    <row r="2196" spans="1:12" x14ac:dyDescent="0.3">
      <c r="A2196">
        <v>49970</v>
      </c>
      <c r="B2196" t="s">
        <v>12</v>
      </c>
      <c r="C2196">
        <v>1.72</v>
      </c>
      <c r="D2196" t="s">
        <v>15</v>
      </c>
      <c r="E2196" t="s">
        <v>15</v>
      </c>
      <c r="F2196" t="s">
        <v>15</v>
      </c>
      <c r="G2196" t="s">
        <v>20</v>
      </c>
      <c r="H2196" t="s">
        <v>23</v>
      </c>
      <c r="I2196">
        <v>127.29</v>
      </c>
      <c r="J2196">
        <v>18.5</v>
      </c>
      <c r="K2196" t="s">
        <v>27</v>
      </c>
      <c r="L2196" t="s">
        <v>15</v>
      </c>
    </row>
    <row r="2197" spans="1:12" x14ac:dyDescent="0.3">
      <c r="A2197">
        <v>72414</v>
      </c>
      <c r="B2197" t="s">
        <v>12</v>
      </c>
      <c r="C2197">
        <v>16</v>
      </c>
      <c r="D2197" t="s">
        <v>15</v>
      </c>
      <c r="E2197" t="s">
        <v>15</v>
      </c>
      <c r="F2197" t="s">
        <v>15</v>
      </c>
      <c r="G2197" t="s">
        <v>17</v>
      </c>
      <c r="H2197" t="s">
        <v>22</v>
      </c>
      <c r="I2197">
        <v>134.80000000000001</v>
      </c>
      <c r="J2197">
        <v>22.4</v>
      </c>
      <c r="K2197" t="s">
        <v>25</v>
      </c>
      <c r="L2197" t="s">
        <v>15</v>
      </c>
    </row>
    <row r="2198" spans="1:12" x14ac:dyDescent="0.3">
      <c r="A2198">
        <v>21374</v>
      </c>
      <c r="B2198" t="s">
        <v>13</v>
      </c>
      <c r="C2198">
        <v>40</v>
      </c>
      <c r="D2198" t="s">
        <v>15</v>
      </c>
      <c r="E2198" t="s">
        <v>15</v>
      </c>
      <c r="F2198" t="s">
        <v>16</v>
      </c>
      <c r="G2198" t="s">
        <v>17</v>
      </c>
      <c r="H2198" t="s">
        <v>22</v>
      </c>
      <c r="I2198">
        <v>74.650000000000006</v>
      </c>
      <c r="J2198">
        <v>25.3</v>
      </c>
      <c r="K2198" t="s">
        <v>24</v>
      </c>
      <c r="L2198" t="s">
        <v>15</v>
      </c>
    </row>
    <row r="2199" spans="1:12" x14ac:dyDescent="0.3">
      <c r="A2199">
        <v>69623</v>
      </c>
      <c r="B2199" t="s">
        <v>12</v>
      </c>
      <c r="C2199">
        <v>46</v>
      </c>
      <c r="D2199" t="s">
        <v>15</v>
      </c>
      <c r="E2199" t="s">
        <v>15</v>
      </c>
      <c r="F2199" t="s">
        <v>16</v>
      </c>
      <c r="G2199" t="s">
        <v>17</v>
      </c>
      <c r="H2199" t="s">
        <v>22</v>
      </c>
      <c r="I2199">
        <v>85.84</v>
      </c>
      <c r="J2199">
        <v>37.299999999999997</v>
      </c>
      <c r="K2199" t="s">
        <v>25</v>
      </c>
      <c r="L2199" t="s">
        <v>15</v>
      </c>
    </row>
    <row r="2200" spans="1:12" x14ac:dyDescent="0.3">
      <c r="A2200">
        <v>40378</v>
      </c>
      <c r="B2200" t="s">
        <v>12</v>
      </c>
      <c r="C2200">
        <v>45</v>
      </c>
      <c r="D2200" t="s">
        <v>16</v>
      </c>
      <c r="E2200" t="s">
        <v>15</v>
      </c>
      <c r="F2200" t="s">
        <v>16</v>
      </c>
      <c r="G2200" t="s">
        <v>18</v>
      </c>
      <c r="H2200" t="s">
        <v>22</v>
      </c>
      <c r="I2200">
        <v>90.43</v>
      </c>
      <c r="J2200">
        <v>39.700000000000003</v>
      </c>
      <c r="K2200" t="s">
        <v>26</v>
      </c>
      <c r="L2200" t="s">
        <v>15</v>
      </c>
    </row>
    <row r="2201" spans="1:12" x14ac:dyDescent="0.3">
      <c r="A2201">
        <v>4671</v>
      </c>
      <c r="B2201" t="s">
        <v>13</v>
      </c>
      <c r="C2201">
        <v>59</v>
      </c>
      <c r="D2201" t="s">
        <v>15</v>
      </c>
      <c r="E2201" t="s">
        <v>15</v>
      </c>
      <c r="F2201" t="s">
        <v>15</v>
      </c>
      <c r="G2201" t="s">
        <v>17</v>
      </c>
      <c r="H2201" t="s">
        <v>22</v>
      </c>
      <c r="I2201">
        <v>74.349999999999994</v>
      </c>
      <c r="J2201">
        <v>28</v>
      </c>
      <c r="K2201" t="s">
        <v>25</v>
      </c>
      <c r="L2201" t="s">
        <v>15</v>
      </c>
    </row>
    <row r="2202" spans="1:12" x14ac:dyDescent="0.3">
      <c r="A2202">
        <v>17295</v>
      </c>
      <c r="B2202" t="s">
        <v>13</v>
      </c>
      <c r="C2202">
        <v>31</v>
      </c>
      <c r="D2202" t="s">
        <v>15</v>
      </c>
      <c r="E2202" t="s">
        <v>15</v>
      </c>
      <c r="F2202" t="s">
        <v>16</v>
      </c>
      <c r="G2202" t="s">
        <v>18</v>
      </c>
      <c r="H2202" t="s">
        <v>22</v>
      </c>
      <c r="I2202">
        <v>206.59</v>
      </c>
      <c r="J2202">
        <v>41.4</v>
      </c>
      <c r="K2202" t="s">
        <v>26</v>
      </c>
      <c r="L2202" t="s">
        <v>15</v>
      </c>
    </row>
    <row r="2203" spans="1:12" x14ac:dyDescent="0.3">
      <c r="A2203">
        <v>55466</v>
      </c>
      <c r="B2203" t="s">
        <v>13</v>
      </c>
      <c r="C2203">
        <v>69</v>
      </c>
      <c r="D2203" t="s">
        <v>15</v>
      </c>
      <c r="E2203" t="s">
        <v>16</v>
      </c>
      <c r="F2203" t="s">
        <v>16</v>
      </c>
      <c r="G2203" t="s">
        <v>17</v>
      </c>
      <c r="H2203" t="s">
        <v>22</v>
      </c>
      <c r="I2203">
        <v>196.33</v>
      </c>
      <c r="J2203">
        <v>25.3</v>
      </c>
      <c r="K2203" t="s">
        <v>25</v>
      </c>
      <c r="L2203" t="s">
        <v>15</v>
      </c>
    </row>
    <row r="2204" spans="1:12" x14ac:dyDescent="0.3">
      <c r="A2204">
        <v>65419</v>
      </c>
      <c r="B2204" t="s">
        <v>12</v>
      </c>
      <c r="C2204">
        <v>73</v>
      </c>
      <c r="D2204" t="s">
        <v>15</v>
      </c>
      <c r="E2204" t="s">
        <v>16</v>
      </c>
      <c r="F2204" t="s">
        <v>16</v>
      </c>
      <c r="G2204" t="s">
        <v>19</v>
      </c>
      <c r="H2204" t="s">
        <v>23</v>
      </c>
      <c r="I2204">
        <v>70.23</v>
      </c>
      <c r="J2204">
        <v>28.1</v>
      </c>
      <c r="K2204" t="s">
        <v>25</v>
      </c>
      <c r="L2204" t="s">
        <v>15</v>
      </c>
    </row>
    <row r="2205" spans="1:12" x14ac:dyDescent="0.3">
      <c r="A2205">
        <v>34448</v>
      </c>
      <c r="B2205" t="s">
        <v>13</v>
      </c>
      <c r="C2205">
        <v>56</v>
      </c>
      <c r="D2205" t="s">
        <v>15</v>
      </c>
      <c r="E2205" t="s">
        <v>15</v>
      </c>
      <c r="F2205" t="s">
        <v>16</v>
      </c>
      <c r="G2205" t="s">
        <v>18</v>
      </c>
      <c r="H2205" t="s">
        <v>22</v>
      </c>
      <c r="I2205">
        <v>242.94</v>
      </c>
      <c r="J2205">
        <v>41.2</v>
      </c>
      <c r="K2205" t="s">
        <v>25</v>
      </c>
      <c r="L2205" t="s">
        <v>15</v>
      </c>
    </row>
    <row r="2206" spans="1:12" x14ac:dyDescent="0.3">
      <c r="A2206">
        <v>14406</v>
      </c>
      <c r="B2206" t="s">
        <v>13</v>
      </c>
      <c r="C2206">
        <v>80</v>
      </c>
      <c r="D2206" t="s">
        <v>15</v>
      </c>
      <c r="E2206" t="s">
        <v>16</v>
      </c>
      <c r="F2206" t="s">
        <v>16</v>
      </c>
      <c r="G2206" t="s">
        <v>18</v>
      </c>
      <c r="H2206" t="s">
        <v>23</v>
      </c>
      <c r="I2206">
        <v>103.06</v>
      </c>
      <c r="J2206">
        <v>28.8</v>
      </c>
      <c r="K2206" t="s">
        <v>25</v>
      </c>
      <c r="L2206" t="s">
        <v>15</v>
      </c>
    </row>
    <row r="2207" spans="1:12" x14ac:dyDescent="0.3">
      <c r="A2207">
        <v>924</v>
      </c>
      <c r="B2207" t="s">
        <v>13</v>
      </c>
      <c r="C2207">
        <v>60</v>
      </c>
      <c r="D2207" t="s">
        <v>15</v>
      </c>
      <c r="E2207" t="s">
        <v>15</v>
      </c>
      <c r="F2207" t="s">
        <v>16</v>
      </c>
      <c r="G2207" t="s">
        <v>19</v>
      </c>
      <c r="H2207" t="s">
        <v>22</v>
      </c>
      <c r="I2207">
        <v>80.86</v>
      </c>
      <c r="J2207">
        <v>31</v>
      </c>
      <c r="K2207" t="s">
        <v>26</v>
      </c>
      <c r="L2207" t="s">
        <v>15</v>
      </c>
    </row>
    <row r="2208" spans="1:12" x14ac:dyDescent="0.3">
      <c r="A2208">
        <v>71339</v>
      </c>
      <c r="B2208" t="s">
        <v>13</v>
      </c>
      <c r="C2208">
        <v>40</v>
      </c>
      <c r="D2208" t="s">
        <v>15</v>
      </c>
      <c r="E2208" t="s">
        <v>15</v>
      </c>
      <c r="F2208" t="s">
        <v>16</v>
      </c>
      <c r="G2208" t="s">
        <v>19</v>
      </c>
      <c r="H2208" t="s">
        <v>22</v>
      </c>
      <c r="I2208">
        <v>114.32</v>
      </c>
      <c r="J2208">
        <v>28.3</v>
      </c>
      <c r="K2208" t="s">
        <v>26</v>
      </c>
      <c r="L2208" t="s">
        <v>15</v>
      </c>
    </row>
    <row r="2209" spans="1:12" x14ac:dyDescent="0.3">
      <c r="A2209">
        <v>31443</v>
      </c>
      <c r="B2209" t="s">
        <v>13</v>
      </c>
      <c r="C2209">
        <v>30</v>
      </c>
      <c r="D2209" t="s">
        <v>15</v>
      </c>
      <c r="E2209" t="s">
        <v>15</v>
      </c>
      <c r="F2209" t="s">
        <v>16</v>
      </c>
      <c r="G2209" t="s">
        <v>19</v>
      </c>
      <c r="H2209" t="s">
        <v>22</v>
      </c>
      <c r="I2209">
        <v>83.91</v>
      </c>
      <c r="J2209">
        <v>23.9</v>
      </c>
      <c r="K2209" t="s">
        <v>27</v>
      </c>
      <c r="L2209" t="s">
        <v>15</v>
      </c>
    </row>
    <row r="2210" spans="1:12" x14ac:dyDescent="0.3">
      <c r="A2210">
        <v>49672</v>
      </c>
      <c r="B2210" t="s">
        <v>13</v>
      </c>
      <c r="C2210">
        <v>66</v>
      </c>
      <c r="D2210" t="s">
        <v>15</v>
      </c>
      <c r="E2210" t="s">
        <v>15</v>
      </c>
      <c r="F2210" t="s">
        <v>16</v>
      </c>
      <c r="G2210" t="s">
        <v>19</v>
      </c>
      <c r="H2210" t="s">
        <v>23</v>
      </c>
      <c r="I2210">
        <v>152.02000000000001</v>
      </c>
      <c r="J2210">
        <v>44.2</v>
      </c>
      <c r="K2210" t="s">
        <v>24</v>
      </c>
      <c r="L2210" t="s">
        <v>15</v>
      </c>
    </row>
    <row r="2211" spans="1:12" x14ac:dyDescent="0.3">
      <c r="A2211">
        <v>394</v>
      </c>
      <c r="B2211" t="s">
        <v>12</v>
      </c>
      <c r="C2211">
        <v>78</v>
      </c>
      <c r="D2211" t="s">
        <v>16</v>
      </c>
      <c r="E2211" t="s">
        <v>15</v>
      </c>
      <c r="F2211" t="s">
        <v>16</v>
      </c>
      <c r="G2211" t="s">
        <v>18</v>
      </c>
      <c r="H2211" t="s">
        <v>23</v>
      </c>
      <c r="I2211">
        <v>75.19</v>
      </c>
      <c r="J2211">
        <v>27.6</v>
      </c>
      <c r="K2211" t="s">
        <v>25</v>
      </c>
      <c r="L2211" t="s">
        <v>15</v>
      </c>
    </row>
    <row r="2212" spans="1:12" x14ac:dyDescent="0.3">
      <c r="A2212">
        <v>63362</v>
      </c>
      <c r="B2212" t="s">
        <v>13</v>
      </c>
      <c r="C2212">
        <v>37</v>
      </c>
      <c r="D2212" t="s">
        <v>15</v>
      </c>
      <c r="E2212" t="s">
        <v>15</v>
      </c>
      <c r="F2212" t="s">
        <v>16</v>
      </c>
      <c r="G2212" t="s">
        <v>17</v>
      </c>
      <c r="H2212" t="s">
        <v>22</v>
      </c>
      <c r="I2212">
        <v>60.61</v>
      </c>
      <c r="J2212">
        <v>35.700000000000003</v>
      </c>
      <c r="K2212" t="s">
        <v>24</v>
      </c>
      <c r="L2212" t="s">
        <v>15</v>
      </c>
    </row>
    <row r="2213" spans="1:12" x14ac:dyDescent="0.3">
      <c r="A2213">
        <v>59928</v>
      </c>
      <c r="B2213" t="s">
        <v>13</v>
      </c>
      <c r="C2213">
        <v>41</v>
      </c>
      <c r="D2213" t="s">
        <v>15</v>
      </c>
      <c r="E2213" t="s">
        <v>15</v>
      </c>
      <c r="F2213" t="s">
        <v>16</v>
      </c>
      <c r="G2213" t="s">
        <v>18</v>
      </c>
      <c r="H2213" t="s">
        <v>23</v>
      </c>
      <c r="I2213">
        <v>89.14</v>
      </c>
      <c r="J2213">
        <v>37.4</v>
      </c>
      <c r="K2213" t="s">
        <v>24</v>
      </c>
      <c r="L2213" t="s">
        <v>15</v>
      </c>
    </row>
    <row r="2214" spans="1:12" x14ac:dyDescent="0.3">
      <c r="A2214">
        <v>62289</v>
      </c>
      <c r="B2214" t="s">
        <v>13</v>
      </c>
      <c r="C2214">
        <v>34</v>
      </c>
      <c r="D2214" t="s">
        <v>15</v>
      </c>
      <c r="E2214" t="s">
        <v>15</v>
      </c>
      <c r="F2214" t="s">
        <v>16</v>
      </c>
      <c r="G2214" t="s">
        <v>17</v>
      </c>
      <c r="H2214" t="s">
        <v>22</v>
      </c>
      <c r="I2214">
        <v>97.23</v>
      </c>
      <c r="J2214">
        <v>27.5</v>
      </c>
      <c r="K2214" t="s">
        <v>27</v>
      </c>
      <c r="L2214" t="s">
        <v>15</v>
      </c>
    </row>
    <row r="2215" spans="1:12" x14ac:dyDescent="0.3">
      <c r="A2215">
        <v>59464</v>
      </c>
      <c r="B2215" t="s">
        <v>13</v>
      </c>
      <c r="C2215">
        <v>18</v>
      </c>
      <c r="D2215" t="s">
        <v>15</v>
      </c>
      <c r="E2215" t="s">
        <v>15</v>
      </c>
      <c r="F2215" t="s">
        <v>15</v>
      </c>
      <c r="G2215" t="s">
        <v>17</v>
      </c>
      <c r="H2215" t="s">
        <v>23</v>
      </c>
      <c r="I2215">
        <v>135.19</v>
      </c>
      <c r="J2215">
        <v>23.4</v>
      </c>
      <c r="K2215" t="s">
        <v>25</v>
      </c>
      <c r="L2215" t="s">
        <v>15</v>
      </c>
    </row>
    <row r="2216" spans="1:12" x14ac:dyDescent="0.3">
      <c r="A2216">
        <v>18680</v>
      </c>
      <c r="B2216" t="s">
        <v>12</v>
      </c>
      <c r="C2216">
        <v>69</v>
      </c>
      <c r="D2216" t="s">
        <v>15</v>
      </c>
      <c r="E2216" t="s">
        <v>15</v>
      </c>
      <c r="F2216" t="s">
        <v>16</v>
      </c>
      <c r="G2216" t="s">
        <v>18</v>
      </c>
      <c r="H2216" t="s">
        <v>22</v>
      </c>
      <c r="I2216">
        <v>78.48</v>
      </c>
      <c r="J2216">
        <v>25.8</v>
      </c>
      <c r="K2216" t="s">
        <v>24</v>
      </c>
      <c r="L2216" t="s">
        <v>15</v>
      </c>
    </row>
    <row r="2217" spans="1:12" x14ac:dyDescent="0.3">
      <c r="A2217">
        <v>19439</v>
      </c>
      <c r="B2217" t="s">
        <v>12</v>
      </c>
      <c r="C2217">
        <v>67</v>
      </c>
      <c r="D2217" t="s">
        <v>15</v>
      </c>
      <c r="E2217" t="s">
        <v>16</v>
      </c>
      <c r="F2217" t="s">
        <v>16</v>
      </c>
      <c r="G2217" t="s">
        <v>17</v>
      </c>
      <c r="H2217" t="s">
        <v>23</v>
      </c>
      <c r="I2217">
        <v>97.24</v>
      </c>
      <c r="K2217" t="s">
        <v>27</v>
      </c>
      <c r="L2217" t="s">
        <v>15</v>
      </c>
    </row>
    <row r="2218" spans="1:12" x14ac:dyDescent="0.3">
      <c r="A2218">
        <v>27017</v>
      </c>
      <c r="B2218" t="s">
        <v>12</v>
      </c>
      <c r="C2218">
        <v>28</v>
      </c>
      <c r="D2218" t="s">
        <v>15</v>
      </c>
      <c r="E2218" t="s">
        <v>15</v>
      </c>
      <c r="F2218" t="s">
        <v>15</v>
      </c>
      <c r="G2218" t="s">
        <v>17</v>
      </c>
      <c r="H2218" t="s">
        <v>22</v>
      </c>
      <c r="I2218">
        <v>75.92</v>
      </c>
      <c r="J2218">
        <v>22.8</v>
      </c>
      <c r="K2218" t="s">
        <v>25</v>
      </c>
      <c r="L2218" t="s">
        <v>15</v>
      </c>
    </row>
    <row r="2219" spans="1:12" x14ac:dyDescent="0.3">
      <c r="A2219">
        <v>8277</v>
      </c>
      <c r="B2219" t="s">
        <v>13</v>
      </c>
      <c r="C2219">
        <v>3</v>
      </c>
      <c r="D2219" t="s">
        <v>15</v>
      </c>
      <c r="E2219" t="s">
        <v>15</v>
      </c>
      <c r="F2219" t="s">
        <v>15</v>
      </c>
      <c r="G2219" t="s">
        <v>20</v>
      </c>
      <c r="H2219" t="s">
        <v>22</v>
      </c>
      <c r="I2219">
        <v>93.3</v>
      </c>
      <c r="J2219">
        <v>19.5</v>
      </c>
      <c r="K2219" t="s">
        <v>27</v>
      </c>
      <c r="L2219" t="s">
        <v>15</v>
      </c>
    </row>
    <row r="2220" spans="1:12" x14ac:dyDescent="0.3">
      <c r="A2220">
        <v>14099</v>
      </c>
      <c r="B2220" t="s">
        <v>13</v>
      </c>
      <c r="C2220">
        <v>57</v>
      </c>
      <c r="D2220" t="s">
        <v>15</v>
      </c>
      <c r="E2220" t="s">
        <v>15</v>
      </c>
      <c r="F2220" t="s">
        <v>16</v>
      </c>
      <c r="G2220" t="s">
        <v>19</v>
      </c>
      <c r="H2220" t="s">
        <v>22</v>
      </c>
      <c r="I2220">
        <v>97.39</v>
      </c>
      <c r="J2220">
        <v>38</v>
      </c>
      <c r="K2220" t="s">
        <v>27</v>
      </c>
      <c r="L2220" t="s">
        <v>15</v>
      </c>
    </row>
    <row r="2221" spans="1:12" x14ac:dyDescent="0.3">
      <c r="A2221">
        <v>37128</v>
      </c>
      <c r="B2221" t="s">
        <v>12</v>
      </c>
      <c r="C2221">
        <v>34</v>
      </c>
      <c r="D2221" t="s">
        <v>15</v>
      </c>
      <c r="E2221" t="s">
        <v>15</v>
      </c>
      <c r="F2221" t="s">
        <v>16</v>
      </c>
      <c r="G2221" t="s">
        <v>17</v>
      </c>
      <c r="H2221" t="s">
        <v>23</v>
      </c>
      <c r="I2221">
        <v>134.61000000000001</v>
      </c>
      <c r="J2221">
        <v>23.4</v>
      </c>
      <c r="K2221" t="s">
        <v>25</v>
      </c>
      <c r="L2221" t="s">
        <v>15</v>
      </c>
    </row>
    <row r="2222" spans="1:12" x14ac:dyDescent="0.3">
      <c r="A2222">
        <v>57774</v>
      </c>
      <c r="B2222" t="s">
        <v>12</v>
      </c>
      <c r="C2222">
        <v>50</v>
      </c>
      <c r="D2222" t="s">
        <v>15</v>
      </c>
      <c r="E2222" t="s">
        <v>15</v>
      </c>
      <c r="F2222" t="s">
        <v>16</v>
      </c>
      <c r="G2222" t="s">
        <v>17</v>
      </c>
      <c r="H2222" t="s">
        <v>23</v>
      </c>
      <c r="I2222">
        <v>104.02</v>
      </c>
      <c r="J2222">
        <v>29.5</v>
      </c>
      <c r="K2222" t="s">
        <v>25</v>
      </c>
      <c r="L2222" t="s">
        <v>15</v>
      </c>
    </row>
    <row r="2223" spans="1:12" x14ac:dyDescent="0.3">
      <c r="A2223">
        <v>64033</v>
      </c>
      <c r="B2223" t="s">
        <v>12</v>
      </c>
      <c r="C2223">
        <v>55</v>
      </c>
      <c r="D2223" t="s">
        <v>15</v>
      </c>
      <c r="E2223" t="s">
        <v>16</v>
      </c>
      <c r="F2223" t="s">
        <v>15</v>
      </c>
      <c r="G2223" t="s">
        <v>17</v>
      </c>
      <c r="H2223" t="s">
        <v>22</v>
      </c>
      <c r="I2223">
        <v>56.9</v>
      </c>
      <c r="J2223">
        <v>28.2</v>
      </c>
      <c r="K2223" t="s">
        <v>25</v>
      </c>
      <c r="L2223" t="s">
        <v>15</v>
      </c>
    </row>
    <row r="2224" spans="1:12" x14ac:dyDescent="0.3">
      <c r="A2224">
        <v>72701</v>
      </c>
      <c r="B2224" t="s">
        <v>12</v>
      </c>
      <c r="C2224">
        <v>2</v>
      </c>
      <c r="D2224" t="s">
        <v>15</v>
      </c>
      <c r="E2224" t="s">
        <v>15</v>
      </c>
      <c r="F2224" t="s">
        <v>15</v>
      </c>
      <c r="G2224" t="s">
        <v>20</v>
      </c>
      <c r="H2224" t="s">
        <v>23</v>
      </c>
      <c r="I2224">
        <v>112.66</v>
      </c>
      <c r="J2224">
        <v>14.2</v>
      </c>
      <c r="K2224" t="s">
        <v>27</v>
      </c>
      <c r="L2224" t="s">
        <v>15</v>
      </c>
    </row>
    <row r="2225" spans="1:12" x14ac:dyDescent="0.3">
      <c r="A2225">
        <v>59130</v>
      </c>
      <c r="B2225" t="s">
        <v>13</v>
      </c>
      <c r="C2225">
        <v>27</v>
      </c>
      <c r="D2225" t="s">
        <v>15</v>
      </c>
      <c r="E2225" t="s">
        <v>15</v>
      </c>
      <c r="F2225" t="s">
        <v>15</v>
      </c>
      <c r="G2225" t="s">
        <v>17</v>
      </c>
      <c r="H2225" t="s">
        <v>23</v>
      </c>
      <c r="I2225">
        <v>226.75</v>
      </c>
      <c r="J2225">
        <v>28.9</v>
      </c>
      <c r="K2225" t="s">
        <v>27</v>
      </c>
      <c r="L2225" t="s">
        <v>15</v>
      </c>
    </row>
    <row r="2226" spans="1:12" x14ac:dyDescent="0.3">
      <c r="A2226">
        <v>48472</v>
      </c>
      <c r="B2226" t="s">
        <v>12</v>
      </c>
      <c r="C2226">
        <v>57</v>
      </c>
      <c r="D2226" t="s">
        <v>15</v>
      </c>
      <c r="E2226" t="s">
        <v>15</v>
      </c>
      <c r="F2226" t="s">
        <v>16</v>
      </c>
      <c r="G2226" t="s">
        <v>17</v>
      </c>
      <c r="H2226" t="s">
        <v>23</v>
      </c>
      <c r="I2226">
        <v>76.28</v>
      </c>
      <c r="J2226">
        <v>31.4</v>
      </c>
      <c r="K2226" t="s">
        <v>24</v>
      </c>
      <c r="L2226" t="s">
        <v>15</v>
      </c>
    </row>
    <row r="2227" spans="1:12" x14ac:dyDescent="0.3">
      <c r="A2227">
        <v>67956</v>
      </c>
      <c r="B2227" t="s">
        <v>13</v>
      </c>
      <c r="C2227">
        <v>73</v>
      </c>
      <c r="D2227" t="s">
        <v>15</v>
      </c>
      <c r="E2227" t="s">
        <v>15</v>
      </c>
      <c r="F2227" t="s">
        <v>16</v>
      </c>
      <c r="G2227" t="s">
        <v>17</v>
      </c>
      <c r="H2227" t="s">
        <v>22</v>
      </c>
      <c r="I2227">
        <v>90.01</v>
      </c>
      <c r="J2227">
        <v>32.4</v>
      </c>
      <c r="K2227" t="s">
        <v>24</v>
      </c>
      <c r="L2227" t="s">
        <v>15</v>
      </c>
    </row>
    <row r="2228" spans="1:12" x14ac:dyDescent="0.3">
      <c r="A2228">
        <v>35602</v>
      </c>
      <c r="B2228" t="s">
        <v>13</v>
      </c>
      <c r="C2228">
        <v>52</v>
      </c>
      <c r="D2228" t="s">
        <v>15</v>
      </c>
      <c r="E2228" t="s">
        <v>15</v>
      </c>
      <c r="F2228" t="s">
        <v>16</v>
      </c>
      <c r="G2228" t="s">
        <v>19</v>
      </c>
      <c r="H2228" t="s">
        <v>23</v>
      </c>
      <c r="I2228">
        <v>107.84</v>
      </c>
      <c r="J2228">
        <v>22</v>
      </c>
      <c r="K2228" t="s">
        <v>24</v>
      </c>
      <c r="L2228" t="s">
        <v>15</v>
      </c>
    </row>
    <row r="2229" spans="1:12" x14ac:dyDescent="0.3">
      <c r="A2229">
        <v>13818</v>
      </c>
      <c r="B2229" t="s">
        <v>13</v>
      </c>
      <c r="C2229">
        <v>65</v>
      </c>
      <c r="D2229" t="s">
        <v>15</v>
      </c>
      <c r="E2229" t="s">
        <v>15</v>
      </c>
      <c r="F2229" t="s">
        <v>16</v>
      </c>
      <c r="G2229" t="s">
        <v>17</v>
      </c>
      <c r="H2229" t="s">
        <v>23</v>
      </c>
      <c r="I2229">
        <v>71.06</v>
      </c>
      <c r="J2229">
        <v>26.4</v>
      </c>
      <c r="K2229" t="s">
        <v>25</v>
      </c>
      <c r="L2229" t="s">
        <v>15</v>
      </c>
    </row>
    <row r="2230" spans="1:12" x14ac:dyDescent="0.3">
      <c r="A2230">
        <v>34661</v>
      </c>
      <c r="B2230" t="s">
        <v>12</v>
      </c>
      <c r="C2230">
        <v>48</v>
      </c>
      <c r="D2230" t="s">
        <v>16</v>
      </c>
      <c r="E2230" t="s">
        <v>15</v>
      </c>
      <c r="F2230" t="s">
        <v>16</v>
      </c>
      <c r="G2230" t="s">
        <v>17</v>
      </c>
      <c r="H2230" t="s">
        <v>22</v>
      </c>
      <c r="I2230">
        <v>185</v>
      </c>
      <c r="J2230">
        <v>26.1</v>
      </c>
      <c r="K2230" t="s">
        <v>25</v>
      </c>
      <c r="L2230" t="s">
        <v>15</v>
      </c>
    </row>
    <row r="2231" spans="1:12" x14ac:dyDescent="0.3">
      <c r="A2231">
        <v>64895</v>
      </c>
      <c r="B2231" t="s">
        <v>12</v>
      </c>
      <c r="C2231">
        <v>54</v>
      </c>
      <c r="D2231" t="s">
        <v>16</v>
      </c>
      <c r="E2231" t="s">
        <v>15</v>
      </c>
      <c r="F2231" t="s">
        <v>16</v>
      </c>
      <c r="G2231" t="s">
        <v>18</v>
      </c>
      <c r="H2231" t="s">
        <v>23</v>
      </c>
      <c r="I2231">
        <v>104.42</v>
      </c>
      <c r="J2231">
        <v>37.6</v>
      </c>
      <c r="K2231" t="s">
        <v>26</v>
      </c>
      <c r="L2231" t="s">
        <v>15</v>
      </c>
    </row>
    <row r="2232" spans="1:12" x14ac:dyDescent="0.3">
      <c r="A2232">
        <v>21969</v>
      </c>
      <c r="B2232" t="s">
        <v>12</v>
      </c>
      <c r="C2232">
        <v>8</v>
      </c>
      <c r="D2232" t="s">
        <v>15</v>
      </c>
      <c r="E2232" t="s">
        <v>15</v>
      </c>
      <c r="F2232" t="s">
        <v>15</v>
      </c>
      <c r="G2232" t="s">
        <v>20</v>
      </c>
      <c r="H2232" t="s">
        <v>22</v>
      </c>
      <c r="I2232">
        <v>89.57</v>
      </c>
      <c r="J2232">
        <v>18.8</v>
      </c>
      <c r="K2232" t="s">
        <v>27</v>
      </c>
      <c r="L2232" t="s">
        <v>15</v>
      </c>
    </row>
    <row r="2233" spans="1:12" x14ac:dyDescent="0.3">
      <c r="A2233">
        <v>38320</v>
      </c>
      <c r="B2233" t="s">
        <v>12</v>
      </c>
      <c r="C2233">
        <v>45</v>
      </c>
      <c r="D2233" t="s">
        <v>16</v>
      </c>
      <c r="E2233" t="s">
        <v>15</v>
      </c>
      <c r="F2233" t="s">
        <v>16</v>
      </c>
      <c r="G2233" t="s">
        <v>17</v>
      </c>
      <c r="H2233" t="s">
        <v>23</v>
      </c>
      <c r="I2233">
        <v>136.19999999999999</v>
      </c>
      <c r="J2233">
        <v>23.8</v>
      </c>
      <c r="K2233" t="s">
        <v>27</v>
      </c>
      <c r="L2233" t="s">
        <v>15</v>
      </c>
    </row>
    <row r="2234" spans="1:12" x14ac:dyDescent="0.3">
      <c r="A2234">
        <v>42040</v>
      </c>
      <c r="B2234" t="s">
        <v>13</v>
      </c>
      <c r="C2234">
        <v>48</v>
      </c>
      <c r="D2234" t="s">
        <v>15</v>
      </c>
      <c r="E2234" t="s">
        <v>15</v>
      </c>
      <c r="F2234" t="s">
        <v>16</v>
      </c>
      <c r="G2234" t="s">
        <v>19</v>
      </c>
      <c r="H2234" t="s">
        <v>22</v>
      </c>
      <c r="I2234">
        <v>128.22999999999999</v>
      </c>
      <c r="J2234">
        <v>49.4</v>
      </c>
      <c r="K2234" t="s">
        <v>25</v>
      </c>
      <c r="L2234" t="s">
        <v>15</v>
      </c>
    </row>
    <row r="2235" spans="1:12" x14ac:dyDescent="0.3">
      <c r="A2235">
        <v>31857</v>
      </c>
      <c r="B2235" t="s">
        <v>13</v>
      </c>
      <c r="C2235">
        <v>77</v>
      </c>
      <c r="D2235" t="s">
        <v>15</v>
      </c>
      <c r="E2235" t="s">
        <v>15</v>
      </c>
      <c r="F2235" t="s">
        <v>16</v>
      </c>
      <c r="G2235" t="s">
        <v>18</v>
      </c>
      <c r="H2235" t="s">
        <v>23</v>
      </c>
      <c r="I2235">
        <v>104.23</v>
      </c>
      <c r="J2235">
        <v>23.8</v>
      </c>
      <c r="K2235" t="s">
        <v>26</v>
      </c>
      <c r="L2235" t="s">
        <v>15</v>
      </c>
    </row>
    <row r="2236" spans="1:12" x14ac:dyDescent="0.3">
      <c r="A2236">
        <v>64494</v>
      </c>
      <c r="B2236" t="s">
        <v>13</v>
      </c>
      <c r="C2236">
        <v>34</v>
      </c>
      <c r="D2236" t="s">
        <v>15</v>
      </c>
      <c r="E2236" t="s">
        <v>15</v>
      </c>
      <c r="F2236" t="s">
        <v>16</v>
      </c>
      <c r="G2236" t="s">
        <v>17</v>
      </c>
      <c r="H2236" t="s">
        <v>22</v>
      </c>
      <c r="I2236">
        <v>133.82</v>
      </c>
      <c r="J2236">
        <v>20.399999999999999</v>
      </c>
      <c r="K2236" t="s">
        <v>25</v>
      </c>
      <c r="L2236" t="s">
        <v>15</v>
      </c>
    </row>
    <row r="2237" spans="1:12" x14ac:dyDescent="0.3">
      <c r="A2237">
        <v>34764</v>
      </c>
      <c r="B2237" t="s">
        <v>13</v>
      </c>
      <c r="C2237">
        <v>33</v>
      </c>
      <c r="D2237" t="s">
        <v>15</v>
      </c>
      <c r="E2237" t="s">
        <v>15</v>
      </c>
      <c r="F2237" t="s">
        <v>16</v>
      </c>
      <c r="G2237" t="s">
        <v>17</v>
      </c>
      <c r="H2237" t="s">
        <v>23</v>
      </c>
      <c r="I2237">
        <v>80.819999999999993</v>
      </c>
      <c r="J2237">
        <v>40.299999999999997</v>
      </c>
      <c r="K2237" t="s">
        <v>25</v>
      </c>
      <c r="L2237" t="s">
        <v>15</v>
      </c>
    </row>
    <row r="2238" spans="1:12" x14ac:dyDescent="0.3">
      <c r="A2238">
        <v>20673</v>
      </c>
      <c r="B2238" t="s">
        <v>12</v>
      </c>
      <c r="C2238">
        <v>39</v>
      </c>
      <c r="D2238" t="s">
        <v>15</v>
      </c>
      <c r="E2238" t="s">
        <v>15</v>
      </c>
      <c r="F2238" t="s">
        <v>16</v>
      </c>
      <c r="G2238" t="s">
        <v>17</v>
      </c>
      <c r="H2238" t="s">
        <v>23</v>
      </c>
      <c r="I2238">
        <v>102.35</v>
      </c>
      <c r="J2238">
        <v>23.6</v>
      </c>
      <c r="K2238" t="s">
        <v>25</v>
      </c>
      <c r="L2238" t="s">
        <v>15</v>
      </c>
    </row>
    <row r="2239" spans="1:12" x14ac:dyDescent="0.3">
      <c r="A2239">
        <v>64817</v>
      </c>
      <c r="B2239" t="s">
        <v>12</v>
      </c>
      <c r="C2239">
        <v>39</v>
      </c>
      <c r="D2239" t="s">
        <v>15</v>
      </c>
      <c r="E2239" t="s">
        <v>15</v>
      </c>
      <c r="F2239" t="s">
        <v>16</v>
      </c>
      <c r="G2239" t="s">
        <v>18</v>
      </c>
      <c r="H2239" t="s">
        <v>23</v>
      </c>
      <c r="I2239">
        <v>88.48</v>
      </c>
      <c r="J2239">
        <v>34.299999999999997</v>
      </c>
      <c r="K2239" t="s">
        <v>25</v>
      </c>
      <c r="L2239" t="s">
        <v>15</v>
      </c>
    </row>
    <row r="2240" spans="1:12" x14ac:dyDescent="0.3">
      <c r="A2240">
        <v>72450</v>
      </c>
      <c r="B2240" t="s">
        <v>12</v>
      </c>
      <c r="C2240">
        <v>40</v>
      </c>
      <c r="D2240" t="s">
        <v>15</v>
      </c>
      <c r="E2240" t="s">
        <v>15</v>
      </c>
      <c r="F2240" t="s">
        <v>16</v>
      </c>
      <c r="G2240" t="s">
        <v>17</v>
      </c>
      <c r="H2240" t="s">
        <v>23</v>
      </c>
      <c r="I2240">
        <v>88.81</v>
      </c>
      <c r="J2240">
        <v>32.700000000000003</v>
      </c>
      <c r="K2240" t="s">
        <v>27</v>
      </c>
      <c r="L2240" t="s">
        <v>15</v>
      </c>
    </row>
    <row r="2241" spans="1:12" x14ac:dyDescent="0.3">
      <c r="A2241">
        <v>13988</v>
      </c>
      <c r="B2241" t="s">
        <v>13</v>
      </c>
      <c r="C2241">
        <v>46</v>
      </c>
      <c r="D2241" t="s">
        <v>15</v>
      </c>
      <c r="E2241" t="s">
        <v>15</v>
      </c>
      <c r="F2241" t="s">
        <v>16</v>
      </c>
      <c r="G2241" t="s">
        <v>17</v>
      </c>
      <c r="H2241" t="s">
        <v>23</v>
      </c>
      <c r="I2241">
        <v>75.09</v>
      </c>
      <c r="J2241">
        <v>28.7</v>
      </c>
      <c r="K2241" t="s">
        <v>25</v>
      </c>
      <c r="L2241" t="s">
        <v>15</v>
      </c>
    </row>
    <row r="2242" spans="1:12" x14ac:dyDescent="0.3">
      <c r="A2242">
        <v>54985</v>
      </c>
      <c r="B2242" t="s">
        <v>13</v>
      </c>
      <c r="C2242">
        <v>1</v>
      </c>
      <c r="D2242" t="s">
        <v>15</v>
      </c>
      <c r="E2242" t="s">
        <v>15</v>
      </c>
      <c r="F2242" t="s">
        <v>15</v>
      </c>
      <c r="G2242" t="s">
        <v>20</v>
      </c>
      <c r="H2242" t="s">
        <v>22</v>
      </c>
      <c r="I2242">
        <v>199.83</v>
      </c>
      <c r="J2242">
        <v>24.5</v>
      </c>
      <c r="K2242" t="s">
        <v>27</v>
      </c>
      <c r="L2242" t="s">
        <v>15</v>
      </c>
    </row>
    <row r="2243" spans="1:12" x14ac:dyDescent="0.3">
      <c r="A2243">
        <v>6049</v>
      </c>
      <c r="B2243" t="s">
        <v>13</v>
      </c>
      <c r="C2243">
        <v>5</v>
      </c>
      <c r="D2243" t="s">
        <v>15</v>
      </c>
      <c r="E2243" t="s">
        <v>15</v>
      </c>
      <c r="F2243" t="s">
        <v>15</v>
      </c>
      <c r="G2243" t="s">
        <v>20</v>
      </c>
      <c r="H2243" t="s">
        <v>23</v>
      </c>
      <c r="I2243">
        <v>73.69</v>
      </c>
      <c r="J2243">
        <v>24.8</v>
      </c>
      <c r="K2243" t="s">
        <v>27</v>
      </c>
      <c r="L2243" t="s">
        <v>15</v>
      </c>
    </row>
    <row r="2244" spans="1:12" x14ac:dyDescent="0.3">
      <c r="A2244">
        <v>13380</v>
      </c>
      <c r="B2244" t="s">
        <v>12</v>
      </c>
      <c r="C2244">
        <v>14</v>
      </c>
      <c r="D2244" t="s">
        <v>15</v>
      </c>
      <c r="E2244" t="s">
        <v>15</v>
      </c>
      <c r="F2244" t="s">
        <v>15</v>
      </c>
      <c r="G2244" t="s">
        <v>20</v>
      </c>
      <c r="H2244" t="s">
        <v>22</v>
      </c>
      <c r="I2244">
        <v>111.27</v>
      </c>
      <c r="J2244">
        <v>23.2</v>
      </c>
      <c r="K2244" t="s">
        <v>27</v>
      </c>
      <c r="L2244" t="s">
        <v>15</v>
      </c>
    </row>
    <row r="2245" spans="1:12" x14ac:dyDescent="0.3">
      <c r="A2245">
        <v>64371</v>
      </c>
      <c r="B2245" t="s">
        <v>13</v>
      </c>
      <c r="C2245">
        <v>49</v>
      </c>
      <c r="D2245" t="s">
        <v>15</v>
      </c>
      <c r="E2245" t="s">
        <v>15</v>
      </c>
      <c r="F2245" t="s">
        <v>16</v>
      </c>
      <c r="G2245" t="s">
        <v>18</v>
      </c>
      <c r="H2245" t="s">
        <v>23</v>
      </c>
      <c r="I2245">
        <v>68.44</v>
      </c>
      <c r="J2245">
        <v>23</v>
      </c>
      <c r="K2245" t="s">
        <v>26</v>
      </c>
      <c r="L2245" t="s">
        <v>15</v>
      </c>
    </row>
    <row r="2246" spans="1:12" x14ac:dyDescent="0.3">
      <c r="A2246">
        <v>50295</v>
      </c>
      <c r="B2246" t="s">
        <v>13</v>
      </c>
      <c r="C2246">
        <v>45</v>
      </c>
      <c r="D2246" t="s">
        <v>15</v>
      </c>
      <c r="E2246" t="s">
        <v>15</v>
      </c>
      <c r="F2246" t="s">
        <v>16</v>
      </c>
      <c r="G2246" t="s">
        <v>17</v>
      </c>
      <c r="H2246" t="s">
        <v>22</v>
      </c>
      <c r="I2246">
        <v>65.36</v>
      </c>
      <c r="J2246">
        <v>39.299999999999997</v>
      </c>
      <c r="K2246" t="s">
        <v>25</v>
      </c>
      <c r="L2246" t="s">
        <v>15</v>
      </c>
    </row>
    <row r="2247" spans="1:12" x14ac:dyDescent="0.3">
      <c r="A2247">
        <v>14404</v>
      </c>
      <c r="B2247" t="s">
        <v>13</v>
      </c>
      <c r="C2247">
        <v>13</v>
      </c>
      <c r="D2247" t="s">
        <v>15</v>
      </c>
      <c r="E2247" t="s">
        <v>15</v>
      </c>
      <c r="F2247" t="s">
        <v>15</v>
      </c>
      <c r="G2247" t="s">
        <v>20</v>
      </c>
      <c r="H2247" t="s">
        <v>22</v>
      </c>
      <c r="I2247">
        <v>94.12</v>
      </c>
      <c r="J2247">
        <v>20.100000000000001</v>
      </c>
      <c r="K2247" t="s">
        <v>25</v>
      </c>
      <c r="L2247" t="s">
        <v>15</v>
      </c>
    </row>
    <row r="2248" spans="1:12" x14ac:dyDescent="0.3">
      <c r="A2248">
        <v>58645</v>
      </c>
      <c r="B2248" t="s">
        <v>13</v>
      </c>
      <c r="C2248">
        <v>76</v>
      </c>
      <c r="D2248" t="s">
        <v>15</v>
      </c>
      <c r="E2248" t="s">
        <v>15</v>
      </c>
      <c r="F2248" t="s">
        <v>16</v>
      </c>
      <c r="G2248" t="s">
        <v>17</v>
      </c>
      <c r="H2248" t="s">
        <v>23</v>
      </c>
      <c r="I2248">
        <v>96.24</v>
      </c>
      <c r="J2248">
        <v>25.4</v>
      </c>
      <c r="K2248" t="s">
        <v>25</v>
      </c>
      <c r="L2248" t="s">
        <v>15</v>
      </c>
    </row>
    <row r="2249" spans="1:12" x14ac:dyDescent="0.3">
      <c r="A2249">
        <v>19419</v>
      </c>
      <c r="B2249" t="s">
        <v>12</v>
      </c>
      <c r="C2249">
        <v>14</v>
      </c>
      <c r="D2249" t="s">
        <v>15</v>
      </c>
      <c r="E2249" t="s">
        <v>15</v>
      </c>
      <c r="F2249" t="s">
        <v>15</v>
      </c>
      <c r="G2249" t="s">
        <v>20</v>
      </c>
      <c r="H2249" t="s">
        <v>23</v>
      </c>
      <c r="I2249">
        <v>91.25</v>
      </c>
      <c r="J2249">
        <v>23.8</v>
      </c>
      <c r="K2249" t="s">
        <v>27</v>
      </c>
      <c r="L2249" t="s">
        <v>15</v>
      </c>
    </row>
    <row r="2250" spans="1:12" x14ac:dyDescent="0.3">
      <c r="A2250">
        <v>24518</v>
      </c>
      <c r="B2250" t="s">
        <v>13</v>
      </c>
      <c r="C2250">
        <v>20</v>
      </c>
      <c r="D2250" t="s">
        <v>15</v>
      </c>
      <c r="E2250" t="s">
        <v>15</v>
      </c>
      <c r="F2250" t="s">
        <v>15</v>
      </c>
      <c r="G2250" t="s">
        <v>17</v>
      </c>
      <c r="H2250" t="s">
        <v>23</v>
      </c>
      <c r="I2250">
        <v>77.290000000000006</v>
      </c>
      <c r="J2250">
        <v>28.4</v>
      </c>
      <c r="K2250" t="s">
        <v>25</v>
      </c>
      <c r="L2250" t="s">
        <v>15</v>
      </c>
    </row>
    <row r="2251" spans="1:12" x14ac:dyDescent="0.3">
      <c r="A2251">
        <v>53494</v>
      </c>
      <c r="B2251" t="s">
        <v>13</v>
      </c>
      <c r="C2251">
        <v>9</v>
      </c>
      <c r="D2251" t="s">
        <v>15</v>
      </c>
      <c r="E2251" t="s">
        <v>15</v>
      </c>
      <c r="F2251" t="s">
        <v>15</v>
      </c>
      <c r="G2251" t="s">
        <v>20</v>
      </c>
      <c r="H2251" t="s">
        <v>23</v>
      </c>
      <c r="I2251">
        <v>125.09</v>
      </c>
      <c r="J2251">
        <v>15.4</v>
      </c>
      <c r="K2251" t="s">
        <v>27</v>
      </c>
      <c r="L2251" t="s">
        <v>15</v>
      </c>
    </row>
    <row r="2252" spans="1:12" x14ac:dyDescent="0.3">
      <c r="A2252">
        <v>42599</v>
      </c>
      <c r="B2252" t="s">
        <v>13</v>
      </c>
      <c r="C2252">
        <v>78</v>
      </c>
      <c r="D2252" t="s">
        <v>15</v>
      </c>
      <c r="E2252" t="s">
        <v>16</v>
      </c>
      <c r="F2252" t="s">
        <v>16</v>
      </c>
      <c r="G2252" t="s">
        <v>17</v>
      </c>
      <c r="H2252" t="s">
        <v>22</v>
      </c>
      <c r="I2252">
        <v>107.18</v>
      </c>
      <c r="J2252">
        <v>28.2</v>
      </c>
      <c r="K2252" t="s">
        <v>25</v>
      </c>
      <c r="L2252" t="s">
        <v>15</v>
      </c>
    </row>
    <row r="2253" spans="1:12" x14ac:dyDescent="0.3">
      <c r="A2253">
        <v>68370</v>
      </c>
      <c r="B2253" t="s">
        <v>12</v>
      </c>
      <c r="C2253">
        <v>49</v>
      </c>
      <c r="D2253" t="s">
        <v>15</v>
      </c>
      <c r="E2253" t="s">
        <v>15</v>
      </c>
      <c r="F2253" t="s">
        <v>16</v>
      </c>
      <c r="G2253" t="s">
        <v>17</v>
      </c>
      <c r="H2253" t="s">
        <v>22</v>
      </c>
      <c r="I2253">
        <v>130.07</v>
      </c>
      <c r="J2253">
        <v>26</v>
      </c>
      <c r="K2253" t="s">
        <v>25</v>
      </c>
      <c r="L2253" t="s">
        <v>15</v>
      </c>
    </row>
    <row r="2254" spans="1:12" x14ac:dyDescent="0.3">
      <c r="A2254">
        <v>57813</v>
      </c>
      <c r="B2254" t="s">
        <v>13</v>
      </c>
      <c r="C2254">
        <v>55</v>
      </c>
      <c r="D2254" t="s">
        <v>15</v>
      </c>
      <c r="E2254" t="s">
        <v>15</v>
      </c>
      <c r="F2254" t="s">
        <v>16</v>
      </c>
      <c r="G2254" t="s">
        <v>17</v>
      </c>
      <c r="H2254" t="s">
        <v>22</v>
      </c>
      <c r="I2254">
        <v>57.3</v>
      </c>
      <c r="J2254">
        <v>41.5</v>
      </c>
      <c r="K2254" t="s">
        <v>25</v>
      </c>
      <c r="L2254" t="s">
        <v>15</v>
      </c>
    </row>
    <row r="2255" spans="1:12" x14ac:dyDescent="0.3">
      <c r="A2255">
        <v>1329</v>
      </c>
      <c r="B2255" t="s">
        <v>13</v>
      </c>
      <c r="C2255">
        <v>43</v>
      </c>
      <c r="D2255" t="s">
        <v>15</v>
      </c>
      <c r="E2255" t="s">
        <v>15</v>
      </c>
      <c r="F2255" t="s">
        <v>15</v>
      </c>
      <c r="G2255" t="s">
        <v>19</v>
      </c>
      <c r="H2255" t="s">
        <v>23</v>
      </c>
      <c r="I2255">
        <v>101.35</v>
      </c>
      <c r="J2255">
        <v>32.200000000000003</v>
      </c>
      <c r="K2255" t="s">
        <v>25</v>
      </c>
      <c r="L2255" t="s">
        <v>15</v>
      </c>
    </row>
    <row r="2256" spans="1:12" x14ac:dyDescent="0.3">
      <c r="A2256">
        <v>15255</v>
      </c>
      <c r="B2256" t="s">
        <v>13</v>
      </c>
      <c r="C2256">
        <v>16</v>
      </c>
      <c r="D2256" t="s">
        <v>15</v>
      </c>
      <c r="E2256" t="s">
        <v>15</v>
      </c>
      <c r="F2256" t="s">
        <v>15</v>
      </c>
      <c r="G2256" t="s">
        <v>17</v>
      </c>
      <c r="H2256" t="s">
        <v>23</v>
      </c>
      <c r="I2256">
        <v>94.03</v>
      </c>
      <c r="J2256">
        <v>25.7</v>
      </c>
      <c r="K2256" t="s">
        <v>25</v>
      </c>
      <c r="L2256" t="s">
        <v>15</v>
      </c>
    </row>
    <row r="2257" spans="1:12" x14ac:dyDescent="0.3">
      <c r="A2257">
        <v>65680</v>
      </c>
      <c r="B2257" t="s">
        <v>12</v>
      </c>
      <c r="C2257">
        <v>58</v>
      </c>
      <c r="D2257" t="s">
        <v>15</v>
      </c>
      <c r="E2257" t="s">
        <v>16</v>
      </c>
      <c r="F2257" t="s">
        <v>16</v>
      </c>
      <c r="G2257" t="s">
        <v>18</v>
      </c>
      <c r="H2257" t="s">
        <v>22</v>
      </c>
      <c r="I2257">
        <v>227.81</v>
      </c>
      <c r="J2257">
        <v>33</v>
      </c>
      <c r="K2257" t="s">
        <v>24</v>
      </c>
      <c r="L2257" t="s">
        <v>15</v>
      </c>
    </row>
    <row r="2258" spans="1:12" x14ac:dyDescent="0.3">
      <c r="A2258">
        <v>32974</v>
      </c>
      <c r="B2258" t="s">
        <v>12</v>
      </c>
      <c r="C2258">
        <v>67</v>
      </c>
      <c r="D2258" t="s">
        <v>15</v>
      </c>
      <c r="E2258" t="s">
        <v>15</v>
      </c>
      <c r="F2258" t="s">
        <v>16</v>
      </c>
      <c r="G2258" t="s">
        <v>19</v>
      </c>
      <c r="H2258" t="s">
        <v>22</v>
      </c>
      <c r="I2258">
        <v>66.67</v>
      </c>
      <c r="J2258">
        <v>35</v>
      </c>
      <c r="K2258" t="s">
        <v>26</v>
      </c>
      <c r="L2258" t="s">
        <v>15</v>
      </c>
    </row>
    <row r="2259" spans="1:12" x14ac:dyDescent="0.3">
      <c r="A2259">
        <v>5863</v>
      </c>
      <c r="B2259" t="s">
        <v>13</v>
      </c>
      <c r="C2259">
        <v>71</v>
      </c>
      <c r="D2259" t="s">
        <v>15</v>
      </c>
      <c r="E2259" t="s">
        <v>15</v>
      </c>
      <c r="F2259" t="s">
        <v>16</v>
      </c>
      <c r="G2259" t="s">
        <v>17</v>
      </c>
      <c r="H2259" t="s">
        <v>22</v>
      </c>
      <c r="I2259">
        <v>240.81</v>
      </c>
      <c r="J2259">
        <v>27.4</v>
      </c>
      <c r="K2259" t="s">
        <v>25</v>
      </c>
      <c r="L2259" t="s">
        <v>15</v>
      </c>
    </row>
    <row r="2260" spans="1:12" x14ac:dyDescent="0.3">
      <c r="A2260">
        <v>10584</v>
      </c>
      <c r="B2260" t="s">
        <v>12</v>
      </c>
      <c r="C2260">
        <v>8</v>
      </c>
      <c r="D2260" t="s">
        <v>15</v>
      </c>
      <c r="E2260" t="s">
        <v>15</v>
      </c>
      <c r="F2260" t="s">
        <v>15</v>
      </c>
      <c r="G2260" t="s">
        <v>20</v>
      </c>
      <c r="H2260" t="s">
        <v>22</v>
      </c>
      <c r="I2260">
        <v>88.02</v>
      </c>
      <c r="J2260">
        <v>16.399999999999999</v>
      </c>
      <c r="K2260" t="s">
        <v>27</v>
      </c>
      <c r="L2260" t="s">
        <v>15</v>
      </c>
    </row>
    <row r="2261" spans="1:12" x14ac:dyDescent="0.3">
      <c r="A2261">
        <v>38675</v>
      </c>
      <c r="B2261" t="s">
        <v>13</v>
      </c>
      <c r="C2261">
        <v>18</v>
      </c>
      <c r="D2261" t="s">
        <v>15</v>
      </c>
      <c r="E2261" t="s">
        <v>15</v>
      </c>
      <c r="F2261" t="s">
        <v>15</v>
      </c>
      <c r="G2261" t="s">
        <v>17</v>
      </c>
      <c r="H2261" t="s">
        <v>22</v>
      </c>
      <c r="I2261">
        <v>152.87</v>
      </c>
      <c r="J2261">
        <v>31.5</v>
      </c>
      <c r="K2261" t="s">
        <v>27</v>
      </c>
      <c r="L2261" t="s">
        <v>15</v>
      </c>
    </row>
    <row r="2262" spans="1:12" x14ac:dyDescent="0.3">
      <c r="A2262">
        <v>47600</v>
      </c>
      <c r="B2262" t="s">
        <v>13</v>
      </c>
      <c r="C2262">
        <v>47</v>
      </c>
      <c r="D2262" t="s">
        <v>15</v>
      </c>
      <c r="E2262" t="s">
        <v>15</v>
      </c>
      <c r="F2262" t="s">
        <v>16</v>
      </c>
      <c r="G2262" t="s">
        <v>17</v>
      </c>
      <c r="H2262" t="s">
        <v>22</v>
      </c>
      <c r="I2262">
        <v>96.04</v>
      </c>
      <c r="J2262">
        <v>29.2</v>
      </c>
      <c r="K2262" t="s">
        <v>27</v>
      </c>
      <c r="L2262" t="s">
        <v>15</v>
      </c>
    </row>
    <row r="2263" spans="1:12" x14ac:dyDescent="0.3">
      <c r="A2263">
        <v>48246</v>
      </c>
      <c r="B2263" t="s">
        <v>12</v>
      </c>
      <c r="C2263">
        <v>59</v>
      </c>
      <c r="D2263" t="s">
        <v>15</v>
      </c>
      <c r="E2263" t="s">
        <v>15</v>
      </c>
      <c r="F2263" t="s">
        <v>16</v>
      </c>
      <c r="G2263" t="s">
        <v>17</v>
      </c>
      <c r="H2263" t="s">
        <v>22</v>
      </c>
      <c r="I2263">
        <v>60.35</v>
      </c>
      <c r="J2263">
        <v>25.9</v>
      </c>
      <c r="K2263" t="s">
        <v>24</v>
      </c>
      <c r="L2263" t="s">
        <v>15</v>
      </c>
    </row>
    <row r="2264" spans="1:12" x14ac:dyDescent="0.3">
      <c r="A2264">
        <v>61743</v>
      </c>
      <c r="B2264" t="s">
        <v>12</v>
      </c>
      <c r="C2264">
        <v>28</v>
      </c>
      <c r="D2264" t="s">
        <v>15</v>
      </c>
      <c r="E2264" t="s">
        <v>15</v>
      </c>
      <c r="F2264" t="s">
        <v>15</v>
      </c>
      <c r="G2264" t="s">
        <v>19</v>
      </c>
      <c r="H2264" t="s">
        <v>22</v>
      </c>
      <c r="I2264">
        <v>118.66</v>
      </c>
      <c r="J2264">
        <v>32.299999999999997</v>
      </c>
      <c r="K2264" t="s">
        <v>25</v>
      </c>
      <c r="L2264" t="s">
        <v>15</v>
      </c>
    </row>
    <row r="2265" spans="1:12" x14ac:dyDescent="0.3">
      <c r="A2265">
        <v>3879</v>
      </c>
      <c r="B2265" t="s">
        <v>13</v>
      </c>
      <c r="C2265">
        <v>20</v>
      </c>
      <c r="D2265" t="s">
        <v>15</v>
      </c>
      <c r="E2265" t="s">
        <v>15</v>
      </c>
      <c r="F2265" t="s">
        <v>15</v>
      </c>
      <c r="G2265" t="s">
        <v>17</v>
      </c>
      <c r="H2265" t="s">
        <v>22</v>
      </c>
      <c r="I2265">
        <v>89.03</v>
      </c>
      <c r="K2265" t="s">
        <v>26</v>
      </c>
      <c r="L2265" t="s">
        <v>15</v>
      </c>
    </row>
    <row r="2266" spans="1:12" x14ac:dyDescent="0.3">
      <c r="A2266">
        <v>58086</v>
      </c>
      <c r="B2266" t="s">
        <v>12</v>
      </c>
      <c r="C2266">
        <v>67</v>
      </c>
      <c r="D2266" t="s">
        <v>15</v>
      </c>
      <c r="E2266" t="s">
        <v>15</v>
      </c>
      <c r="F2266" t="s">
        <v>16</v>
      </c>
      <c r="G2266" t="s">
        <v>17</v>
      </c>
      <c r="H2266" t="s">
        <v>22</v>
      </c>
      <c r="I2266">
        <v>58.51</v>
      </c>
      <c r="J2266">
        <v>30.4</v>
      </c>
      <c r="K2266" t="s">
        <v>24</v>
      </c>
      <c r="L2266" t="s">
        <v>15</v>
      </c>
    </row>
    <row r="2267" spans="1:12" x14ac:dyDescent="0.3">
      <c r="A2267">
        <v>53957</v>
      </c>
      <c r="B2267" t="s">
        <v>12</v>
      </c>
      <c r="C2267">
        <v>71</v>
      </c>
      <c r="D2267" t="s">
        <v>15</v>
      </c>
      <c r="E2267" t="s">
        <v>15</v>
      </c>
      <c r="F2267" t="s">
        <v>16</v>
      </c>
      <c r="G2267" t="s">
        <v>18</v>
      </c>
      <c r="H2267" t="s">
        <v>22</v>
      </c>
      <c r="I2267">
        <v>96.04</v>
      </c>
      <c r="J2267">
        <v>45.1</v>
      </c>
      <c r="K2267" t="s">
        <v>24</v>
      </c>
      <c r="L2267" t="s">
        <v>15</v>
      </c>
    </row>
    <row r="2268" spans="1:12" x14ac:dyDescent="0.3">
      <c r="A2268">
        <v>40137</v>
      </c>
      <c r="B2268" t="s">
        <v>13</v>
      </c>
      <c r="C2268">
        <v>56</v>
      </c>
      <c r="D2268" t="s">
        <v>15</v>
      </c>
      <c r="E2268" t="s">
        <v>15</v>
      </c>
      <c r="F2268" t="s">
        <v>16</v>
      </c>
      <c r="G2268" t="s">
        <v>18</v>
      </c>
      <c r="H2268" t="s">
        <v>23</v>
      </c>
      <c r="I2268">
        <v>110.92</v>
      </c>
      <c r="J2268">
        <v>25.9</v>
      </c>
      <c r="K2268" t="s">
        <v>27</v>
      </c>
      <c r="L2268" t="s">
        <v>15</v>
      </c>
    </row>
    <row r="2269" spans="1:12" x14ac:dyDescent="0.3">
      <c r="A2269">
        <v>70500</v>
      </c>
      <c r="B2269" t="s">
        <v>13</v>
      </c>
      <c r="C2269">
        <v>44</v>
      </c>
      <c r="D2269" t="s">
        <v>15</v>
      </c>
      <c r="E2269" t="s">
        <v>15</v>
      </c>
      <c r="F2269" t="s">
        <v>15</v>
      </c>
      <c r="G2269" t="s">
        <v>17</v>
      </c>
      <c r="H2269" t="s">
        <v>23</v>
      </c>
      <c r="I2269">
        <v>92.72</v>
      </c>
      <c r="J2269">
        <v>36.6</v>
      </c>
      <c r="K2269" t="s">
        <v>25</v>
      </c>
      <c r="L2269" t="s">
        <v>15</v>
      </c>
    </row>
    <row r="2270" spans="1:12" x14ac:dyDescent="0.3">
      <c r="A2270">
        <v>35085</v>
      </c>
      <c r="B2270" t="s">
        <v>13</v>
      </c>
      <c r="C2270">
        <v>6</v>
      </c>
      <c r="D2270" t="s">
        <v>15</v>
      </c>
      <c r="E2270" t="s">
        <v>15</v>
      </c>
      <c r="F2270" t="s">
        <v>15</v>
      </c>
      <c r="G2270" t="s">
        <v>20</v>
      </c>
      <c r="H2270" t="s">
        <v>23</v>
      </c>
      <c r="I2270">
        <v>108.23</v>
      </c>
      <c r="J2270">
        <v>18.600000000000001</v>
      </c>
      <c r="K2270" t="s">
        <v>27</v>
      </c>
      <c r="L2270" t="s">
        <v>15</v>
      </c>
    </row>
    <row r="2271" spans="1:12" x14ac:dyDescent="0.3">
      <c r="A2271">
        <v>43872</v>
      </c>
      <c r="B2271" t="s">
        <v>13</v>
      </c>
      <c r="C2271">
        <v>78</v>
      </c>
      <c r="D2271" t="s">
        <v>15</v>
      </c>
      <c r="E2271" t="s">
        <v>15</v>
      </c>
      <c r="F2271" t="s">
        <v>16</v>
      </c>
      <c r="G2271" t="s">
        <v>17</v>
      </c>
      <c r="H2271" t="s">
        <v>23</v>
      </c>
      <c r="I2271">
        <v>56.34</v>
      </c>
      <c r="J2271">
        <v>27.5</v>
      </c>
      <c r="K2271" t="s">
        <v>27</v>
      </c>
      <c r="L2271" t="s">
        <v>15</v>
      </c>
    </row>
    <row r="2272" spans="1:12" x14ac:dyDescent="0.3">
      <c r="A2272">
        <v>62951</v>
      </c>
      <c r="B2272" t="s">
        <v>13</v>
      </c>
      <c r="C2272">
        <v>32</v>
      </c>
      <c r="D2272" t="s">
        <v>15</v>
      </c>
      <c r="E2272" t="s">
        <v>15</v>
      </c>
      <c r="F2272" t="s">
        <v>16</v>
      </c>
      <c r="G2272" t="s">
        <v>17</v>
      </c>
      <c r="H2272" t="s">
        <v>23</v>
      </c>
      <c r="I2272">
        <v>61.83</v>
      </c>
      <c r="J2272">
        <v>31.3</v>
      </c>
      <c r="K2272" t="s">
        <v>25</v>
      </c>
      <c r="L2272" t="s">
        <v>15</v>
      </c>
    </row>
    <row r="2273" spans="1:12" x14ac:dyDescent="0.3">
      <c r="A2273">
        <v>43244</v>
      </c>
      <c r="B2273" t="s">
        <v>13</v>
      </c>
      <c r="C2273">
        <v>40</v>
      </c>
      <c r="D2273" t="s">
        <v>15</v>
      </c>
      <c r="E2273" t="s">
        <v>15</v>
      </c>
      <c r="F2273" t="s">
        <v>16</v>
      </c>
      <c r="G2273" t="s">
        <v>17</v>
      </c>
      <c r="H2273" t="s">
        <v>23</v>
      </c>
      <c r="I2273">
        <v>131.99</v>
      </c>
      <c r="J2273">
        <v>37.5</v>
      </c>
      <c r="K2273" t="s">
        <v>25</v>
      </c>
      <c r="L2273" t="s">
        <v>15</v>
      </c>
    </row>
    <row r="2274" spans="1:12" x14ac:dyDescent="0.3">
      <c r="A2274">
        <v>31198</v>
      </c>
      <c r="B2274" t="s">
        <v>13</v>
      </c>
      <c r="C2274">
        <v>63</v>
      </c>
      <c r="D2274" t="s">
        <v>15</v>
      </c>
      <c r="E2274" t="s">
        <v>15</v>
      </c>
      <c r="F2274" t="s">
        <v>16</v>
      </c>
      <c r="G2274" t="s">
        <v>18</v>
      </c>
      <c r="H2274" t="s">
        <v>23</v>
      </c>
      <c r="I2274">
        <v>136.81</v>
      </c>
      <c r="J2274">
        <v>23.1</v>
      </c>
      <c r="K2274" t="s">
        <v>26</v>
      </c>
      <c r="L2274" t="s">
        <v>15</v>
      </c>
    </row>
    <row r="2275" spans="1:12" x14ac:dyDescent="0.3">
      <c r="A2275">
        <v>23223</v>
      </c>
      <c r="B2275" t="s">
        <v>12</v>
      </c>
      <c r="C2275">
        <v>51</v>
      </c>
      <c r="D2275" t="s">
        <v>15</v>
      </c>
      <c r="E2275" t="s">
        <v>15</v>
      </c>
      <c r="F2275" t="s">
        <v>16</v>
      </c>
      <c r="G2275" t="s">
        <v>17</v>
      </c>
      <c r="H2275" t="s">
        <v>23</v>
      </c>
      <c r="I2275">
        <v>239.28</v>
      </c>
      <c r="J2275">
        <v>35</v>
      </c>
      <c r="K2275" t="s">
        <v>25</v>
      </c>
      <c r="L2275" t="s">
        <v>15</v>
      </c>
    </row>
    <row r="2276" spans="1:12" x14ac:dyDescent="0.3">
      <c r="A2276">
        <v>38474</v>
      </c>
      <c r="B2276" t="s">
        <v>12</v>
      </c>
      <c r="C2276">
        <v>22</v>
      </c>
      <c r="D2276" t="s">
        <v>15</v>
      </c>
      <c r="E2276" t="s">
        <v>15</v>
      </c>
      <c r="F2276" t="s">
        <v>16</v>
      </c>
      <c r="G2276" t="s">
        <v>19</v>
      </c>
      <c r="H2276" t="s">
        <v>22</v>
      </c>
      <c r="I2276">
        <v>131.30000000000001</v>
      </c>
      <c r="J2276">
        <v>27</v>
      </c>
      <c r="K2276" t="s">
        <v>25</v>
      </c>
      <c r="L2276" t="s">
        <v>15</v>
      </c>
    </row>
    <row r="2277" spans="1:12" x14ac:dyDescent="0.3">
      <c r="A2277">
        <v>4591</v>
      </c>
      <c r="B2277" t="s">
        <v>13</v>
      </c>
      <c r="C2277">
        <v>82</v>
      </c>
      <c r="D2277" t="s">
        <v>15</v>
      </c>
      <c r="E2277" t="s">
        <v>15</v>
      </c>
      <c r="F2277" t="s">
        <v>16</v>
      </c>
      <c r="G2277" t="s">
        <v>18</v>
      </c>
      <c r="H2277" t="s">
        <v>23</v>
      </c>
      <c r="I2277">
        <v>117.75</v>
      </c>
      <c r="J2277">
        <v>29.8</v>
      </c>
      <c r="K2277" t="s">
        <v>25</v>
      </c>
      <c r="L2277" t="s">
        <v>15</v>
      </c>
    </row>
    <row r="2278" spans="1:12" x14ac:dyDescent="0.3">
      <c r="A2278">
        <v>1451</v>
      </c>
      <c r="B2278" t="s">
        <v>13</v>
      </c>
      <c r="C2278">
        <v>17</v>
      </c>
      <c r="D2278" t="s">
        <v>15</v>
      </c>
      <c r="E2278" t="s">
        <v>15</v>
      </c>
      <c r="F2278" t="s">
        <v>15</v>
      </c>
      <c r="G2278" t="s">
        <v>17</v>
      </c>
      <c r="H2278" t="s">
        <v>22</v>
      </c>
      <c r="I2278">
        <v>78.459999999999994</v>
      </c>
      <c r="J2278">
        <v>23.5</v>
      </c>
      <c r="K2278" t="s">
        <v>27</v>
      </c>
      <c r="L2278" t="s">
        <v>15</v>
      </c>
    </row>
    <row r="2279" spans="1:12" x14ac:dyDescent="0.3">
      <c r="A2279">
        <v>37150</v>
      </c>
      <c r="B2279" t="s">
        <v>13</v>
      </c>
      <c r="C2279">
        <v>34</v>
      </c>
      <c r="D2279" t="s">
        <v>15</v>
      </c>
      <c r="E2279" t="s">
        <v>15</v>
      </c>
      <c r="F2279" t="s">
        <v>16</v>
      </c>
      <c r="G2279" t="s">
        <v>17</v>
      </c>
      <c r="H2279" t="s">
        <v>23</v>
      </c>
      <c r="I2279">
        <v>83.53</v>
      </c>
      <c r="J2279">
        <v>48.5</v>
      </c>
      <c r="K2279" t="s">
        <v>24</v>
      </c>
      <c r="L2279" t="s">
        <v>15</v>
      </c>
    </row>
    <row r="2280" spans="1:12" x14ac:dyDescent="0.3">
      <c r="A2280">
        <v>65632</v>
      </c>
      <c r="B2280" t="s">
        <v>12</v>
      </c>
      <c r="C2280">
        <v>42</v>
      </c>
      <c r="D2280" t="s">
        <v>15</v>
      </c>
      <c r="E2280" t="s">
        <v>15</v>
      </c>
      <c r="F2280" t="s">
        <v>16</v>
      </c>
      <c r="G2280" t="s">
        <v>17</v>
      </c>
      <c r="H2280" t="s">
        <v>23</v>
      </c>
      <c r="I2280">
        <v>145.5</v>
      </c>
      <c r="J2280">
        <v>31.8</v>
      </c>
      <c r="K2280" t="s">
        <v>24</v>
      </c>
      <c r="L2280" t="s">
        <v>15</v>
      </c>
    </row>
    <row r="2281" spans="1:12" x14ac:dyDescent="0.3">
      <c r="A2281">
        <v>62834</v>
      </c>
      <c r="B2281" t="s">
        <v>13</v>
      </c>
      <c r="C2281">
        <v>32</v>
      </c>
      <c r="D2281" t="s">
        <v>15</v>
      </c>
      <c r="E2281" t="s">
        <v>15</v>
      </c>
      <c r="F2281" t="s">
        <v>16</v>
      </c>
      <c r="G2281" t="s">
        <v>17</v>
      </c>
      <c r="H2281" t="s">
        <v>22</v>
      </c>
      <c r="I2281">
        <v>88.33</v>
      </c>
      <c r="J2281">
        <v>20</v>
      </c>
      <c r="K2281" t="s">
        <v>27</v>
      </c>
      <c r="L2281" t="s">
        <v>15</v>
      </c>
    </row>
    <row r="2282" spans="1:12" x14ac:dyDescent="0.3">
      <c r="A2282">
        <v>21826</v>
      </c>
      <c r="B2282" t="s">
        <v>12</v>
      </c>
      <c r="C2282">
        <v>73</v>
      </c>
      <c r="D2282" t="s">
        <v>15</v>
      </c>
      <c r="E2282" t="s">
        <v>15</v>
      </c>
      <c r="F2282" t="s">
        <v>16</v>
      </c>
      <c r="G2282" t="s">
        <v>18</v>
      </c>
      <c r="H2282" t="s">
        <v>23</v>
      </c>
      <c r="I2282">
        <v>101.25</v>
      </c>
      <c r="J2282">
        <v>29.4</v>
      </c>
      <c r="K2282" t="s">
        <v>24</v>
      </c>
      <c r="L2282" t="s">
        <v>15</v>
      </c>
    </row>
    <row r="2283" spans="1:12" x14ac:dyDescent="0.3">
      <c r="A2283">
        <v>21036</v>
      </c>
      <c r="B2283" t="s">
        <v>13</v>
      </c>
      <c r="C2283">
        <v>47</v>
      </c>
      <c r="D2283" t="s">
        <v>15</v>
      </c>
      <c r="E2283" t="s">
        <v>15</v>
      </c>
      <c r="F2283" t="s">
        <v>16</v>
      </c>
      <c r="G2283" t="s">
        <v>17</v>
      </c>
      <c r="H2283" t="s">
        <v>22</v>
      </c>
      <c r="I2283">
        <v>131.43</v>
      </c>
      <c r="J2283">
        <v>24.3</v>
      </c>
      <c r="K2283" t="s">
        <v>25</v>
      </c>
      <c r="L2283" t="s">
        <v>15</v>
      </c>
    </row>
    <row r="2284" spans="1:12" x14ac:dyDescent="0.3">
      <c r="A2284">
        <v>55566</v>
      </c>
      <c r="B2284" t="s">
        <v>13</v>
      </c>
      <c r="C2284">
        <v>34</v>
      </c>
      <c r="D2284" t="s">
        <v>15</v>
      </c>
      <c r="E2284" t="s">
        <v>15</v>
      </c>
      <c r="F2284" t="s">
        <v>16</v>
      </c>
      <c r="G2284" t="s">
        <v>17</v>
      </c>
      <c r="H2284" t="s">
        <v>23</v>
      </c>
      <c r="I2284">
        <v>231.5</v>
      </c>
      <c r="J2284">
        <v>45.4</v>
      </c>
      <c r="K2284" t="s">
        <v>25</v>
      </c>
      <c r="L2284" t="s">
        <v>15</v>
      </c>
    </row>
    <row r="2285" spans="1:12" x14ac:dyDescent="0.3">
      <c r="A2285">
        <v>46923</v>
      </c>
      <c r="B2285" t="s">
        <v>12</v>
      </c>
      <c r="C2285">
        <v>64</v>
      </c>
      <c r="D2285" t="s">
        <v>15</v>
      </c>
      <c r="E2285" t="s">
        <v>16</v>
      </c>
      <c r="F2285" t="s">
        <v>16</v>
      </c>
      <c r="G2285" t="s">
        <v>17</v>
      </c>
      <c r="H2285" t="s">
        <v>23</v>
      </c>
      <c r="I2285">
        <v>82.89</v>
      </c>
      <c r="J2285">
        <v>29.5</v>
      </c>
      <c r="K2285" t="s">
        <v>25</v>
      </c>
      <c r="L2285" t="s">
        <v>15</v>
      </c>
    </row>
    <row r="2286" spans="1:12" x14ac:dyDescent="0.3">
      <c r="A2286">
        <v>63990</v>
      </c>
      <c r="B2286" t="s">
        <v>12</v>
      </c>
      <c r="C2286">
        <v>52</v>
      </c>
      <c r="D2286" t="s">
        <v>16</v>
      </c>
      <c r="E2286" t="s">
        <v>15</v>
      </c>
      <c r="F2286" t="s">
        <v>16</v>
      </c>
      <c r="G2286" t="s">
        <v>18</v>
      </c>
      <c r="H2286" t="s">
        <v>23</v>
      </c>
      <c r="I2286">
        <v>192.37</v>
      </c>
      <c r="J2286">
        <v>49.2</v>
      </c>
      <c r="K2286" t="s">
        <v>25</v>
      </c>
      <c r="L2286" t="s">
        <v>15</v>
      </c>
    </row>
    <row r="2287" spans="1:12" x14ac:dyDescent="0.3">
      <c r="A2287">
        <v>2265</v>
      </c>
      <c r="B2287" t="s">
        <v>12</v>
      </c>
      <c r="C2287">
        <v>49</v>
      </c>
      <c r="D2287" t="s">
        <v>15</v>
      </c>
      <c r="E2287" t="s">
        <v>15</v>
      </c>
      <c r="F2287" t="s">
        <v>16</v>
      </c>
      <c r="G2287" t="s">
        <v>17</v>
      </c>
      <c r="H2287" t="s">
        <v>23</v>
      </c>
      <c r="I2287">
        <v>79.64</v>
      </c>
      <c r="K2287" t="s">
        <v>26</v>
      </c>
      <c r="L2287" t="s">
        <v>15</v>
      </c>
    </row>
    <row r="2288" spans="1:12" x14ac:dyDescent="0.3">
      <c r="A2288">
        <v>2860</v>
      </c>
      <c r="B2288" t="s">
        <v>12</v>
      </c>
      <c r="C2288">
        <v>55</v>
      </c>
      <c r="D2288" t="s">
        <v>15</v>
      </c>
      <c r="E2288" t="s">
        <v>15</v>
      </c>
      <c r="F2288" t="s">
        <v>16</v>
      </c>
      <c r="G2288" t="s">
        <v>17</v>
      </c>
      <c r="H2288" t="s">
        <v>23</v>
      </c>
      <c r="I2288">
        <v>82.88</v>
      </c>
      <c r="J2288">
        <v>29.4</v>
      </c>
      <c r="K2288" t="s">
        <v>27</v>
      </c>
      <c r="L2288" t="s">
        <v>15</v>
      </c>
    </row>
    <row r="2289" spans="1:12" x14ac:dyDescent="0.3">
      <c r="A2289">
        <v>15964</v>
      </c>
      <c r="B2289" t="s">
        <v>13</v>
      </c>
      <c r="C2289">
        <v>64</v>
      </c>
      <c r="D2289" t="s">
        <v>16</v>
      </c>
      <c r="E2289" t="s">
        <v>15</v>
      </c>
      <c r="F2289" t="s">
        <v>16</v>
      </c>
      <c r="G2289" t="s">
        <v>17</v>
      </c>
      <c r="H2289" t="s">
        <v>23</v>
      </c>
      <c r="I2289">
        <v>99.4</v>
      </c>
      <c r="J2289">
        <v>29.1</v>
      </c>
      <c r="K2289" t="s">
        <v>25</v>
      </c>
      <c r="L2289" t="s">
        <v>15</v>
      </c>
    </row>
    <row r="2290" spans="1:12" x14ac:dyDescent="0.3">
      <c r="A2290">
        <v>46483</v>
      </c>
      <c r="B2290" t="s">
        <v>12</v>
      </c>
      <c r="C2290">
        <v>23</v>
      </c>
      <c r="D2290" t="s">
        <v>15</v>
      </c>
      <c r="E2290" t="s">
        <v>15</v>
      </c>
      <c r="F2290" t="s">
        <v>15</v>
      </c>
      <c r="G2290" t="s">
        <v>17</v>
      </c>
      <c r="H2290" t="s">
        <v>22</v>
      </c>
      <c r="I2290">
        <v>77.75</v>
      </c>
      <c r="J2290">
        <v>38.799999999999997</v>
      </c>
      <c r="K2290" t="s">
        <v>26</v>
      </c>
      <c r="L2290" t="s">
        <v>15</v>
      </c>
    </row>
    <row r="2291" spans="1:12" x14ac:dyDescent="0.3">
      <c r="A2291">
        <v>33284</v>
      </c>
      <c r="B2291" t="s">
        <v>12</v>
      </c>
      <c r="C2291">
        <v>18</v>
      </c>
      <c r="D2291" t="s">
        <v>15</v>
      </c>
      <c r="E2291" t="s">
        <v>15</v>
      </c>
      <c r="F2291" t="s">
        <v>15</v>
      </c>
      <c r="G2291" t="s">
        <v>17</v>
      </c>
      <c r="H2291" t="s">
        <v>23</v>
      </c>
      <c r="I2291">
        <v>75.03</v>
      </c>
      <c r="J2291">
        <v>23.4</v>
      </c>
      <c r="K2291" t="s">
        <v>25</v>
      </c>
      <c r="L2291" t="s">
        <v>15</v>
      </c>
    </row>
    <row r="2292" spans="1:12" x14ac:dyDescent="0.3">
      <c r="A2292">
        <v>61895</v>
      </c>
      <c r="B2292" t="s">
        <v>13</v>
      </c>
      <c r="C2292">
        <v>65</v>
      </c>
      <c r="D2292" t="s">
        <v>15</v>
      </c>
      <c r="E2292" t="s">
        <v>15</v>
      </c>
      <c r="F2292" t="s">
        <v>16</v>
      </c>
      <c r="G2292" t="s">
        <v>17</v>
      </c>
      <c r="H2292" t="s">
        <v>23</v>
      </c>
      <c r="I2292">
        <v>220.47</v>
      </c>
      <c r="J2292">
        <v>48.7</v>
      </c>
      <c r="K2292" t="s">
        <v>25</v>
      </c>
      <c r="L2292" t="s">
        <v>15</v>
      </c>
    </row>
    <row r="2293" spans="1:12" x14ac:dyDescent="0.3">
      <c r="A2293">
        <v>48875</v>
      </c>
      <c r="B2293" t="s">
        <v>12</v>
      </c>
      <c r="C2293">
        <v>12</v>
      </c>
      <c r="D2293" t="s">
        <v>15</v>
      </c>
      <c r="E2293" t="s">
        <v>15</v>
      </c>
      <c r="F2293" t="s">
        <v>15</v>
      </c>
      <c r="G2293" t="s">
        <v>20</v>
      </c>
      <c r="H2293" t="s">
        <v>23</v>
      </c>
      <c r="I2293">
        <v>196.91</v>
      </c>
      <c r="J2293">
        <v>19.7</v>
      </c>
      <c r="K2293" t="s">
        <v>27</v>
      </c>
      <c r="L2293" t="s">
        <v>15</v>
      </c>
    </row>
    <row r="2294" spans="1:12" x14ac:dyDescent="0.3">
      <c r="A2294">
        <v>36589</v>
      </c>
      <c r="B2294" t="s">
        <v>13</v>
      </c>
      <c r="C2294">
        <v>61</v>
      </c>
      <c r="D2294" t="s">
        <v>15</v>
      </c>
      <c r="E2294" t="s">
        <v>15</v>
      </c>
      <c r="F2294" t="s">
        <v>16</v>
      </c>
      <c r="G2294" t="s">
        <v>18</v>
      </c>
      <c r="H2294" t="s">
        <v>22</v>
      </c>
      <c r="I2294">
        <v>180.8</v>
      </c>
      <c r="J2294">
        <v>20.3</v>
      </c>
      <c r="K2294" t="s">
        <v>25</v>
      </c>
      <c r="L2294" t="s">
        <v>15</v>
      </c>
    </row>
    <row r="2295" spans="1:12" x14ac:dyDescent="0.3">
      <c r="A2295">
        <v>28651</v>
      </c>
      <c r="B2295" t="s">
        <v>12</v>
      </c>
      <c r="C2295">
        <v>66</v>
      </c>
      <c r="D2295" t="s">
        <v>15</v>
      </c>
      <c r="E2295" t="s">
        <v>15</v>
      </c>
      <c r="F2295" t="s">
        <v>16</v>
      </c>
      <c r="G2295" t="s">
        <v>17</v>
      </c>
      <c r="H2295" t="s">
        <v>22</v>
      </c>
      <c r="I2295">
        <v>247.48</v>
      </c>
      <c r="J2295">
        <v>33.5</v>
      </c>
      <c r="K2295" t="s">
        <v>26</v>
      </c>
      <c r="L2295" t="s">
        <v>15</v>
      </c>
    </row>
    <row r="2296" spans="1:12" x14ac:dyDescent="0.3">
      <c r="A2296">
        <v>45033</v>
      </c>
      <c r="B2296" t="s">
        <v>12</v>
      </c>
      <c r="C2296">
        <v>59</v>
      </c>
      <c r="D2296" t="s">
        <v>15</v>
      </c>
      <c r="E2296" t="s">
        <v>15</v>
      </c>
      <c r="F2296" t="s">
        <v>16</v>
      </c>
      <c r="G2296" t="s">
        <v>19</v>
      </c>
      <c r="H2296" t="s">
        <v>22</v>
      </c>
      <c r="I2296">
        <v>216</v>
      </c>
      <c r="J2296">
        <v>36.700000000000003</v>
      </c>
      <c r="K2296" t="s">
        <v>26</v>
      </c>
      <c r="L2296" t="s">
        <v>15</v>
      </c>
    </row>
    <row r="2297" spans="1:12" x14ac:dyDescent="0.3">
      <c r="A2297">
        <v>32166</v>
      </c>
      <c r="B2297" t="s">
        <v>12</v>
      </c>
      <c r="C2297">
        <v>47</v>
      </c>
      <c r="D2297" t="s">
        <v>16</v>
      </c>
      <c r="E2297" t="s">
        <v>15</v>
      </c>
      <c r="F2297" t="s">
        <v>16</v>
      </c>
      <c r="G2297" t="s">
        <v>17</v>
      </c>
      <c r="H2297" t="s">
        <v>22</v>
      </c>
      <c r="I2297">
        <v>75.64</v>
      </c>
      <c r="J2297">
        <v>24.4</v>
      </c>
      <c r="K2297" t="s">
        <v>25</v>
      </c>
      <c r="L2297" t="s">
        <v>15</v>
      </c>
    </row>
    <row r="2298" spans="1:12" x14ac:dyDescent="0.3">
      <c r="A2298">
        <v>34188</v>
      </c>
      <c r="B2298" t="s">
        <v>13</v>
      </c>
      <c r="C2298">
        <v>47</v>
      </c>
      <c r="D2298" t="s">
        <v>15</v>
      </c>
      <c r="E2298" t="s">
        <v>15</v>
      </c>
      <c r="F2298" t="s">
        <v>16</v>
      </c>
      <c r="G2298" t="s">
        <v>19</v>
      </c>
      <c r="H2298" t="s">
        <v>22</v>
      </c>
      <c r="I2298">
        <v>95.07</v>
      </c>
      <c r="J2298">
        <v>38.799999999999997</v>
      </c>
      <c r="K2298" t="s">
        <v>24</v>
      </c>
      <c r="L2298" t="s">
        <v>15</v>
      </c>
    </row>
    <row r="2299" spans="1:12" x14ac:dyDescent="0.3">
      <c r="A2299">
        <v>58359</v>
      </c>
      <c r="B2299" t="s">
        <v>13</v>
      </c>
      <c r="C2299">
        <v>71</v>
      </c>
      <c r="D2299" t="s">
        <v>16</v>
      </c>
      <c r="E2299" t="s">
        <v>15</v>
      </c>
      <c r="F2299" t="s">
        <v>16</v>
      </c>
      <c r="G2299" t="s">
        <v>17</v>
      </c>
      <c r="H2299" t="s">
        <v>22</v>
      </c>
      <c r="I2299">
        <v>129.97</v>
      </c>
      <c r="J2299">
        <v>44.2</v>
      </c>
      <c r="K2299" t="s">
        <v>26</v>
      </c>
      <c r="L2299" t="s">
        <v>15</v>
      </c>
    </row>
    <row r="2300" spans="1:12" x14ac:dyDescent="0.3">
      <c r="A2300">
        <v>59347</v>
      </c>
      <c r="B2300" t="s">
        <v>12</v>
      </c>
      <c r="C2300">
        <v>62</v>
      </c>
      <c r="D2300" t="s">
        <v>15</v>
      </c>
      <c r="E2300" t="s">
        <v>15</v>
      </c>
      <c r="F2300" t="s">
        <v>16</v>
      </c>
      <c r="G2300" t="s">
        <v>17</v>
      </c>
      <c r="H2300" t="s">
        <v>22</v>
      </c>
      <c r="I2300">
        <v>124.26</v>
      </c>
      <c r="J2300">
        <v>33.4</v>
      </c>
      <c r="K2300" t="s">
        <v>25</v>
      </c>
      <c r="L2300" t="s">
        <v>15</v>
      </c>
    </row>
    <row r="2301" spans="1:12" x14ac:dyDescent="0.3">
      <c r="A2301">
        <v>12849</v>
      </c>
      <c r="B2301" t="s">
        <v>13</v>
      </c>
      <c r="C2301">
        <v>28</v>
      </c>
      <c r="D2301" t="s">
        <v>15</v>
      </c>
      <c r="E2301" t="s">
        <v>15</v>
      </c>
      <c r="F2301" t="s">
        <v>16</v>
      </c>
      <c r="G2301" t="s">
        <v>17</v>
      </c>
      <c r="H2301" t="s">
        <v>22</v>
      </c>
      <c r="I2301">
        <v>87.92</v>
      </c>
      <c r="J2301">
        <v>32.5</v>
      </c>
      <c r="K2301" t="s">
        <v>27</v>
      </c>
      <c r="L2301" t="s">
        <v>15</v>
      </c>
    </row>
    <row r="2302" spans="1:12" x14ac:dyDescent="0.3">
      <c r="A2302">
        <v>6104</v>
      </c>
      <c r="B2302" t="s">
        <v>13</v>
      </c>
      <c r="C2302">
        <v>7</v>
      </c>
      <c r="D2302" t="s">
        <v>15</v>
      </c>
      <c r="E2302" t="s">
        <v>15</v>
      </c>
      <c r="F2302" t="s">
        <v>15</v>
      </c>
      <c r="G2302" t="s">
        <v>20</v>
      </c>
      <c r="H2302" t="s">
        <v>23</v>
      </c>
      <c r="I2302">
        <v>85.15</v>
      </c>
      <c r="J2302">
        <v>15.1</v>
      </c>
      <c r="K2302" t="s">
        <v>27</v>
      </c>
      <c r="L2302" t="s">
        <v>15</v>
      </c>
    </row>
    <row r="2303" spans="1:12" x14ac:dyDescent="0.3">
      <c r="A2303">
        <v>29694</v>
      </c>
      <c r="B2303" t="s">
        <v>13</v>
      </c>
      <c r="C2303">
        <v>68</v>
      </c>
      <c r="D2303" t="s">
        <v>15</v>
      </c>
      <c r="E2303" t="s">
        <v>15</v>
      </c>
      <c r="F2303" t="s">
        <v>16</v>
      </c>
      <c r="G2303" t="s">
        <v>17</v>
      </c>
      <c r="H2303" t="s">
        <v>23</v>
      </c>
      <c r="I2303">
        <v>95.36</v>
      </c>
      <c r="J2303">
        <v>21.5</v>
      </c>
      <c r="K2303" t="s">
        <v>26</v>
      </c>
      <c r="L2303" t="s">
        <v>15</v>
      </c>
    </row>
    <row r="2304" spans="1:12" x14ac:dyDescent="0.3">
      <c r="A2304">
        <v>30806</v>
      </c>
      <c r="B2304" t="s">
        <v>12</v>
      </c>
      <c r="C2304">
        <v>37</v>
      </c>
      <c r="D2304" t="s">
        <v>15</v>
      </c>
      <c r="E2304" t="s">
        <v>15</v>
      </c>
      <c r="F2304" t="s">
        <v>16</v>
      </c>
      <c r="G2304" t="s">
        <v>18</v>
      </c>
      <c r="H2304" t="s">
        <v>22</v>
      </c>
      <c r="I2304">
        <v>87.16</v>
      </c>
      <c r="J2304">
        <v>30.4</v>
      </c>
      <c r="K2304" t="s">
        <v>24</v>
      </c>
      <c r="L2304" t="s">
        <v>15</v>
      </c>
    </row>
    <row r="2305" spans="1:12" x14ac:dyDescent="0.3">
      <c r="A2305">
        <v>20316</v>
      </c>
      <c r="B2305" t="s">
        <v>13</v>
      </c>
      <c r="C2305">
        <v>75</v>
      </c>
      <c r="D2305" t="s">
        <v>15</v>
      </c>
      <c r="E2305" t="s">
        <v>15</v>
      </c>
      <c r="F2305" t="s">
        <v>16</v>
      </c>
      <c r="G2305" t="s">
        <v>19</v>
      </c>
      <c r="H2305" t="s">
        <v>23</v>
      </c>
      <c r="I2305">
        <v>219.39</v>
      </c>
      <c r="J2305">
        <v>33.4</v>
      </c>
      <c r="K2305" t="s">
        <v>26</v>
      </c>
      <c r="L2305" t="s">
        <v>15</v>
      </c>
    </row>
    <row r="2306" spans="1:12" x14ac:dyDescent="0.3">
      <c r="A2306">
        <v>58253</v>
      </c>
      <c r="B2306" t="s">
        <v>12</v>
      </c>
      <c r="C2306">
        <v>5</v>
      </c>
      <c r="D2306" t="s">
        <v>15</v>
      </c>
      <c r="E2306" t="s">
        <v>15</v>
      </c>
      <c r="F2306" t="s">
        <v>15</v>
      </c>
      <c r="G2306" t="s">
        <v>20</v>
      </c>
      <c r="H2306" t="s">
        <v>22</v>
      </c>
      <c r="I2306">
        <v>71.92</v>
      </c>
      <c r="J2306">
        <v>18.2</v>
      </c>
      <c r="K2306" t="s">
        <v>27</v>
      </c>
      <c r="L2306" t="s">
        <v>15</v>
      </c>
    </row>
    <row r="2307" spans="1:12" x14ac:dyDescent="0.3">
      <c r="A2307">
        <v>57679</v>
      </c>
      <c r="B2307" t="s">
        <v>12</v>
      </c>
      <c r="C2307">
        <v>1.08</v>
      </c>
      <c r="D2307" t="s">
        <v>15</v>
      </c>
      <c r="E2307" t="s">
        <v>15</v>
      </c>
      <c r="F2307" t="s">
        <v>15</v>
      </c>
      <c r="G2307" t="s">
        <v>20</v>
      </c>
      <c r="H2307" t="s">
        <v>22</v>
      </c>
      <c r="I2307">
        <v>167.66</v>
      </c>
      <c r="J2307">
        <v>18.7</v>
      </c>
      <c r="K2307" t="s">
        <v>27</v>
      </c>
      <c r="L2307" t="s">
        <v>15</v>
      </c>
    </row>
    <row r="2308" spans="1:12" x14ac:dyDescent="0.3">
      <c r="A2308">
        <v>39956</v>
      </c>
      <c r="B2308" t="s">
        <v>13</v>
      </c>
      <c r="C2308">
        <v>34</v>
      </c>
      <c r="D2308" t="s">
        <v>15</v>
      </c>
      <c r="E2308" t="s">
        <v>15</v>
      </c>
      <c r="F2308" t="s">
        <v>15</v>
      </c>
      <c r="G2308" t="s">
        <v>17</v>
      </c>
      <c r="H2308" t="s">
        <v>23</v>
      </c>
      <c r="I2308">
        <v>87.21</v>
      </c>
      <c r="J2308">
        <v>38.4</v>
      </c>
      <c r="K2308" t="s">
        <v>27</v>
      </c>
      <c r="L2308" t="s">
        <v>15</v>
      </c>
    </row>
    <row r="2309" spans="1:12" x14ac:dyDescent="0.3">
      <c r="A2309">
        <v>7683</v>
      </c>
      <c r="B2309" t="s">
        <v>12</v>
      </c>
      <c r="C2309">
        <v>49</v>
      </c>
      <c r="D2309" t="s">
        <v>15</v>
      </c>
      <c r="E2309" t="s">
        <v>15</v>
      </c>
      <c r="F2309" t="s">
        <v>16</v>
      </c>
      <c r="G2309" t="s">
        <v>18</v>
      </c>
      <c r="H2309" t="s">
        <v>23</v>
      </c>
      <c r="I2309">
        <v>220.47</v>
      </c>
      <c r="J2309">
        <v>36.4</v>
      </c>
      <c r="K2309" t="s">
        <v>26</v>
      </c>
      <c r="L2309" t="s">
        <v>15</v>
      </c>
    </row>
    <row r="2310" spans="1:12" x14ac:dyDescent="0.3">
      <c r="A2310">
        <v>9197</v>
      </c>
      <c r="B2310" t="s">
        <v>13</v>
      </c>
      <c r="C2310">
        <v>8</v>
      </c>
      <c r="D2310" t="s">
        <v>15</v>
      </c>
      <c r="E2310" t="s">
        <v>15</v>
      </c>
      <c r="F2310" t="s">
        <v>15</v>
      </c>
      <c r="G2310" t="s">
        <v>20</v>
      </c>
      <c r="H2310" t="s">
        <v>22</v>
      </c>
      <c r="I2310">
        <v>80.47</v>
      </c>
      <c r="J2310">
        <v>20.6</v>
      </c>
      <c r="K2310" t="s">
        <v>27</v>
      </c>
      <c r="L2310" t="s">
        <v>15</v>
      </c>
    </row>
    <row r="2311" spans="1:12" x14ac:dyDescent="0.3">
      <c r="A2311">
        <v>58543</v>
      </c>
      <c r="B2311" t="s">
        <v>13</v>
      </c>
      <c r="C2311">
        <v>50</v>
      </c>
      <c r="D2311" t="s">
        <v>15</v>
      </c>
      <c r="E2311" t="s">
        <v>15</v>
      </c>
      <c r="F2311" t="s">
        <v>16</v>
      </c>
      <c r="G2311" t="s">
        <v>19</v>
      </c>
      <c r="H2311" t="s">
        <v>22</v>
      </c>
      <c r="I2311">
        <v>89.95</v>
      </c>
      <c r="J2311">
        <v>48.9</v>
      </c>
      <c r="K2311" t="s">
        <v>24</v>
      </c>
      <c r="L2311" t="s">
        <v>15</v>
      </c>
    </row>
    <row r="2312" spans="1:12" x14ac:dyDescent="0.3">
      <c r="A2312">
        <v>6968</v>
      </c>
      <c r="B2312" t="s">
        <v>12</v>
      </c>
      <c r="C2312">
        <v>2</v>
      </c>
      <c r="D2312" t="s">
        <v>15</v>
      </c>
      <c r="E2312" t="s">
        <v>15</v>
      </c>
      <c r="F2312" t="s">
        <v>15</v>
      </c>
      <c r="G2312" t="s">
        <v>20</v>
      </c>
      <c r="H2312" t="s">
        <v>23</v>
      </c>
      <c r="I2312">
        <v>111.32</v>
      </c>
      <c r="J2312">
        <v>18.2</v>
      </c>
      <c r="K2312" t="s">
        <v>27</v>
      </c>
      <c r="L2312" t="s">
        <v>15</v>
      </c>
    </row>
    <row r="2313" spans="1:12" x14ac:dyDescent="0.3">
      <c r="A2313">
        <v>35838</v>
      </c>
      <c r="B2313" t="s">
        <v>13</v>
      </c>
      <c r="C2313">
        <v>1.1599999999999999</v>
      </c>
      <c r="D2313" t="s">
        <v>15</v>
      </c>
      <c r="E2313" t="s">
        <v>15</v>
      </c>
      <c r="F2313" t="s">
        <v>15</v>
      </c>
      <c r="G2313" t="s">
        <v>20</v>
      </c>
      <c r="H2313" t="s">
        <v>22</v>
      </c>
      <c r="I2313">
        <v>65.010000000000005</v>
      </c>
      <c r="J2313">
        <v>17</v>
      </c>
      <c r="K2313" t="s">
        <v>27</v>
      </c>
      <c r="L2313" t="s">
        <v>15</v>
      </c>
    </row>
    <row r="2314" spans="1:12" x14ac:dyDescent="0.3">
      <c r="A2314">
        <v>57549</v>
      </c>
      <c r="B2314" t="s">
        <v>13</v>
      </c>
      <c r="C2314">
        <v>76</v>
      </c>
      <c r="D2314" t="s">
        <v>15</v>
      </c>
      <c r="E2314" t="s">
        <v>15</v>
      </c>
      <c r="F2314" t="s">
        <v>16</v>
      </c>
      <c r="G2314" t="s">
        <v>18</v>
      </c>
      <c r="H2314" t="s">
        <v>22</v>
      </c>
      <c r="I2314">
        <v>110.07</v>
      </c>
      <c r="J2314">
        <v>31.8</v>
      </c>
      <c r="K2314" t="s">
        <v>25</v>
      </c>
      <c r="L2314" t="s">
        <v>15</v>
      </c>
    </row>
    <row r="2315" spans="1:12" x14ac:dyDescent="0.3">
      <c r="A2315">
        <v>59200</v>
      </c>
      <c r="B2315" t="s">
        <v>12</v>
      </c>
      <c r="C2315">
        <v>18</v>
      </c>
      <c r="D2315" t="s">
        <v>15</v>
      </c>
      <c r="E2315" t="s">
        <v>15</v>
      </c>
      <c r="F2315" t="s">
        <v>15</v>
      </c>
      <c r="G2315" t="s">
        <v>17</v>
      </c>
      <c r="H2315" t="s">
        <v>22</v>
      </c>
      <c r="I2315">
        <v>60.56</v>
      </c>
      <c r="J2315">
        <v>33</v>
      </c>
      <c r="K2315" t="s">
        <v>25</v>
      </c>
      <c r="L2315" t="s">
        <v>15</v>
      </c>
    </row>
    <row r="2316" spans="1:12" x14ac:dyDescent="0.3">
      <c r="A2316">
        <v>24289</v>
      </c>
      <c r="B2316" t="s">
        <v>12</v>
      </c>
      <c r="C2316">
        <v>82</v>
      </c>
      <c r="D2316" t="s">
        <v>15</v>
      </c>
      <c r="E2316" t="s">
        <v>15</v>
      </c>
      <c r="F2316" t="s">
        <v>16</v>
      </c>
      <c r="G2316" t="s">
        <v>17</v>
      </c>
      <c r="H2316" t="s">
        <v>22</v>
      </c>
      <c r="I2316">
        <v>89.83</v>
      </c>
      <c r="J2316">
        <v>24.7</v>
      </c>
      <c r="K2316" t="s">
        <v>26</v>
      </c>
      <c r="L2316" t="s">
        <v>15</v>
      </c>
    </row>
    <row r="2317" spans="1:12" x14ac:dyDescent="0.3">
      <c r="A2317">
        <v>6206</v>
      </c>
      <c r="B2317" t="s">
        <v>13</v>
      </c>
      <c r="C2317">
        <v>67</v>
      </c>
      <c r="D2317" t="s">
        <v>15</v>
      </c>
      <c r="E2317" t="s">
        <v>15</v>
      </c>
      <c r="F2317" t="s">
        <v>16</v>
      </c>
      <c r="G2317" t="s">
        <v>18</v>
      </c>
      <c r="H2317" t="s">
        <v>23</v>
      </c>
      <c r="I2317">
        <v>90.35</v>
      </c>
      <c r="J2317">
        <v>28.1</v>
      </c>
      <c r="K2317" t="s">
        <v>27</v>
      </c>
      <c r="L2317" t="s">
        <v>15</v>
      </c>
    </row>
    <row r="2318" spans="1:12" x14ac:dyDescent="0.3">
      <c r="A2318">
        <v>28227</v>
      </c>
      <c r="B2318" t="s">
        <v>13</v>
      </c>
      <c r="C2318">
        <v>27</v>
      </c>
      <c r="D2318" t="s">
        <v>15</v>
      </c>
      <c r="E2318" t="s">
        <v>15</v>
      </c>
      <c r="F2318" t="s">
        <v>16</v>
      </c>
      <c r="G2318" t="s">
        <v>17</v>
      </c>
      <c r="H2318" t="s">
        <v>22</v>
      </c>
      <c r="I2318">
        <v>71.5</v>
      </c>
      <c r="J2318">
        <v>40.299999999999997</v>
      </c>
      <c r="K2318" t="s">
        <v>26</v>
      </c>
      <c r="L2318" t="s">
        <v>15</v>
      </c>
    </row>
    <row r="2319" spans="1:12" x14ac:dyDescent="0.3">
      <c r="A2319">
        <v>35229</v>
      </c>
      <c r="B2319" t="s">
        <v>12</v>
      </c>
      <c r="C2319">
        <v>57</v>
      </c>
      <c r="D2319" t="s">
        <v>15</v>
      </c>
      <c r="E2319" t="s">
        <v>15</v>
      </c>
      <c r="F2319" t="s">
        <v>16</v>
      </c>
      <c r="G2319" t="s">
        <v>19</v>
      </c>
      <c r="H2319" t="s">
        <v>22</v>
      </c>
      <c r="I2319">
        <v>71.709999999999994</v>
      </c>
      <c r="J2319">
        <v>35.200000000000003</v>
      </c>
      <c r="K2319" t="s">
        <v>26</v>
      </c>
      <c r="L2319" t="s">
        <v>15</v>
      </c>
    </row>
    <row r="2320" spans="1:12" x14ac:dyDescent="0.3">
      <c r="A2320">
        <v>23176</v>
      </c>
      <c r="B2320" t="s">
        <v>13</v>
      </c>
      <c r="C2320">
        <v>51</v>
      </c>
      <c r="D2320" t="s">
        <v>16</v>
      </c>
      <c r="E2320" t="s">
        <v>15</v>
      </c>
      <c r="F2320" t="s">
        <v>16</v>
      </c>
      <c r="G2320" t="s">
        <v>17</v>
      </c>
      <c r="H2320" t="s">
        <v>22</v>
      </c>
      <c r="I2320">
        <v>173.96</v>
      </c>
      <c r="J2320">
        <v>31.2</v>
      </c>
      <c r="K2320" t="s">
        <v>24</v>
      </c>
      <c r="L2320" t="s">
        <v>15</v>
      </c>
    </row>
    <row r="2321" spans="1:12" x14ac:dyDescent="0.3">
      <c r="A2321">
        <v>3045</v>
      </c>
      <c r="B2321" t="s">
        <v>12</v>
      </c>
      <c r="C2321">
        <v>68</v>
      </c>
      <c r="D2321" t="s">
        <v>16</v>
      </c>
      <c r="E2321" t="s">
        <v>15</v>
      </c>
      <c r="F2321" t="s">
        <v>16</v>
      </c>
      <c r="G2321" t="s">
        <v>17</v>
      </c>
      <c r="H2321" t="s">
        <v>22</v>
      </c>
      <c r="I2321">
        <v>96.06</v>
      </c>
      <c r="J2321">
        <v>37.6</v>
      </c>
      <c r="K2321" t="s">
        <v>25</v>
      </c>
      <c r="L2321" t="s">
        <v>15</v>
      </c>
    </row>
    <row r="2322" spans="1:12" x14ac:dyDescent="0.3">
      <c r="A2322">
        <v>22386</v>
      </c>
      <c r="B2322" t="s">
        <v>13</v>
      </c>
      <c r="C2322">
        <v>56</v>
      </c>
      <c r="D2322" t="s">
        <v>15</v>
      </c>
      <c r="E2322" t="s">
        <v>15</v>
      </c>
      <c r="F2322" t="s">
        <v>16</v>
      </c>
      <c r="G2322" t="s">
        <v>17</v>
      </c>
      <c r="H2322" t="s">
        <v>22</v>
      </c>
      <c r="I2322">
        <v>113.2</v>
      </c>
      <c r="J2322">
        <v>38.700000000000003</v>
      </c>
      <c r="K2322" t="s">
        <v>26</v>
      </c>
      <c r="L2322" t="s">
        <v>15</v>
      </c>
    </row>
    <row r="2323" spans="1:12" x14ac:dyDescent="0.3">
      <c r="A2323">
        <v>1077</v>
      </c>
      <c r="B2323" t="s">
        <v>12</v>
      </c>
      <c r="C2323">
        <v>77</v>
      </c>
      <c r="D2323" t="s">
        <v>15</v>
      </c>
      <c r="E2323" t="s">
        <v>16</v>
      </c>
      <c r="F2323" t="s">
        <v>16</v>
      </c>
      <c r="G2323" t="s">
        <v>19</v>
      </c>
      <c r="H2323" t="s">
        <v>23</v>
      </c>
      <c r="I2323">
        <v>106.03</v>
      </c>
      <c r="K2323" t="s">
        <v>27</v>
      </c>
      <c r="L2323" t="s">
        <v>15</v>
      </c>
    </row>
    <row r="2324" spans="1:12" x14ac:dyDescent="0.3">
      <c r="A2324">
        <v>57903</v>
      </c>
      <c r="B2324" t="s">
        <v>13</v>
      </c>
      <c r="C2324">
        <v>52</v>
      </c>
      <c r="D2324" t="s">
        <v>16</v>
      </c>
      <c r="E2324" t="s">
        <v>15</v>
      </c>
      <c r="F2324" t="s">
        <v>16</v>
      </c>
      <c r="G2324" t="s">
        <v>18</v>
      </c>
      <c r="H2324" t="s">
        <v>23</v>
      </c>
      <c r="I2324">
        <v>111.38</v>
      </c>
      <c r="K2324" t="s">
        <v>26</v>
      </c>
      <c r="L2324" t="s">
        <v>15</v>
      </c>
    </row>
    <row r="2325" spans="1:12" x14ac:dyDescent="0.3">
      <c r="A2325">
        <v>22108</v>
      </c>
      <c r="B2325" t="s">
        <v>13</v>
      </c>
      <c r="C2325">
        <v>18</v>
      </c>
      <c r="D2325" t="s">
        <v>15</v>
      </c>
      <c r="E2325" t="s">
        <v>15</v>
      </c>
      <c r="F2325" t="s">
        <v>15</v>
      </c>
      <c r="G2325" t="s">
        <v>17</v>
      </c>
      <c r="H2325" t="s">
        <v>23</v>
      </c>
      <c r="I2325">
        <v>73.290000000000006</v>
      </c>
      <c r="J2325">
        <v>28.1</v>
      </c>
      <c r="K2325" t="s">
        <v>26</v>
      </c>
      <c r="L2325" t="s">
        <v>15</v>
      </c>
    </row>
    <row r="2326" spans="1:12" x14ac:dyDescent="0.3">
      <c r="A2326">
        <v>55982</v>
      </c>
      <c r="B2326" t="s">
        <v>13</v>
      </c>
      <c r="C2326">
        <v>63</v>
      </c>
      <c r="D2326" t="s">
        <v>15</v>
      </c>
      <c r="E2326" t="s">
        <v>15</v>
      </c>
      <c r="F2326" t="s">
        <v>16</v>
      </c>
      <c r="G2326" t="s">
        <v>18</v>
      </c>
      <c r="H2326" t="s">
        <v>22</v>
      </c>
      <c r="I2326">
        <v>65.709999999999994</v>
      </c>
      <c r="J2326">
        <v>29.2</v>
      </c>
      <c r="K2326" t="s">
        <v>26</v>
      </c>
      <c r="L2326" t="s">
        <v>15</v>
      </c>
    </row>
    <row r="2327" spans="1:12" x14ac:dyDescent="0.3">
      <c r="A2327">
        <v>55465</v>
      </c>
      <c r="B2327" t="s">
        <v>13</v>
      </c>
      <c r="C2327">
        <v>31</v>
      </c>
      <c r="D2327" t="s">
        <v>15</v>
      </c>
      <c r="E2327" t="s">
        <v>15</v>
      </c>
      <c r="F2327" t="s">
        <v>16</v>
      </c>
      <c r="G2327" t="s">
        <v>17</v>
      </c>
      <c r="H2327" t="s">
        <v>23</v>
      </c>
      <c r="I2327">
        <v>60.41</v>
      </c>
      <c r="J2327">
        <v>31.1</v>
      </c>
      <c r="K2327" t="s">
        <v>27</v>
      </c>
      <c r="L2327" t="s">
        <v>15</v>
      </c>
    </row>
    <row r="2328" spans="1:12" x14ac:dyDescent="0.3">
      <c r="A2328">
        <v>29258</v>
      </c>
      <c r="B2328" t="s">
        <v>13</v>
      </c>
      <c r="C2328">
        <v>37</v>
      </c>
      <c r="D2328" t="s">
        <v>15</v>
      </c>
      <c r="E2328" t="s">
        <v>15</v>
      </c>
      <c r="F2328" t="s">
        <v>15</v>
      </c>
      <c r="G2328" t="s">
        <v>17</v>
      </c>
      <c r="H2328" t="s">
        <v>22</v>
      </c>
      <c r="I2328">
        <v>89.11</v>
      </c>
      <c r="J2328">
        <v>24.1</v>
      </c>
      <c r="K2328" t="s">
        <v>25</v>
      </c>
      <c r="L2328" t="s">
        <v>15</v>
      </c>
    </row>
    <row r="2329" spans="1:12" x14ac:dyDescent="0.3">
      <c r="A2329">
        <v>38432</v>
      </c>
      <c r="B2329" t="s">
        <v>13</v>
      </c>
      <c r="C2329">
        <v>64</v>
      </c>
      <c r="D2329" t="s">
        <v>15</v>
      </c>
      <c r="E2329" t="s">
        <v>15</v>
      </c>
      <c r="F2329" t="s">
        <v>16</v>
      </c>
      <c r="G2329" t="s">
        <v>17</v>
      </c>
      <c r="H2329" t="s">
        <v>22</v>
      </c>
      <c r="I2329">
        <v>63.32</v>
      </c>
      <c r="J2329">
        <v>18.7</v>
      </c>
      <c r="K2329" t="s">
        <v>24</v>
      </c>
      <c r="L2329" t="s">
        <v>15</v>
      </c>
    </row>
    <row r="2330" spans="1:12" x14ac:dyDescent="0.3">
      <c r="A2330">
        <v>49666</v>
      </c>
      <c r="B2330" t="s">
        <v>12</v>
      </c>
      <c r="C2330">
        <v>47</v>
      </c>
      <c r="D2330" t="s">
        <v>15</v>
      </c>
      <c r="E2330" t="s">
        <v>15</v>
      </c>
      <c r="F2330" t="s">
        <v>16</v>
      </c>
      <c r="G2330" t="s">
        <v>18</v>
      </c>
      <c r="H2330" t="s">
        <v>22</v>
      </c>
      <c r="I2330">
        <v>85.68</v>
      </c>
      <c r="J2330">
        <v>39.6</v>
      </c>
      <c r="K2330" t="s">
        <v>25</v>
      </c>
      <c r="L2330" t="s">
        <v>15</v>
      </c>
    </row>
    <row r="2331" spans="1:12" x14ac:dyDescent="0.3">
      <c r="A2331">
        <v>59904</v>
      </c>
      <c r="B2331" t="s">
        <v>13</v>
      </c>
      <c r="C2331">
        <v>1.8</v>
      </c>
      <c r="D2331" t="s">
        <v>15</v>
      </c>
      <c r="E2331" t="s">
        <v>15</v>
      </c>
      <c r="F2331" t="s">
        <v>15</v>
      </c>
      <c r="G2331" t="s">
        <v>20</v>
      </c>
      <c r="H2331" t="s">
        <v>22</v>
      </c>
      <c r="I2331">
        <v>162.93</v>
      </c>
      <c r="J2331">
        <v>15.7</v>
      </c>
      <c r="K2331" t="s">
        <v>27</v>
      </c>
      <c r="L2331" t="s">
        <v>15</v>
      </c>
    </row>
    <row r="2332" spans="1:12" x14ac:dyDescent="0.3">
      <c r="A2332">
        <v>32365</v>
      </c>
      <c r="B2332" t="s">
        <v>12</v>
      </c>
      <c r="C2332">
        <v>42</v>
      </c>
      <c r="D2332" t="s">
        <v>15</v>
      </c>
      <c r="E2332" t="s">
        <v>15</v>
      </c>
      <c r="F2332" t="s">
        <v>16</v>
      </c>
      <c r="G2332" t="s">
        <v>17</v>
      </c>
      <c r="H2332" t="s">
        <v>23</v>
      </c>
      <c r="I2332">
        <v>89.22</v>
      </c>
      <c r="J2332">
        <v>53.8</v>
      </c>
      <c r="K2332" t="s">
        <v>27</v>
      </c>
      <c r="L2332" t="s">
        <v>15</v>
      </c>
    </row>
    <row r="2333" spans="1:12" x14ac:dyDescent="0.3">
      <c r="A2333">
        <v>15351</v>
      </c>
      <c r="B2333" t="s">
        <v>12</v>
      </c>
      <c r="C2333">
        <v>37</v>
      </c>
      <c r="D2333" t="s">
        <v>15</v>
      </c>
      <c r="E2333" t="s">
        <v>15</v>
      </c>
      <c r="F2333" t="s">
        <v>16</v>
      </c>
      <c r="G2333" t="s">
        <v>17</v>
      </c>
      <c r="H2333" t="s">
        <v>23</v>
      </c>
      <c r="I2333">
        <v>91.68</v>
      </c>
      <c r="J2333">
        <v>32.4</v>
      </c>
      <c r="K2333" t="s">
        <v>24</v>
      </c>
      <c r="L2333" t="s">
        <v>15</v>
      </c>
    </row>
    <row r="2334" spans="1:12" x14ac:dyDescent="0.3">
      <c r="A2334">
        <v>61000</v>
      </c>
      <c r="B2334" t="s">
        <v>13</v>
      </c>
      <c r="C2334">
        <v>69</v>
      </c>
      <c r="D2334" t="s">
        <v>15</v>
      </c>
      <c r="E2334" t="s">
        <v>16</v>
      </c>
      <c r="F2334" t="s">
        <v>15</v>
      </c>
      <c r="G2334" t="s">
        <v>17</v>
      </c>
      <c r="H2334" t="s">
        <v>22</v>
      </c>
      <c r="I2334">
        <v>198.33</v>
      </c>
      <c r="J2334">
        <v>42.7</v>
      </c>
      <c r="K2334" t="s">
        <v>26</v>
      </c>
      <c r="L2334" t="s">
        <v>15</v>
      </c>
    </row>
    <row r="2335" spans="1:12" x14ac:dyDescent="0.3">
      <c r="A2335">
        <v>77</v>
      </c>
      <c r="B2335" t="s">
        <v>13</v>
      </c>
      <c r="C2335">
        <v>13</v>
      </c>
      <c r="D2335" t="s">
        <v>15</v>
      </c>
      <c r="E2335" t="s">
        <v>15</v>
      </c>
      <c r="F2335" t="s">
        <v>15</v>
      </c>
      <c r="G2335" t="s">
        <v>20</v>
      </c>
      <c r="H2335" t="s">
        <v>23</v>
      </c>
      <c r="I2335">
        <v>85.81</v>
      </c>
      <c r="J2335">
        <v>18.600000000000001</v>
      </c>
      <c r="K2335" t="s">
        <v>27</v>
      </c>
      <c r="L2335" t="s">
        <v>15</v>
      </c>
    </row>
    <row r="2336" spans="1:12" x14ac:dyDescent="0.3">
      <c r="A2336">
        <v>17466</v>
      </c>
      <c r="B2336" t="s">
        <v>12</v>
      </c>
      <c r="C2336">
        <v>73</v>
      </c>
      <c r="D2336" t="s">
        <v>15</v>
      </c>
      <c r="E2336" t="s">
        <v>15</v>
      </c>
      <c r="F2336" t="s">
        <v>15</v>
      </c>
      <c r="G2336" t="s">
        <v>19</v>
      </c>
      <c r="H2336" t="s">
        <v>23</v>
      </c>
      <c r="I2336">
        <v>79.59</v>
      </c>
      <c r="J2336">
        <v>31.4</v>
      </c>
      <c r="K2336" t="s">
        <v>26</v>
      </c>
      <c r="L2336" t="s">
        <v>15</v>
      </c>
    </row>
    <row r="2337" spans="1:12" x14ac:dyDescent="0.3">
      <c r="A2337">
        <v>57569</v>
      </c>
      <c r="B2337" t="s">
        <v>12</v>
      </c>
      <c r="C2337">
        <v>48</v>
      </c>
      <c r="D2337" t="s">
        <v>15</v>
      </c>
      <c r="E2337" t="s">
        <v>15</v>
      </c>
      <c r="F2337" t="s">
        <v>16</v>
      </c>
      <c r="G2337" t="s">
        <v>17</v>
      </c>
      <c r="H2337" t="s">
        <v>23</v>
      </c>
      <c r="I2337">
        <v>106.74</v>
      </c>
      <c r="J2337">
        <v>33.700000000000003</v>
      </c>
      <c r="K2337" t="s">
        <v>24</v>
      </c>
      <c r="L2337" t="s">
        <v>15</v>
      </c>
    </row>
    <row r="2338" spans="1:12" x14ac:dyDescent="0.3">
      <c r="A2338">
        <v>9026</v>
      </c>
      <c r="B2338" t="s">
        <v>13</v>
      </c>
      <c r="C2338">
        <v>78</v>
      </c>
      <c r="D2338" t="s">
        <v>16</v>
      </c>
      <c r="E2338" t="s">
        <v>15</v>
      </c>
      <c r="F2338" t="s">
        <v>16</v>
      </c>
      <c r="G2338" t="s">
        <v>18</v>
      </c>
      <c r="H2338" t="s">
        <v>22</v>
      </c>
      <c r="I2338">
        <v>191.33</v>
      </c>
      <c r="J2338">
        <v>24.5</v>
      </c>
      <c r="K2338" t="s">
        <v>25</v>
      </c>
      <c r="L2338" t="s">
        <v>15</v>
      </c>
    </row>
    <row r="2339" spans="1:12" x14ac:dyDescent="0.3">
      <c r="A2339">
        <v>54590</v>
      </c>
      <c r="B2339" t="s">
        <v>13</v>
      </c>
      <c r="C2339">
        <v>21</v>
      </c>
      <c r="D2339" t="s">
        <v>15</v>
      </c>
      <c r="E2339" t="s">
        <v>15</v>
      </c>
      <c r="F2339" t="s">
        <v>15</v>
      </c>
      <c r="G2339" t="s">
        <v>17</v>
      </c>
      <c r="H2339" t="s">
        <v>23</v>
      </c>
      <c r="I2339">
        <v>59.52</v>
      </c>
      <c r="J2339">
        <v>33.700000000000003</v>
      </c>
      <c r="K2339" t="s">
        <v>25</v>
      </c>
      <c r="L2339" t="s">
        <v>15</v>
      </c>
    </row>
    <row r="2340" spans="1:12" x14ac:dyDescent="0.3">
      <c r="A2340">
        <v>54301</v>
      </c>
      <c r="B2340" t="s">
        <v>12</v>
      </c>
      <c r="C2340">
        <v>54</v>
      </c>
      <c r="D2340" t="s">
        <v>15</v>
      </c>
      <c r="E2340" t="s">
        <v>15</v>
      </c>
      <c r="F2340" t="s">
        <v>16</v>
      </c>
      <c r="G2340" t="s">
        <v>17</v>
      </c>
      <c r="H2340" t="s">
        <v>23</v>
      </c>
      <c r="I2340">
        <v>206.52</v>
      </c>
      <c r="J2340">
        <v>35.4</v>
      </c>
      <c r="K2340" t="s">
        <v>26</v>
      </c>
      <c r="L2340" t="s">
        <v>15</v>
      </c>
    </row>
    <row r="2341" spans="1:12" x14ac:dyDescent="0.3">
      <c r="A2341">
        <v>170</v>
      </c>
      <c r="B2341" t="s">
        <v>12</v>
      </c>
      <c r="C2341">
        <v>43</v>
      </c>
      <c r="D2341" t="s">
        <v>15</v>
      </c>
      <c r="E2341" t="s">
        <v>15</v>
      </c>
      <c r="F2341" t="s">
        <v>16</v>
      </c>
      <c r="G2341" t="s">
        <v>19</v>
      </c>
      <c r="H2341" t="s">
        <v>23</v>
      </c>
      <c r="I2341">
        <v>80.069999999999993</v>
      </c>
      <c r="K2341" t="s">
        <v>25</v>
      </c>
      <c r="L2341" t="s">
        <v>15</v>
      </c>
    </row>
    <row r="2342" spans="1:12" x14ac:dyDescent="0.3">
      <c r="A2342">
        <v>52554</v>
      </c>
      <c r="B2342" t="s">
        <v>12</v>
      </c>
      <c r="C2342">
        <v>19</v>
      </c>
      <c r="D2342" t="s">
        <v>15</v>
      </c>
      <c r="E2342" t="s">
        <v>15</v>
      </c>
      <c r="F2342" t="s">
        <v>15</v>
      </c>
      <c r="G2342" t="s">
        <v>17</v>
      </c>
      <c r="H2342" t="s">
        <v>23</v>
      </c>
      <c r="I2342">
        <v>64.92</v>
      </c>
      <c r="J2342">
        <v>22.5</v>
      </c>
      <c r="K2342" t="s">
        <v>27</v>
      </c>
      <c r="L2342" t="s">
        <v>15</v>
      </c>
    </row>
    <row r="2343" spans="1:12" x14ac:dyDescent="0.3">
      <c r="A2343">
        <v>10649</v>
      </c>
      <c r="B2343" t="s">
        <v>13</v>
      </c>
      <c r="C2343">
        <v>82</v>
      </c>
      <c r="D2343" t="s">
        <v>15</v>
      </c>
      <c r="E2343" t="s">
        <v>15</v>
      </c>
      <c r="F2343" t="s">
        <v>16</v>
      </c>
      <c r="G2343" t="s">
        <v>17</v>
      </c>
      <c r="H2343" t="s">
        <v>22</v>
      </c>
      <c r="I2343">
        <v>80</v>
      </c>
      <c r="J2343">
        <v>33.6</v>
      </c>
      <c r="K2343" t="s">
        <v>25</v>
      </c>
      <c r="L2343" t="s">
        <v>15</v>
      </c>
    </row>
    <row r="2344" spans="1:12" x14ac:dyDescent="0.3">
      <c r="A2344">
        <v>28258</v>
      </c>
      <c r="B2344" t="s">
        <v>13</v>
      </c>
      <c r="C2344">
        <v>80</v>
      </c>
      <c r="D2344" t="s">
        <v>15</v>
      </c>
      <c r="E2344" t="s">
        <v>15</v>
      </c>
      <c r="F2344" t="s">
        <v>16</v>
      </c>
      <c r="G2344" t="s">
        <v>18</v>
      </c>
      <c r="H2344" t="s">
        <v>22</v>
      </c>
      <c r="I2344">
        <v>75.06</v>
      </c>
      <c r="J2344">
        <v>29.7</v>
      </c>
      <c r="K2344" t="s">
        <v>27</v>
      </c>
      <c r="L2344" t="s">
        <v>15</v>
      </c>
    </row>
    <row r="2345" spans="1:12" x14ac:dyDescent="0.3">
      <c r="A2345">
        <v>22269</v>
      </c>
      <c r="B2345" t="s">
        <v>13</v>
      </c>
      <c r="C2345">
        <v>69</v>
      </c>
      <c r="D2345" t="s">
        <v>16</v>
      </c>
      <c r="E2345" t="s">
        <v>15</v>
      </c>
      <c r="F2345" t="s">
        <v>16</v>
      </c>
      <c r="G2345" t="s">
        <v>19</v>
      </c>
      <c r="H2345" t="s">
        <v>22</v>
      </c>
      <c r="I2345">
        <v>112.2</v>
      </c>
      <c r="K2345" t="s">
        <v>25</v>
      </c>
      <c r="L2345" t="s">
        <v>15</v>
      </c>
    </row>
    <row r="2346" spans="1:12" x14ac:dyDescent="0.3">
      <c r="A2346">
        <v>12557</v>
      </c>
      <c r="B2346" t="s">
        <v>13</v>
      </c>
      <c r="C2346">
        <v>21</v>
      </c>
      <c r="D2346" t="s">
        <v>15</v>
      </c>
      <c r="E2346" t="s">
        <v>15</v>
      </c>
      <c r="F2346" t="s">
        <v>15</v>
      </c>
      <c r="G2346" t="s">
        <v>18</v>
      </c>
      <c r="H2346" t="s">
        <v>22</v>
      </c>
      <c r="I2346">
        <v>91.18</v>
      </c>
      <c r="J2346">
        <v>25.7</v>
      </c>
      <c r="K2346" t="s">
        <v>25</v>
      </c>
      <c r="L2346" t="s">
        <v>15</v>
      </c>
    </row>
    <row r="2347" spans="1:12" x14ac:dyDescent="0.3">
      <c r="A2347">
        <v>2846</v>
      </c>
      <c r="B2347" t="s">
        <v>13</v>
      </c>
      <c r="C2347">
        <v>46</v>
      </c>
      <c r="D2347" t="s">
        <v>15</v>
      </c>
      <c r="E2347" t="s">
        <v>15</v>
      </c>
      <c r="F2347" t="s">
        <v>16</v>
      </c>
      <c r="G2347" t="s">
        <v>17</v>
      </c>
      <c r="H2347" t="s">
        <v>23</v>
      </c>
      <c r="I2347">
        <v>85.81</v>
      </c>
      <c r="J2347">
        <v>20.2</v>
      </c>
      <c r="K2347" t="s">
        <v>24</v>
      </c>
      <c r="L2347" t="s">
        <v>15</v>
      </c>
    </row>
    <row r="2348" spans="1:12" x14ac:dyDescent="0.3">
      <c r="A2348">
        <v>61219</v>
      </c>
      <c r="B2348" t="s">
        <v>13</v>
      </c>
      <c r="C2348">
        <v>14</v>
      </c>
      <c r="D2348" t="s">
        <v>15</v>
      </c>
      <c r="E2348" t="s">
        <v>15</v>
      </c>
      <c r="F2348" t="s">
        <v>15</v>
      </c>
      <c r="G2348" t="s">
        <v>21</v>
      </c>
      <c r="H2348" t="s">
        <v>22</v>
      </c>
      <c r="I2348">
        <v>148.37</v>
      </c>
      <c r="J2348">
        <v>22.7</v>
      </c>
      <c r="K2348" t="s">
        <v>25</v>
      </c>
      <c r="L2348" t="s">
        <v>15</v>
      </c>
    </row>
    <row r="2349" spans="1:12" x14ac:dyDescent="0.3">
      <c r="A2349">
        <v>65321</v>
      </c>
      <c r="B2349" t="s">
        <v>12</v>
      </c>
      <c r="C2349">
        <v>6</v>
      </c>
      <c r="D2349" t="s">
        <v>15</v>
      </c>
      <c r="E2349" t="s">
        <v>15</v>
      </c>
      <c r="F2349" t="s">
        <v>15</v>
      </c>
      <c r="G2349" t="s">
        <v>20</v>
      </c>
      <c r="H2349" t="s">
        <v>23</v>
      </c>
      <c r="I2349">
        <v>64.55</v>
      </c>
      <c r="J2349">
        <v>17.399999999999999</v>
      </c>
      <c r="K2349" t="s">
        <v>27</v>
      </c>
      <c r="L2349" t="s">
        <v>15</v>
      </c>
    </row>
    <row r="2350" spans="1:12" x14ac:dyDescent="0.3">
      <c r="A2350">
        <v>23946</v>
      </c>
      <c r="B2350" t="s">
        <v>13</v>
      </c>
      <c r="C2350">
        <v>3</v>
      </c>
      <c r="D2350" t="s">
        <v>15</v>
      </c>
      <c r="E2350" t="s">
        <v>15</v>
      </c>
      <c r="F2350" t="s">
        <v>15</v>
      </c>
      <c r="G2350" t="s">
        <v>20</v>
      </c>
      <c r="H2350" t="s">
        <v>23</v>
      </c>
      <c r="I2350">
        <v>97.31</v>
      </c>
      <c r="J2350">
        <v>22.2</v>
      </c>
      <c r="K2350" t="s">
        <v>27</v>
      </c>
      <c r="L2350" t="s">
        <v>15</v>
      </c>
    </row>
    <row r="2351" spans="1:12" x14ac:dyDescent="0.3">
      <c r="A2351">
        <v>56312</v>
      </c>
      <c r="B2351" t="s">
        <v>12</v>
      </c>
      <c r="C2351">
        <v>47</v>
      </c>
      <c r="D2351" t="s">
        <v>15</v>
      </c>
      <c r="E2351" t="s">
        <v>15</v>
      </c>
      <c r="F2351" t="s">
        <v>15</v>
      </c>
      <c r="G2351" t="s">
        <v>17</v>
      </c>
      <c r="H2351" t="s">
        <v>23</v>
      </c>
      <c r="I2351">
        <v>111.15</v>
      </c>
      <c r="J2351">
        <v>23.8</v>
      </c>
      <c r="K2351" t="s">
        <v>25</v>
      </c>
      <c r="L2351" t="s">
        <v>15</v>
      </c>
    </row>
    <row r="2352" spans="1:12" x14ac:dyDescent="0.3">
      <c r="A2352">
        <v>20256</v>
      </c>
      <c r="B2352" t="s">
        <v>12</v>
      </c>
      <c r="C2352">
        <v>34</v>
      </c>
      <c r="D2352" t="s">
        <v>15</v>
      </c>
      <c r="E2352" t="s">
        <v>15</v>
      </c>
      <c r="F2352" t="s">
        <v>16</v>
      </c>
      <c r="G2352" t="s">
        <v>17</v>
      </c>
      <c r="H2352" t="s">
        <v>22</v>
      </c>
      <c r="I2352">
        <v>80.97</v>
      </c>
      <c r="J2352">
        <v>28.7</v>
      </c>
      <c r="K2352" t="s">
        <v>25</v>
      </c>
      <c r="L2352" t="s">
        <v>15</v>
      </c>
    </row>
    <row r="2353" spans="1:12" x14ac:dyDescent="0.3">
      <c r="A2353">
        <v>26993</v>
      </c>
      <c r="B2353" t="s">
        <v>13</v>
      </c>
      <c r="C2353">
        <v>41</v>
      </c>
      <c r="D2353" t="s">
        <v>15</v>
      </c>
      <c r="E2353" t="s">
        <v>15</v>
      </c>
      <c r="F2353" t="s">
        <v>16</v>
      </c>
      <c r="G2353" t="s">
        <v>17</v>
      </c>
      <c r="H2353" t="s">
        <v>23</v>
      </c>
      <c r="I2353">
        <v>89.88</v>
      </c>
      <c r="J2353">
        <v>33.1</v>
      </c>
      <c r="K2353" t="s">
        <v>24</v>
      </c>
      <c r="L2353" t="s">
        <v>15</v>
      </c>
    </row>
    <row r="2354" spans="1:12" x14ac:dyDescent="0.3">
      <c r="A2354">
        <v>58599</v>
      </c>
      <c r="B2354" t="s">
        <v>13</v>
      </c>
      <c r="C2354">
        <v>67</v>
      </c>
      <c r="D2354" t="s">
        <v>15</v>
      </c>
      <c r="E2354" t="s">
        <v>15</v>
      </c>
      <c r="F2354" t="s">
        <v>16</v>
      </c>
      <c r="G2354" t="s">
        <v>17</v>
      </c>
      <c r="H2354" t="s">
        <v>23</v>
      </c>
      <c r="I2354">
        <v>62.66</v>
      </c>
      <c r="J2354">
        <v>28</v>
      </c>
      <c r="K2354" t="s">
        <v>24</v>
      </c>
      <c r="L2354" t="s">
        <v>15</v>
      </c>
    </row>
    <row r="2355" spans="1:12" x14ac:dyDescent="0.3">
      <c r="A2355">
        <v>27849</v>
      </c>
      <c r="B2355" t="s">
        <v>13</v>
      </c>
      <c r="C2355">
        <v>5</v>
      </c>
      <c r="D2355" t="s">
        <v>15</v>
      </c>
      <c r="E2355" t="s">
        <v>15</v>
      </c>
      <c r="F2355" t="s">
        <v>15</v>
      </c>
      <c r="G2355" t="s">
        <v>20</v>
      </c>
      <c r="H2355" t="s">
        <v>22</v>
      </c>
      <c r="I2355">
        <v>122.25</v>
      </c>
      <c r="J2355">
        <v>16.7</v>
      </c>
      <c r="K2355" t="s">
        <v>27</v>
      </c>
      <c r="L2355" t="s">
        <v>15</v>
      </c>
    </row>
    <row r="2356" spans="1:12" x14ac:dyDescent="0.3">
      <c r="A2356">
        <v>33367</v>
      </c>
      <c r="B2356" t="s">
        <v>12</v>
      </c>
      <c r="C2356">
        <v>20</v>
      </c>
      <c r="D2356" t="s">
        <v>15</v>
      </c>
      <c r="E2356" t="s">
        <v>15</v>
      </c>
      <c r="F2356" t="s">
        <v>15</v>
      </c>
      <c r="G2356" t="s">
        <v>17</v>
      </c>
      <c r="H2356" t="s">
        <v>23</v>
      </c>
      <c r="I2356">
        <v>87.08</v>
      </c>
      <c r="J2356">
        <v>27.1</v>
      </c>
      <c r="K2356" t="s">
        <v>25</v>
      </c>
      <c r="L2356" t="s">
        <v>15</v>
      </c>
    </row>
    <row r="2357" spans="1:12" x14ac:dyDescent="0.3">
      <c r="A2357">
        <v>61764</v>
      </c>
      <c r="B2357" t="s">
        <v>13</v>
      </c>
      <c r="C2357">
        <v>63</v>
      </c>
      <c r="D2357" t="s">
        <v>15</v>
      </c>
      <c r="E2357" t="s">
        <v>15</v>
      </c>
      <c r="F2357" t="s">
        <v>16</v>
      </c>
      <c r="G2357" t="s">
        <v>17</v>
      </c>
      <c r="H2357" t="s">
        <v>23</v>
      </c>
      <c r="I2357">
        <v>85</v>
      </c>
      <c r="J2357">
        <v>26.4</v>
      </c>
      <c r="K2357" t="s">
        <v>26</v>
      </c>
      <c r="L2357" t="s">
        <v>15</v>
      </c>
    </row>
    <row r="2358" spans="1:12" x14ac:dyDescent="0.3">
      <c r="A2358">
        <v>13620</v>
      </c>
      <c r="B2358" t="s">
        <v>13</v>
      </c>
      <c r="C2358">
        <v>73</v>
      </c>
      <c r="D2358" t="s">
        <v>15</v>
      </c>
      <c r="E2358" t="s">
        <v>15</v>
      </c>
      <c r="F2358" t="s">
        <v>16</v>
      </c>
      <c r="G2358" t="s">
        <v>18</v>
      </c>
      <c r="H2358" t="s">
        <v>22</v>
      </c>
      <c r="I2358">
        <v>100.49</v>
      </c>
      <c r="J2358">
        <v>23.7</v>
      </c>
      <c r="K2358" t="s">
        <v>26</v>
      </c>
      <c r="L2358" t="s">
        <v>15</v>
      </c>
    </row>
    <row r="2359" spans="1:12" x14ac:dyDescent="0.3">
      <c r="A2359">
        <v>39308</v>
      </c>
      <c r="B2359" t="s">
        <v>12</v>
      </c>
      <c r="C2359">
        <v>62</v>
      </c>
      <c r="D2359" t="s">
        <v>15</v>
      </c>
      <c r="E2359" t="s">
        <v>15</v>
      </c>
      <c r="F2359" t="s">
        <v>16</v>
      </c>
      <c r="G2359" t="s">
        <v>17</v>
      </c>
      <c r="H2359" t="s">
        <v>22</v>
      </c>
      <c r="I2359">
        <v>145.37</v>
      </c>
      <c r="J2359">
        <v>33.299999999999997</v>
      </c>
      <c r="K2359" t="s">
        <v>27</v>
      </c>
      <c r="L2359" t="s">
        <v>15</v>
      </c>
    </row>
    <row r="2360" spans="1:12" x14ac:dyDescent="0.3">
      <c r="A2360">
        <v>1275</v>
      </c>
      <c r="B2360" t="s">
        <v>12</v>
      </c>
      <c r="C2360">
        <v>0.88</v>
      </c>
      <c r="D2360" t="s">
        <v>15</v>
      </c>
      <c r="E2360" t="s">
        <v>15</v>
      </c>
      <c r="F2360" t="s">
        <v>15</v>
      </c>
      <c r="G2360" t="s">
        <v>20</v>
      </c>
      <c r="H2360" t="s">
        <v>22</v>
      </c>
      <c r="I2360">
        <v>112.19</v>
      </c>
      <c r="J2360">
        <v>18.899999999999999</v>
      </c>
      <c r="K2360" t="s">
        <v>27</v>
      </c>
      <c r="L2360" t="s">
        <v>15</v>
      </c>
    </row>
    <row r="2361" spans="1:12" x14ac:dyDescent="0.3">
      <c r="A2361">
        <v>34336</v>
      </c>
      <c r="B2361" t="s">
        <v>12</v>
      </c>
      <c r="C2361">
        <v>50</v>
      </c>
      <c r="D2361" t="s">
        <v>16</v>
      </c>
      <c r="E2361" t="s">
        <v>15</v>
      </c>
      <c r="F2361" t="s">
        <v>16</v>
      </c>
      <c r="G2361" t="s">
        <v>19</v>
      </c>
      <c r="H2361" t="s">
        <v>23</v>
      </c>
      <c r="I2361">
        <v>79.73</v>
      </c>
      <c r="J2361">
        <v>25.5</v>
      </c>
      <c r="K2361" t="s">
        <v>26</v>
      </c>
      <c r="L2361" t="s">
        <v>15</v>
      </c>
    </row>
    <row r="2362" spans="1:12" x14ac:dyDescent="0.3">
      <c r="A2362">
        <v>1505</v>
      </c>
      <c r="B2362" t="s">
        <v>12</v>
      </c>
      <c r="C2362">
        <v>71</v>
      </c>
      <c r="D2362" t="s">
        <v>15</v>
      </c>
      <c r="E2362" t="s">
        <v>16</v>
      </c>
      <c r="F2362" t="s">
        <v>16</v>
      </c>
      <c r="G2362" t="s">
        <v>18</v>
      </c>
      <c r="H2362" t="s">
        <v>23</v>
      </c>
      <c r="I2362">
        <v>101.13</v>
      </c>
      <c r="J2362">
        <v>35.9</v>
      </c>
      <c r="K2362" t="s">
        <v>24</v>
      </c>
      <c r="L2362" t="s">
        <v>15</v>
      </c>
    </row>
    <row r="2363" spans="1:12" x14ac:dyDescent="0.3">
      <c r="A2363">
        <v>31887</v>
      </c>
      <c r="B2363" t="s">
        <v>13</v>
      </c>
      <c r="C2363">
        <v>30</v>
      </c>
      <c r="D2363" t="s">
        <v>15</v>
      </c>
      <c r="E2363" t="s">
        <v>15</v>
      </c>
      <c r="F2363" t="s">
        <v>16</v>
      </c>
      <c r="G2363" t="s">
        <v>17</v>
      </c>
      <c r="H2363" t="s">
        <v>22</v>
      </c>
      <c r="I2363">
        <v>101.98</v>
      </c>
      <c r="J2363">
        <v>23.2</v>
      </c>
      <c r="K2363" t="s">
        <v>27</v>
      </c>
      <c r="L2363" t="s">
        <v>15</v>
      </c>
    </row>
    <row r="2364" spans="1:12" x14ac:dyDescent="0.3">
      <c r="A2364">
        <v>60258</v>
      </c>
      <c r="B2364" t="s">
        <v>13</v>
      </c>
      <c r="C2364">
        <v>80</v>
      </c>
      <c r="D2364" t="s">
        <v>15</v>
      </c>
      <c r="E2364" t="s">
        <v>16</v>
      </c>
      <c r="F2364" t="s">
        <v>16</v>
      </c>
      <c r="G2364" t="s">
        <v>18</v>
      </c>
      <c r="H2364" t="s">
        <v>23</v>
      </c>
      <c r="I2364">
        <v>98.39</v>
      </c>
      <c r="J2364">
        <v>22.2</v>
      </c>
      <c r="K2364" t="s">
        <v>26</v>
      </c>
      <c r="L2364" t="s">
        <v>15</v>
      </c>
    </row>
    <row r="2365" spans="1:12" x14ac:dyDescent="0.3">
      <c r="A2365">
        <v>63450</v>
      </c>
      <c r="B2365" t="s">
        <v>13</v>
      </c>
      <c r="C2365">
        <v>64</v>
      </c>
      <c r="D2365" t="s">
        <v>15</v>
      </c>
      <c r="E2365" t="s">
        <v>15</v>
      </c>
      <c r="F2365" t="s">
        <v>16</v>
      </c>
      <c r="G2365" t="s">
        <v>18</v>
      </c>
      <c r="H2365" t="s">
        <v>23</v>
      </c>
      <c r="I2365">
        <v>128.04</v>
      </c>
      <c r="J2365">
        <v>34</v>
      </c>
      <c r="K2365" t="s">
        <v>26</v>
      </c>
      <c r="L2365" t="s">
        <v>15</v>
      </c>
    </row>
    <row r="2366" spans="1:12" x14ac:dyDescent="0.3">
      <c r="A2366">
        <v>35178</v>
      </c>
      <c r="B2366" t="s">
        <v>12</v>
      </c>
      <c r="C2366">
        <v>7</v>
      </c>
      <c r="D2366" t="s">
        <v>15</v>
      </c>
      <c r="E2366" t="s">
        <v>15</v>
      </c>
      <c r="F2366" t="s">
        <v>15</v>
      </c>
      <c r="G2366" t="s">
        <v>20</v>
      </c>
      <c r="H2366" t="s">
        <v>22</v>
      </c>
      <c r="I2366">
        <v>98.12</v>
      </c>
      <c r="J2366">
        <v>20.399999999999999</v>
      </c>
      <c r="K2366" t="s">
        <v>27</v>
      </c>
      <c r="L2366" t="s">
        <v>15</v>
      </c>
    </row>
    <row r="2367" spans="1:12" x14ac:dyDescent="0.3">
      <c r="A2367">
        <v>3099</v>
      </c>
      <c r="B2367" t="s">
        <v>13</v>
      </c>
      <c r="C2367">
        <v>36</v>
      </c>
      <c r="D2367" t="s">
        <v>15</v>
      </c>
      <c r="E2367" t="s">
        <v>15</v>
      </c>
      <c r="F2367" t="s">
        <v>15</v>
      </c>
      <c r="G2367" t="s">
        <v>17</v>
      </c>
      <c r="H2367" t="s">
        <v>22</v>
      </c>
      <c r="I2367">
        <v>216.96</v>
      </c>
      <c r="J2367">
        <v>34.5</v>
      </c>
      <c r="K2367" t="s">
        <v>27</v>
      </c>
      <c r="L2367" t="s">
        <v>15</v>
      </c>
    </row>
    <row r="2368" spans="1:12" x14ac:dyDescent="0.3">
      <c r="A2368">
        <v>43903</v>
      </c>
      <c r="B2368" t="s">
        <v>12</v>
      </c>
      <c r="C2368">
        <v>79</v>
      </c>
      <c r="D2368" t="s">
        <v>15</v>
      </c>
      <c r="E2368" t="s">
        <v>15</v>
      </c>
      <c r="F2368" t="s">
        <v>16</v>
      </c>
      <c r="G2368" t="s">
        <v>18</v>
      </c>
      <c r="H2368" t="s">
        <v>23</v>
      </c>
      <c r="I2368">
        <v>94.92</v>
      </c>
      <c r="J2368">
        <v>31.9</v>
      </c>
      <c r="K2368" t="s">
        <v>27</v>
      </c>
      <c r="L2368" t="s">
        <v>15</v>
      </c>
    </row>
    <row r="2369" spans="1:12" x14ac:dyDescent="0.3">
      <c r="A2369">
        <v>9013</v>
      </c>
      <c r="B2369" t="s">
        <v>13</v>
      </c>
      <c r="C2369">
        <v>35</v>
      </c>
      <c r="D2369" t="s">
        <v>15</v>
      </c>
      <c r="E2369" t="s">
        <v>15</v>
      </c>
      <c r="F2369" t="s">
        <v>16</v>
      </c>
      <c r="G2369" t="s">
        <v>17</v>
      </c>
      <c r="H2369" t="s">
        <v>23</v>
      </c>
      <c r="I2369">
        <v>83.27</v>
      </c>
      <c r="J2369">
        <v>19.8</v>
      </c>
      <c r="K2369" t="s">
        <v>24</v>
      </c>
      <c r="L2369" t="s">
        <v>15</v>
      </c>
    </row>
    <row r="2370" spans="1:12" x14ac:dyDescent="0.3">
      <c r="A2370">
        <v>60158</v>
      </c>
      <c r="B2370" t="s">
        <v>13</v>
      </c>
      <c r="C2370">
        <v>28</v>
      </c>
      <c r="D2370" t="s">
        <v>15</v>
      </c>
      <c r="E2370" t="s">
        <v>15</v>
      </c>
      <c r="F2370" t="s">
        <v>15</v>
      </c>
      <c r="G2370" t="s">
        <v>17</v>
      </c>
      <c r="H2370" t="s">
        <v>23</v>
      </c>
      <c r="I2370">
        <v>96.86</v>
      </c>
      <c r="J2370">
        <v>29</v>
      </c>
      <c r="K2370" t="s">
        <v>27</v>
      </c>
      <c r="L2370" t="s">
        <v>15</v>
      </c>
    </row>
    <row r="2371" spans="1:12" x14ac:dyDescent="0.3">
      <c r="A2371">
        <v>15579</v>
      </c>
      <c r="B2371" t="s">
        <v>12</v>
      </c>
      <c r="C2371">
        <v>72</v>
      </c>
      <c r="D2371" t="s">
        <v>15</v>
      </c>
      <c r="E2371" t="s">
        <v>15</v>
      </c>
      <c r="F2371" t="s">
        <v>16</v>
      </c>
      <c r="G2371" t="s">
        <v>18</v>
      </c>
      <c r="H2371" t="s">
        <v>23</v>
      </c>
      <c r="I2371">
        <v>99.73</v>
      </c>
      <c r="J2371">
        <v>36.700000000000003</v>
      </c>
      <c r="K2371" t="s">
        <v>24</v>
      </c>
      <c r="L2371" t="s">
        <v>15</v>
      </c>
    </row>
    <row r="2372" spans="1:12" x14ac:dyDescent="0.3">
      <c r="A2372">
        <v>8563</v>
      </c>
      <c r="B2372" t="s">
        <v>13</v>
      </c>
      <c r="C2372">
        <v>12</v>
      </c>
      <c r="D2372" t="s">
        <v>15</v>
      </c>
      <c r="E2372" t="s">
        <v>15</v>
      </c>
      <c r="F2372" t="s">
        <v>15</v>
      </c>
      <c r="G2372" t="s">
        <v>20</v>
      </c>
      <c r="H2372" t="s">
        <v>23</v>
      </c>
      <c r="I2372">
        <v>91.71</v>
      </c>
      <c r="J2372">
        <v>21.3</v>
      </c>
      <c r="K2372" t="s">
        <v>27</v>
      </c>
      <c r="L2372" t="s">
        <v>15</v>
      </c>
    </row>
    <row r="2373" spans="1:12" x14ac:dyDescent="0.3">
      <c r="A2373">
        <v>61573</v>
      </c>
      <c r="B2373" t="s">
        <v>12</v>
      </c>
      <c r="C2373">
        <v>25</v>
      </c>
      <c r="D2373" t="s">
        <v>15</v>
      </c>
      <c r="E2373" t="s">
        <v>15</v>
      </c>
      <c r="F2373" t="s">
        <v>15</v>
      </c>
      <c r="G2373" t="s">
        <v>17</v>
      </c>
      <c r="H2373" t="s">
        <v>23</v>
      </c>
      <c r="I2373">
        <v>65.77</v>
      </c>
      <c r="J2373">
        <v>23.7</v>
      </c>
      <c r="K2373" t="s">
        <v>26</v>
      </c>
      <c r="L2373" t="s">
        <v>15</v>
      </c>
    </row>
    <row r="2374" spans="1:12" x14ac:dyDescent="0.3">
      <c r="A2374">
        <v>43827</v>
      </c>
      <c r="B2374" t="s">
        <v>13</v>
      </c>
      <c r="C2374">
        <v>27</v>
      </c>
      <c r="D2374" t="s">
        <v>15</v>
      </c>
      <c r="E2374" t="s">
        <v>15</v>
      </c>
      <c r="F2374" t="s">
        <v>16</v>
      </c>
      <c r="G2374" t="s">
        <v>17</v>
      </c>
      <c r="H2374" t="s">
        <v>22</v>
      </c>
      <c r="I2374">
        <v>161.57</v>
      </c>
      <c r="J2374">
        <v>25.7</v>
      </c>
      <c r="K2374" t="s">
        <v>26</v>
      </c>
      <c r="L2374" t="s">
        <v>15</v>
      </c>
    </row>
    <row r="2375" spans="1:12" x14ac:dyDescent="0.3">
      <c r="A2375">
        <v>43090</v>
      </c>
      <c r="B2375" t="s">
        <v>13</v>
      </c>
      <c r="C2375">
        <v>62</v>
      </c>
      <c r="D2375" t="s">
        <v>16</v>
      </c>
      <c r="E2375" t="s">
        <v>15</v>
      </c>
      <c r="F2375" t="s">
        <v>16</v>
      </c>
      <c r="G2375" t="s">
        <v>18</v>
      </c>
      <c r="H2375" t="s">
        <v>23</v>
      </c>
      <c r="I2375">
        <v>74.319999999999993</v>
      </c>
      <c r="J2375">
        <v>34</v>
      </c>
      <c r="K2375" t="s">
        <v>25</v>
      </c>
      <c r="L2375" t="s">
        <v>15</v>
      </c>
    </row>
    <row r="2376" spans="1:12" x14ac:dyDescent="0.3">
      <c r="A2376">
        <v>46068</v>
      </c>
      <c r="B2376" t="s">
        <v>12</v>
      </c>
      <c r="C2376">
        <v>58</v>
      </c>
      <c r="D2376" t="s">
        <v>15</v>
      </c>
      <c r="E2376" t="s">
        <v>15</v>
      </c>
      <c r="F2376" t="s">
        <v>15</v>
      </c>
      <c r="G2376" t="s">
        <v>18</v>
      </c>
      <c r="H2376" t="s">
        <v>23</v>
      </c>
      <c r="I2376">
        <v>170.93</v>
      </c>
      <c r="J2376">
        <v>30.7</v>
      </c>
      <c r="K2376" t="s">
        <v>27</v>
      </c>
      <c r="L2376" t="s">
        <v>15</v>
      </c>
    </row>
    <row r="2377" spans="1:12" x14ac:dyDescent="0.3">
      <c r="A2377">
        <v>12469</v>
      </c>
      <c r="B2377" t="s">
        <v>13</v>
      </c>
      <c r="C2377">
        <v>30</v>
      </c>
      <c r="D2377" t="s">
        <v>15</v>
      </c>
      <c r="E2377" t="s">
        <v>15</v>
      </c>
      <c r="F2377" t="s">
        <v>16</v>
      </c>
      <c r="G2377" t="s">
        <v>17</v>
      </c>
      <c r="H2377" t="s">
        <v>22</v>
      </c>
      <c r="I2377">
        <v>74.430000000000007</v>
      </c>
      <c r="J2377">
        <v>44.8</v>
      </c>
      <c r="K2377" t="s">
        <v>25</v>
      </c>
      <c r="L2377" t="s">
        <v>15</v>
      </c>
    </row>
    <row r="2378" spans="1:12" x14ac:dyDescent="0.3">
      <c r="A2378">
        <v>58820</v>
      </c>
      <c r="B2378" t="s">
        <v>12</v>
      </c>
      <c r="C2378">
        <v>56</v>
      </c>
      <c r="D2378" t="s">
        <v>15</v>
      </c>
      <c r="E2378" t="s">
        <v>15</v>
      </c>
      <c r="F2378" t="s">
        <v>16</v>
      </c>
      <c r="G2378" t="s">
        <v>17</v>
      </c>
      <c r="H2378" t="s">
        <v>23</v>
      </c>
      <c r="I2378">
        <v>86.36</v>
      </c>
      <c r="J2378">
        <v>27.7</v>
      </c>
      <c r="K2378" t="s">
        <v>24</v>
      </c>
      <c r="L2378" t="s">
        <v>15</v>
      </c>
    </row>
    <row r="2379" spans="1:12" x14ac:dyDescent="0.3">
      <c r="A2379">
        <v>31893</v>
      </c>
      <c r="B2379" t="s">
        <v>13</v>
      </c>
      <c r="C2379">
        <v>28</v>
      </c>
      <c r="D2379" t="s">
        <v>15</v>
      </c>
      <c r="E2379" t="s">
        <v>15</v>
      </c>
      <c r="F2379" t="s">
        <v>16</v>
      </c>
      <c r="G2379" t="s">
        <v>17</v>
      </c>
      <c r="H2379" t="s">
        <v>23</v>
      </c>
      <c r="I2379">
        <v>97.06</v>
      </c>
      <c r="J2379">
        <v>23.2</v>
      </c>
      <c r="K2379" t="s">
        <v>27</v>
      </c>
      <c r="L2379" t="s">
        <v>15</v>
      </c>
    </row>
    <row r="2380" spans="1:12" x14ac:dyDescent="0.3">
      <c r="A2380">
        <v>45259</v>
      </c>
      <c r="B2380" t="s">
        <v>12</v>
      </c>
      <c r="C2380">
        <v>47</v>
      </c>
      <c r="D2380" t="s">
        <v>15</v>
      </c>
      <c r="E2380" t="s">
        <v>15</v>
      </c>
      <c r="F2380" t="s">
        <v>16</v>
      </c>
      <c r="G2380" t="s">
        <v>17</v>
      </c>
      <c r="H2380" t="s">
        <v>23</v>
      </c>
      <c r="I2380">
        <v>110.38</v>
      </c>
      <c r="J2380">
        <v>30.1</v>
      </c>
      <c r="K2380" t="s">
        <v>27</v>
      </c>
      <c r="L2380" t="s">
        <v>15</v>
      </c>
    </row>
    <row r="2381" spans="1:12" x14ac:dyDescent="0.3">
      <c r="A2381">
        <v>63779</v>
      </c>
      <c r="B2381" t="s">
        <v>13</v>
      </c>
      <c r="C2381">
        <v>16</v>
      </c>
      <c r="D2381" t="s">
        <v>15</v>
      </c>
      <c r="E2381" t="s">
        <v>15</v>
      </c>
      <c r="F2381" t="s">
        <v>15</v>
      </c>
      <c r="G2381" t="s">
        <v>17</v>
      </c>
      <c r="H2381" t="s">
        <v>23</v>
      </c>
      <c r="I2381">
        <v>79.03</v>
      </c>
      <c r="J2381">
        <v>29.3</v>
      </c>
      <c r="K2381" t="s">
        <v>27</v>
      </c>
      <c r="L2381" t="s">
        <v>15</v>
      </c>
    </row>
    <row r="2382" spans="1:12" x14ac:dyDescent="0.3">
      <c r="A2382">
        <v>71250</v>
      </c>
      <c r="B2382" t="s">
        <v>13</v>
      </c>
      <c r="C2382">
        <v>29</v>
      </c>
      <c r="D2382" t="s">
        <v>15</v>
      </c>
      <c r="E2382" t="s">
        <v>15</v>
      </c>
      <c r="F2382" t="s">
        <v>16</v>
      </c>
      <c r="G2382" t="s">
        <v>17</v>
      </c>
      <c r="H2382" t="s">
        <v>23</v>
      </c>
      <c r="I2382">
        <v>62.48</v>
      </c>
      <c r="J2382">
        <v>29.5</v>
      </c>
      <c r="K2382" t="s">
        <v>25</v>
      </c>
      <c r="L2382" t="s">
        <v>15</v>
      </c>
    </row>
    <row r="2383" spans="1:12" x14ac:dyDescent="0.3">
      <c r="A2383">
        <v>55051</v>
      </c>
      <c r="B2383" t="s">
        <v>12</v>
      </c>
      <c r="C2383">
        <v>26</v>
      </c>
      <c r="D2383" t="s">
        <v>15</v>
      </c>
      <c r="E2383" t="s">
        <v>15</v>
      </c>
      <c r="F2383" t="s">
        <v>16</v>
      </c>
      <c r="G2383" t="s">
        <v>17</v>
      </c>
      <c r="H2383" t="s">
        <v>23</v>
      </c>
      <c r="I2383">
        <v>55.62</v>
      </c>
      <c r="J2383">
        <v>25.8</v>
      </c>
      <c r="K2383" t="s">
        <v>25</v>
      </c>
      <c r="L2383" t="s">
        <v>15</v>
      </c>
    </row>
    <row r="2384" spans="1:12" x14ac:dyDescent="0.3">
      <c r="A2384">
        <v>2520</v>
      </c>
      <c r="B2384" t="s">
        <v>13</v>
      </c>
      <c r="C2384">
        <v>26</v>
      </c>
      <c r="D2384" t="s">
        <v>15</v>
      </c>
      <c r="E2384" t="s">
        <v>15</v>
      </c>
      <c r="F2384" t="s">
        <v>16</v>
      </c>
      <c r="G2384" t="s">
        <v>17</v>
      </c>
      <c r="H2384" t="s">
        <v>23</v>
      </c>
      <c r="I2384">
        <v>84.9</v>
      </c>
      <c r="J2384">
        <v>26.2</v>
      </c>
      <c r="K2384" t="s">
        <v>25</v>
      </c>
      <c r="L2384" t="s">
        <v>15</v>
      </c>
    </row>
    <row r="2385" spans="1:12" x14ac:dyDescent="0.3">
      <c r="A2385">
        <v>3715</v>
      </c>
      <c r="B2385" t="s">
        <v>12</v>
      </c>
      <c r="C2385">
        <v>55</v>
      </c>
      <c r="D2385" t="s">
        <v>15</v>
      </c>
      <c r="E2385" t="s">
        <v>15</v>
      </c>
      <c r="F2385" t="s">
        <v>16</v>
      </c>
      <c r="G2385" t="s">
        <v>17</v>
      </c>
      <c r="H2385" t="s">
        <v>23</v>
      </c>
      <c r="I2385">
        <v>232.81</v>
      </c>
      <c r="J2385">
        <v>28.8</v>
      </c>
      <c r="K2385" t="s">
        <v>27</v>
      </c>
      <c r="L2385" t="s">
        <v>15</v>
      </c>
    </row>
    <row r="2386" spans="1:12" x14ac:dyDescent="0.3">
      <c r="A2386">
        <v>21206</v>
      </c>
      <c r="B2386" t="s">
        <v>13</v>
      </c>
      <c r="C2386">
        <v>29</v>
      </c>
      <c r="D2386" t="s">
        <v>15</v>
      </c>
      <c r="E2386" t="s">
        <v>15</v>
      </c>
      <c r="F2386" t="s">
        <v>15</v>
      </c>
      <c r="G2386" t="s">
        <v>17</v>
      </c>
      <c r="H2386" t="s">
        <v>23</v>
      </c>
      <c r="I2386">
        <v>86.55</v>
      </c>
      <c r="J2386">
        <v>29.8</v>
      </c>
      <c r="K2386" t="s">
        <v>26</v>
      </c>
      <c r="L2386" t="s">
        <v>15</v>
      </c>
    </row>
    <row r="2387" spans="1:12" x14ac:dyDescent="0.3">
      <c r="A2387">
        <v>60159</v>
      </c>
      <c r="B2387" t="s">
        <v>13</v>
      </c>
      <c r="C2387">
        <v>29</v>
      </c>
      <c r="D2387" t="s">
        <v>15</v>
      </c>
      <c r="E2387" t="s">
        <v>15</v>
      </c>
      <c r="F2387" t="s">
        <v>15</v>
      </c>
      <c r="G2387" t="s">
        <v>19</v>
      </c>
      <c r="H2387" t="s">
        <v>23</v>
      </c>
      <c r="I2387">
        <v>118.61</v>
      </c>
      <c r="J2387">
        <v>26.5</v>
      </c>
      <c r="K2387" t="s">
        <v>25</v>
      </c>
      <c r="L2387" t="s">
        <v>15</v>
      </c>
    </row>
    <row r="2388" spans="1:12" x14ac:dyDescent="0.3">
      <c r="A2388">
        <v>3113</v>
      </c>
      <c r="B2388" t="s">
        <v>13</v>
      </c>
      <c r="C2388">
        <v>33</v>
      </c>
      <c r="D2388" t="s">
        <v>15</v>
      </c>
      <c r="E2388" t="s">
        <v>15</v>
      </c>
      <c r="F2388" t="s">
        <v>15</v>
      </c>
      <c r="G2388" t="s">
        <v>17</v>
      </c>
      <c r="H2388" t="s">
        <v>23</v>
      </c>
      <c r="I2388">
        <v>80.209999999999994</v>
      </c>
      <c r="J2388">
        <v>27.8</v>
      </c>
      <c r="K2388" t="s">
        <v>24</v>
      </c>
      <c r="L2388" t="s">
        <v>15</v>
      </c>
    </row>
    <row r="2389" spans="1:12" x14ac:dyDescent="0.3">
      <c r="A2389">
        <v>62126</v>
      </c>
      <c r="B2389" t="s">
        <v>13</v>
      </c>
      <c r="C2389">
        <v>19</v>
      </c>
      <c r="D2389" t="s">
        <v>16</v>
      </c>
      <c r="E2389" t="s">
        <v>15</v>
      </c>
      <c r="F2389" t="s">
        <v>15</v>
      </c>
      <c r="G2389" t="s">
        <v>17</v>
      </c>
      <c r="H2389" t="s">
        <v>23</v>
      </c>
      <c r="I2389">
        <v>65.959999999999994</v>
      </c>
      <c r="J2389">
        <v>29</v>
      </c>
      <c r="K2389" t="s">
        <v>25</v>
      </c>
      <c r="L2389" t="s">
        <v>15</v>
      </c>
    </row>
    <row r="2390" spans="1:12" x14ac:dyDescent="0.3">
      <c r="A2390">
        <v>51275</v>
      </c>
      <c r="B2390" t="s">
        <v>13</v>
      </c>
      <c r="C2390">
        <v>10</v>
      </c>
      <c r="D2390" t="s">
        <v>15</v>
      </c>
      <c r="E2390" t="s">
        <v>15</v>
      </c>
      <c r="F2390" t="s">
        <v>15</v>
      </c>
      <c r="G2390" t="s">
        <v>20</v>
      </c>
      <c r="H2390" t="s">
        <v>22</v>
      </c>
      <c r="I2390">
        <v>61.34</v>
      </c>
      <c r="J2390">
        <v>19.100000000000001</v>
      </c>
      <c r="K2390" t="s">
        <v>27</v>
      </c>
      <c r="L2390" t="s">
        <v>15</v>
      </c>
    </row>
    <row r="2391" spans="1:12" x14ac:dyDescent="0.3">
      <c r="A2391">
        <v>3115</v>
      </c>
      <c r="B2391" t="s">
        <v>13</v>
      </c>
      <c r="C2391">
        <v>3</v>
      </c>
      <c r="D2391" t="s">
        <v>15</v>
      </c>
      <c r="E2391" t="s">
        <v>15</v>
      </c>
      <c r="F2391" t="s">
        <v>15</v>
      </c>
      <c r="G2391" t="s">
        <v>20</v>
      </c>
      <c r="H2391" t="s">
        <v>22</v>
      </c>
      <c r="I2391">
        <v>116.6</v>
      </c>
      <c r="J2391">
        <v>17.100000000000001</v>
      </c>
      <c r="K2391" t="s">
        <v>27</v>
      </c>
      <c r="L2391" t="s">
        <v>15</v>
      </c>
    </row>
    <row r="2392" spans="1:12" x14ac:dyDescent="0.3">
      <c r="A2392">
        <v>9986</v>
      </c>
      <c r="B2392" t="s">
        <v>13</v>
      </c>
      <c r="C2392">
        <v>60</v>
      </c>
      <c r="D2392" t="s">
        <v>15</v>
      </c>
      <c r="E2392" t="s">
        <v>15</v>
      </c>
      <c r="F2392" t="s">
        <v>16</v>
      </c>
      <c r="G2392" t="s">
        <v>17</v>
      </c>
      <c r="H2392" t="s">
        <v>22</v>
      </c>
      <c r="I2392">
        <v>85.13</v>
      </c>
      <c r="J2392">
        <v>24.6</v>
      </c>
      <c r="K2392" t="s">
        <v>27</v>
      </c>
      <c r="L2392" t="s">
        <v>15</v>
      </c>
    </row>
    <row r="2393" spans="1:12" x14ac:dyDescent="0.3">
      <c r="A2393">
        <v>35974</v>
      </c>
      <c r="B2393" t="s">
        <v>13</v>
      </c>
      <c r="C2393">
        <v>16</v>
      </c>
      <c r="D2393" t="s">
        <v>15</v>
      </c>
      <c r="E2393" t="s">
        <v>15</v>
      </c>
      <c r="F2393" t="s">
        <v>15</v>
      </c>
      <c r="G2393" t="s">
        <v>17</v>
      </c>
      <c r="H2393" t="s">
        <v>23</v>
      </c>
      <c r="I2393">
        <v>86.32</v>
      </c>
      <c r="J2393">
        <v>18.3</v>
      </c>
      <c r="K2393" t="s">
        <v>27</v>
      </c>
      <c r="L2393" t="s">
        <v>15</v>
      </c>
    </row>
    <row r="2394" spans="1:12" x14ac:dyDescent="0.3">
      <c r="A2394">
        <v>46488</v>
      </c>
      <c r="B2394" t="s">
        <v>12</v>
      </c>
      <c r="C2394">
        <v>35</v>
      </c>
      <c r="D2394" t="s">
        <v>15</v>
      </c>
      <c r="E2394" t="s">
        <v>15</v>
      </c>
      <c r="F2394" t="s">
        <v>16</v>
      </c>
      <c r="G2394" t="s">
        <v>17</v>
      </c>
      <c r="H2394" t="s">
        <v>23</v>
      </c>
      <c r="I2394">
        <v>69.22</v>
      </c>
      <c r="J2394">
        <v>42.8</v>
      </c>
      <c r="K2394" t="s">
        <v>25</v>
      </c>
      <c r="L2394" t="s">
        <v>15</v>
      </c>
    </row>
    <row r="2395" spans="1:12" x14ac:dyDescent="0.3">
      <c r="A2395">
        <v>54172</v>
      </c>
      <c r="B2395" t="s">
        <v>13</v>
      </c>
      <c r="C2395">
        <v>41</v>
      </c>
      <c r="D2395" t="s">
        <v>15</v>
      </c>
      <c r="E2395" t="s">
        <v>15</v>
      </c>
      <c r="F2395" t="s">
        <v>16</v>
      </c>
      <c r="G2395" t="s">
        <v>17</v>
      </c>
      <c r="H2395" t="s">
        <v>22</v>
      </c>
      <c r="I2395">
        <v>140.93</v>
      </c>
      <c r="J2395">
        <v>46.5</v>
      </c>
      <c r="K2395" t="s">
        <v>27</v>
      </c>
      <c r="L2395" t="s">
        <v>15</v>
      </c>
    </row>
    <row r="2396" spans="1:12" x14ac:dyDescent="0.3">
      <c r="A2396">
        <v>21804</v>
      </c>
      <c r="B2396" t="s">
        <v>13</v>
      </c>
      <c r="C2396">
        <v>19</v>
      </c>
      <c r="D2396" t="s">
        <v>15</v>
      </c>
      <c r="E2396" t="s">
        <v>15</v>
      </c>
      <c r="F2396" t="s">
        <v>15</v>
      </c>
      <c r="G2396" t="s">
        <v>17</v>
      </c>
      <c r="H2396" t="s">
        <v>22</v>
      </c>
      <c r="I2396">
        <v>83.43</v>
      </c>
      <c r="J2396">
        <v>38.4</v>
      </c>
      <c r="K2396" t="s">
        <v>27</v>
      </c>
      <c r="L2396" t="s">
        <v>15</v>
      </c>
    </row>
    <row r="2397" spans="1:12" x14ac:dyDescent="0.3">
      <c r="A2397">
        <v>50402</v>
      </c>
      <c r="B2397" t="s">
        <v>13</v>
      </c>
      <c r="C2397">
        <v>79</v>
      </c>
      <c r="D2397" t="s">
        <v>15</v>
      </c>
      <c r="E2397" t="s">
        <v>15</v>
      </c>
      <c r="F2397" t="s">
        <v>16</v>
      </c>
      <c r="G2397" t="s">
        <v>17</v>
      </c>
      <c r="H2397" t="s">
        <v>22</v>
      </c>
      <c r="I2397">
        <v>207.95</v>
      </c>
      <c r="J2397">
        <v>26</v>
      </c>
      <c r="K2397" t="s">
        <v>24</v>
      </c>
      <c r="L2397" t="s">
        <v>15</v>
      </c>
    </row>
    <row r="2398" spans="1:12" x14ac:dyDescent="0.3">
      <c r="A2398">
        <v>36317</v>
      </c>
      <c r="B2398" t="s">
        <v>13</v>
      </c>
      <c r="C2398">
        <v>41</v>
      </c>
      <c r="D2398" t="s">
        <v>15</v>
      </c>
      <c r="E2398" t="s">
        <v>15</v>
      </c>
      <c r="F2398" t="s">
        <v>16</v>
      </c>
      <c r="G2398" t="s">
        <v>17</v>
      </c>
      <c r="H2398" t="s">
        <v>23</v>
      </c>
      <c r="I2398">
        <v>134.29</v>
      </c>
      <c r="J2398">
        <v>26.8</v>
      </c>
      <c r="K2398" t="s">
        <v>26</v>
      </c>
      <c r="L2398" t="s">
        <v>15</v>
      </c>
    </row>
    <row r="2399" spans="1:12" x14ac:dyDescent="0.3">
      <c r="A2399">
        <v>44676</v>
      </c>
      <c r="B2399" t="s">
        <v>12</v>
      </c>
      <c r="C2399">
        <v>1.64</v>
      </c>
      <c r="D2399" t="s">
        <v>15</v>
      </c>
      <c r="E2399" t="s">
        <v>15</v>
      </c>
      <c r="F2399" t="s">
        <v>15</v>
      </c>
      <c r="G2399" t="s">
        <v>20</v>
      </c>
      <c r="H2399" t="s">
        <v>22</v>
      </c>
      <c r="I2399">
        <v>115.12</v>
      </c>
      <c r="J2399">
        <v>21.1</v>
      </c>
      <c r="K2399" t="s">
        <v>27</v>
      </c>
      <c r="L2399" t="s">
        <v>15</v>
      </c>
    </row>
    <row r="2400" spans="1:12" x14ac:dyDescent="0.3">
      <c r="A2400">
        <v>3724</v>
      </c>
      <c r="B2400" t="s">
        <v>13</v>
      </c>
      <c r="C2400">
        <v>51</v>
      </c>
      <c r="D2400" t="s">
        <v>15</v>
      </c>
      <c r="E2400" t="s">
        <v>15</v>
      </c>
      <c r="F2400" t="s">
        <v>16</v>
      </c>
      <c r="G2400" t="s">
        <v>19</v>
      </c>
      <c r="H2400" t="s">
        <v>22</v>
      </c>
      <c r="I2400">
        <v>86.25</v>
      </c>
      <c r="J2400">
        <v>29</v>
      </c>
      <c r="K2400" t="s">
        <v>25</v>
      </c>
      <c r="L2400" t="s">
        <v>15</v>
      </c>
    </row>
    <row r="2401" spans="1:12" x14ac:dyDescent="0.3">
      <c r="A2401">
        <v>69668</v>
      </c>
      <c r="B2401" t="s">
        <v>13</v>
      </c>
      <c r="C2401">
        <v>33</v>
      </c>
      <c r="D2401" t="s">
        <v>15</v>
      </c>
      <c r="E2401" t="s">
        <v>15</v>
      </c>
      <c r="F2401" t="s">
        <v>16</v>
      </c>
      <c r="G2401" t="s">
        <v>18</v>
      </c>
      <c r="H2401" t="s">
        <v>23</v>
      </c>
      <c r="I2401">
        <v>112.94</v>
      </c>
      <c r="J2401">
        <v>43</v>
      </c>
      <c r="K2401" t="s">
        <v>25</v>
      </c>
      <c r="L2401" t="s">
        <v>15</v>
      </c>
    </row>
    <row r="2402" spans="1:12" x14ac:dyDescent="0.3">
      <c r="A2402">
        <v>59274</v>
      </c>
      <c r="B2402" t="s">
        <v>13</v>
      </c>
      <c r="C2402">
        <v>33</v>
      </c>
      <c r="D2402" t="s">
        <v>15</v>
      </c>
      <c r="E2402" t="s">
        <v>15</v>
      </c>
      <c r="F2402" t="s">
        <v>16</v>
      </c>
      <c r="G2402" t="s">
        <v>19</v>
      </c>
      <c r="H2402" t="s">
        <v>23</v>
      </c>
      <c r="I2402">
        <v>73.540000000000006</v>
      </c>
      <c r="J2402">
        <v>36.6</v>
      </c>
      <c r="K2402" t="s">
        <v>26</v>
      </c>
      <c r="L2402" t="s">
        <v>15</v>
      </c>
    </row>
    <row r="2403" spans="1:12" x14ac:dyDescent="0.3">
      <c r="A2403">
        <v>29676</v>
      </c>
      <c r="B2403" t="s">
        <v>12</v>
      </c>
      <c r="C2403">
        <v>48</v>
      </c>
      <c r="D2403" t="s">
        <v>15</v>
      </c>
      <c r="E2403" t="s">
        <v>15</v>
      </c>
      <c r="F2403" t="s">
        <v>15</v>
      </c>
      <c r="G2403" t="s">
        <v>17</v>
      </c>
      <c r="H2403" t="s">
        <v>22</v>
      </c>
      <c r="I2403">
        <v>80.86</v>
      </c>
      <c r="J2403">
        <v>27.5</v>
      </c>
      <c r="K2403" t="s">
        <v>27</v>
      </c>
      <c r="L2403" t="s">
        <v>15</v>
      </c>
    </row>
    <row r="2404" spans="1:12" x14ac:dyDescent="0.3">
      <c r="A2404">
        <v>37655</v>
      </c>
      <c r="B2404" t="s">
        <v>12</v>
      </c>
      <c r="C2404">
        <v>45</v>
      </c>
      <c r="D2404" t="s">
        <v>15</v>
      </c>
      <c r="E2404" t="s">
        <v>15</v>
      </c>
      <c r="F2404" t="s">
        <v>16</v>
      </c>
      <c r="G2404" t="s">
        <v>17</v>
      </c>
      <c r="H2404" t="s">
        <v>23</v>
      </c>
      <c r="I2404">
        <v>83.91</v>
      </c>
      <c r="J2404">
        <v>40.200000000000003</v>
      </c>
      <c r="K2404" t="s">
        <v>27</v>
      </c>
      <c r="L2404" t="s">
        <v>15</v>
      </c>
    </row>
    <row r="2405" spans="1:12" x14ac:dyDescent="0.3">
      <c r="A2405">
        <v>16980</v>
      </c>
      <c r="B2405" t="s">
        <v>13</v>
      </c>
      <c r="C2405">
        <v>61</v>
      </c>
      <c r="D2405" t="s">
        <v>15</v>
      </c>
      <c r="E2405" t="s">
        <v>15</v>
      </c>
      <c r="F2405" t="s">
        <v>15</v>
      </c>
      <c r="G2405" t="s">
        <v>17</v>
      </c>
      <c r="H2405" t="s">
        <v>23</v>
      </c>
      <c r="I2405">
        <v>69.91</v>
      </c>
      <c r="J2405">
        <v>37.1</v>
      </c>
      <c r="K2405" t="s">
        <v>25</v>
      </c>
      <c r="L2405" t="s">
        <v>15</v>
      </c>
    </row>
    <row r="2406" spans="1:12" x14ac:dyDescent="0.3">
      <c r="A2406">
        <v>40213</v>
      </c>
      <c r="B2406" t="s">
        <v>12</v>
      </c>
      <c r="C2406">
        <v>31</v>
      </c>
      <c r="D2406" t="s">
        <v>15</v>
      </c>
      <c r="E2406" t="s">
        <v>15</v>
      </c>
      <c r="F2406" t="s">
        <v>15</v>
      </c>
      <c r="G2406" t="s">
        <v>17</v>
      </c>
      <c r="H2406" t="s">
        <v>23</v>
      </c>
      <c r="I2406">
        <v>95.62</v>
      </c>
      <c r="J2406">
        <v>32</v>
      </c>
      <c r="K2406" t="s">
        <v>26</v>
      </c>
      <c r="L2406" t="s">
        <v>15</v>
      </c>
    </row>
    <row r="2407" spans="1:12" x14ac:dyDescent="0.3">
      <c r="A2407">
        <v>47831</v>
      </c>
      <c r="B2407" t="s">
        <v>12</v>
      </c>
      <c r="C2407">
        <v>60</v>
      </c>
      <c r="D2407" t="s">
        <v>16</v>
      </c>
      <c r="E2407" t="s">
        <v>15</v>
      </c>
      <c r="F2407" t="s">
        <v>15</v>
      </c>
      <c r="G2407" t="s">
        <v>17</v>
      </c>
      <c r="H2407" t="s">
        <v>22</v>
      </c>
      <c r="I2407">
        <v>63.95</v>
      </c>
      <c r="J2407">
        <v>32.200000000000003</v>
      </c>
      <c r="K2407" t="s">
        <v>25</v>
      </c>
      <c r="L2407" t="s">
        <v>15</v>
      </c>
    </row>
    <row r="2408" spans="1:12" x14ac:dyDescent="0.3">
      <c r="A2408">
        <v>40977</v>
      </c>
      <c r="B2408" t="s">
        <v>12</v>
      </c>
      <c r="C2408">
        <v>51</v>
      </c>
      <c r="D2408" t="s">
        <v>15</v>
      </c>
      <c r="E2408" t="s">
        <v>15</v>
      </c>
      <c r="F2408" t="s">
        <v>16</v>
      </c>
      <c r="G2408" t="s">
        <v>17</v>
      </c>
      <c r="H2408" t="s">
        <v>23</v>
      </c>
      <c r="I2408">
        <v>122.5</v>
      </c>
      <c r="J2408">
        <v>20.6</v>
      </c>
      <c r="K2408" t="s">
        <v>27</v>
      </c>
      <c r="L2408" t="s">
        <v>15</v>
      </c>
    </row>
    <row r="2409" spans="1:12" x14ac:dyDescent="0.3">
      <c r="A2409">
        <v>39129</v>
      </c>
      <c r="B2409" t="s">
        <v>12</v>
      </c>
      <c r="C2409">
        <v>53</v>
      </c>
      <c r="D2409" t="s">
        <v>15</v>
      </c>
      <c r="E2409" t="s">
        <v>15</v>
      </c>
      <c r="F2409" t="s">
        <v>16</v>
      </c>
      <c r="G2409" t="s">
        <v>19</v>
      </c>
      <c r="H2409" t="s">
        <v>23</v>
      </c>
      <c r="I2409">
        <v>86</v>
      </c>
      <c r="J2409">
        <v>24.1</v>
      </c>
      <c r="K2409" t="s">
        <v>25</v>
      </c>
      <c r="L2409" t="s">
        <v>15</v>
      </c>
    </row>
    <row r="2410" spans="1:12" x14ac:dyDescent="0.3">
      <c r="A2410">
        <v>40837</v>
      </c>
      <c r="B2410" t="s">
        <v>12</v>
      </c>
      <c r="C2410">
        <v>52</v>
      </c>
      <c r="D2410" t="s">
        <v>15</v>
      </c>
      <c r="E2410" t="s">
        <v>15</v>
      </c>
      <c r="F2410" t="s">
        <v>16</v>
      </c>
      <c r="G2410" t="s">
        <v>19</v>
      </c>
      <c r="H2410" t="s">
        <v>22</v>
      </c>
      <c r="I2410">
        <v>120.27</v>
      </c>
      <c r="J2410">
        <v>25</v>
      </c>
      <c r="K2410" t="s">
        <v>25</v>
      </c>
      <c r="L2410" t="s">
        <v>15</v>
      </c>
    </row>
    <row r="2411" spans="1:12" x14ac:dyDescent="0.3">
      <c r="A2411">
        <v>59000</v>
      </c>
      <c r="B2411" t="s">
        <v>13</v>
      </c>
      <c r="C2411">
        <v>42</v>
      </c>
      <c r="D2411" t="s">
        <v>15</v>
      </c>
      <c r="E2411" t="s">
        <v>15</v>
      </c>
      <c r="F2411" t="s">
        <v>16</v>
      </c>
      <c r="G2411" t="s">
        <v>19</v>
      </c>
      <c r="H2411" t="s">
        <v>22</v>
      </c>
      <c r="I2411">
        <v>56.71</v>
      </c>
      <c r="J2411">
        <v>25.2</v>
      </c>
      <c r="K2411" t="s">
        <v>27</v>
      </c>
      <c r="L2411" t="s">
        <v>15</v>
      </c>
    </row>
    <row r="2412" spans="1:12" x14ac:dyDescent="0.3">
      <c r="A2412">
        <v>44510</v>
      </c>
      <c r="B2412" t="s">
        <v>13</v>
      </c>
      <c r="C2412">
        <v>56</v>
      </c>
      <c r="D2412" t="s">
        <v>15</v>
      </c>
      <c r="E2412" t="s">
        <v>15</v>
      </c>
      <c r="F2412" t="s">
        <v>16</v>
      </c>
      <c r="G2412" t="s">
        <v>17</v>
      </c>
      <c r="H2412" t="s">
        <v>23</v>
      </c>
      <c r="I2412">
        <v>131.63</v>
      </c>
      <c r="J2412">
        <v>27.6</v>
      </c>
      <c r="K2412" t="s">
        <v>25</v>
      </c>
      <c r="L2412" t="s">
        <v>15</v>
      </c>
    </row>
    <row r="2413" spans="1:12" x14ac:dyDescent="0.3">
      <c r="A2413">
        <v>3793</v>
      </c>
      <c r="B2413" t="s">
        <v>12</v>
      </c>
      <c r="C2413">
        <v>14</v>
      </c>
      <c r="D2413" t="s">
        <v>15</v>
      </c>
      <c r="E2413" t="s">
        <v>15</v>
      </c>
      <c r="F2413" t="s">
        <v>15</v>
      </c>
      <c r="G2413" t="s">
        <v>17</v>
      </c>
      <c r="H2413" t="s">
        <v>22</v>
      </c>
      <c r="I2413">
        <v>79.36</v>
      </c>
      <c r="J2413">
        <v>48.8</v>
      </c>
      <c r="K2413" t="s">
        <v>25</v>
      </c>
      <c r="L2413" t="s">
        <v>15</v>
      </c>
    </row>
    <row r="2414" spans="1:12" x14ac:dyDescent="0.3">
      <c r="A2414">
        <v>32215</v>
      </c>
      <c r="B2414" t="s">
        <v>13</v>
      </c>
      <c r="C2414">
        <v>40</v>
      </c>
      <c r="D2414" t="s">
        <v>15</v>
      </c>
      <c r="E2414" t="s">
        <v>15</v>
      </c>
      <c r="F2414" t="s">
        <v>15</v>
      </c>
      <c r="G2414" t="s">
        <v>17</v>
      </c>
      <c r="H2414" t="s">
        <v>22</v>
      </c>
      <c r="I2414">
        <v>120.77</v>
      </c>
      <c r="J2414">
        <v>27.6</v>
      </c>
      <c r="K2414" t="s">
        <v>25</v>
      </c>
      <c r="L2414" t="s">
        <v>15</v>
      </c>
    </row>
    <row r="2415" spans="1:12" x14ac:dyDescent="0.3">
      <c r="A2415">
        <v>35296</v>
      </c>
      <c r="B2415" t="s">
        <v>13</v>
      </c>
      <c r="C2415">
        <v>58</v>
      </c>
      <c r="D2415" t="s">
        <v>15</v>
      </c>
      <c r="E2415" t="s">
        <v>15</v>
      </c>
      <c r="F2415" t="s">
        <v>16</v>
      </c>
      <c r="G2415" t="s">
        <v>17</v>
      </c>
      <c r="H2415" t="s">
        <v>23</v>
      </c>
      <c r="I2415">
        <v>100.42</v>
      </c>
      <c r="J2415">
        <v>39.5</v>
      </c>
      <c r="K2415" t="s">
        <v>26</v>
      </c>
      <c r="L2415" t="s">
        <v>15</v>
      </c>
    </row>
    <row r="2416" spans="1:12" x14ac:dyDescent="0.3">
      <c r="A2416">
        <v>69502</v>
      </c>
      <c r="B2416" t="s">
        <v>13</v>
      </c>
      <c r="C2416">
        <v>52</v>
      </c>
      <c r="D2416" t="s">
        <v>16</v>
      </c>
      <c r="E2416" t="s">
        <v>15</v>
      </c>
      <c r="F2416" t="s">
        <v>16</v>
      </c>
      <c r="G2416" t="s">
        <v>17</v>
      </c>
      <c r="H2416" t="s">
        <v>22</v>
      </c>
      <c r="I2416">
        <v>155.86000000000001</v>
      </c>
      <c r="J2416">
        <v>27.2</v>
      </c>
      <c r="K2416" t="s">
        <v>26</v>
      </c>
      <c r="L2416" t="s">
        <v>15</v>
      </c>
    </row>
    <row r="2417" spans="1:12" x14ac:dyDescent="0.3">
      <c r="A2417">
        <v>67620</v>
      </c>
      <c r="B2417" t="s">
        <v>12</v>
      </c>
      <c r="C2417">
        <v>30</v>
      </c>
      <c r="D2417" t="s">
        <v>15</v>
      </c>
      <c r="E2417" t="s">
        <v>15</v>
      </c>
      <c r="F2417" t="s">
        <v>16</v>
      </c>
      <c r="G2417" t="s">
        <v>19</v>
      </c>
      <c r="H2417" t="s">
        <v>23</v>
      </c>
      <c r="I2417">
        <v>66.010000000000005</v>
      </c>
      <c r="J2417">
        <v>26.3</v>
      </c>
      <c r="K2417" t="s">
        <v>26</v>
      </c>
      <c r="L2417" t="s">
        <v>15</v>
      </c>
    </row>
    <row r="2418" spans="1:12" x14ac:dyDescent="0.3">
      <c r="A2418">
        <v>27664</v>
      </c>
      <c r="B2418" t="s">
        <v>13</v>
      </c>
      <c r="C2418">
        <v>47</v>
      </c>
      <c r="D2418" t="s">
        <v>15</v>
      </c>
      <c r="E2418" t="s">
        <v>15</v>
      </c>
      <c r="F2418" t="s">
        <v>16</v>
      </c>
      <c r="G2418" t="s">
        <v>17</v>
      </c>
      <c r="H2418" t="s">
        <v>22</v>
      </c>
      <c r="I2418">
        <v>86.99</v>
      </c>
      <c r="J2418">
        <v>28.9</v>
      </c>
      <c r="K2418" t="s">
        <v>26</v>
      </c>
      <c r="L2418" t="s">
        <v>15</v>
      </c>
    </row>
    <row r="2419" spans="1:12" x14ac:dyDescent="0.3">
      <c r="A2419">
        <v>49555</v>
      </c>
      <c r="B2419" t="s">
        <v>13</v>
      </c>
      <c r="C2419">
        <v>34</v>
      </c>
      <c r="D2419" t="s">
        <v>15</v>
      </c>
      <c r="E2419" t="s">
        <v>15</v>
      </c>
      <c r="F2419" t="s">
        <v>16</v>
      </c>
      <c r="G2419" t="s">
        <v>19</v>
      </c>
      <c r="H2419" t="s">
        <v>22</v>
      </c>
      <c r="I2419">
        <v>90.55</v>
      </c>
      <c r="J2419">
        <v>30</v>
      </c>
      <c r="K2419" t="s">
        <v>25</v>
      </c>
      <c r="L2419" t="s">
        <v>15</v>
      </c>
    </row>
    <row r="2420" spans="1:12" x14ac:dyDescent="0.3">
      <c r="A2420">
        <v>16812</v>
      </c>
      <c r="B2420" t="s">
        <v>13</v>
      </c>
      <c r="C2420">
        <v>82</v>
      </c>
      <c r="D2420" t="s">
        <v>15</v>
      </c>
      <c r="E2420" t="s">
        <v>16</v>
      </c>
      <c r="F2420" t="s">
        <v>16</v>
      </c>
      <c r="G2420" t="s">
        <v>18</v>
      </c>
      <c r="H2420" t="s">
        <v>23</v>
      </c>
      <c r="I2420">
        <v>229.58</v>
      </c>
      <c r="J2420">
        <v>23.7</v>
      </c>
      <c r="K2420" t="s">
        <v>27</v>
      </c>
      <c r="L2420" t="s">
        <v>15</v>
      </c>
    </row>
    <row r="2421" spans="1:12" x14ac:dyDescent="0.3">
      <c r="A2421">
        <v>63665</v>
      </c>
      <c r="B2421" t="s">
        <v>13</v>
      </c>
      <c r="C2421">
        <v>31</v>
      </c>
      <c r="D2421" t="s">
        <v>15</v>
      </c>
      <c r="E2421" t="s">
        <v>15</v>
      </c>
      <c r="F2421" t="s">
        <v>16</v>
      </c>
      <c r="G2421" t="s">
        <v>17</v>
      </c>
      <c r="H2421" t="s">
        <v>22</v>
      </c>
      <c r="I2421">
        <v>60.06</v>
      </c>
      <c r="J2421">
        <v>25.5</v>
      </c>
      <c r="K2421" t="s">
        <v>26</v>
      </c>
      <c r="L2421" t="s">
        <v>15</v>
      </c>
    </row>
    <row r="2422" spans="1:12" x14ac:dyDescent="0.3">
      <c r="A2422">
        <v>68141</v>
      </c>
      <c r="B2422" t="s">
        <v>13</v>
      </c>
      <c r="C2422">
        <v>58</v>
      </c>
      <c r="D2422" t="s">
        <v>15</v>
      </c>
      <c r="E2422" t="s">
        <v>15</v>
      </c>
      <c r="F2422" t="s">
        <v>16</v>
      </c>
      <c r="G2422" t="s">
        <v>17</v>
      </c>
      <c r="H2422" t="s">
        <v>23</v>
      </c>
      <c r="I2422">
        <v>65.66</v>
      </c>
      <c r="J2422">
        <v>24.6</v>
      </c>
      <c r="K2422" t="s">
        <v>24</v>
      </c>
      <c r="L2422" t="s">
        <v>15</v>
      </c>
    </row>
    <row r="2423" spans="1:12" x14ac:dyDescent="0.3">
      <c r="A2423">
        <v>33674</v>
      </c>
      <c r="B2423" t="s">
        <v>13</v>
      </c>
      <c r="C2423">
        <v>47</v>
      </c>
      <c r="D2423" t="s">
        <v>15</v>
      </c>
      <c r="E2423" t="s">
        <v>15</v>
      </c>
      <c r="F2423" t="s">
        <v>16</v>
      </c>
      <c r="G2423" t="s">
        <v>17</v>
      </c>
      <c r="H2423" t="s">
        <v>22</v>
      </c>
      <c r="I2423">
        <v>104.7</v>
      </c>
      <c r="J2423">
        <v>20.7</v>
      </c>
      <c r="K2423" t="s">
        <v>26</v>
      </c>
      <c r="L2423" t="s">
        <v>15</v>
      </c>
    </row>
    <row r="2424" spans="1:12" x14ac:dyDescent="0.3">
      <c r="A2424">
        <v>30432</v>
      </c>
      <c r="B2424" t="s">
        <v>12</v>
      </c>
      <c r="C2424">
        <v>65</v>
      </c>
      <c r="D2424" t="s">
        <v>16</v>
      </c>
      <c r="E2424" t="s">
        <v>15</v>
      </c>
      <c r="F2424" t="s">
        <v>16</v>
      </c>
      <c r="G2424" t="s">
        <v>18</v>
      </c>
      <c r="H2424" t="s">
        <v>22</v>
      </c>
      <c r="I2424">
        <v>113.86</v>
      </c>
      <c r="J2424">
        <v>36.4</v>
      </c>
      <c r="K2424" t="s">
        <v>25</v>
      </c>
      <c r="L2424" t="s">
        <v>15</v>
      </c>
    </row>
    <row r="2425" spans="1:12" x14ac:dyDescent="0.3">
      <c r="A2425">
        <v>10886</v>
      </c>
      <c r="B2425" t="s">
        <v>13</v>
      </c>
      <c r="C2425">
        <v>13</v>
      </c>
      <c r="D2425" t="s">
        <v>15</v>
      </c>
      <c r="E2425" t="s">
        <v>15</v>
      </c>
      <c r="F2425" t="s">
        <v>15</v>
      </c>
      <c r="G2425" t="s">
        <v>20</v>
      </c>
      <c r="H2425" t="s">
        <v>23</v>
      </c>
      <c r="I2425">
        <v>99.49</v>
      </c>
      <c r="J2425">
        <v>23.4</v>
      </c>
      <c r="K2425" t="s">
        <v>27</v>
      </c>
      <c r="L2425" t="s">
        <v>15</v>
      </c>
    </row>
    <row r="2426" spans="1:12" x14ac:dyDescent="0.3">
      <c r="A2426">
        <v>62629</v>
      </c>
      <c r="B2426" t="s">
        <v>12</v>
      </c>
      <c r="C2426">
        <v>37</v>
      </c>
      <c r="D2426" t="s">
        <v>16</v>
      </c>
      <c r="E2426" t="s">
        <v>15</v>
      </c>
      <c r="F2426" t="s">
        <v>16</v>
      </c>
      <c r="G2426" t="s">
        <v>17</v>
      </c>
      <c r="H2426" t="s">
        <v>22</v>
      </c>
      <c r="I2426">
        <v>165.99</v>
      </c>
      <c r="J2426">
        <v>32.299999999999997</v>
      </c>
      <c r="K2426" t="s">
        <v>25</v>
      </c>
      <c r="L2426" t="s">
        <v>15</v>
      </c>
    </row>
    <row r="2427" spans="1:12" x14ac:dyDescent="0.3">
      <c r="A2427">
        <v>67758</v>
      </c>
      <c r="B2427" t="s">
        <v>12</v>
      </c>
      <c r="C2427">
        <v>9</v>
      </c>
      <c r="D2427" t="s">
        <v>15</v>
      </c>
      <c r="E2427" t="s">
        <v>15</v>
      </c>
      <c r="F2427" t="s">
        <v>15</v>
      </c>
      <c r="G2427" t="s">
        <v>20</v>
      </c>
      <c r="H2427" t="s">
        <v>22</v>
      </c>
      <c r="I2427">
        <v>114.99</v>
      </c>
      <c r="J2427">
        <v>18.8</v>
      </c>
      <c r="K2427" t="s">
        <v>27</v>
      </c>
      <c r="L2427" t="s">
        <v>15</v>
      </c>
    </row>
    <row r="2428" spans="1:12" x14ac:dyDescent="0.3">
      <c r="A2428">
        <v>41244</v>
      </c>
      <c r="B2428" t="s">
        <v>13</v>
      </c>
      <c r="C2428">
        <v>7</v>
      </c>
      <c r="D2428" t="s">
        <v>15</v>
      </c>
      <c r="E2428" t="s">
        <v>15</v>
      </c>
      <c r="F2428" t="s">
        <v>15</v>
      </c>
      <c r="G2428" t="s">
        <v>20</v>
      </c>
      <c r="H2428" t="s">
        <v>22</v>
      </c>
      <c r="I2428">
        <v>79.58</v>
      </c>
      <c r="J2428">
        <v>15.5</v>
      </c>
      <c r="K2428" t="s">
        <v>27</v>
      </c>
      <c r="L2428" t="s">
        <v>15</v>
      </c>
    </row>
    <row r="2429" spans="1:12" x14ac:dyDescent="0.3">
      <c r="A2429">
        <v>50309</v>
      </c>
      <c r="B2429" t="s">
        <v>13</v>
      </c>
      <c r="C2429">
        <v>37</v>
      </c>
      <c r="D2429" t="s">
        <v>15</v>
      </c>
      <c r="E2429" t="s">
        <v>15</v>
      </c>
      <c r="F2429" t="s">
        <v>15</v>
      </c>
      <c r="G2429" t="s">
        <v>19</v>
      </c>
      <c r="H2429" t="s">
        <v>23</v>
      </c>
      <c r="I2429">
        <v>77.37</v>
      </c>
      <c r="J2429">
        <v>21.4</v>
      </c>
      <c r="K2429" t="s">
        <v>25</v>
      </c>
      <c r="L2429" t="s">
        <v>15</v>
      </c>
    </row>
    <row r="2430" spans="1:12" x14ac:dyDescent="0.3">
      <c r="A2430">
        <v>6480</v>
      </c>
      <c r="B2430" t="s">
        <v>12</v>
      </c>
      <c r="C2430">
        <v>62</v>
      </c>
      <c r="D2430" t="s">
        <v>15</v>
      </c>
      <c r="E2430" t="s">
        <v>15</v>
      </c>
      <c r="F2430" t="s">
        <v>15</v>
      </c>
      <c r="G2430" t="s">
        <v>19</v>
      </c>
      <c r="H2430" t="s">
        <v>22</v>
      </c>
      <c r="I2430">
        <v>93.55</v>
      </c>
      <c r="J2430">
        <v>31.7</v>
      </c>
      <c r="K2430" t="s">
        <v>25</v>
      </c>
      <c r="L2430" t="s">
        <v>15</v>
      </c>
    </row>
    <row r="2431" spans="1:12" x14ac:dyDescent="0.3">
      <c r="A2431">
        <v>27007</v>
      </c>
      <c r="B2431" t="s">
        <v>12</v>
      </c>
      <c r="C2431">
        <v>14</v>
      </c>
      <c r="D2431" t="s">
        <v>15</v>
      </c>
      <c r="E2431" t="s">
        <v>15</v>
      </c>
      <c r="F2431" t="s">
        <v>15</v>
      </c>
      <c r="G2431" t="s">
        <v>18</v>
      </c>
      <c r="H2431" t="s">
        <v>22</v>
      </c>
      <c r="I2431">
        <v>187.22</v>
      </c>
      <c r="J2431">
        <v>29.7</v>
      </c>
      <c r="K2431" t="s">
        <v>27</v>
      </c>
      <c r="L2431" t="s">
        <v>15</v>
      </c>
    </row>
    <row r="2432" spans="1:12" x14ac:dyDescent="0.3">
      <c r="A2432">
        <v>63912</v>
      </c>
      <c r="B2432" t="s">
        <v>13</v>
      </c>
      <c r="C2432">
        <v>77</v>
      </c>
      <c r="D2432" t="s">
        <v>15</v>
      </c>
      <c r="E2432" t="s">
        <v>15</v>
      </c>
      <c r="F2432" t="s">
        <v>16</v>
      </c>
      <c r="G2432" t="s">
        <v>19</v>
      </c>
      <c r="H2432" t="s">
        <v>23</v>
      </c>
      <c r="I2432">
        <v>167.59</v>
      </c>
      <c r="J2432">
        <v>34.299999999999997</v>
      </c>
      <c r="K2432" t="s">
        <v>24</v>
      </c>
      <c r="L2432" t="s">
        <v>15</v>
      </c>
    </row>
    <row r="2433" spans="1:12" x14ac:dyDescent="0.3">
      <c r="A2433">
        <v>37483</v>
      </c>
      <c r="B2433" t="s">
        <v>12</v>
      </c>
      <c r="C2433">
        <v>36</v>
      </c>
      <c r="D2433" t="s">
        <v>15</v>
      </c>
      <c r="E2433" t="s">
        <v>15</v>
      </c>
      <c r="F2433" t="s">
        <v>16</v>
      </c>
      <c r="G2433" t="s">
        <v>17</v>
      </c>
      <c r="H2433" t="s">
        <v>22</v>
      </c>
      <c r="I2433">
        <v>98.03</v>
      </c>
      <c r="J2433">
        <v>22.1</v>
      </c>
      <c r="K2433" t="s">
        <v>26</v>
      </c>
      <c r="L2433" t="s">
        <v>15</v>
      </c>
    </row>
    <row r="2434" spans="1:12" x14ac:dyDescent="0.3">
      <c r="A2434">
        <v>29855</v>
      </c>
      <c r="B2434" t="s">
        <v>13</v>
      </c>
      <c r="C2434">
        <v>3</v>
      </c>
      <c r="D2434" t="s">
        <v>15</v>
      </c>
      <c r="E2434" t="s">
        <v>15</v>
      </c>
      <c r="F2434" t="s">
        <v>15</v>
      </c>
      <c r="G2434" t="s">
        <v>20</v>
      </c>
      <c r="H2434" t="s">
        <v>22</v>
      </c>
      <c r="I2434">
        <v>88.79</v>
      </c>
      <c r="J2434">
        <v>21.5</v>
      </c>
      <c r="K2434" t="s">
        <v>27</v>
      </c>
      <c r="L2434" t="s">
        <v>15</v>
      </c>
    </row>
    <row r="2435" spans="1:12" x14ac:dyDescent="0.3">
      <c r="A2435">
        <v>22136</v>
      </c>
      <c r="B2435" t="s">
        <v>12</v>
      </c>
      <c r="C2435">
        <v>78</v>
      </c>
      <c r="D2435" t="s">
        <v>16</v>
      </c>
      <c r="E2435" t="s">
        <v>16</v>
      </c>
      <c r="F2435" t="s">
        <v>15</v>
      </c>
      <c r="G2435" t="s">
        <v>18</v>
      </c>
      <c r="H2435" t="s">
        <v>22</v>
      </c>
      <c r="I2435">
        <v>92.9</v>
      </c>
      <c r="J2435">
        <v>30.4</v>
      </c>
      <c r="K2435" t="s">
        <v>26</v>
      </c>
      <c r="L2435" t="s">
        <v>15</v>
      </c>
    </row>
    <row r="2436" spans="1:12" x14ac:dyDescent="0.3">
      <c r="A2436">
        <v>66637</v>
      </c>
      <c r="B2436" t="s">
        <v>13</v>
      </c>
      <c r="C2436">
        <v>49</v>
      </c>
      <c r="D2436" t="s">
        <v>15</v>
      </c>
      <c r="E2436" t="s">
        <v>15</v>
      </c>
      <c r="F2436" t="s">
        <v>16</v>
      </c>
      <c r="G2436" t="s">
        <v>19</v>
      </c>
      <c r="H2436" t="s">
        <v>22</v>
      </c>
      <c r="I2436">
        <v>117.34</v>
      </c>
      <c r="J2436">
        <v>21.6</v>
      </c>
      <c r="K2436" t="s">
        <v>25</v>
      </c>
      <c r="L2436" t="s">
        <v>15</v>
      </c>
    </row>
    <row r="2437" spans="1:12" x14ac:dyDescent="0.3">
      <c r="A2437">
        <v>2244</v>
      </c>
      <c r="B2437" t="s">
        <v>12</v>
      </c>
      <c r="C2437">
        <v>44</v>
      </c>
      <c r="D2437" t="s">
        <v>15</v>
      </c>
      <c r="E2437" t="s">
        <v>15</v>
      </c>
      <c r="F2437" t="s">
        <v>16</v>
      </c>
      <c r="G2437" t="s">
        <v>17</v>
      </c>
      <c r="H2437" t="s">
        <v>22</v>
      </c>
      <c r="I2437">
        <v>80.75</v>
      </c>
      <c r="J2437">
        <v>30.9</v>
      </c>
      <c r="K2437" t="s">
        <v>25</v>
      </c>
      <c r="L2437" t="s">
        <v>15</v>
      </c>
    </row>
    <row r="2438" spans="1:12" x14ac:dyDescent="0.3">
      <c r="A2438">
        <v>22259</v>
      </c>
      <c r="B2438" t="s">
        <v>12</v>
      </c>
      <c r="C2438">
        <v>10</v>
      </c>
      <c r="D2438" t="s">
        <v>15</v>
      </c>
      <c r="E2438" t="s">
        <v>15</v>
      </c>
      <c r="F2438" t="s">
        <v>15</v>
      </c>
      <c r="G2438" t="s">
        <v>20</v>
      </c>
      <c r="H2438" t="s">
        <v>23</v>
      </c>
      <c r="I2438">
        <v>77.510000000000005</v>
      </c>
      <c r="J2438">
        <v>21.9</v>
      </c>
      <c r="K2438" t="s">
        <v>27</v>
      </c>
      <c r="L2438" t="s">
        <v>15</v>
      </c>
    </row>
    <row r="2439" spans="1:12" x14ac:dyDescent="0.3">
      <c r="A2439">
        <v>19088</v>
      </c>
      <c r="B2439" t="s">
        <v>12</v>
      </c>
      <c r="C2439">
        <v>8</v>
      </c>
      <c r="D2439" t="s">
        <v>15</v>
      </c>
      <c r="E2439" t="s">
        <v>15</v>
      </c>
      <c r="F2439" t="s">
        <v>15</v>
      </c>
      <c r="G2439" t="s">
        <v>20</v>
      </c>
      <c r="H2439" t="s">
        <v>22</v>
      </c>
      <c r="I2439">
        <v>105.63</v>
      </c>
      <c r="J2439">
        <v>19.2</v>
      </c>
      <c r="K2439" t="s">
        <v>27</v>
      </c>
      <c r="L2439" t="s">
        <v>15</v>
      </c>
    </row>
    <row r="2440" spans="1:12" x14ac:dyDescent="0.3">
      <c r="A2440">
        <v>61010</v>
      </c>
      <c r="B2440" t="s">
        <v>13</v>
      </c>
      <c r="C2440">
        <v>60</v>
      </c>
      <c r="D2440" t="s">
        <v>15</v>
      </c>
      <c r="E2440" t="s">
        <v>15</v>
      </c>
      <c r="F2440" t="s">
        <v>16</v>
      </c>
      <c r="G2440" t="s">
        <v>17</v>
      </c>
      <c r="H2440" t="s">
        <v>22</v>
      </c>
      <c r="I2440">
        <v>114.34</v>
      </c>
      <c r="J2440">
        <v>30.3</v>
      </c>
      <c r="K2440" t="s">
        <v>26</v>
      </c>
      <c r="L2440" t="s">
        <v>15</v>
      </c>
    </row>
    <row r="2441" spans="1:12" x14ac:dyDescent="0.3">
      <c r="A2441">
        <v>49574</v>
      </c>
      <c r="B2441" t="s">
        <v>13</v>
      </c>
      <c r="C2441">
        <v>56</v>
      </c>
      <c r="D2441" t="s">
        <v>15</v>
      </c>
      <c r="E2441" t="s">
        <v>15</v>
      </c>
      <c r="F2441" t="s">
        <v>16</v>
      </c>
      <c r="G2441" t="s">
        <v>17</v>
      </c>
      <c r="H2441" t="s">
        <v>23</v>
      </c>
      <c r="I2441">
        <v>227.04</v>
      </c>
      <c r="J2441">
        <v>23</v>
      </c>
      <c r="K2441" t="s">
        <v>26</v>
      </c>
      <c r="L2441" t="s">
        <v>15</v>
      </c>
    </row>
    <row r="2442" spans="1:12" x14ac:dyDescent="0.3">
      <c r="A2442">
        <v>12336</v>
      </c>
      <c r="B2442" t="s">
        <v>13</v>
      </c>
      <c r="C2442">
        <v>73</v>
      </c>
      <c r="D2442" t="s">
        <v>15</v>
      </c>
      <c r="E2442" t="s">
        <v>15</v>
      </c>
      <c r="F2442" t="s">
        <v>16</v>
      </c>
      <c r="G2442" t="s">
        <v>18</v>
      </c>
      <c r="H2442" t="s">
        <v>22</v>
      </c>
      <c r="I2442">
        <v>87.56</v>
      </c>
      <c r="J2442">
        <v>24.1</v>
      </c>
      <c r="K2442" t="s">
        <v>25</v>
      </c>
      <c r="L2442" t="s">
        <v>15</v>
      </c>
    </row>
    <row r="2443" spans="1:12" x14ac:dyDescent="0.3">
      <c r="A2443">
        <v>3668</v>
      </c>
      <c r="B2443" t="s">
        <v>13</v>
      </c>
      <c r="C2443">
        <v>65</v>
      </c>
      <c r="D2443" t="s">
        <v>15</v>
      </c>
      <c r="E2443" t="s">
        <v>15</v>
      </c>
      <c r="F2443" t="s">
        <v>16</v>
      </c>
      <c r="G2443" t="s">
        <v>19</v>
      </c>
      <c r="H2443" t="s">
        <v>22</v>
      </c>
      <c r="I2443">
        <v>84.47</v>
      </c>
      <c r="J2443">
        <v>52.7</v>
      </c>
      <c r="K2443" t="s">
        <v>26</v>
      </c>
      <c r="L2443" t="s">
        <v>15</v>
      </c>
    </row>
    <row r="2444" spans="1:12" x14ac:dyDescent="0.3">
      <c r="A2444">
        <v>6034</v>
      </c>
      <c r="B2444" t="s">
        <v>13</v>
      </c>
      <c r="C2444">
        <v>34</v>
      </c>
      <c r="D2444" t="s">
        <v>15</v>
      </c>
      <c r="E2444" t="s">
        <v>15</v>
      </c>
      <c r="F2444" t="s">
        <v>16</v>
      </c>
      <c r="G2444" t="s">
        <v>18</v>
      </c>
      <c r="H2444" t="s">
        <v>23</v>
      </c>
      <c r="I2444">
        <v>96.26</v>
      </c>
      <c r="J2444">
        <v>27.6</v>
      </c>
      <c r="K2444" t="s">
        <v>27</v>
      </c>
      <c r="L2444" t="s">
        <v>15</v>
      </c>
    </row>
    <row r="2445" spans="1:12" x14ac:dyDescent="0.3">
      <c r="A2445">
        <v>61418</v>
      </c>
      <c r="B2445" t="s">
        <v>12</v>
      </c>
      <c r="C2445">
        <v>13</v>
      </c>
      <c r="D2445" t="s">
        <v>15</v>
      </c>
      <c r="E2445" t="s">
        <v>15</v>
      </c>
      <c r="F2445" t="s">
        <v>15</v>
      </c>
      <c r="G2445" t="s">
        <v>20</v>
      </c>
      <c r="H2445" t="s">
        <v>23</v>
      </c>
      <c r="I2445">
        <v>116.64</v>
      </c>
      <c r="J2445">
        <v>23.9</v>
      </c>
      <c r="K2445" t="s">
        <v>27</v>
      </c>
      <c r="L2445" t="s">
        <v>15</v>
      </c>
    </row>
    <row r="2446" spans="1:12" x14ac:dyDescent="0.3">
      <c r="A2446">
        <v>68725</v>
      </c>
      <c r="B2446" t="s">
        <v>13</v>
      </c>
      <c r="C2446">
        <v>80</v>
      </c>
      <c r="D2446" t="s">
        <v>15</v>
      </c>
      <c r="E2446" t="s">
        <v>15</v>
      </c>
      <c r="F2446" t="s">
        <v>16</v>
      </c>
      <c r="G2446" t="s">
        <v>17</v>
      </c>
      <c r="H2446" t="s">
        <v>22</v>
      </c>
      <c r="I2446">
        <v>79.569999999999993</v>
      </c>
      <c r="J2446">
        <v>26.9</v>
      </c>
      <c r="K2446" t="s">
        <v>25</v>
      </c>
      <c r="L2446" t="s">
        <v>15</v>
      </c>
    </row>
    <row r="2447" spans="1:12" x14ac:dyDescent="0.3">
      <c r="A2447">
        <v>464</v>
      </c>
      <c r="B2447" t="s">
        <v>12</v>
      </c>
      <c r="C2447">
        <v>46</v>
      </c>
      <c r="D2447" t="s">
        <v>15</v>
      </c>
      <c r="E2447" t="s">
        <v>15</v>
      </c>
      <c r="F2447" t="s">
        <v>16</v>
      </c>
      <c r="G2447" t="s">
        <v>17</v>
      </c>
      <c r="H2447" t="s">
        <v>23</v>
      </c>
      <c r="I2447">
        <v>78.44</v>
      </c>
      <c r="J2447">
        <v>23.9</v>
      </c>
      <c r="K2447" t="s">
        <v>25</v>
      </c>
      <c r="L2447" t="s">
        <v>15</v>
      </c>
    </row>
    <row r="2448" spans="1:12" x14ac:dyDescent="0.3">
      <c r="A2448">
        <v>42225</v>
      </c>
      <c r="B2448" t="s">
        <v>13</v>
      </c>
      <c r="C2448">
        <v>80</v>
      </c>
      <c r="D2448" t="s">
        <v>15</v>
      </c>
      <c r="E2448" t="s">
        <v>15</v>
      </c>
      <c r="F2448" t="s">
        <v>16</v>
      </c>
      <c r="G2448" t="s">
        <v>18</v>
      </c>
      <c r="H2448" t="s">
        <v>22</v>
      </c>
      <c r="I2448">
        <v>64.150000000000006</v>
      </c>
      <c r="J2448">
        <v>40.5</v>
      </c>
      <c r="K2448" t="s">
        <v>25</v>
      </c>
      <c r="L2448" t="s">
        <v>15</v>
      </c>
    </row>
    <row r="2449" spans="1:12" x14ac:dyDescent="0.3">
      <c r="A2449">
        <v>51254</v>
      </c>
      <c r="B2449" t="s">
        <v>13</v>
      </c>
      <c r="C2449">
        <v>65</v>
      </c>
      <c r="D2449" t="s">
        <v>15</v>
      </c>
      <c r="E2449" t="s">
        <v>15</v>
      </c>
      <c r="F2449" t="s">
        <v>15</v>
      </c>
      <c r="G2449" t="s">
        <v>17</v>
      </c>
      <c r="H2449" t="s">
        <v>22</v>
      </c>
      <c r="I2449">
        <v>74.5</v>
      </c>
      <c r="J2449">
        <v>32</v>
      </c>
      <c r="K2449" t="s">
        <v>25</v>
      </c>
      <c r="L2449" t="s">
        <v>15</v>
      </c>
    </row>
    <row r="2450" spans="1:12" x14ac:dyDescent="0.3">
      <c r="A2450">
        <v>59164</v>
      </c>
      <c r="B2450" t="s">
        <v>13</v>
      </c>
      <c r="C2450">
        <v>24</v>
      </c>
      <c r="D2450" t="s">
        <v>15</v>
      </c>
      <c r="E2450" t="s">
        <v>15</v>
      </c>
      <c r="F2450" t="s">
        <v>15</v>
      </c>
      <c r="G2450" t="s">
        <v>17</v>
      </c>
      <c r="H2450" t="s">
        <v>22</v>
      </c>
      <c r="I2450">
        <v>70.319999999999993</v>
      </c>
      <c r="J2450">
        <v>20.5</v>
      </c>
      <c r="K2450" t="s">
        <v>27</v>
      </c>
      <c r="L2450" t="s">
        <v>15</v>
      </c>
    </row>
    <row r="2451" spans="1:12" x14ac:dyDescent="0.3">
      <c r="A2451">
        <v>70429</v>
      </c>
      <c r="B2451" t="s">
        <v>13</v>
      </c>
      <c r="C2451">
        <v>33</v>
      </c>
      <c r="D2451" t="s">
        <v>15</v>
      </c>
      <c r="E2451" t="s">
        <v>15</v>
      </c>
      <c r="F2451" t="s">
        <v>16</v>
      </c>
      <c r="G2451" t="s">
        <v>17</v>
      </c>
      <c r="H2451" t="s">
        <v>22</v>
      </c>
      <c r="I2451">
        <v>84.48</v>
      </c>
      <c r="J2451">
        <v>44.5</v>
      </c>
      <c r="K2451" t="s">
        <v>25</v>
      </c>
      <c r="L2451" t="s">
        <v>15</v>
      </c>
    </row>
    <row r="2452" spans="1:12" x14ac:dyDescent="0.3">
      <c r="A2452">
        <v>54253</v>
      </c>
      <c r="B2452" t="s">
        <v>12</v>
      </c>
      <c r="C2452">
        <v>11</v>
      </c>
      <c r="D2452" t="s">
        <v>15</v>
      </c>
      <c r="E2452" t="s">
        <v>15</v>
      </c>
      <c r="F2452" t="s">
        <v>15</v>
      </c>
      <c r="G2452" t="s">
        <v>20</v>
      </c>
      <c r="H2452" t="s">
        <v>22</v>
      </c>
      <c r="I2452">
        <v>144.08000000000001</v>
      </c>
      <c r="J2452">
        <v>16.2</v>
      </c>
      <c r="K2452" t="s">
        <v>24</v>
      </c>
      <c r="L2452" t="s">
        <v>15</v>
      </c>
    </row>
    <row r="2453" spans="1:12" x14ac:dyDescent="0.3">
      <c r="A2453">
        <v>47937</v>
      </c>
      <c r="B2453" t="s">
        <v>13</v>
      </c>
      <c r="C2453">
        <v>57</v>
      </c>
      <c r="D2453" t="s">
        <v>15</v>
      </c>
      <c r="E2453" t="s">
        <v>15</v>
      </c>
      <c r="F2453" t="s">
        <v>16</v>
      </c>
      <c r="G2453" t="s">
        <v>18</v>
      </c>
      <c r="H2453" t="s">
        <v>23</v>
      </c>
      <c r="I2453">
        <v>78.14</v>
      </c>
      <c r="J2453">
        <v>35.799999999999997</v>
      </c>
      <c r="K2453" t="s">
        <v>25</v>
      </c>
      <c r="L2453" t="s">
        <v>15</v>
      </c>
    </row>
    <row r="2454" spans="1:12" x14ac:dyDescent="0.3">
      <c r="A2454">
        <v>66882</v>
      </c>
      <c r="B2454" t="s">
        <v>13</v>
      </c>
      <c r="C2454">
        <v>19</v>
      </c>
      <c r="D2454" t="s">
        <v>15</v>
      </c>
      <c r="E2454" t="s">
        <v>15</v>
      </c>
      <c r="F2454" t="s">
        <v>15</v>
      </c>
      <c r="G2454" t="s">
        <v>19</v>
      </c>
      <c r="H2454" t="s">
        <v>22</v>
      </c>
      <c r="I2454">
        <v>133.58000000000001</v>
      </c>
      <c r="J2454">
        <v>24</v>
      </c>
      <c r="K2454" t="s">
        <v>25</v>
      </c>
      <c r="L2454" t="s">
        <v>15</v>
      </c>
    </row>
    <row r="2455" spans="1:12" x14ac:dyDescent="0.3">
      <c r="A2455">
        <v>7411</v>
      </c>
      <c r="B2455" t="s">
        <v>12</v>
      </c>
      <c r="C2455">
        <v>82</v>
      </c>
      <c r="D2455" t="s">
        <v>15</v>
      </c>
      <c r="E2455" t="s">
        <v>15</v>
      </c>
      <c r="F2455" t="s">
        <v>16</v>
      </c>
      <c r="G2455" t="s">
        <v>17</v>
      </c>
      <c r="H2455" t="s">
        <v>22</v>
      </c>
      <c r="I2455">
        <v>214.42</v>
      </c>
      <c r="J2455">
        <v>33.9</v>
      </c>
      <c r="K2455" t="s">
        <v>24</v>
      </c>
      <c r="L2455" t="s">
        <v>15</v>
      </c>
    </row>
    <row r="2456" spans="1:12" x14ac:dyDescent="0.3">
      <c r="A2456">
        <v>39593</v>
      </c>
      <c r="B2456" t="s">
        <v>13</v>
      </c>
      <c r="C2456">
        <v>39</v>
      </c>
      <c r="D2456" t="s">
        <v>15</v>
      </c>
      <c r="E2456" t="s">
        <v>15</v>
      </c>
      <c r="F2456" t="s">
        <v>16</v>
      </c>
      <c r="G2456" t="s">
        <v>17</v>
      </c>
      <c r="H2456" t="s">
        <v>22</v>
      </c>
      <c r="I2456">
        <v>80.63</v>
      </c>
      <c r="J2456">
        <v>36</v>
      </c>
      <c r="K2456" t="s">
        <v>26</v>
      </c>
      <c r="L2456" t="s">
        <v>15</v>
      </c>
    </row>
    <row r="2457" spans="1:12" x14ac:dyDescent="0.3">
      <c r="A2457">
        <v>6239</v>
      </c>
      <c r="B2457" t="s">
        <v>13</v>
      </c>
      <c r="C2457">
        <v>14</v>
      </c>
      <c r="D2457" t="s">
        <v>15</v>
      </c>
      <c r="E2457" t="s">
        <v>15</v>
      </c>
      <c r="F2457" t="s">
        <v>15</v>
      </c>
      <c r="G2457" t="s">
        <v>17</v>
      </c>
      <c r="H2457" t="s">
        <v>23</v>
      </c>
      <c r="I2457">
        <v>233.71</v>
      </c>
      <c r="J2457">
        <v>22.9</v>
      </c>
      <c r="K2457" t="s">
        <v>25</v>
      </c>
      <c r="L2457" t="s">
        <v>15</v>
      </c>
    </row>
    <row r="2458" spans="1:12" x14ac:dyDescent="0.3">
      <c r="A2458">
        <v>35378</v>
      </c>
      <c r="B2458" t="s">
        <v>13</v>
      </c>
      <c r="C2458">
        <v>60</v>
      </c>
      <c r="D2458" t="s">
        <v>16</v>
      </c>
      <c r="E2458" t="s">
        <v>15</v>
      </c>
      <c r="F2458" t="s">
        <v>15</v>
      </c>
      <c r="G2458" t="s">
        <v>17</v>
      </c>
      <c r="H2458" t="s">
        <v>22</v>
      </c>
      <c r="I2458">
        <v>96</v>
      </c>
      <c r="J2458">
        <v>44.5</v>
      </c>
      <c r="K2458" t="s">
        <v>26</v>
      </c>
      <c r="L2458" t="s">
        <v>15</v>
      </c>
    </row>
    <row r="2459" spans="1:12" x14ac:dyDescent="0.3">
      <c r="A2459">
        <v>54012</v>
      </c>
      <c r="B2459" t="s">
        <v>13</v>
      </c>
      <c r="C2459">
        <v>3</v>
      </c>
      <c r="D2459" t="s">
        <v>15</v>
      </c>
      <c r="E2459" t="s">
        <v>15</v>
      </c>
      <c r="F2459" t="s">
        <v>15</v>
      </c>
      <c r="G2459" t="s">
        <v>20</v>
      </c>
      <c r="H2459" t="s">
        <v>22</v>
      </c>
      <c r="I2459">
        <v>74.52</v>
      </c>
      <c r="J2459">
        <v>17.5</v>
      </c>
      <c r="K2459" t="s">
        <v>27</v>
      </c>
      <c r="L2459" t="s">
        <v>15</v>
      </c>
    </row>
    <row r="2460" spans="1:12" x14ac:dyDescent="0.3">
      <c r="A2460">
        <v>69835</v>
      </c>
      <c r="B2460" t="s">
        <v>13</v>
      </c>
      <c r="C2460">
        <v>57</v>
      </c>
      <c r="D2460" t="s">
        <v>15</v>
      </c>
      <c r="E2460" t="s">
        <v>15</v>
      </c>
      <c r="F2460" t="s">
        <v>16</v>
      </c>
      <c r="G2460" t="s">
        <v>17</v>
      </c>
      <c r="H2460" t="s">
        <v>23</v>
      </c>
      <c r="I2460">
        <v>131.4</v>
      </c>
      <c r="J2460">
        <v>32.299999999999997</v>
      </c>
      <c r="K2460" t="s">
        <v>25</v>
      </c>
      <c r="L2460" t="s">
        <v>15</v>
      </c>
    </row>
    <row r="2461" spans="1:12" x14ac:dyDescent="0.3">
      <c r="A2461">
        <v>44591</v>
      </c>
      <c r="B2461" t="s">
        <v>12</v>
      </c>
      <c r="C2461">
        <v>79</v>
      </c>
      <c r="D2461" t="s">
        <v>15</v>
      </c>
      <c r="E2461" t="s">
        <v>15</v>
      </c>
      <c r="F2461" t="s">
        <v>16</v>
      </c>
      <c r="G2461" t="s">
        <v>17</v>
      </c>
      <c r="H2461" t="s">
        <v>22</v>
      </c>
      <c r="I2461">
        <v>216.4</v>
      </c>
      <c r="J2461">
        <v>30.3</v>
      </c>
      <c r="K2461" t="s">
        <v>25</v>
      </c>
      <c r="L2461" t="s">
        <v>15</v>
      </c>
    </row>
    <row r="2462" spans="1:12" x14ac:dyDescent="0.3">
      <c r="A2462">
        <v>4709</v>
      </c>
      <c r="B2462" t="s">
        <v>13</v>
      </c>
      <c r="C2462">
        <v>65</v>
      </c>
      <c r="D2462" t="s">
        <v>15</v>
      </c>
      <c r="E2462" t="s">
        <v>15</v>
      </c>
      <c r="F2462" t="s">
        <v>16</v>
      </c>
      <c r="G2462" t="s">
        <v>17</v>
      </c>
      <c r="H2462" t="s">
        <v>23</v>
      </c>
      <c r="I2462">
        <v>108.8</v>
      </c>
      <c r="J2462">
        <v>33.5</v>
      </c>
      <c r="K2462" t="s">
        <v>27</v>
      </c>
      <c r="L2462" t="s">
        <v>15</v>
      </c>
    </row>
    <row r="2463" spans="1:12" x14ac:dyDescent="0.3">
      <c r="A2463">
        <v>20393</v>
      </c>
      <c r="B2463" t="s">
        <v>13</v>
      </c>
      <c r="C2463">
        <v>67</v>
      </c>
      <c r="D2463" t="s">
        <v>16</v>
      </c>
      <c r="E2463" t="s">
        <v>15</v>
      </c>
      <c r="F2463" t="s">
        <v>16</v>
      </c>
      <c r="G2463" t="s">
        <v>17</v>
      </c>
      <c r="H2463" t="s">
        <v>22</v>
      </c>
      <c r="I2463">
        <v>97.06</v>
      </c>
      <c r="J2463">
        <v>30.9</v>
      </c>
      <c r="K2463" t="s">
        <v>25</v>
      </c>
      <c r="L2463" t="s">
        <v>15</v>
      </c>
    </row>
    <row r="2464" spans="1:12" x14ac:dyDescent="0.3">
      <c r="A2464">
        <v>27626</v>
      </c>
      <c r="B2464" t="s">
        <v>13</v>
      </c>
      <c r="C2464">
        <v>60</v>
      </c>
      <c r="D2464" t="s">
        <v>15</v>
      </c>
      <c r="E2464" t="s">
        <v>15</v>
      </c>
      <c r="F2464" t="s">
        <v>15</v>
      </c>
      <c r="G2464" t="s">
        <v>19</v>
      </c>
      <c r="H2464" t="s">
        <v>23</v>
      </c>
      <c r="I2464">
        <v>266.58999999999997</v>
      </c>
      <c r="J2464">
        <v>25.5</v>
      </c>
      <c r="K2464" t="s">
        <v>25</v>
      </c>
      <c r="L2464" t="s">
        <v>15</v>
      </c>
    </row>
    <row r="2465" spans="1:12" x14ac:dyDescent="0.3">
      <c r="A2465">
        <v>45864</v>
      </c>
      <c r="B2465" t="s">
        <v>13</v>
      </c>
      <c r="C2465">
        <v>36</v>
      </c>
      <c r="D2465" t="s">
        <v>15</v>
      </c>
      <c r="E2465" t="s">
        <v>15</v>
      </c>
      <c r="F2465" t="s">
        <v>15</v>
      </c>
      <c r="G2465" t="s">
        <v>17</v>
      </c>
      <c r="H2465" t="s">
        <v>23</v>
      </c>
      <c r="I2465">
        <v>55.58</v>
      </c>
      <c r="J2465">
        <v>30</v>
      </c>
      <c r="K2465" t="s">
        <v>25</v>
      </c>
      <c r="L2465" t="s">
        <v>15</v>
      </c>
    </row>
    <row r="2466" spans="1:12" x14ac:dyDescent="0.3">
      <c r="A2466">
        <v>68685</v>
      </c>
      <c r="B2466" t="s">
        <v>12</v>
      </c>
      <c r="C2466">
        <v>36</v>
      </c>
      <c r="D2466" t="s">
        <v>15</v>
      </c>
      <c r="E2466" t="s">
        <v>15</v>
      </c>
      <c r="F2466" t="s">
        <v>16</v>
      </c>
      <c r="G2466" t="s">
        <v>19</v>
      </c>
      <c r="H2466" t="s">
        <v>22</v>
      </c>
      <c r="I2466">
        <v>65.87</v>
      </c>
      <c r="J2466">
        <v>32.200000000000003</v>
      </c>
      <c r="K2466" t="s">
        <v>24</v>
      </c>
      <c r="L2466" t="s">
        <v>15</v>
      </c>
    </row>
    <row r="2467" spans="1:12" x14ac:dyDescent="0.3">
      <c r="A2467">
        <v>28711</v>
      </c>
      <c r="B2467" t="s">
        <v>13</v>
      </c>
      <c r="C2467">
        <v>26</v>
      </c>
      <c r="D2467" t="s">
        <v>15</v>
      </c>
      <c r="E2467" t="s">
        <v>15</v>
      </c>
      <c r="F2467" t="s">
        <v>15</v>
      </c>
      <c r="G2467" t="s">
        <v>17</v>
      </c>
      <c r="H2467" t="s">
        <v>22</v>
      </c>
      <c r="I2467">
        <v>89.28</v>
      </c>
      <c r="J2467">
        <v>21.7</v>
      </c>
      <c r="K2467" t="s">
        <v>26</v>
      </c>
      <c r="L2467" t="s">
        <v>15</v>
      </c>
    </row>
    <row r="2468" spans="1:12" x14ac:dyDescent="0.3">
      <c r="A2468">
        <v>44962</v>
      </c>
      <c r="B2468" t="s">
        <v>12</v>
      </c>
      <c r="C2468">
        <v>71</v>
      </c>
      <c r="D2468" t="s">
        <v>15</v>
      </c>
      <c r="E2468" t="s">
        <v>15</v>
      </c>
      <c r="F2468" t="s">
        <v>16</v>
      </c>
      <c r="G2468" t="s">
        <v>19</v>
      </c>
      <c r="H2468" t="s">
        <v>22</v>
      </c>
      <c r="I2468">
        <v>56.12</v>
      </c>
      <c r="J2468">
        <v>24.7</v>
      </c>
      <c r="K2468" t="s">
        <v>27</v>
      </c>
      <c r="L2468" t="s">
        <v>15</v>
      </c>
    </row>
    <row r="2469" spans="1:12" x14ac:dyDescent="0.3">
      <c r="A2469">
        <v>7892</v>
      </c>
      <c r="B2469" t="s">
        <v>12</v>
      </c>
      <c r="C2469">
        <v>78</v>
      </c>
      <c r="D2469" t="s">
        <v>15</v>
      </c>
      <c r="E2469" t="s">
        <v>15</v>
      </c>
      <c r="F2469" t="s">
        <v>16</v>
      </c>
      <c r="G2469" t="s">
        <v>17</v>
      </c>
      <c r="H2469" t="s">
        <v>22</v>
      </c>
      <c r="I2469">
        <v>74.7</v>
      </c>
      <c r="J2469">
        <v>28.8</v>
      </c>
      <c r="K2469" t="s">
        <v>24</v>
      </c>
      <c r="L2469" t="s">
        <v>15</v>
      </c>
    </row>
    <row r="2470" spans="1:12" x14ac:dyDescent="0.3">
      <c r="A2470">
        <v>11744</v>
      </c>
      <c r="B2470" t="s">
        <v>12</v>
      </c>
      <c r="C2470">
        <v>77</v>
      </c>
      <c r="D2470" t="s">
        <v>15</v>
      </c>
      <c r="E2470" t="s">
        <v>15</v>
      </c>
      <c r="F2470" t="s">
        <v>16</v>
      </c>
      <c r="G2470" t="s">
        <v>18</v>
      </c>
      <c r="H2470" t="s">
        <v>22</v>
      </c>
      <c r="I2470">
        <v>83.06</v>
      </c>
      <c r="J2470">
        <v>27</v>
      </c>
      <c r="K2470" t="s">
        <v>27</v>
      </c>
      <c r="L2470" t="s">
        <v>15</v>
      </c>
    </row>
    <row r="2471" spans="1:12" x14ac:dyDescent="0.3">
      <c r="A2471">
        <v>12279</v>
      </c>
      <c r="B2471" t="s">
        <v>12</v>
      </c>
      <c r="C2471">
        <v>74</v>
      </c>
      <c r="D2471" t="s">
        <v>15</v>
      </c>
      <c r="E2471" t="s">
        <v>15</v>
      </c>
      <c r="F2471" t="s">
        <v>16</v>
      </c>
      <c r="G2471" t="s">
        <v>17</v>
      </c>
      <c r="H2471" t="s">
        <v>22</v>
      </c>
      <c r="I2471">
        <v>227.94</v>
      </c>
      <c r="J2471">
        <v>26</v>
      </c>
      <c r="K2471" t="s">
        <v>27</v>
      </c>
      <c r="L2471" t="s">
        <v>15</v>
      </c>
    </row>
    <row r="2472" spans="1:12" x14ac:dyDescent="0.3">
      <c r="A2472">
        <v>20740</v>
      </c>
      <c r="B2472" t="s">
        <v>13</v>
      </c>
      <c r="C2472">
        <v>50</v>
      </c>
      <c r="D2472" t="s">
        <v>15</v>
      </c>
      <c r="E2472" t="s">
        <v>15</v>
      </c>
      <c r="F2472" t="s">
        <v>16</v>
      </c>
      <c r="G2472" t="s">
        <v>18</v>
      </c>
      <c r="H2472" t="s">
        <v>23</v>
      </c>
      <c r="I2472">
        <v>84.88</v>
      </c>
      <c r="J2472">
        <v>27.1</v>
      </c>
      <c r="K2472" t="s">
        <v>25</v>
      </c>
      <c r="L2472" t="s">
        <v>15</v>
      </c>
    </row>
    <row r="2473" spans="1:12" x14ac:dyDescent="0.3">
      <c r="A2473">
        <v>58257</v>
      </c>
      <c r="B2473" t="s">
        <v>12</v>
      </c>
      <c r="C2473">
        <v>9</v>
      </c>
      <c r="D2473" t="s">
        <v>15</v>
      </c>
      <c r="E2473" t="s">
        <v>15</v>
      </c>
      <c r="F2473" t="s">
        <v>15</v>
      </c>
      <c r="G2473" t="s">
        <v>20</v>
      </c>
      <c r="H2473" t="s">
        <v>22</v>
      </c>
      <c r="I2473">
        <v>64.2</v>
      </c>
      <c r="J2473">
        <v>18.5</v>
      </c>
      <c r="K2473" t="s">
        <v>27</v>
      </c>
      <c r="L2473" t="s">
        <v>15</v>
      </c>
    </row>
    <row r="2474" spans="1:12" x14ac:dyDescent="0.3">
      <c r="A2474">
        <v>36547</v>
      </c>
      <c r="B2474" t="s">
        <v>12</v>
      </c>
      <c r="C2474">
        <v>1.64</v>
      </c>
      <c r="D2474" t="s">
        <v>15</v>
      </c>
      <c r="E2474" t="s">
        <v>15</v>
      </c>
      <c r="F2474" t="s">
        <v>15</v>
      </c>
      <c r="G2474" t="s">
        <v>20</v>
      </c>
      <c r="H2474" t="s">
        <v>23</v>
      </c>
      <c r="I2474">
        <v>137.22</v>
      </c>
      <c r="J2474">
        <v>18.8</v>
      </c>
      <c r="K2474" t="s">
        <v>27</v>
      </c>
      <c r="L2474" t="s">
        <v>15</v>
      </c>
    </row>
    <row r="2475" spans="1:12" x14ac:dyDescent="0.3">
      <c r="A2475">
        <v>559</v>
      </c>
      <c r="B2475" t="s">
        <v>13</v>
      </c>
      <c r="C2475">
        <v>54</v>
      </c>
      <c r="D2475" t="s">
        <v>15</v>
      </c>
      <c r="E2475" t="s">
        <v>15</v>
      </c>
      <c r="F2475" t="s">
        <v>16</v>
      </c>
      <c r="G2475" t="s">
        <v>17</v>
      </c>
      <c r="H2475" t="s">
        <v>22</v>
      </c>
      <c r="I2475">
        <v>81.44</v>
      </c>
      <c r="J2475">
        <v>31.5</v>
      </c>
      <c r="K2475" t="s">
        <v>24</v>
      </c>
      <c r="L2475" t="s">
        <v>15</v>
      </c>
    </row>
    <row r="2476" spans="1:12" x14ac:dyDescent="0.3">
      <c r="A2476">
        <v>13728</v>
      </c>
      <c r="B2476" t="s">
        <v>12</v>
      </c>
      <c r="C2476">
        <v>8</v>
      </c>
      <c r="D2476" t="s">
        <v>15</v>
      </c>
      <c r="E2476" t="s">
        <v>15</v>
      </c>
      <c r="F2476" t="s">
        <v>15</v>
      </c>
      <c r="G2476" t="s">
        <v>20</v>
      </c>
      <c r="H2476" t="s">
        <v>23</v>
      </c>
      <c r="I2476">
        <v>90.26</v>
      </c>
      <c r="J2476">
        <v>18.100000000000001</v>
      </c>
      <c r="K2476" t="s">
        <v>27</v>
      </c>
      <c r="L2476" t="s">
        <v>15</v>
      </c>
    </row>
    <row r="2477" spans="1:12" x14ac:dyDescent="0.3">
      <c r="A2477">
        <v>4400</v>
      </c>
      <c r="B2477" t="s">
        <v>13</v>
      </c>
      <c r="C2477">
        <v>36</v>
      </c>
      <c r="D2477" t="s">
        <v>15</v>
      </c>
      <c r="E2477" t="s">
        <v>15</v>
      </c>
      <c r="F2477" t="s">
        <v>16</v>
      </c>
      <c r="G2477" t="s">
        <v>17</v>
      </c>
      <c r="H2477" t="s">
        <v>22</v>
      </c>
      <c r="I2477">
        <v>68.48</v>
      </c>
      <c r="J2477">
        <v>24.3</v>
      </c>
      <c r="K2477" t="s">
        <v>25</v>
      </c>
      <c r="L2477" t="s">
        <v>15</v>
      </c>
    </row>
    <row r="2478" spans="1:12" x14ac:dyDescent="0.3">
      <c r="A2478">
        <v>68524</v>
      </c>
      <c r="B2478" t="s">
        <v>13</v>
      </c>
      <c r="C2478">
        <v>38</v>
      </c>
      <c r="D2478" t="s">
        <v>15</v>
      </c>
      <c r="E2478" t="s">
        <v>15</v>
      </c>
      <c r="F2478" t="s">
        <v>16</v>
      </c>
      <c r="G2478" t="s">
        <v>17</v>
      </c>
      <c r="H2478" t="s">
        <v>22</v>
      </c>
      <c r="I2478">
        <v>100.02</v>
      </c>
      <c r="J2478">
        <v>28</v>
      </c>
      <c r="K2478" t="s">
        <v>25</v>
      </c>
      <c r="L2478" t="s">
        <v>15</v>
      </c>
    </row>
    <row r="2479" spans="1:12" x14ac:dyDescent="0.3">
      <c r="A2479">
        <v>24096</v>
      </c>
      <c r="B2479" t="s">
        <v>13</v>
      </c>
      <c r="C2479">
        <v>34</v>
      </c>
      <c r="D2479" t="s">
        <v>16</v>
      </c>
      <c r="E2479" t="s">
        <v>15</v>
      </c>
      <c r="F2479" t="s">
        <v>16</v>
      </c>
      <c r="G2479" t="s">
        <v>18</v>
      </c>
      <c r="H2479" t="s">
        <v>22</v>
      </c>
      <c r="I2479">
        <v>100.61</v>
      </c>
      <c r="K2479" t="s">
        <v>27</v>
      </c>
      <c r="L2479" t="s">
        <v>15</v>
      </c>
    </row>
    <row r="2480" spans="1:12" x14ac:dyDescent="0.3">
      <c r="A2480">
        <v>65643</v>
      </c>
      <c r="B2480" t="s">
        <v>13</v>
      </c>
      <c r="C2480">
        <v>7</v>
      </c>
      <c r="D2480" t="s">
        <v>15</v>
      </c>
      <c r="E2480" t="s">
        <v>15</v>
      </c>
      <c r="F2480" t="s">
        <v>15</v>
      </c>
      <c r="G2480" t="s">
        <v>20</v>
      </c>
      <c r="H2480" t="s">
        <v>22</v>
      </c>
      <c r="I2480">
        <v>156.82</v>
      </c>
      <c r="J2480">
        <v>17.3</v>
      </c>
      <c r="K2480" t="s">
        <v>27</v>
      </c>
      <c r="L2480" t="s">
        <v>15</v>
      </c>
    </row>
    <row r="2481" spans="1:12" x14ac:dyDescent="0.3">
      <c r="A2481">
        <v>30186</v>
      </c>
      <c r="B2481" t="s">
        <v>13</v>
      </c>
      <c r="C2481">
        <v>5</v>
      </c>
      <c r="D2481" t="s">
        <v>15</v>
      </c>
      <c r="E2481" t="s">
        <v>15</v>
      </c>
      <c r="F2481" t="s">
        <v>15</v>
      </c>
      <c r="G2481" t="s">
        <v>20</v>
      </c>
      <c r="H2481" t="s">
        <v>22</v>
      </c>
      <c r="I2481">
        <v>81.66</v>
      </c>
      <c r="J2481">
        <v>17.2</v>
      </c>
      <c r="K2481" t="s">
        <v>27</v>
      </c>
      <c r="L2481" t="s">
        <v>15</v>
      </c>
    </row>
    <row r="2482" spans="1:12" x14ac:dyDescent="0.3">
      <c r="A2482">
        <v>11904</v>
      </c>
      <c r="B2482" t="s">
        <v>12</v>
      </c>
      <c r="C2482">
        <v>14</v>
      </c>
      <c r="D2482" t="s">
        <v>15</v>
      </c>
      <c r="E2482" t="s">
        <v>15</v>
      </c>
      <c r="F2482" t="s">
        <v>15</v>
      </c>
      <c r="G2482" t="s">
        <v>20</v>
      </c>
      <c r="H2482" t="s">
        <v>23</v>
      </c>
      <c r="I2482">
        <v>112.22</v>
      </c>
      <c r="J2482">
        <v>26.9</v>
      </c>
      <c r="K2482" t="s">
        <v>27</v>
      </c>
      <c r="L2482" t="s">
        <v>15</v>
      </c>
    </row>
    <row r="2483" spans="1:12" x14ac:dyDescent="0.3">
      <c r="A2483">
        <v>20257</v>
      </c>
      <c r="B2483" t="s">
        <v>12</v>
      </c>
      <c r="C2483">
        <v>0.88</v>
      </c>
      <c r="D2483" t="s">
        <v>15</v>
      </c>
      <c r="E2483" t="s">
        <v>15</v>
      </c>
      <c r="F2483" t="s">
        <v>15</v>
      </c>
      <c r="G2483" t="s">
        <v>20</v>
      </c>
      <c r="H2483" t="s">
        <v>22</v>
      </c>
      <c r="I2483">
        <v>90.62</v>
      </c>
      <c r="J2483">
        <v>22.4</v>
      </c>
      <c r="K2483" t="s">
        <v>27</v>
      </c>
      <c r="L2483" t="s">
        <v>15</v>
      </c>
    </row>
    <row r="2484" spans="1:12" x14ac:dyDescent="0.3">
      <c r="A2484">
        <v>2822</v>
      </c>
      <c r="B2484" t="s">
        <v>13</v>
      </c>
      <c r="C2484">
        <v>30</v>
      </c>
      <c r="D2484" t="s">
        <v>15</v>
      </c>
      <c r="E2484" t="s">
        <v>15</v>
      </c>
      <c r="F2484" t="s">
        <v>16</v>
      </c>
      <c r="G2484" t="s">
        <v>17</v>
      </c>
      <c r="H2484" t="s">
        <v>23</v>
      </c>
      <c r="I2484">
        <v>72.489999999999995</v>
      </c>
      <c r="J2484">
        <v>25.8</v>
      </c>
      <c r="K2484" t="s">
        <v>25</v>
      </c>
      <c r="L2484" t="s">
        <v>15</v>
      </c>
    </row>
    <row r="2485" spans="1:12" x14ac:dyDescent="0.3">
      <c r="A2485">
        <v>18072</v>
      </c>
      <c r="B2485" t="s">
        <v>13</v>
      </c>
      <c r="C2485">
        <v>39</v>
      </c>
      <c r="D2485" t="s">
        <v>15</v>
      </c>
      <c r="E2485" t="s">
        <v>15</v>
      </c>
      <c r="F2485" t="s">
        <v>16</v>
      </c>
      <c r="G2485" t="s">
        <v>19</v>
      </c>
      <c r="H2485" t="s">
        <v>22</v>
      </c>
      <c r="I2485">
        <v>107.47</v>
      </c>
      <c r="J2485">
        <v>21.3</v>
      </c>
      <c r="K2485" t="s">
        <v>27</v>
      </c>
      <c r="L2485" t="s">
        <v>15</v>
      </c>
    </row>
    <row r="2486" spans="1:12" x14ac:dyDescent="0.3">
      <c r="A2486">
        <v>34896</v>
      </c>
      <c r="B2486" t="s">
        <v>13</v>
      </c>
      <c r="C2486">
        <v>17</v>
      </c>
      <c r="D2486" t="s">
        <v>15</v>
      </c>
      <c r="E2486" t="s">
        <v>15</v>
      </c>
      <c r="F2486" t="s">
        <v>15</v>
      </c>
      <c r="G2486" t="s">
        <v>17</v>
      </c>
      <c r="H2486" t="s">
        <v>23</v>
      </c>
      <c r="I2486">
        <v>92.11</v>
      </c>
      <c r="J2486">
        <v>43</v>
      </c>
      <c r="K2486" t="s">
        <v>25</v>
      </c>
      <c r="L2486" t="s">
        <v>15</v>
      </c>
    </row>
    <row r="2487" spans="1:12" x14ac:dyDescent="0.3">
      <c r="A2487">
        <v>53328</v>
      </c>
      <c r="B2487" t="s">
        <v>13</v>
      </c>
      <c r="C2487">
        <v>14</v>
      </c>
      <c r="D2487" t="s">
        <v>15</v>
      </c>
      <c r="E2487" t="s">
        <v>15</v>
      </c>
      <c r="F2487" t="s">
        <v>15</v>
      </c>
      <c r="G2487" t="s">
        <v>17</v>
      </c>
      <c r="H2487" t="s">
        <v>23</v>
      </c>
      <c r="I2487">
        <v>70.540000000000006</v>
      </c>
      <c r="J2487">
        <v>24.4</v>
      </c>
      <c r="K2487" t="s">
        <v>24</v>
      </c>
      <c r="L2487" t="s">
        <v>15</v>
      </c>
    </row>
    <row r="2488" spans="1:12" x14ac:dyDescent="0.3">
      <c r="A2488">
        <v>28303</v>
      </c>
      <c r="B2488" t="s">
        <v>13</v>
      </c>
      <c r="C2488">
        <v>52</v>
      </c>
      <c r="D2488" t="s">
        <v>15</v>
      </c>
      <c r="E2488" t="s">
        <v>15</v>
      </c>
      <c r="F2488" t="s">
        <v>16</v>
      </c>
      <c r="G2488" t="s">
        <v>18</v>
      </c>
      <c r="H2488" t="s">
        <v>23</v>
      </c>
      <c r="I2488">
        <v>205</v>
      </c>
      <c r="J2488">
        <v>30.1</v>
      </c>
      <c r="K2488" t="s">
        <v>25</v>
      </c>
      <c r="L2488" t="s">
        <v>15</v>
      </c>
    </row>
    <row r="2489" spans="1:12" x14ac:dyDescent="0.3">
      <c r="A2489">
        <v>44325</v>
      </c>
      <c r="B2489" t="s">
        <v>12</v>
      </c>
      <c r="C2489">
        <v>78</v>
      </c>
      <c r="D2489" t="s">
        <v>15</v>
      </c>
      <c r="E2489" t="s">
        <v>15</v>
      </c>
      <c r="F2489" t="s">
        <v>16</v>
      </c>
      <c r="G2489" t="s">
        <v>18</v>
      </c>
      <c r="H2489" t="s">
        <v>23</v>
      </c>
      <c r="I2489">
        <v>126.39</v>
      </c>
      <c r="J2489">
        <v>21.3</v>
      </c>
      <c r="K2489" t="s">
        <v>26</v>
      </c>
      <c r="L2489" t="s">
        <v>15</v>
      </c>
    </row>
    <row r="2490" spans="1:12" x14ac:dyDescent="0.3">
      <c r="A2490">
        <v>8579</v>
      </c>
      <c r="B2490" t="s">
        <v>13</v>
      </c>
      <c r="C2490">
        <v>2</v>
      </c>
      <c r="D2490" t="s">
        <v>15</v>
      </c>
      <c r="E2490" t="s">
        <v>15</v>
      </c>
      <c r="F2490" t="s">
        <v>15</v>
      </c>
      <c r="G2490" t="s">
        <v>20</v>
      </c>
      <c r="H2490" t="s">
        <v>23</v>
      </c>
      <c r="I2490">
        <v>89.72</v>
      </c>
      <c r="J2490">
        <v>17.8</v>
      </c>
      <c r="K2490" t="s">
        <v>27</v>
      </c>
      <c r="L2490" t="s">
        <v>15</v>
      </c>
    </row>
    <row r="2491" spans="1:12" x14ac:dyDescent="0.3">
      <c r="A2491">
        <v>29229</v>
      </c>
      <c r="B2491" t="s">
        <v>12</v>
      </c>
      <c r="C2491">
        <v>32</v>
      </c>
      <c r="D2491" t="s">
        <v>15</v>
      </c>
      <c r="E2491" t="s">
        <v>15</v>
      </c>
      <c r="F2491" t="s">
        <v>16</v>
      </c>
      <c r="G2491" t="s">
        <v>17</v>
      </c>
      <c r="H2491" t="s">
        <v>22</v>
      </c>
      <c r="I2491">
        <v>92.08</v>
      </c>
      <c r="J2491">
        <v>28.4</v>
      </c>
      <c r="K2491" t="s">
        <v>26</v>
      </c>
      <c r="L2491" t="s">
        <v>15</v>
      </c>
    </row>
    <row r="2492" spans="1:12" x14ac:dyDescent="0.3">
      <c r="A2492">
        <v>48406</v>
      </c>
      <c r="B2492" t="s">
        <v>12</v>
      </c>
      <c r="C2492">
        <v>0.88</v>
      </c>
      <c r="D2492" t="s">
        <v>15</v>
      </c>
      <c r="E2492" t="s">
        <v>15</v>
      </c>
      <c r="F2492" t="s">
        <v>15</v>
      </c>
      <c r="G2492" t="s">
        <v>20</v>
      </c>
      <c r="H2492" t="s">
        <v>22</v>
      </c>
      <c r="I2492">
        <v>85.38</v>
      </c>
      <c r="J2492">
        <v>23.4</v>
      </c>
      <c r="K2492" t="s">
        <v>27</v>
      </c>
      <c r="L2492" t="s">
        <v>15</v>
      </c>
    </row>
    <row r="2493" spans="1:12" x14ac:dyDescent="0.3">
      <c r="A2493">
        <v>3761</v>
      </c>
      <c r="B2493" t="s">
        <v>13</v>
      </c>
      <c r="C2493">
        <v>50</v>
      </c>
      <c r="D2493" t="s">
        <v>15</v>
      </c>
      <c r="E2493" t="s">
        <v>15</v>
      </c>
      <c r="F2493" t="s">
        <v>16</v>
      </c>
      <c r="G2493" t="s">
        <v>18</v>
      </c>
      <c r="H2493" t="s">
        <v>23</v>
      </c>
      <c r="I2493">
        <v>95.25</v>
      </c>
      <c r="J2493">
        <v>24.3</v>
      </c>
      <c r="K2493" t="s">
        <v>25</v>
      </c>
      <c r="L2493" t="s">
        <v>15</v>
      </c>
    </row>
    <row r="2494" spans="1:12" x14ac:dyDescent="0.3">
      <c r="A2494">
        <v>65324</v>
      </c>
      <c r="B2494" t="s">
        <v>13</v>
      </c>
      <c r="C2494">
        <v>48</v>
      </c>
      <c r="D2494" t="s">
        <v>15</v>
      </c>
      <c r="E2494" t="s">
        <v>15</v>
      </c>
      <c r="F2494" t="s">
        <v>16</v>
      </c>
      <c r="G2494" t="s">
        <v>19</v>
      </c>
      <c r="H2494" t="s">
        <v>23</v>
      </c>
      <c r="I2494">
        <v>75.91</v>
      </c>
      <c r="J2494">
        <v>27.8</v>
      </c>
      <c r="K2494" t="s">
        <v>27</v>
      </c>
      <c r="L2494" t="s">
        <v>15</v>
      </c>
    </row>
    <row r="2495" spans="1:12" x14ac:dyDescent="0.3">
      <c r="A2495">
        <v>7658</v>
      </c>
      <c r="B2495" t="s">
        <v>12</v>
      </c>
      <c r="C2495">
        <v>66</v>
      </c>
      <c r="D2495" t="s">
        <v>15</v>
      </c>
      <c r="E2495" t="s">
        <v>15</v>
      </c>
      <c r="F2495" t="s">
        <v>16</v>
      </c>
      <c r="G2495" t="s">
        <v>19</v>
      </c>
      <c r="H2495" t="s">
        <v>23</v>
      </c>
      <c r="I2495">
        <v>203.44</v>
      </c>
      <c r="J2495">
        <v>30.5</v>
      </c>
      <c r="K2495" t="s">
        <v>24</v>
      </c>
      <c r="L2495" t="s">
        <v>15</v>
      </c>
    </row>
    <row r="2496" spans="1:12" x14ac:dyDescent="0.3">
      <c r="A2496">
        <v>35997</v>
      </c>
      <c r="B2496" t="s">
        <v>12</v>
      </c>
      <c r="C2496">
        <v>78</v>
      </c>
      <c r="D2496" t="s">
        <v>15</v>
      </c>
      <c r="E2496" t="s">
        <v>16</v>
      </c>
      <c r="F2496" t="s">
        <v>16</v>
      </c>
      <c r="G2496" t="s">
        <v>18</v>
      </c>
      <c r="H2496" t="s">
        <v>22</v>
      </c>
      <c r="I2496">
        <v>243.73</v>
      </c>
      <c r="K2496" t="s">
        <v>26</v>
      </c>
      <c r="L2496" t="s">
        <v>15</v>
      </c>
    </row>
    <row r="2497" spans="1:12" x14ac:dyDescent="0.3">
      <c r="A2497">
        <v>34383</v>
      </c>
      <c r="B2497" t="s">
        <v>12</v>
      </c>
      <c r="C2497">
        <v>46</v>
      </c>
      <c r="D2497" t="s">
        <v>15</v>
      </c>
      <c r="E2497" t="s">
        <v>15</v>
      </c>
      <c r="F2497" t="s">
        <v>16</v>
      </c>
      <c r="G2497" t="s">
        <v>17</v>
      </c>
      <c r="H2497" t="s">
        <v>22</v>
      </c>
      <c r="I2497">
        <v>88.23</v>
      </c>
      <c r="J2497">
        <v>25.8</v>
      </c>
      <c r="K2497" t="s">
        <v>27</v>
      </c>
      <c r="L2497" t="s">
        <v>15</v>
      </c>
    </row>
    <row r="2498" spans="1:12" x14ac:dyDescent="0.3">
      <c r="A2498">
        <v>8646</v>
      </c>
      <c r="B2498" t="s">
        <v>13</v>
      </c>
      <c r="C2498">
        <v>54</v>
      </c>
      <c r="D2498" t="s">
        <v>15</v>
      </c>
      <c r="E2498" t="s">
        <v>15</v>
      </c>
      <c r="F2498" t="s">
        <v>16</v>
      </c>
      <c r="G2498" t="s">
        <v>17</v>
      </c>
      <c r="H2498" t="s">
        <v>23</v>
      </c>
      <c r="I2498">
        <v>97.47</v>
      </c>
      <c r="J2498">
        <v>26.7</v>
      </c>
      <c r="K2498" t="s">
        <v>25</v>
      </c>
      <c r="L2498" t="s">
        <v>15</v>
      </c>
    </row>
    <row r="2499" spans="1:12" x14ac:dyDescent="0.3">
      <c r="A2499">
        <v>46653</v>
      </c>
      <c r="B2499" t="s">
        <v>13</v>
      </c>
      <c r="C2499">
        <v>81</v>
      </c>
      <c r="D2499" t="s">
        <v>16</v>
      </c>
      <c r="E2499" t="s">
        <v>16</v>
      </c>
      <c r="F2499" t="s">
        <v>16</v>
      </c>
      <c r="G2499" t="s">
        <v>17</v>
      </c>
      <c r="H2499" t="s">
        <v>23</v>
      </c>
      <c r="I2499">
        <v>59.28</v>
      </c>
      <c r="J2499">
        <v>28.1</v>
      </c>
      <c r="K2499" t="s">
        <v>25</v>
      </c>
      <c r="L2499" t="s">
        <v>15</v>
      </c>
    </row>
    <row r="2500" spans="1:12" x14ac:dyDescent="0.3">
      <c r="A2500">
        <v>1099</v>
      </c>
      <c r="B2500" t="s">
        <v>13</v>
      </c>
      <c r="C2500">
        <v>15</v>
      </c>
      <c r="D2500" t="s">
        <v>15</v>
      </c>
      <c r="E2500" t="s">
        <v>15</v>
      </c>
      <c r="F2500" t="s">
        <v>15</v>
      </c>
      <c r="G2500" t="s">
        <v>20</v>
      </c>
      <c r="H2500" t="s">
        <v>23</v>
      </c>
      <c r="I2500">
        <v>101.15</v>
      </c>
      <c r="J2500">
        <v>22.2</v>
      </c>
      <c r="K2500" t="s">
        <v>27</v>
      </c>
      <c r="L2500" t="s">
        <v>15</v>
      </c>
    </row>
    <row r="2501" spans="1:12" x14ac:dyDescent="0.3">
      <c r="A2501">
        <v>61676</v>
      </c>
      <c r="B2501" t="s">
        <v>12</v>
      </c>
      <c r="C2501">
        <v>77</v>
      </c>
      <c r="D2501" t="s">
        <v>15</v>
      </c>
      <c r="E2501" t="s">
        <v>15</v>
      </c>
      <c r="F2501" t="s">
        <v>16</v>
      </c>
      <c r="G2501" t="s">
        <v>18</v>
      </c>
      <c r="H2501" t="s">
        <v>22</v>
      </c>
      <c r="I2501">
        <v>68.38</v>
      </c>
      <c r="J2501">
        <v>25.1</v>
      </c>
      <c r="K2501" t="s">
        <v>27</v>
      </c>
      <c r="L2501" t="s">
        <v>15</v>
      </c>
    </row>
    <row r="2502" spans="1:12" x14ac:dyDescent="0.3">
      <c r="A2502">
        <v>38131</v>
      </c>
      <c r="B2502" t="s">
        <v>13</v>
      </c>
      <c r="C2502">
        <v>59</v>
      </c>
      <c r="D2502" t="s">
        <v>15</v>
      </c>
      <c r="E2502" t="s">
        <v>15</v>
      </c>
      <c r="F2502" t="s">
        <v>16</v>
      </c>
      <c r="G2502" t="s">
        <v>18</v>
      </c>
      <c r="H2502" t="s">
        <v>23</v>
      </c>
      <c r="I2502">
        <v>55.46</v>
      </c>
      <c r="J2502">
        <v>20.9</v>
      </c>
      <c r="K2502" t="s">
        <v>25</v>
      </c>
      <c r="L2502" t="s">
        <v>15</v>
      </c>
    </row>
    <row r="2503" spans="1:12" x14ac:dyDescent="0.3">
      <c r="A2503">
        <v>61848</v>
      </c>
      <c r="B2503" t="s">
        <v>13</v>
      </c>
      <c r="C2503">
        <v>48</v>
      </c>
      <c r="D2503" t="s">
        <v>15</v>
      </c>
      <c r="E2503" t="s">
        <v>15</v>
      </c>
      <c r="F2503" t="s">
        <v>16</v>
      </c>
      <c r="G2503" t="s">
        <v>17</v>
      </c>
      <c r="H2503" t="s">
        <v>22</v>
      </c>
      <c r="I2503">
        <v>113.87</v>
      </c>
      <c r="J2503">
        <v>28.9</v>
      </c>
      <c r="K2503" t="s">
        <v>25</v>
      </c>
      <c r="L2503" t="s">
        <v>15</v>
      </c>
    </row>
    <row r="2504" spans="1:12" x14ac:dyDescent="0.3">
      <c r="A2504">
        <v>56228</v>
      </c>
      <c r="B2504" t="s">
        <v>12</v>
      </c>
      <c r="C2504">
        <v>76</v>
      </c>
      <c r="D2504" t="s">
        <v>15</v>
      </c>
      <c r="E2504" t="s">
        <v>16</v>
      </c>
      <c r="F2504" t="s">
        <v>16</v>
      </c>
      <c r="G2504" t="s">
        <v>18</v>
      </c>
      <c r="H2504" t="s">
        <v>22</v>
      </c>
      <c r="I2504">
        <v>67.03</v>
      </c>
      <c r="K2504" t="s">
        <v>25</v>
      </c>
      <c r="L2504" t="s">
        <v>15</v>
      </c>
    </row>
    <row r="2505" spans="1:12" x14ac:dyDescent="0.3">
      <c r="A2505">
        <v>4949</v>
      </c>
      <c r="B2505" t="s">
        <v>12</v>
      </c>
      <c r="C2505">
        <v>49</v>
      </c>
      <c r="D2505" t="s">
        <v>15</v>
      </c>
      <c r="E2505" t="s">
        <v>15</v>
      </c>
      <c r="F2505" t="s">
        <v>16</v>
      </c>
      <c r="G2505" t="s">
        <v>17</v>
      </c>
      <c r="H2505" t="s">
        <v>23</v>
      </c>
      <c r="I2505">
        <v>96.35</v>
      </c>
      <c r="J2505">
        <v>35.9</v>
      </c>
      <c r="K2505" t="s">
        <v>25</v>
      </c>
      <c r="L2505" t="s">
        <v>15</v>
      </c>
    </row>
    <row r="2506" spans="1:12" x14ac:dyDescent="0.3">
      <c r="A2506">
        <v>46688</v>
      </c>
      <c r="B2506" t="s">
        <v>13</v>
      </c>
      <c r="C2506">
        <v>44</v>
      </c>
      <c r="D2506" t="s">
        <v>15</v>
      </c>
      <c r="E2506" t="s">
        <v>15</v>
      </c>
      <c r="F2506" t="s">
        <v>15</v>
      </c>
      <c r="G2506" t="s">
        <v>17</v>
      </c>
      <c r="H2506" t="s">
        <v>22</v>
      </c>
      <c r="I2506">
        <v>127.21</v>
      </c>
      <c r="J2506">
        <v>29.8</v>
      </c>
      <c r="K2506" t="s">
        <v>26</v>
      </c>
      <c r="L2506" t="s">
        <v>15</v>
      </c>
    </row>
    <row r="2507" spans="1:12" x14ac:dyDescent="0.3">
      <c r="A2507">
        <v>30491</v>
      </c>
      <c r="B2507" t="s">
        <v>13</v>
      </c>
      <c r="C2507">
        <v>39</v>
      </c>
      <c r="D2507" t="s">
        <v>15</v>
      </c>
      <c r="E2507" t="s">
        <v>15</v>
      </c>
      <c r="F2507" t="s">
        <v>16</v>
      </c>
      <c r="G2507" t="s">
        <v>17</v>
      </c>
      <c r="H2507" t="s">
        <v>22</v>
      </c>
      <c r="I2507">
        <v>78.900000000000006</v>
      </c>
      <c r="J2507">
        <v>26.7</v>
      </c>
      <c r="K2507" t="s">
        <v>25</v>
      </c>
      <c r="L2507" t="s">
        <v>15</v>
      </c>
    </row>
    <row r="2508" spans="1:12" x14ac:dyDescent="0.3">
      <c r="A2508">
        <v>43478</v>
      </c>
      <c r="B2508" t="s">
        <v>12</v>
      </c>
      <c r="C2508">
        <v>34</v>
      </c>
      <c r="D2508" t="s">
        <v>15</v>
      </c>
      <c r="E2508" t="s">
        <v>15</v>
      </c>
      <c r="F2508" t="s">
        <v>16</v>
      </c>
      <c r="G2508" t="s">
        <v>17</v>
      </c>
      <c r="H2508" t="s">
        <v>22</v>
      </c>
      <c r="I2508">
        <v>59.91</v>
      </c>
      <c r="J2508">
        <v>28.4</v>
      </c>
      <c r="K2508" t="s">
        <v>24</v>
      </c>
      <c r="L2508" t="s">
        <v>15</v>
      </c>
    </row>
    <row r="2509" spans="1:12" x14ac:dyDescent="0.3">
      <c r="A2509">
        <v>25443</v>
      </c>
      <c r="B2509" t="s">
        <v>12</v>
      </c>
      <c r="C2509">
        <v>50</v>
      </c>
      <c r="D2509" t="s">
        <v>15</v>
      </c>
      <c r="E2509" t="s">
        <v>15</v>
      </c>
      <c r="F2509" t="s">
        <v>15</v>
      </c>
      <c r="G2509" t="s">
        <v>17</v>
      </c>
      <c r="H2509" t="s">
        <v>22</v>
      </c>
      <c r="I2509">
        <v>160.94</v>
      </c>
      <c r="J2509">
        <v>26.7</v>
      </c>
      <c r="K2509" t="s">
        <v>26</v>
      </c>
      <c r="L2509" t="s">
        <v>15</v>
      </c>
    </row>
    <row r="2510" spans="1:12" x14ac:dyDescent="0.3">
      <c r="A2510">
        <v>52519</v>
      </c>
      <c r="B2510" t="s">
        <v>12</v>
      </c>
      <c r="C2510">
        <v>62</v>
      </c>
      <c r="D2510" t="s">
        <v>15</v>
      </c>
      <c r="E2510" t="s">
        <v>15</v>
      </c>
      <c r="F2510" t="s">
        <v>16</v>
      </c>
      <c r="G2510" t="s">
        <v>17</v>
      </c>
      <c r="H2510" t="s">
        <v>23</v>
      </c>
      <c r="I2510">
        <v>59.61</v>
      </c>
      <c r="J2510">
        <v>32.5</v>
      </c>
      <c r="K2510" t="s">
        <v>27</v>
      </c>
      <c r="L2510" t="s">
        <v>15</v>
      </c>
    </row>
    <row r="2511" spans="1:12" x14ac:dyDescent="0.3">
      <c r="A2511">
        <v>24361</v>
      </c>
      <c r="B2511" t="s">
        <v>13</v>
      </c>
      <c r="C2511">
        <v>38</v>
      </c>
      <c r="D2511" t="s">
        <v>15</v>
      </c>
      <c r="E2511" t="s">
        <v>15</v>
      </c>
      <c r="F2511" t="s">
        <v>16</v>
      </c>
      <c r="G2511" t="s">
        <v>17</v>
      </c>
      <c r="H2511" t="s">
        <v>22</v>
      </c>
      <c r="I2511">
        <v>87.94</v>
      </c>
      <c r="J2511">
        <v>43.8</v>
      </c>
      <c r="K2511" t="s">
        <v>25</v>
      </c>
      <c r="L2511" t="s">
        <v>15</v>
      </c>
    </row>
    <row r="2512" spans="1:12" x14ac:dyDescent="0.3">
      <c r="A2512">
        <v>29514</v>
      </c>
      <c r="B2512" t="s">
        <v>13</v>
      </c>
      <c r="C2512">
        <v>43</v>
      </c>
      <c r="D2512" t="s">
        <v>15</v>
      </c>
      <c r="E2512" t="s">
        <v>15</v>
      </c>
      <c r="F2512" t="s">
        <v>16</v>
      </c>
      <c r="G2512" t="s">
        <v>17</v>
      </c>
      <c r="H2512" t="s">
        <v>23</v>
      </c>
      <c r="I2512">
        <v>97.55</v>
      </c>
      <c r="J2512">
        <v>28.3</v>
      </c>
      <c r="K2512" t="s">
        <v>24</v>
      </c>
      <c r="L2512" t="s">
        <v>15</v>
      </c>
    </row>
    <row r="2513" spans="1:12" x14ac:dyDescent="0.3">
      <c r="A2513">
        <v>35893</v>
      </c>
      <c r="B2513" t="s">
        <v>12</v>
      </c>
      <c r="C2513">
        <v>28</v>
      </c>
      <c r="D2513" t="s">
        <v>15</v>
      </c>
      <c r="E2513" t="s">
        <v>15</v>
      </c>
      <c r="F2513" t="s">
        <v>15</v>
      </c>
      <c r="G2513" t="s">
        <v>17</v>
      </c>
      <c r="H2513" t="s">
        <v>22</v>
      </c>
      <c r="I2513">
        <v>116.02</v>
      </c>
      <c r="J2513">
        <v>36.6</v>
      </c>
      <c r="K2513" t="s">
        <v>24</v>
      </c>
      <c r="L2513" t="s">
        <v>15</v>
      </c>
    </row>
    <row r="2514" spans="1:12" x14ac:dyDescent="0.3">
      <c r="A2514">
        <v>58568</v>
      </c>
      <c r="B2514" t="s">
        <v>13</v>
      </c>
      <c r="C2514">
        <v>58</v>
      </c>
      <c r="D2514" t="s">
        <v>15</v>
      </c>
      <c r="E2514" t="s">
        <v>15</v>
      </c>
      <c r="F2514" t="s">
        <v>16</v>
      </c>
      <c r="G2514" t="s">
        <v>17</v>
      </c>
      <c r="H2514" t="s">
        <v>23</v>
      </c>
      <c r="I2514">
        <v>127.32</v>
      </c>
      <c r="J2514">
        <v>33.1</v>
      </c>
      <c r="K2514" t="s">
        <v>26</v>
      </c>
      <c r="L2514" t="s">
        <v>15</v>
      </c>
    </row>
    <row r="2515" spans="1:12" x14ac:dyDescent="0.3">
      <c r="A2515">
        <v>63303</v>
      </c>
      <c r="B2515" t="s">
        <v>12</v>
      </c>
      <c r="C2515">
        <v>28</v>
      </c>
      <c r="D2515" t="s">
        <v>15</v>
      </c>
      <c r="E2515" t="s">
        <v>15</v>
      </c>
      <c r="F2515" t="s">
        <v>15</v>
      </c>
      <c r="G2515" t="s">
        <v>17</v>
      </c>
      <c r="H2515" t="s">
        <v>22</v>
      </c>
      <c r="I2515">
        <v>75.5</v>
      </c>
      <c r="J2515">
        <v>27</v>
      </c>
      <c r="K2515" t="s">
        <v>26</v>
      </c>
      <c r="L2515" t="s">
        <v>15</v>
      </c>
    </row>
    <row r="2516" spans="1:12" x14ac:dyDescent="0.3">
      <c r="A2516">
        <v>70625</v>
      </c>
      <c r="B2516" t="s">
        <v>12</v>
      </c>
      <c r="C2516">
        <v>18</v>
      </c>
      <c r="D2516" t="s">
        <v>15</v>
      </c>
      <c r="E2516" t="s">
        <v>15</v>
      </c>
      <c r="F2516" t="s">
        <v>15</v>
      </c>
      <c r="G2516" t="s">
        <v>17</v>
      </c>
      <c r="H2516" t="s">
        <v>22</v>
      </c>
      <c r="I2516">
        <v>79.349999999999994</v>
      </c>
      <c r="J2516">
        <v>23.6</v>
      </c>
      <c r="K2516" t="s">
        <v>27</v>
      </c>
      <c r="L2516" t="s">
        <v>15</v>
      </c>
    </row>
    <row r="2517" spans="1:12" x14ac:dyDescent="0.3">
      <c r="A2517">
        <v>54807</v>
      </c>
      <c r="B2517" t="s">
        <v>12</v>
      </c>
      <c r="C2517">
        <v>62</v>
      </c>
      <c r="D2517" t="s">
        <v>16</v>
      </c>
      <c r="E2517" t="s">
        <v>16</v>
      </c>
      <c r="F2517" t="s">
        <v>16</v>
      </c>
      <c r="G2517" t="s">
        <v>17</v>
      </c>
      <c r="H2517" t="s">
        <v>23</v>
      </c>
      <c r="I2517">
        <v>176.25</v>
      </c>
      <c r="K2517" t="s">
        <v>25</v>
      </c>
      <c r="L2517" t="s">
        <v>15</v>
      </c>
    </row>
    <row r="2518" spans="1:12" x14ac:dyDescent="0.3">
      <c r="A2518">
        <v>18820</v>
      </c>
      <c r="B2518" t="s">
        <v>12</v>
      </c>
      <c r="C2518">
        <v>31</v>
      </c>
      <c r="D2518" t="s">
        <v>15</v>
      </c>
      <c r="E2518" t="s">
        <v>15</v>
      </c>
      <c r="F2518" t="s">
        <v>15</v>
      </c>
      <c r="G2518" t="s">
        <v>17</v>
      </c>
      <c r="H2518" t="s">
        <v>23</v>
      </c>
      <c r="I2518">
        <v>108.56</v>
      </c>
      <c r="J2518">
        <v>21.8</v>
      </c>
      <c r="K2518" t="s">
        <v>25</v>
      </c>
      <c r="L2518" t="s">
        <v>15</v>
      </c>
    </row>
    <row r="2519" spans="1:12" x14ac:dyDescent="0.3">
      <c r="A2519">
        <v>64029</v>
      </c>
      <c r="B2519" t="s">
        <v>12</v>
      </c>
      <c r="C2519">
        <v>55</v>
      </c>
      <c r="D2519" t="s">
        <v>16</v>
      </c>
      <c r="E2519" t="s">
        <v>15</v>
      </c>
      <c r="F2519" t="s">
        <v>16</v>
      </c>
      <c r="G2519" t="s">
        <v>17</v>
      </c>
      <c r="H2519" t="s">
        <v>22</v>
      </c>
      <c r="I2519">
        <v>168.06</v>
      </c>
      <c r="J2519">
        <v>23.5</v>
      </c>
      <c r="K2519" t="s">
        <v>26</v>
      </c>
      <c r="L2519" t="s">
        <v>15</v>
      </c>
    </row>
    <row r="2520" spans="1:12" x14ac:dyDescent="0.3">
      <c r="A2520">
        <v>72703</v>
      </c>
      <c r="B2520" t="s">
        <v>13</v>
      </c>
      <c r="C2520">
        <v>54</v>
      </c>
      <c r="D2520" t="s">
        <v>15</v>
      </c>
      <c r="E2520" t="s">
        <v>15</v>
      </c>
      <c r="F2520" t="s">
        <v>16</v>
      </c>
      <c r="G2520" t="s">
        <v>17</v>
      </c>
      <c r="H2520" t="s">
        <v>22</v>
      </c>
      <c r="I2520">
        <v>75.52</v>
      </c>
      <c r="J2520">
        <v>28.7</v>
      </c>
      <c r="K2520" t="s">
        <v>24</v>
      </c>
      <c r="L2520" t="s">
        <v>15</v>
      </c>
    </row>
    <row r="2521" spans="1:12" x14ac:dyDescent="0.3">
      <c r="A2521">
        <v>11394</v>
      </c>
      <c r="B2521" t="s">
        <v>12</v>
      </c>
      <c r="C2521">
        <v>73</v>
      </c>
      <c r="D2521" t="s">
        <v>15</v>
      </c>
      <c r="E2521" t="s">
        <v>16</v>
      </c>
      <c r="F2521" t="s">
        <v>16</v>
      </c>
      <c r="G2521" t="s">
        <v>17</v>
      </c>
      <c r="H2521" t="s">
        <v>23</v>
      </c>
      <c r="I2521">
        <v>82.15</v>
      </c>
      <c r="J2521">
        <v>31.6</v>
      </c>
      <c r="K2521" t="s">
        <v>24</v>
      </c>
      <c r="L2521" t="s">
        <v>15</v>
      </c>
    </row>
    <row r="2522" spans="1:12" x14ac:dyDescent="0.3">
      <c r="A2522">
        <v>12298</v>
      </c>
      <c r="B2522" t="s">
        <v>12</v>
      </c>
      <c r="C2522">
        <v>26</v>
      </c>
      <c r="D2522" t="s">
        <v>15</v>
      </c>
      <c r="E2522" t="s">
        <v>15</v>
      </c>
      <c r="F2522" t="s">
        <v>15</v>
      </c>
      <c r="G2522" t="s">
        <v>18</v>
      </c>
      <c r="H2522" t="s">
        <v>22</v>
      </c>
      <c r="I2522">
        <v>200.28</v>
      </c>
      <c r="J2522">
        <v>31.9</v>
      </c>
      <c r="K2522" t="s">
        <v>24</v>
      </c>
      <c r="L2522" t="s">
        <v>15</v>
      </c>
    </row>
    <row r="2523" spans="1:12" x14ac:dyDescent="0.3">
      <c r="A2523">
        <v>70845</v>
      </c>
      <c r="B2523" t="s">
        <v>12</v>
      </c>
      <c r="C2523">
        <v>73</v>
      </c>
      <c r="D2523" t="s">
        <v>15</v>
      </c>
      <c r="E2523" t="s">
        <v>16</v>
      </c>
      <c r="F2523" t="s">
        <v>16</v>
      </c>
      <c r="G2523" t="s">
        <v>17</v>
      </c>
      <c r="H2523" t="s">
        <v>23</v>
      </c>
      <c r="I2523">
        <v>62.44</v>
      </c>
      <c r="J2523">
        <v>25.2</v>
      </c>
      <c r="K2523" t="s">
        <v>26</v>
      </c>
      <c r="L2523" t="s">
        <v>15</v>
      </c>
    </row>
    <row r="2524" spans="1:12" x14ac:dyDescent="0.3">
      <c r="A2524">
        <v>44494</v>
      </c>
      <c r="B2524" t="s">
        <v>13</v>
      </c>
      <c r="C2524">
        <v>38</v>
      </c>
      <c r="D2524" t="s">
        <v>15</v>
      </c>
      <c r="E2524" t="s">
        <v>15</v>
      </c>
      <c r="F2524" t="s">
        <v>16</v>
      </c>
      <c r="G2524" t="s">
        <v>17</v>
      </c>
      <c r="H2524" t="s">
        <v>23</v>
      </c>
      <c r="I2524">
        <v>84.31</v>
      </c>
      <c r="J2524">
        <v>25.9</v>
      </c>
      <c r="K2524" t="s">
        <v>26</v>
      </c>
      <c r="L2524" t="s">
        <v>15</v>
      </c>
    </row>
    <row r="2525" spans="1:12" x14ac:dyDescent="0.3">
      <c r="A2525">
        <v>30953</v>
      </c>
      <c r="B2525" t="s">
        <v>12</v>
      </c>
      <c r="C2525">
        <v>75</v>
      </c>
      <c r="D2525" t="s">
        <v>16</v>
      </c>
      <c r="E2525" t="s">
        <v>16</v>
      </c>
      <c r="F2525" t="s">
        <v>16</v>
      </c>
      <c r="G2525" t="s">
        <v>17</v>
      </c>
      <c r="H2525" t="s">
        <v>23</v>
      </c>
      <c r="I2525">
        <v>221.43</v>
      </c>
      <c r="J2525">
        <v>32.5</v>
      </c>
      <c r="K2525" t="s">
        <v>27</v>
      </c>
      <c r="L2525" t="s">
        <v>15</v>
      </c>
    </row>
    <row r="2526" spans="1:12" x14ac:dyDescent="0.3">
      <c r="A2526">
        <v>47861</v>
      </c>
      <c r="B2526" t="s">
        <v>12</v>
      </c>
      <c r="C2526">
        <v>81</v>
      </c>
      <c r="D2526" t="s">
        <v>15</v>
      </c>
      <c r="E2526" t="s">
        <v>15</v>
      </c>
      <c r="F2526" t="s">
        <v>16</v>
      </c>
      <c r="G2526" t="s">
        <v>17</v>
      </c>
      <c r="H2526" t="s">
        <v>22</v>
      </c>
      <c r="I2526">
        <v>165.47</v>
      </c>
      <c r="J2526">
        <v>28.1</v>
      </c>
      <c r="K2526" t="s">
        <v>27</v>
      </c>
      <c r="L2526" t="s">
        <v>15</v>
      </c>
    </row>
    <row r="2527" spans="1:12" x14ac:dyDescent="0.3">
      <c r="A2527">
        <v>13465</v>
      </c>
      <c r="B2527" t="s">
        <v>13</v>
      </c>
      <c r="C2527">
        <v>20</v>
      </c>
      <c r="D2527" t="s">
        <v>15</v>
      </c>
      <c r="E2527" t="s">
        <v>15</v>
      </c>
      <c r="F2527" t="s">
        <v>15</v>
      </c>
      <c r="G2527" t="s">
        <v>17</v>
      </c>
      <c r="H2527" t="s">
        <v>23</v>
      </c>
      <c r="I2527">
        <v>96.69</v>
      </c>
      <c r="J2527">
        <v>27.4</v>
      </c>
      <c r="K2527" t="s">
        <v>26</v>
      </c>
      <c r="L2527" t="s">
        <v>15</v>
      </c>
    </row>
    <row r="2528" spans="1:12" x14ac:dyDescent="0.3">
      <c r="A2528">
        <v>62454</v>
      </c>
      <c r="B2528" t="s">
        <v>13</v>
      </c>
      <c r="C2528">
        <v>12</v>
      </c>
      <c r="D2528" t="s">
        <v>15</v>
      </c>
      <c r="E2528" t="s">
        <v>15</v>
      </c>
      <c r="F2528" t="s">
        <v>15</v>
      </c>
      <c r="G2528" t="s">
        <v>20</v>
      </c>
      <c r="H2528" t="s">
        <v>22</v>
      </c>
      <c r="I2528">
        <v>63.98</v>
      </c>
      <c r="J2528">
        <v>21.2</v>
      </c>
      <c r="K2528" t="s">
        <v>24</v>
      </c>
      <c r="L2528" t="s">
        <v>15</v>
      </c>
    </row>
    <row r="2529" spans="1:12" x14ac:dyDescent="0.3">
      <c r="A2529">
        <v>52593</v>
      </c>
      <c r="B2529" t="s">
        <v>12</v>
      </c>
      <c r="C2529">
        <v>78</v>
      </c>
      <c r="D2529" t="s">
        <v>15</v>
      </c>
      <c r="E2529" t="s">
        <v>16</v>
      </c>
      <c r="F2529" t="s">
        <v>16</v>
      </c>
      <c r="G2529" t="s">
        <v>17</v>
      </c>
      <c r="H2529" t="s">
        <v>22</v>
      </c>
      <c r="I2529">
        <v>145.03</v>
      </c>
      <c r="J2529">
        <v>26.8</v>
      </c>
      <c r="K2529" t="s">
        <v>24</v>
      </c>
      <c r="L2529" t="s">
        <v>15</v>
      </c>
    </row>
    <row r="2530" spans="1:12" x14ac:dyDescent="0.3">
      <c r="A2530">
        <v>91</v>
      </c>
      <c r="B2530" t="s">
        <v>13</v>
      </c>
      <c r="C2530">
        <v>42</v>
      </c>
      <c r="D2530" t="s">
        <v>15</v>
      </c>
      <c r="E2530" t="s">
        <v>15</v>
      </c>
      <c r="F2530" t="s">
        <v>15</v>
      </c>
      <c r="G2530" t="s">
        <v>17</v>
      </c>
      <c r="H2530" t="s">
        <v>22</v>
      </c>
      <c r="I2530">
        <v>98.53</v>
      </c>
      <c r="J2530">
        <v>18.5</v>
      </c>
      <c r="K2530" t="s">
        <v>25</v>
      </c>
      <c r="L2530" t="s">
        <v>15</v>
      </c>
    </row>
    <row r="2531" spans="1:12" x14ac:dyDescent="0.3">
      <c r="A2531">
        <v>22056</v>
      </c>
      <c r="B2531" t="s">
        <v>13</v>
      </c>
      <c r="C2531">
        <v>71</v>
      </c>
      <c r="D2531" t="s">
        <v>16</v>
      </c>
      <c r="E2531" t="s">
        <v>15</v>
      </c>
      <c r="F2531" t="s">
        <v>16</v>
      </c>
      <c r="G2531" t="s">
        <v>17</v>
      </c>
      <c r="H2531" t="s">
        <v>22</v>
      </c>
      <c r="I2531">
        <v>105.55</v>
      </c>
      <c r="K2531" t="s">
        <v>26</v>
      </c>
      <c r="L2531" t="s">
        <v>15</v>
      </c>
    </row>
    <row r="2532" spans="1:12" x14ac:dyDescent="0.3">
      <c r="A2532">
        <v>45469</v>
      </c>
      <c r="B2532" t="s">
        <v>12</v>
      </c>
      <c r="C2532">
        <v>16</v>
      </c>
      <c r="D2532" t="s">
        <v>15</v>
      </c>
      <c r="E2532" t="s">
        <v>15</v>
      </c>
      <c r="F2532" t="s">
        <v>15</v>
      </c>
      <c r="G2532" t="s">
        <v>20</v>
      </c>
      <c r="H2532" t="s">
        <v>23</v>
      </c>
      <c r="I2532">
        <v>134.22999999999999</v>
      </c>
      <c r="J2532">
        <v>30.6</v>
      </c>
      <c r="K2532" t="s">
        <v>27</v>
      </c>
      <c r="L2532" t="s">
        <v>15</v>
      </c>
    </row>
    <row r="2533" spans="1:12" x14ac:dyDescent="0.3">
      <c r="A2533">
        <v>41284</v>
      </c>
      <c r="B2533" t="s">
        <v>12</v>
      </c>
      <c r="C2533">
        <v>4</v>
      </c>
      <c r="D2533" t="s">
        <v>15</v>
      </c>
      <c r="E2533" t="s">
        <v>15</v>
      </c>
      <c r="F2533" t="s">
        <v>15</v>
      </c>
      <c r="G2533" t="s">
        <v>20</v>
      </c>
      <c r="H2533" t="s">
        <v>23</v>
      </c>
      <c r="I2533">
        <v>62.48</v>
      </c>
      <c r="J2533">
        <v>19.899999999999999</v>
      </c>
      <c r="K2533" t="s">
        <v>27</v>
      </c>
      <c r="L2533" t="s">
        <v>15</v>
      </c>
    </row>
    <row r="2534" spans="1:12" x14ac:dyDescent="0.3">
      <c r="A2534">
        <v>20112</v>
      </c>
      <c r="B2534" t="s">
        <v>12</v>
      </c>
      <c r="C2534">
        <v>79</v>
      </c>
      <c r="D2534" t="s">
        <v>15</v>
      </c>
      <c r="E2534" t="s">
        <v>16</v>
      </c>
      <c r="F2534" t="s">
        <v>16</v>
      </c>
      <c r="G2534" t="s">
        <v>17</v>
      </c>
      <c r="H2534" t="s">
        <v>22</v>
      </c>
      <c r="I2534">
        <v>213.38</v>
      </c>
      <c r="K2534" t="s">
        <v>27</v>
      </c>
      <c r="L2534" t="s">
        <v>15</v>
      </c>
    </row>
    <row r="2535" spans="1:12" x14ac:dyDescent="0.3">
      <c r="A2535">
        <v>45627</v>
      </c>
      <c r="B2535" t="s">
        <v>12</v>
      </c>
      <c r="C2535">
        <v>60</v>
      </c>
      <c r="D2535" t="s">
        <v>15</v>
      </c>
      <c r="E2535" t="s">
        <v>15</v>
      </c>
      <c r="F2535" t="s">
        <v>16</v>
      </c>
      <c r="G2535" t="s">
        <v>17</v>
      </c>
      <c r="H2535" t="s">
        <v>23</v>
      </c>
      <c r="I2535">
        <v>70.52</v>
      </c>
      <c r="J2535">
        <v>26.5</v>
      </c>
      <c r="K2535" t="s">
        <v>24</v>
      </c>
      <c r="L2535" t="s">
        <v>15</v>
      </c>
    </row>
    <row r="2536" spans="1:12" x14ac:dyDescent="0.3">
      <c r="A2536">
        <v>4174</v>
      </c>
      <c r="B2536" t="s">
        <v>13</v>
      </c>
      <c r="C2536">
        <v>45</v>
      </c>
      <c r="D2536" t="s">
        <v>16</v>
      </c>
      <c r="E2536" t="s">
        <v>15</v>
      </c>
      <c r="F2536" t="s">
        <v>16</v>
      </c>
      <c r="G2536" t="s">
        <v>17</v>
      </c>
      <c r="H2536" t="s">
        <v>22</v>
      </c>
      <c r="I2536">
        <v>93.21</v>
      </c>
      <c r="J2536">
        <v>43.8</v>
      </c>
      <c r="K2536" t="s">
        <v>25</v>
      </c>
      <c r="L2536" t="s">
        <v>15</v>
      </c>
    </row>
    <row r="2537" spans="1:12" x14ac:dyDescent="0.3">
      <c r="A2537">
        <v>31660</v>
      </c>
      <c r="B2537" t="s">
        <v>12</v>
      </c>
      <c r="C2537">
        <v>23</v>
      </c>
      <c r="D2537" t="s">
        <v>15</v>
      </c>
      <c r="E2537" t="s">
        <v>15</v>
      </c>
      <c r="F2537" t="s">
        <v>15</v>
      </c>
      <c r="G2537" t="s">
        <v>17</v>
      </c>
      <c r="H2537" t="s">
        <v>23</v>
      </c>
      <c r="I2537">
        <v>82.39</v>
      </c>
      <c r="J2537">
        <v>31.8</v>
      </c>
      <c r="K2537" t="s">
        <v>27</v>
      </c>
      <c r="L2537" t="s">
        <v>15</v>
      </c>
    </row>
    <row r="2538" spans="1:12" x14ac:dyDescent="0.3">
      <c r="A2538">
        <v>36196</v>
      </c>
      <c r="B2538" t="s">
        <v>12</v>
      </c>
      <c r="C2538">
        <v>21</v>
      </c>
      <c r="D2538" t="s">
        <v>15</v>
      </c>
      <c r="E2538" t="s">
        <v>15</v>
      </c>
      <c r="F2538" t="s">
        <v>15</v>
      </c>
      <c r="G2538" t="s">
        <v>17</v>
      </c>
      <c r="H2538" t="s">
        <v>23</v>
      </c>
      <c r="I2538">
        <v>88.29</v>
      </c>
      <c r="J2538">
        <v>36.6</v>
      </c>
      <c r="K2538" t="s">
        <v>26</v>
      </c>
      <c r="L2538" t="s">
        <v>15</v>
      </c>
    </row>
    <row r="2539" spans="1:12" x14ac:dyDescent="0.3">
      <c r="A2539">
        <v>19769</v>
      </c>
      <c r="B2539" t="s">
        <v>13</v>
      </c>
      <c r="C2539">
        <v>67</v>
      </c>
      <c r="D2539" t="s">
        <v>15</v>
      </c>
      <c r="E2539" t="s">
        <v>15</v>
      </c>
      <c r="F2539" t="s">
        <v>16</v>
      </c>
      <c r="G2539" t="s">
        <v>18</v>
      </c>
      <c r="H2539" t="s">
        <v>23</v>
      </c>
      <c r="I2539">
        <v>80.180000000000007</v>
      </c>
      <c r="J2539">
        <v>22.9</v>
      </c>
      <c r="K2539" t="s">
        <v>24</v>
      </c>
      <c r="L2539" t="s">
        <v>15</v>
      </c>
    </row>
    <row r="2540" spans="1:12" x14ac:dyDescent="0.3">
      <c r="A2540">
        <v>8341</v>
      </c>
      <c r="B2540" t="s">
        <v>12</v>
      </c>
      <c r="C2540">
        <v>10</v>
      </c>
      <c r="D2540" t="s">
        <v>15</v>
      </c>
      <c r="E2540" t="s">
        <v>15</v>
      </c>
      <c r="F2540" t="s">
        <v>15</v>
      </c>
      <c r="G2540" t="s">
        <v>20</v>
      </c>
      <c r="H2540" t="s">
        <v>23</v>
      </c>
      <c r="I2540">
        <v>84.02</v>
      </c>
      <c r="J2540">
        <v>18.7</v>
      </c>
      <c r="K2540" t="s">
        <v>25</v>
      </c>
      <c r="L2540" t="s">
        <v>15</v>
      </c>
    </row>
    <row r="2541" spans="1:12" x14ac:dyDescent="0.3">
      <c r="A2541">
        <v>42172</v>
      </c>
      <c r="B2541" t="s">
        <v>13</v>
      </c>
      <c r="C2541">
        <v>24</v>
      </c>
      <c r="D2541" t="s">
        <v>15</v>
      </c>
      <c r="E2541" t="s">
        <v>15</v>
      </c>
      <c r="F2541" t="s">
        <v>16</v>
      </c>
      <c r="G2541" t="s">
        <v>18</v>
      </c>
      <c r="H2541" t="s">
        <v>23</v>
      </c>
      <c r="I2541">
        <v>69.72</v>
      </c>
      <c r="J2541">
        <v>29.6</v>
      </c>
      <c r="K2541" t="s">
        <v>25</v>
      </c>
      <c r="L2541" t="s">
        <v>15</v>
      </c>
    </row>
    <row r="2542" spans="1:12" x14ac:dyDescent="0.3">
      <c r="A2542">
        <v>14372</v>
      </c>
      <c r="B2542" t="s">
        <v>12</v>
      </c>
      <c r="C2542">
        <v>50</v>
      </c>
      <c r="D2542" t="s">
        <v>15</v>
      </c>
      <c r="E2542" t="s">
        <v>15</v>
      </c>
      <c r="F2542" t="s">
        <v>16</v>
      </c>
      <c r="G2542" t="s">
        <v>18</v>
      </c>
      <c r="H2542" t="s">
        <v>22</v>
      </c>
      <c r="I2542">
        <v>192.16</v>
      </c>
      <c r="J2542">
        <v>43.6</v>
      </c>
      <c r="K2542" t="s">
        <v>25</v>
      </c>
      <c r="L2542" t="s">
        <v>15</v>
      </c>
    </row>
    <row r="2543" spans="1:12" x14ac:dyDescent="0.3">
      <c r="A2543">
        <v>61252</v>
      </c>
      <c r="B2543" t="s">
        <v>12</v>
      </c>
      <c r="C2543">
        <v>79</v>
      </c>
      <c r="D2543" t="s">
        <v>15</v>
      </c>
      <c r="E2543" t="s">
        <v>16</v>
      </c>
      <c r="F2543" t="s">
        <v>16</v>
      </c>
      <c r="G2543" t="s">
        <v>17</v>
      </c>
      <c r="H2543" t="s">
        <v>23</v>
      </c>
      <c r="I2543">
        <v>82.27</v>
      </c>
      <c r="K2543" t="s">
        <v>25</v>
      </c>
      <c r="L2543" t="s">
        <v>15</v>
      </c>
    </row>
    <row r="2544" spans="1:12" x14ac:dyDescent="0.3">
      <c r="A2544">
        <v>15251</v>
      </c>
      <c r="B2544" t="s">
        <v>12</v>
      </c>
      <c r="C2544">
        <v>14</v>
      </c>
      <c r="D2544" t="s">
        <v>15</v>
      </c>
      <c r="E2544" t="s">
        <v>15</v>
      </c>
      <c r="F2544" t="s">
        <v>15</v>
      </c>
      <c r="G2544" t="s">
        <v>20</v>
      </c>
      <c r="H2544" t="s">
        <v>22</v>
      </c>
      <c r="I2544">
        <v>101.87</v>
      </c>
      <c r="J2544">
        <v>20.3</v>
      </c>
      <c r="K2544" t="s">
        <v>25</v>
      </c>
      <c r="L2544" t="s">
        <v>15</v>
      </c>
    </row>
    <row r="2545" spans="1:12" x14ac:dyDescent="0.3">
      <c r="A2545">
        <v>67800</v>
      </c>
      <c r="B2545" t="s">
        <v>13</v>
      </c>
      <c r="C2545">
        <v>13</v>
      </c>
      <c r="D2545" t="s">
        <v>15</v>
      </c>
      <c r="E2545" t="s">
        <v>15</v>
      </c>
      <c r="F2545" t="s">
        <v>15</v>
      </c>
      <c r="G2545" t="s">
        <v>20</v>
      </c>
      <c r="H2545" t="s">
        <v>23</v>
      </c>
      <c r="I2545">
        <v>77.55</v>
      </c>
      <c r="J2545">
        <v>21.3</v>
      </c>
      <c r="K2545" t="s">
        <v>27</v>
      </c>
      <c r="L2545" t="s">
        <v>15</v>
      </c>
    </row>
    <row r="2546" spans="1:12" x14ac:dyDescent="0.3">
      <c r="A2546">
        <v>10416</v>
      </c>
      <c r="B2546" t="s">
        <v>12</v>
      </c>
      <c r="C2546">
        <v>71</v>
      </c>
      <c r="D2546" t="s">
        <v>15</v>
      </c>
      <c r="E2546" t="s">
        <v>16</v>
      </c>
      <c r="F2546" t="s">
        <v>16</v>
      </c>
      <c r="G2546" t="s">
        <v>17</v>
      </c>
      <c r="H2546" t="s">
        <v>22</v>
      </c>
      <c r="I2546">
        <v>215.72</v>
      </c>
      <c r="J2546">
        <v>39.200000000000003</v>
      </c>
      <c r="K2546" t="s">
        <v>26</v>
      </c>
      <c r="L2546" t="s">
        <v>15</v>
      </c>
    </row>
    <row r="2547" spans="1:12" x14ac:dyDescent="0.3">
      <c r="A2547">
        <v>19504</v>
      </c>
      <c r="B2547" t="s">
        <v>13</v>
      </c>
      <c r="C2547">
        <v>66</v>
      </c>
      <c r="D2547" t="s">
        <v>15</v>
      </c>
      <c r="E2547" t="s">
        <v>15</v>
      </c>
      <c r="F2547" t="s">
        <v>16</v>
      </c>
      <c r="G2547" t="s">
        <v>17</v>
      </c>
      <c r="H2547" t="s">
        <v>23</v>
      </c>
      <c r="I2547">
        <v>87.84</v>
      </c>
      <c r="J2547">
        <v>52.8</v>
      </c>
      <c r="K2547" t="s">
        <v>27</v>
      </c>
      <c r="L2547" t="s">
        <v>15</v>
      </c>
    </row>
    <row r="2548" spans="1:12" x14ac:dyDescent="0.3">
      <c r="A2548">
        <v>7476</v>
      </c>
      <c r="B2548" t="s">
        <v>12</v>
      </c>
      <c r="C2548">
        <v>32</v>
      </c>
      <c r="D2548" t="s">
        <v>15</v>
      </c>
      <c r="E2548" t="s">
        <v>15</v>
      </c>
      <c r="F2548" t="s">
        <v>15</v>
      </c>
      <c r="G2548" t="s">
        <v>19</v>
      </c>
      <c r="H2548" t="s">
        <v>23</v>
      </c>
      <c r="I2548">
        <v>91.93</v>
      </c>
      <c r="J2548">
        <v>30.2</v>
      </c>
      <c r="K2548" t="s">
        <v>25</v>
      </c>
      <c r="L2548" t="s">
        <v>15</v>
      </c>
    </row>
    <row r="2549" spans="1:12" x14ac:dyDescent="0.3">
      <c r="A2549">
        <v>55526</v>
      </c>
      <c r="B2549" t="s">
        <v>12</v>
      </c>
      <c r="C2549">
        <v>46</v>
      </c>
      <c r="D2549" t="s">
        <v>15</v>
      </c>
      <c r="E2549" t="s">
        <v>15</v>
      </c>
      <c r="F2549" t="s">
        <v>16</v>
      </c>
      <c r="G2549" t="s">
        <v>19</v>
      </c>
      <c r="H2549" t="s">
        <v>22</v>
      </c>
      <c r="I2549">
        <v>58.63</v>
      </c>
      <c r="J2549">
        <v>35.299999999999997</v>
      </c>
      <c r="K2549" t="s">
        <v>25</v>
      </c>
      <c r="L2549" t="s">
        <v>15</v>
      </c>
    </row>
    <row r="2550" spans="1:12" x14ac:dyDescent="0.3">
      <c r="A2550">
        <v>452</v>
      </c>
      <c r="B2550" t="s">
        <v>12</v>
      </c>
      <c r="C2550">
        <v>48</v>
      </c>
      <c r="D2550" t="s">
        <v>16</v>
      </c>
      <c r="E2550" t="s">
        <v>15</v>
      </c>
      <c r="F2550" t="s">
        <v>16</v>
      </c>
      <c r="G2550" t="s">
        <v>17</v>
      </c>
      <c r="H2550" t="s">
        <v>22</v>
      </c>
      <c r="I2550">
        <v>173.14</v>
      </c>
      <c r="J2550">
        <v>37</v>
      </c>
      <c r="K2550" t="s">
        <v>26</v>
      </c>
      <c r="L2550" t="s">
        <v>15</v>
      </c>
    </row>
    <row r="2551" spans="1:12" x14ac:dyDescent="0.3">
      <c r="A2551">
        <v>55790</v>
      </c>
      <c r="B2551" t="s">
        <v>13</v>
      </c>
      <c r="C2551">
        <v>45</v>
      </c>
      <c r="D2551" t="s">
        <v>15</v>
      </c>
      <c r="E2551" t="s">
        <v>15</v>
      </c>
      <c r="F2551" t="s">
        <v>16</v>
      </c>
      <c r="G2551" t="s">
        <v>17</v>
      </c>
      <c r="H2551" t="s">
        <v>22</v>
      </c>
      <c r="I2551">
        <v>106.83</v>
      </c>
      <c r="J2551">
        <v>32.1</v>
      </c>
      <c r="K2551" t="s">
        <v>24</v>
      </c>
      <c r="L2551" t="s">
        <v>15</v>
      </c>
    </row>
    <row r="2552" spans="1:12" x14ac:dyDescent="0.3">
      <c r="A2552">
        <v>38541</v>
      </c>
      <c r="B2552" t="s">
        <v>12</v>
      </c>
      <c r="C2552">
        <v>55</v>
      </c>
      <c r="D2552" t="s">
        <v>15</v>
      </c>
      <c r="E2552" t="s">
        <v>15</v>
      </c>
      <c r="F2552" t="s">
        <v>16</v>
      </c>
      <c r="G2552" t="s">
        <v>17</v>
      </c>
      <c r="H2552" t="s">
        <v>22</v>
      </c>
      <c r="I2552">
        <v>84.44</v>
      </c>
      <c r="J2552">
        <v>30.5</v>
      </c>
      <c r="K2552" t="s">
        <v>24</v>
      </c>
      <c r="L2552" t="s">
        <v>15</v>
      </c>
    </row>
    <row r="2553" spans="1:12" x14ac:dyDescent="0.3">
      <c r="A2553">
        <v>23748</v>
      </c>
      <c r="B2553" t="s">
        <v>13</v>
      </c>
      <c r="C2553">
        <v>31</v>
      </c>
      <c r="D2553" t="s">
        <v>15</v>
      </c>
      <c r="E2553" t="s">
        <v>15</v>
      </c>
      <c r="F2553" t="s">
        <v>16</v>
      </c>
      <c r="G2553" t="s">
        <v>17</v>
      </c>
      <c r="H2553" t="s">
        <v>22</v>
      </c>
      <c r="I2553">
        <v>92.16</v>
      </c>
      <c r="J2553">
        <v>22.8</v>
      </c>
      <c r="K2553" t="s">
        <v>25</v>
      </c>
      <c r="L2553" t="s">
        <v>15</v>
      </c>
    </row>
    <row r="2554" spans="1:12" x14ac:dyDescent="0.3">
      <c r="A2554">
        <v>18790</v>
      </c>
      <c r="B2554" t="s">
        <v>12</v>
      </c>
      <c r="C2554">
        <v>25</v>
      </c>
      <c r="D2554" t="s">
        <v>15</v>
      </c>
      <c r="E2554" t="s">
        <v>15</v>
      </c>
      <c r="F2554" t="s">
        <v>15</v>
      </c>
      <c r="G2554" t="s">
        <v>17</v>
      </c>
      <c r="H2554" t="s">
        <v>22</v>
      </c>
      <c r="I2554">
        <v>85.96</v>
      </c>
      <c r="J2554">
        <v>34.5</v>
      </c>
      <c r="K2554" t="s">
        <v>24</v>
      </c>
      <c r="L2554" t="s">
        <v>15</v>
      </c>
    </row>
    <row r="2555" spans="1:12" x14ac:dyDescent="0.3">
      <c r="A2555">
        <v>45751</v>
      </c>
      <c r="B2555" t="s">
        <v>12</v>
      </c>
      <c r="C2555">
        <v>73</v>
      </c>
      <c r="D2555" t="s">
        <v>16</v>
      </c>
      <c r="E2555" t="s">
        <v>15</v>
      </c>
      <c r="F2555" t="s">
        <v>16</v>
      </c>
      <c r="G2555" t="s">
        <v>18</v>
      </c>
      <c r="H2555" t="s">
        <v>23</v>
      </c>
      <c r="I2555">
        <v>202.57</v>
      </c>
      <c r="J2555">
        <v>37.4</v>
      </c>
      <c r="K2555" t="s">
        <v>25</v>
      </c>
      <c r="L2555" t="s">
        <v>15</v>
      </c>
    </row>
    <row r="2556" spans="1:12" x14ac:dyDescent="0.3">
      <c r="A2556">
        <v>72369</v>
      </c>
      <c r="B2556" t="s">
        <v>13</v>
      </c>
      <c r="C2556">
        <v>14</v>
      </c>
      <c r="D2556" t="s">
        <v>15</v>
      </c>
      <c r="E2556" t="s">
        <v>15</v>
      </c>
      <c r="F2556" t="s">
        <v>15</v>
      </c>
      <c r="G2556" t="s">
        <v>20</v>
      </c>
      <c r="H2556" t="s">
        <v>23</v>
      </c>
      <c r="I2556">
        <v>65.41</v>
      </c>
      <c r="J2556">
        <v>19.5</v>
      </c>
      <c r="K2556" t="s">
        <v>27</v>
      </c>
      <c r="L2556" t="s">
        <v>15</v>
      </c>
    </row>
    <row r="2557" spans="1:12" x14ac:dyDescent="0.3">
      <c r="A2557">
        <v>7171</v>
      </c>
      <c r="B2557" t="s">
        <v>13</v>
      </c>
      <c r="C2557">
        <v>56</v>
      </c>
      <c r="D2557" t="s">
        <v>15</v>
      </c>
      <c r="E2557" t="s">
        <v>15</v>
      </c>
      <c r="F2557" t="s">
        <v>16</v>
      </c>
      <c r="G2557" t="s">
        <v>19</v>
      </c>
      <c r="H2557" t="s">
        <v>22</v>
      </c>
      <c r="I2557">
        <v>102.51</v>
      </c>
      <c r="J2557">
        <v>55.7</v>
      </c>
      <c r="K2557" t="s">
        <v>27</v>
      </c>
      <c r="L2557" t="s">
        <v>15</v>
      </c>
    </row>
    <row r="2558" spans="1:12" x14ac:dyDescent="0.3">
      <c r="A2558">
        <v>52826</v>
      </c>
      <c r="B2558" t="s">
        <v>12</v>
      </c>
      <c r="C2558">
        <v>60</v>
      </c>
      <c r="D2558" t="s">
        <v>15</v>
      </c>
      <c r="E2558" t="s">
        <v>15</v>
      </c>
      <c r="F2558" t="s">
        <v>16</v>
      </c>
      <c r="G2558" t="s">
        <v>17</v>
      </c>
      <c r="H2558" t="s">
        <v>23</v>
      </c>
      <c r="I2558">
        <v>62.6</v>
      </c>
      <c r="J2558">
        <v>30.4</v>
      </c>
      <c r="K2558" t="s">
        <v>27</v>
      </c>
      <c r="L2558" t="s">
        <v>15</v>
      </c>
    </row>
    <row r="2559" spans="1:12" x14ac:dyDescent="0.3">
      <c r="A2559">
        <v>42556</v>
      </c>
      <c r="B2559" t="s">
        <v>12</v>
      </c>
      <c r="C2559">
        <v>27</v>
      </c>
      <c r="D2559" t="s">
        <v>15</v>
      </c>
      <c r="E2559" t="s">
        <v>15</v>
      </c>
      <c r="F2559" t="s">
        <v>16</v>
      </c>
      <c r="G2559" t="s">
        <v>17</v>
      </c>
      <c r="H2559" t="s">
        <v>22</v>
      </c>
      <c r="I2559">
        <v>150.1</v>
      </c>
      <c r="J2559">
        <v>25.3</v>
      </c>
      <c r="K2559" t="s">
        <v>25</v>
      </c>
      <c r="L2559" t="s">
        <v>15</v>
      </c>
    </row>
    <row r="2560" spans="1:12" x14ac:dyDescent="0.3">
      <c r="A2560">
        <v>507</v>
      </c>
      <c r="B2560" t="s">
        <v>13</v>
      </c>
      <c r="C2560">
        <v>28</v>
      </c>
      <c r="D2560" t="s">
        <v>15</v>
      </c>
      <c r="E2560" t="s">
        <v>15</v>
      </c>
      <c r="F2560" t="s">
        <v>16</v>
      </c>
      <c r="G2560" t="s">
        <v>17</v>
      </c>
      <c r="H2560" t="s">
        <v>23</v>
      </c>
      <c r="I2560">
        <v>94.15</v>
      </c>
      <c r="J2560">
        <v>23.1</v>
      </c>
      <c r="K2560" t="s">
        <v>26</v>
      </c>
      <c r="L2560" t="s">
        <v>15</v>
      </c>
    </row>
    <row r="2561" spans="1:12" x14ac:dyDescent="0.3">
      <c r="A2561">
        <v>56746</v>
      </c>
      <c r="B2561" t="s">
        <v>12</v>
      </c>
      <c r="C2561">
        <v>46</v>
      </c>
      <c r="D2561" t="s">
        <v>16</v>
      </c>
      <c r="E2561" t="s">
        <v>15</v>
      </c>
      <c r="F2561" t="s">
        <v>16</v>
      </c>
      <c r="G2561" t="s">
        <v>17</v>
      </c>
      <c r="H2561" t="s">
        <v>22</v>
      </c>
      <c r="I2561">
        <v>65.5</v>
      </c>
      <c r="J2561">
        <v>30.7</v>
      </c>
      <c r="K2561" t="s">
        <v>25</v>
      </c>
      <c r="L2561" t="s">
        <v>15</v>
      </c>
    </row>
    <row r="2562" spans="1:12" x14ac:dyDescent="0.3">
      <c r="A2562">
        <v>54072</v>
      </c>
      <c r="B2562" t="s">
        <v>13</v>
      </c>
      <c r="C2562">
        <v>11</v>
      </c>
      <c r="D2562" t="s">
        <v>15</v>
      </c>
      <c r="E2562" t="s">
        <v>15</v>
      </c>
      <c r="F2562" t="s">
        <v>15</v>
      </c>
      <c r="G2562" t="s">
        <v>20</v>
      </c>
      <c r="H2562" t="s">
        <v>22</v>
      </c>
      <c r="I2562">
        <v>81.31</v>
      </c>
      <c r="J2562">
        <v>18.8</v>
      </c>
      <c r="K2562" t="s">
        <v>25</v>
      </c>
      <c r="L2562" t="s">
        <v>15</v>
      </c>
    </row>
    <row r="2563" spans="1:12" x14ac:dyDescent="0.3">
      <c r="A2563">
        <v>49760</v>
      </c>
      <c r="B2563" t="s">
        <v>13</v>
      </c>
      <c r="C2563">
        <v>63</v>
      </c>
      <c r="D2563" t="s">
        <v>15</v>
      </c>
      <c r="E2563" t="s">
        <v>15</v>
      </c>
      <c r="F2563" t="s">
        <v>16</v>
      </c>
      <c r="G2563" t="s">
        <v>17</v>
      </c>
      <c r="H2563" t="s">
        <v>23</v>
      </c>
      <c r="I2563">
        <v>78.959999999999994</v>
      </c>
      <c r="J2563">
        <v>28.6</v>
      </c>
      <c r="K2563" t="s">
        <v>25</v>
      </c>
      <c r="L2563" t="s">
        <v>15</v>
      </c>
    </row>
    <row r="2564" spans="1:12" x14ac:dyDescent="0.3">
      <c r="A2564">
        <v>61821</v>
      </c>
      <c r="B2564" t="s">
        <v>13</v>
      </c>
      <c r="C2564">
        <v>59</v>
      </c>
      <c r="D2564" t="s">
        <v>15</v>
      </c>
      <c r="E2564" t="s">
        <v>15</v>
      </c>
      <c r="F2564" t="s">
        <v>16</v>
      </c>
      <c r="G2564" t="s">
        <v>17</v>
      </c>
      <c r="H2564" t="s">
        <v>23</v>
      </c>
      <c r="I2564">
        <v>123.47</v>
      </c>
      <c r="J2564">
        <v>27.5</v>
      </c>
      <c r="K2564" t="s">
        <v>27</v>
      </c>
      <c r="L2564" t="s">
        <v>15</v>
      </c>
    </row>
    <row r="2565" spans="1:12" x14ac:dyDescent="0.3">
      <c r="A2565">
        <v>65481</v>
      </c>
      <c r="B2565" t="s">
        <v>12</v>
      </c>
      <c r="C2565">
        <v>57</v>
      </c>
      <c r="D2565" t="s">
        <v>15</v>
      </c>
      <c r="E2565" t="s">
        <v>15</v>
      </c>
      <c r="F2565" t="s">
        <v>16</v>
      </c>
      <c r="G2565" t="s">
        <v>17</v>
      </c>
      <c r="H2565" t="s">
        <v>22</v>
      </c>
      <c r="I2565">
        <v>90.4</v>
      </c>
      <c r="J2565">
        <v>26.5</v>
      </c>
      <c r="K2565" t="s">
        <v>25</v>
      </c>
      <c r="L2565" t="s">
        <v>15</v>
      </c>
    </row>
    <row r="2566" spans="1:12" x14ac:dyDescent="0.3">
      <c r="A2566">
        <v>6174</v>
      </c>
      <c r="B2566" t="s">
        <v>13</v>
      </c>
      <c r="C2566">
        <v>35</v>
      </c>
      <c r="D2566" t="s">
        <v>15</v>
      </c>
      <c r="E2566" t="s">
        <v>15</v>
      </c>
      <c r="F2566" t="s">
        <v>15</v>
      </c>
      <c r="G2566" t="s">
        <v>17</v>
      </c>
      <c r="H2566" t="s">
        <v>22</v>
      </c>
      <c r="I2566">
        <v>71.59</v>
      </c>
      <c r="J2566">
        <v>40.299999999999997</v>
      </c>
      <c r="K2566" t="s">
        <v>25</v>
      </c>
      <c r="L2566" t="s">
        <v>15</v>
      </c>
    </row>
    <row r="2567" spans="1:12" x14ac:dyDescent="0.3">
      <c r="A2567">
        <v>68224</v>
      </c>
      <c r="B2567" t="s">
        <v>12</v>
      </c>
      <c r="C2567">
        <v>54</v>
      </c>
      <c r="D2567" t="s">
        <v>15</v>
      </c>
      <c r="E2567" t="s">
        <v>15</v>
      </c>
      <c r="F2567" t="s">
        <v>16</v>
      </c>
      <c r="G2567" t="s">
        <v>17</v>
      </c>
      <c r="H2567" t="s">
        <v>23</v>
      </c>
      <c r="I2567">
        <v>209.5</v>
      </c>
      <c r="J2567">
        <v>37.9</v>
      </c>
      <c r="K2567" t="s">
        <v>24</v>
      </c>
      <c r="L2567" t="s">
        <v>15</v>
      </c>
    </row>
    <row r="2568" spans="1:12" x14ac:dyDescent="0.3">
      <c r="A2568">
        <v>61559</v>
      </c>
      <c r="B2568" t="s">
        <v>12</v>
      </c>
      <c r="C2568">
        <v>7</v>
      </c>
      <c r="D2568" t="s">
        <v>15</v>
      </c>
      <c r="E2568" t="s">
        <v>15</v>
      </c>
      <c r="F2568" t="s">
        <v>15</v>
      </c>
      <c r="G2568" t="s">
        <v>20</v>
      </c>
      <c r="H2568" t="s">
        <v>22</v>
      </c>
      <c r="I2568">
        <v>86.6</v>
      </c>
      <c r="J2568">
        <v>17.100000000000001</v>
      </c>
      <c r="K2568" t="s">
        <v>27</v>
      </c>
      <c r="L2568" t="s">
        <v>15</v>
      </c>
    </row>
    <row r="2569" spans="1:12" x14ac:dyDescent="0.3">
      <c r="A2569">
        <v>65564</v>
      </c>
      <c r="B2569" t="s">
        <v>13</v>
      </c>
      <c r="C2569">
        <v>48</v>
      </c>
      <c r="D2569" t="s">
        <v>15</v>
      </c>
      <c r="E2569" t="s">
        <v>15</v>
      </c>
      <c r="F2569" t="s">
        <v>16</v>
      </c>
      <c r="G2569" t="s">
        <v>17</v>
      </c>
      <c r="H2569" t="s">
        <v>22</v>
      </c>
      <c r="I2569">
        <v>57.43</v>
      </c>
      <c r="J2569">
        <v>53.5</v>
      </c>
      <c r="K2569" t="s">
        <v>24</v>
      </c>
      <c r="L2569" t="s">
        <v>15</v>
      </c>
    </row>
    <row r="2570" spans="1:12" x14ac:dyDescent="0.3">
      <c r="A2570">
        <v>18890</v>
      </c>
      <c r="B2570" t="s">
        <v>12</v>
      </c>
      <c r="C2570">
        <v>69</v>
      </c>
      <c r="D2570" t="s">
        <v>16</v>
      </c>
      <c r="E2570" t="s">
        <v>15</v>
      </c>
      <c r="F2570" t="s">
        <v>16</v>
      </c>
      <c r="G2570" t="s">
        <v>17</v>
      </c>
      <c r="H2570" t="s">
        <v>23</v>
      </c>
      <c r="I2570">
        <v>87.93</v>
      </c>
      <c r="J2570">
        <v>33.6</v>
      </c>
      <c r="K2570" t="s">
        <v>25</v>
      </c>
      <c r="L2570" t="s">
        <v>15</v>
      </c>
    </row>
    <row r="2571" spans="1:12" x14ac:dyDescent="0.3">
      <c r="A2571">
        <v>58936</v>
      </c>
      <c r="B2571" t="s">
        <v>12</v>
      </c>
      <c r="C2571">
        <v>59</v>
      </c>
      <c r="D2571" t="s">
        <v>15</v>
      </c>
      <c r="E2571" t="s">
        <v>15</v>
      </c>
      <c r="F2571" t="s">
        <v>16</v>
      </c>
      <c r="G2571" t="s">
        <v>17</v>
      </c>
      <c r="H2571" t="s">
        <v>23</v>
      </c>
      <c r="I2571">
        <v>203.16</v>
      </c>
      <c r="J2571">
        <v>43.4</v>
      </c>
      <c r="K2571" t="s">
        <v>27</v>
      </c>
      <c r="L2571" t="s">
        <v>15</v>
      </c>
    </row>
    <row r="2572" spans="1:12" x14ac:dyDescent="0.3">
      <c r="A2572">
        <v>67667</v>
      </c>
      <c r="B2572" t="s">
        <v>13</v>
      </c>
      <c r="C2572">
        <v>72</v>
      </c>
      <c r="D2572" t="s">
        <v>16</v>
      </c>
      <c r="E2572" t="s">
        <v>15</v>
      </c>
      <c r="F2572" t="s">
        <v>16</v>
      </c>
      <c r="G2572" t="s">
        <v>18</v>
      </c>
      <c r="H2572" t="s">
        <v>23</v>
      </c>
      <c r="I2572">
        <v>112.12</v>
      </c>
      <c r="J2572">
        <v>30.5</v>
      </c>
      <c r="K2572" t="s">
        <v>25</v>
      </c>
      <c r="L2572" t="s">
        <v>15</v>
      </c>
    </row>
    <row r="2573" spans="1:12" x14ac:dyDescent="0.3">
      <c r="A2573">
        <v>68138</v>
      </c>
      <c r="B2573" t="s">
        <v>12</v>
      </c>
      <c r="C2573">
        <v>49</v>
      </c>
      <c r="D2573" t="s">
        <v>15</v>
      </c>
      <c r="E2573" t="s">
        <v>15</v>
      </c>
      <c r="F2573" t="s">
        <v>16</v>
      </c>
      <c r="G2573" t="s">
        <v>17</v>
      </c>
      <c r="H2573" t="s">
        <v>22</v>
      </c>
      <c r="I2573">
        <v>92.02</v>
      </c>
      <c r="J2573">
        <v>38.1</v>
      </c>
      <c r="K2573" t="s">
        <v>25</v>
      </c>
      <c r="L2573" t="s">
        <v>15</v>
      </c>
    </row>
    <row r="2574" spans="1:12" x14ac:dyDescent="0.3">
      <c r="A2574">
        <v>50363</v>
      </c>
      <c r="B2574" t="s">
        <v>13</v>
      </c>
      <c r="C2574">
        <v>73</v>
      </c>
      <c r="D2574" t="s">
        <v>16</v>
      </c>
      <c r="E2574" t="s">
        <v>15</v>
      </c>
      <c r="F2574" t="s">
        <v>16</v>
      </c>
      <c r="G2574" t="s">
        <v>17</v>
      </c>
      <c r="H2574" t="s">
        <v>23</v>
      </c>
      <c r="I2574">
        <v>60.98</v>
      </c>
      <c r="J2574">
        <v>29.9</v>
      </c>
      <c r="K2574" t="s">
        <v>24</v>
      </c>
      <c r="L2574" t="s">
        <v>15</v>
      </c>
    </row>
    <row r="2575" spans="1:12" x14ac:dyDescent="0.3">
      <c r="A2575">
        <v>4740</v>
      </c>
      <c r="B2575" t="s">
        <v>13</v>
      </c>
      <c r="C2575">
        <v>24</v>
      </c>
      <c r="D2575" t="s">
        <v>15</v>
      </c>
      <c r="E2575" t="s">
        <v>15</v>
      </c>
      <c r="F2575" t="s">
        <v>15</v>
      </c>
      <c r="G2575" t="s">
        <v>17</v>
      </c>
      <c r="H2575" t="s">
        <v>22</v>
      </c>
      <c r="I2575">
        <v>86.35</v>
      </c>
      <c r="J2575">
        <v>32.700000000000003</v>
      </c>
      <c r="K2575" t="s">
        <v>25</v>
      </c>
      <c r="L2575" t="s">
        <v>15</v>
      </c>
    </row>
    <row r="2576" spans="1:12" x14ac:dyDescent="0.3">
      <c r="A2576">
        <v>39683</v>
      </c>
      <c r="B2576" t="s">
        <v>12</v>
      </c>
      <c r="C2576">
        <v>26</v>
      </c>
      <c r="D2576" t="s">
        <v>15</v>
      </c>
      <c r="E2576" t="s">
        <v>15</v>
      </c>
      <c r="F2576" t="s">
        <v>15</v>
      </c>
      <c r="G2576" t="s">
        <v>17</v>
      </c>
      <c r="H2576" t="s">
        <v>23</v>
      </c>
      <c r="I2576">
        <v>71.260000000000005</v>
      </c>
      <c r="J2576">
        <v>28.6</v>
      </c>
      <c r="K2576" t="s">
        <v>27</v>
      </c>
      <c r="L2576" t="s">
        <v>15</v>
      </c>
    </row>
    <row r="2577" spans="1:12" x14ac:dyDescent="0.3">
      <c r="A2577">
        <v>49903</v>
      </c>
      <c r="B2577" t="s">
        <v>12</v>
      </c>
      <c r="C2577">
        <v>27</v>
      </c>
      <c r="D2577" t="s">
        <v>15</v>
      </c>
      <c r="E2577" t="s">
        <v>15</v>
      </c>
      <c r="F2577" t="s">
        <v>15</v>
      </c>
      <c r="G2577" t="s">
        <v>17</v>
      </c>
      <c r="H2577" t="s">
        <v>22</v>
      </c>
      <c r="I2577">
        <v>72.61</v>
      </c>
      <c r="J2577">
        <v>38.5</v>
      </c>
      <c r="K2577" t="s">
        <v>25</v>
      </c>
      <c r="L2577" t="s">
        <v>15</v>
      </c>
    </row>
    <row r="2578" spans="1:12" x14ac:dyDescent="0.3">
      <c r="A2578">
        <v>63457</v>
      </c>
      <c r="B2578" t="s">
        <v>13</v>
      </c>
      <c r="C2578">
        <v>78</v>
      </c>
      <c r="D2578" t="s">
        <v>15</v>
      </c>
      <c r="E2578" t="s">
        <v>16</v>
      </c>
      <c r="F2578" t="s">
        <v>15</v>
      </c>
      <c r="G2578" t="s">
        <v>18</v>
      </c>
      <c r="H2578" t="s">
        <v>22</v>
      </c>
      <c r="I2578">
        <v>110.78</v>
      </c>
      <c r="J2578">
        <v>22.9</v>
      </c>
      <c r="K2578" t="s">
        <v>25</v>
      </c>
      <c r="L2578" t="s">
        <v>15</v>
      </c>
    </row>
    <row r="2579" spans="1:12" x14ac:dyDescent="0.3">
      <c r="A2579">
        <v>18595</v>
      </c>
      <c r="B2579" t="s">
        <v>13</v>
      </c>
      <c r="C2579">
        <v>77</v>
      </c>
      <c r="D2579" t="s">
        <v>15</v>
      </c>
      <c r="E2579" t="s">
        <v>15</v>
      </c>
      <c r="F2579" t="s">
        <v>16</v>
      </c>
      <c r="G2579" t="s">
        <v>17</v>
      </c>
      <c r="H2579" t="s">
        <v>22</v>
      </c>
      <c r="I2579">
        <v>99.78</v>
      </c>
      <c r="J2579">
        <v>38</v>
      </c>
      <c r="K2579" t="s">
        <v>25</v>
      </c>
      <c r="L2579" t="s">
        <v>15</v>
      </c>
    </row>
    <row r="2580" spans="1:12" x14ac:dyDescent="0.3">
      <c r="A2580">
        <v>64912</v>
      </c>
      <c r="B2580" t="s">
        <v>13</v>
      </c>
      <c r="C2580">
        <v>59</v>
      </c>
      <c r="D2580" t="s">
        <v>15</v>
      </c>
      <c r="E2580" t="s">
        <v>15</v>
      </c>
      <c r="F2580" t="s">
        <v>16</v>
      </c>
      <c r="G2580" t="s">
        <v>18</v>
      </c>
      <c r="H2580" t="s">
        <v>23</v>
      </c>
      <c r="I2580">
        <v>201.45</v>
      </c>
      <c r="J2580">
        <v>43.8</v>
      </c>
      <c r="K2580" t="s">
        <v>26</v>
      </c>
      <c r="L2580" t="s">
        <v>15</v>
      </c>
    </row>
    <row r="2581" spans="1:12" x14ac:dyDescent="0.3">
      <c r="A2581">
        <v>68382</v>
      </c>
      <c r="B2581" t="s">
        <v>12</v>
      </c>
      <c r="C2581">
        <v>0.32</v>
      </c>
      <c r="D2581" t="s">
        <v>15</v>
      </c>
      <c r="E2581" t="s">
        <v>15</v>
      </c>
      <c r="F2581" t="s">
        <v>15</v>
      </c>
      <c r="G2581" t="s">
        <v>20</v>
      </c>
      <c r="H2581" t="s">
        <v>22</v>
      </c>
      <c r="I2581">
        <v>127.78</v>
      </c>
      <c r="J2581">
        <v>20.8</v>
      </c>
      <c r="K2581" t="s">
        <v>27</v>
      </c>
      <c r="L2581" t="s">
        <v>15</v>
      </c>
    </row>
    <row r="2582" spans="1:12" x14ac:dyDescent="0.3">
      <c r="A2582">
        <v>69510</v>
      </c>
      <c r="B2582" t="s">
        <v>12</v>
      </c>
      <c r="C2582">
        <v>39</v>
      </c>
      <c r="D2582" t="s">
        <v>15</v>
      </c>
      <c r="E2582" t="s">
        <v>15</v>
      </c>
      <c r="F2582" t="s">
        <v>16</v>
      </c>
      <c r="G2582" t="s">
        <v>17</v>
      </c>
      <c r="H2582" t="s">
        <v>23</v>
      </c>
      <c r="I2582">
        <v>121.32</v>
      </c>
      <c r="J2582">
        <v>26.8</v>
      </c>
      <c r="K2582" t="s">
        <v>25</v>
      </c>
      <c r="L2582" t="s">
        <v>15</v>
      </c>
    </row>
    <row r="2583" spans="1:12" x14ac:dyDescent="0.3">
      <c r="A2583">
        <v>29872</v>
      </c>
      <c r="B2583" t="s">
        <v>13</v>
      </c>
      <c r="C2583">
        <v>35</v>
      </c>
      <c r="D2583" t="s">
        <v>15</v>
      </c>
      <c r="E2583" t="s">
        <v>15</v>
      </c>
      <c r="F2583" t="s">
        <v>16</v>
      </c>
      <c r="G2583" t="s">
        <v>17</v>
      </c>
      <c r="H2583" t="s">
        <v>22</v>
      </c>
      <c r="I2583">
        <v>83.89</v>
      </c>
      <c r="J2583">
        <v>25.5</v>
      </c>
      <c r="K2583" t="s">
        <v>25</v>
      </c>
      <c r="L2583" t="s">
        <v>15</v>
      </c>
    </row>
    <row r="2584" spans="1:12" x14ac:dyDescent="0.3">
      <c r="A2584">
        <v>1924</v>
      </c>
      <c r="B2584" t="s">
        <v>12</v>
      </c>
      <c r="C2584">
        <v>54</v>
      </c>
      <c r="D2584" t="s">
        <v>15</v>
      </c>
      <c r="E2584" t="s">
        <v>15</v>
      </c>
      <c r="F2584" t="s">
        <v>16</v>
      </c>
      <c r="G2584" t="s">
        <v>17</v>
      </c>
      <c r="H2584" t="s">
        <v>23</v>
      </c>
      <c r="I2584">
        <v>74.06</v>
      </c>
      <c r="K2584" t="s">
        <v>25</v>
      </c>
      <c r="L2584" t="s">
        <v>15</v>
      </c>
    </row>
    <row r="2585" spans="1:12" x14ac:dyDescent="0.3">
      <c r="A2585">
        <v>67243</v>
      </c>
      <c r="B2585" t="s">
        <v>13</v>
      </c>
      <c r="C2585">
        <v>75</v>
      </c>
      <c r="D2585" t="s">
        <v>15</v>
      </c>
      <c r="E2585" t="s">
        <v>16</v>
      </c>
      <c r="F2585" t="s">
        <v>16</v>
      </c>
      <c r="G2585" t="s">
        <v>17</v>
      </c>
      <c r="H2585" t="s">
        <v>22</v>
      </c>
      <c r="I2585">
        <v>206.15</v>
      </c>
      <c r="J2585">
        <v>25.4</v>
      </c>
      <c r="K2585" t="s">
        <v>25</v>
      </c>
      <c r="L2585" t="s">
        <v>15</v>
      </c>
    </row>
    <row r="2586" spans="1:12" x14ac:dyDescent="0.3">
      <c r="A2586">
        <v>3494</v>
      </c>
      <c r="B2586" t="s">
        <v>13</v>
      </c>
      <c r="C2586">
        <v>80</v>
      </c>
      <c r="D2586" t="s">
        <v>15</v>
      </c>
      <c r="E2586" t="s">
        <v>15</v>
      </c>
      <c r="F2586" t="s">
        <v>16</v>
      </c>
      <c r="G2586" t="s">
        <v>17</v>
      </c>
      <c r="H2586" t="s">
        <v>23</v>
      </c>
      <c r="I2586">
        <v>102.9</v>
      </c>
      <c r="J2586">
        <v>26.7</v>
      </c>
      <c r="K2586" t="s">
        <v>27</v>
      </c>
      <c r="L2586" t="s">
        <v>15</v>
      </c>
    </row>
    <row r="2587" spans="1:12" x14ac:dyDescent="0.3">
      <c r="A2587">
        <v>37307</v>
      </c>
      <c r="B2587" t="s">
        <v>13</v>
      </c>
      <c r="C2587">
        <v>35</v>
      </c>
      <c r="D2587" t="s">
        <v>15</v>
      </c>
      <c r="E2587" t="s">
        <v>15</v>
      </c>
      <c r="F2587" t="s">
        <v>16</v>
      </c>
      <c r="G2587" t="s">
        <v>17</v>
      </c>
      <c r="H2587" t="s">
        <v>22</v>
      </c>
      <c r="I2587">
        <v>65.48</v>
      </c>
      <c r="J2587">
        <v>50.5</v>
      </c>
      <c r="K2587" t="s">
        <v>25</v>
      </c>
      <c r="L2587" t="s">
        <v>15</v>
      </c>
    </row>
    <row r="2588" spans="1:12" x14ac:dyDescent="0.3">
      <c r="A2588">
        <v>41175</v>
      </c>
      <c r="B2588" t="s">
        <v>13</v>
      </c>
      <c r="C2588">
        <v>22</v>
      </c>
      <c r="D2588" t="s">
        <v>15</v>
      </c>
      <c r="E2588" t="s">
        <v>15</v>
      </c>
      <c r="F2588" t="s">
        <v>15</v>
      </c>
      <c r="G2588" t="s">
        <v>19</v>
      </c>
      <c r="H2588" t="s">
        <v>22</v>
      </c>
      <c r="I2588">
        <v>123.23</v>
      </c>
      <c r="J2588">
        <v>21.3</v>
      </c>
      <c r="K2588" t="s">
        <v>27</v>
      </c>
      <c r="L2588" t="s">
        <v>15</v>
      </c>
    </row>
    <row r="2589" spans="1:12" x14ac:dyDescent="0.3">
      <c r="A2589">
        <v>48303</v>
      </c>
      <c r="B2589" t="s">
        <v>12</v>
      </c>
      <c r="C2589">
        <v>39</v>
      </c>
      <c r="D2589" t="s">
        <v>15</v>
      </c>
      <c r="E2589" t="s">
        <v>15</v>
      </c>
      <c r="F2589" t="s">
        <v>16</v>
      </c>
      <c r="G2589" t="s">
        <v>17</v>
      </c>
      <c r="H2589" t="s">
        <v>23</v>
      </c>
      <c r="I2589">
        <v>71.3</v>
      </c>
      <c r="J2589">
        <v>34.700000000000003</v>
      </c>
      <c r="K2589" t="s">
        <v>25</v>
      </c>
      <c r="L2589" t="s">
        <v>15</v>
      </c>
    </row>
    <row r="2590" spans="1:12" x14ac:dyDescent="0.3">
      <c r="A2590">
        <v>31473</v>
      </c>
      <c r="B2590" t="s">
        <v>12</v>
      </c>
      <c r="C2590">
        <v>6</v>
      </c>
      <c r="D2590" t="s">
        <v>15</v>
      </c>
      <c r="E2590" t="s">
        <v>15</v>
      </c>
      <c r="F2590" t="s">
        <v>15</v>
      </c>
      <c r="G2590" t="s">
        <v>20</v>
      </c>
      <c r="H2590" t="s">
        <v>23</v>
      </c>
      <c r="I2590">
        <v>79.05</v>
      </c>
      <c r="J2590">
        <v>17.899999999999999</v>
      </c>
      <c r="K2590" t="s">
        <v>27</v>
      </c>
      <c r="L2590" t="s">
        <v>15</v>
      </c>
    </row>
    <row r="2591" spans="1:12" x14ac:dyDescent="0.3">
      <c r="A2591">
        <v>31402</v>
      </c>
      <c r="B2591" t="s">
        <v>13</v>
      </c>
      <c r="C2591">
        <v>62</v>
      </c>
      <c r="D2591" t="s">
        <v>15</v>
      </c>
      <c r="E2591" t="s">
        <v>15</v>
      </c>
      <c r="F2591" t="s">
        <v>16</v>
      </c>
      <c r="G2591" t="s">
        <v>18</v>
      </c>
      <c r="H2591" t="s">
        <v>23</v>
      </c>
      <c r="I2591">
        <v>102.21</v>
      </c>
      <c r="J2591">
        <v>36.299999999999997</v>
      </c>
      <c r="K2591" t="s">
        <v>25</v>
      </c>
      <c r="L2591" t="s">
        <v>15</v>
      </c>
    </row>
    <row r="2592" spans="1:12" x14ac:dyDescent="0.3">
      <c r="A2592">
        <v>18996</v>
      </c>
      <c r="B2592" t="s">
        <v>13</v>
      </c>
      <c r="C2592">
        <v>13</v>
      </c>
      <c r="D2592" t="s">
        <v>15</v>
      </c>
      <c r="E2592" t="s">
        <v>15</v>
      </c>
      <c r="F2592" t="s">
        <v>15</v>
      </c>
      <c r="G2592" t="s">
        <v>20</v>
      </c>
      <c r="H2592" t="s">
        <v>22</v>
      </c>
      <c r="I2592">
        <v>105.22</v>
      </c>
      <c r="J2592">
        <v>18.399999999999999</v>
      </c>
      <c r="K2592" t="s">
        <v>27</v>
      </c>
      <c r="L2592" t="s">
        <v>15</v>
      </c>
    </row>
    <row r="2593" spans="1:12" x14ac:dyDescent="0.3">
      <c r="A2593">
        <v>2573</v>
      </c>
      <c r="B2593" t="s">
        <v>12</v>
      </c>
      <c r="C2593">
        <v>56</v>
      </c>
      <c r="D2593" t="s">
        <v>15</v>
      </c>
      <c r="E2593" t="s">
        <v>15</v>
      </c>
      <c r="F2593" t="s">
        <v>16</v>
      </c>
      <c r="G2593" t="s">
        <v>19</v>
      </c>
      <c r="H2593" t="s">
        <v>23</v>
      </c>
      <c r="I2593">
        <v>84.58</v>
      </c>
      <c r="J2593">
        <v>34.5</v>
      </c>
      <c r="K2593" t="s">
        <v>27</v>
      </c>
      <c r="L2593" t="s">
        <v>15</v>
      </c>
    </row>
    <row r="2594" spans="1:12" x14ac:dyDescent="0.3">
      <c r="A2594">
        <v>60683</v>
      </c>
      <c r="B2594" t="s">
        <v>12</v>
      </c>
      <c r="C2594">
        <v>53</v>
      </c>
      <c r="D2594" t="s">
        <v>15</v>
      </c>
      <c r="E2594" t="s">
        <v>16</v>
      </c>
      <c r="F2594" t="s">
        <v>16</v>
      </c>
      <c r="G2594" t="s">
        <v>19</v>
      </c>
      <c r="H2594" t="s">
        <v>22</v>
      </c>
      <c r="I2594">
        <v>77.3</v>
      </c>
      <c r="J2594">
        <v>33.4</v>
      </c>
      <c r="K2594" t="s">
        <v>25</v>
      </c>
      <c r="L2594" t="s">
        <v>15</v>
      </c>
    </row>
    <row r="2595" spans="1:12" x14ac:dyDescent="0.3">
      <c r="A2595">
        <v>70537</v>
      </c>
      <c r="B2595" t="s">
        <v>12</v>
      </c>
      <c r="C2595">
        <v>5</v>
      </c>
      <c r="D2595" t="s">
        <v>15</v>
      </c>
      <c r="E2595" t="s">
        <v>15</v>
      </c>
      <c r="F2595" t="s">
        <v>15</v>
      </c>
      <c r="G2595" t="s">
        <v>20</v>
      </c>
      <c r="H2595" t="s">
        <v>23</v>
      </c>
      <c r="I2595">
        <v>74.790000000000006</v>
      </c>
      <c r="J2595">
        <v>19.399999999999999</v>
      </c>
      <c r="K2595" t="s">
        <v>27</v>
      </c>
      <c r="L2595" t="s">
        <v>15</v>
      </c>
    </row>
    <row r="2596" spans="1:12" x14ac:dyDescent="0.3">
      <c r="A2596">
        <v>63193</v>
      </c>
      <c r="B2596" t="s">
        <v>13</v>
      </c>
      <c r="C2596">
        <v>44</v>
      </c>
      <c r="D2596" t="s">
        <v>15</v>
      </c>
      <c r="E2596" t="s">
        <v>15</v>
      </c>
      <c r="F2596" t="s">
        <v>16</v>
      </c>
      <c r="G2596" t="s">
        <v>17</v>
      </c>
      <c r="H2596" t="s">
        <v>23</v>
      </c>
      <c r="I2596">
        <v>88.75</v>
      </c>
      <c r="J2596">
        <v>25.6</v>
      </c>
      <c r="K2596" t="s">
        <v>27</v>
      </c>
      <c r="L2596" t="s">
        <v>15</v>
      </c>
    </row>
    <row r="2597" spans="1:12" x14ac:dyDescent="0.3">
      <c r="A2597">
        <v>12228</v>
      </c>
      <c r="B2597" t="s">
        <v>12</v>
      </c>
      <c r="C2597">
        <v>13</v>
      </c>
      <c r="D2597" t="s">
        <v>15</v>
      </c>
      <c r="E2597" t="s">
        <v>15</v>
      </c>
      <c r="F2597" t="s">
        <v>15</v>
      </c>
      <c r="G2597" t="s">
        <v>20</v>
      </c>
      <c r="H2597" t="s">
        <v>23</v>
      </c>
      <c r="I2597">
        <v>97.97</v>
      </c>
      <c r="J2597">
        <v>24.5</v>
      </c>
      <c r="K2597" t="s">
        <v>25</v>
      </c>
      <c r="L2597" t="s">
        <v>15</v>
      </c>
    </row>
    <row r="2598" spans="1:12" x14ac:dyDescent="0.3">
      <c r="A2598">
        <v>58107</v>
      </c>
      <c r="B2598" t="s">
        <v>13</v>
      </c>
      <c r="C2598">
        <v>59</v>
      </c>
      <c r="D2598" t="s">
        <v>15</v>
      </c>
      <c r="E2598" t="s">
        <v>15</v>
      </c>
      <c r="F2598" t="s">
        <v>16</v>
      </c>
      <c r="G2598" t="s">
        <v>17</v>
      </c>
      <c r="H2598" t="s">
        <v>23</v>
      </c>
      <c r="I2598">
        <v>79.180000000000007</v>
      </c>
      <c r="J2598">
        <v>30</v>
      </c>
      <c r="K2598" t="s">
        <v>27</v>
      </c>
      <c r="L2598" t="s">
        <v>15</v>
      </c>
    </row>
    <row r="2599" spans="1:12" x14ac:dyDescent="0.3">
      <c r="A2599">
        <v>28647</v>
      </c>
      <c r="B2599" t="s">
        <v>13</v>
      </c>
      <c r="C2599">
        <v>35</v>
      </c>
      <c r="D2599" t="s">
        <v>15</v>
      </c>
      <c r="E2599" t="s">
        <v>15</v>
      </c>
      <c r="F2599" t="s">
        <v>16</v>
      </c>
      <c r="G2599" t="s">
        <v>17</v>
      </c>
      <c r="H2599" t="s">
        <v>22</v>
      </c>
      <c r="I2599">
        <v>81.33</v>
      </c>
      <c r="J2599">
        <v>28.9</v>
      </c>
      <c r="K2599" t="s">
        <v>25</v>
      </c>
      <c r="L2599" t="s">
        <v>15</v>
      </c>
    </row>
    <row r="2600" spans="1:12" x14ac:dyDescent="0.3">
      <c r="A2600">
        <v>57086</v>
      </c>
      <c r="B2600" t="s">
        <v>13</v>
      </c>
      <c r="C2600">
        <v>52</v>
      </c>
      <c r="D2600" t="s">
        <v>15</v>
      </c>
      <c r="E2600" t="s">
        <v>15</v>
      </c>
      <c r="F2600" t="s">
        <v>16</v>
      </c>
      <c r="G2600" t="s">
        <v>17</v>
      </c>
      <c r="H2600" t="s">
        <v>22</v>
      </c>
      <c r="I2600">
        <v>126.68</v>
      </c>
      <c r="J2600">
        <v>28.1</v>
      </c>
      <c r="K2600" t="s">
        <v>25</v>
      </c>
      <c r="L2600" t="s">
        <v>15</v>
      </c>
    </row>
    <row r="2601" spans="1:12" x14ac:dyDescent="0.3">
      <c r="A2601">
        <v>5505</v>
      </c>
      <c r="B2601" t="s">
        <v>13</v>
      </c>
      <c r="C2601">
        <v>76</v>
      </c>
      <c r="D2601" t="s">
        <v>15</v>
      </c>
      <c r="E2601" t="s">
        <v>15</v>
      </c>
      <c r="F2601" t="s">
        <v>16</v>
      </c>
      <c r="G2601" t="s">
        <v>17</v>
      </c>
      <c r="H2601" t="s">
        <v>22</v>
      </c>
      <c r="I2601">
        <v>196.61</v>
      </c>
      <c r="J2601">
        <v>23</v>
      </c>
      <c r="K2601" t="s">
        <v>25</v>
      </c>
      <c r="L2601" t="s">
        <v>15</v>
      </c>
    </row>
    <row r="2602" spans="1:12" x14ac:dyDescent="0.3">
      <c r="A2602">
        <v>44112</v>
      </c>
      <c r="B2602" t="s">
        <v>13</v>
      </c>
      <c r="C2602">
        <v>51</v>
      </c>
      <c r="D2602" t="s">
        <v>15</v>
      </c>
      <c r="E2602" t="s">
        <v>15</v>
      </c>
      <c r="F2602" t="s">
        <v>16</v>
      </c>
      <c r="G2602" t="s">
        <v>18</v>
      </c>
      <c r="H2602" t="s">
        <v>22</v>
      </c>
      <c r="I2602">
        <v>219.92</v>
      </c>
      <c r="J2602">
        <v>33.5</v>
      </c>
      <c r="K2602" t="s">
        <v>24</v>
      </c>
      <c r="L2602" t="s">
        <v>15</v>
      </c>
    </row>
    <row r="2603" spans="1:12" x14ac:dyDescent="0.3">
      <c r="A2603">
        <v>56645</v>
      </c>
      <c r="B2603" t="s">
        <v>13</v>
      </c>
      <c r="C2603">
        <v>79</v>
      </c>
      <c r="D2603" t="s">
        <v>15</v>
      </c>
      <c r="E2603" t="s">
        <v>15</v>
      </c>
      <c r="F2603" t="s">
        <v>16</v>
      </c>
      <c r="G2603" t="s">
        <v>19</v>
      </c>
      <c r="H2603" t="s">
        <v>23</v>
      </c>
      <c r="I2603">
        <v>79.16</v>
      </c>
      <c r="J2603">
        <v>34.799999999999997</v>
      </c>
      <c r="K2603" t="s">
        <v>24</v>
      </c>
      <c r="L2603" t="s">
        <v>15</v>
      </c>
    </row>
    <row r="2604" spans="1:12" x14ac:dyDescent="0.3">
      <c r="A2604">
        <v>16652</v>
      </c>
      <c r="B2604" t="s">
        <v>13</v>
      </c>
      <c r="C2604">
        <v>69</v>
      </c>
      <c r="D2604" t="s">
        <v>15</v>
      </c>
      <c r="E2604" t="s">
        <v>15</v>
      </c>
      <c r="F2604" t="s">
        <v>16</v>
      </c>
      <c r="G2604" t="s">
        <v>18</v>
      </c>
      <c r="H2604" t="s">
        <v>22</v>
      </c>
      <c r="I2604">
        <v>99.68</v>
      </c>
      <c r="J2604">
        <v>17.600000000000001</v>
      </c>
      <c r="K2604" t="s">
        <v>24</v>
      </c>
      <c r="L2604" t="s">
        <v>15</v>
      </c>
    </row>
    <row r="2605" spans="1:12" x14ac:dyDescent="0.3">
      <c r="A2605">
        <v>32445</v>
      </c>
      <c r="B2605" t="s">
        <v>13</v>
      </c>
      <c r="C2605">
        <v>78</v>
      </c>
      <c r="D2605" t="s">
        <v>15</v>
      </c>
      <c r="E2605" t="s">
        <v>15</v>
      </c>
      <c r="F2605" t="s">
        <v>16</v>
      </c>
      <c r="G2605" t="s">
        <v>18</v>
      </c>
      <c r="H2605" t="s">
        <v>22</v>
      </c>
      <c r="I2605">
        <v>79.55</v>
      </c>
      <c r="J2605">
        <v>21.1</v>
      </c>
      <c r="K2605" t="s">
        <v>24</v>
      </c>
      <c r="L2605" t="s">
        <v>15</v>
      </c>
    </row>
    <row r="2606" spans="1:12" x14ac:dyDescent="0.3">
      <c r="A2606">
        <v>18752</v>
      </c>
      <c r="B2606" t="s">
        <v>12</v>
      </c>
      <c r="C2606">
        <v>60</v>
      </c>
      <c r="D2606" t="s">
        <v>15</v>
      </c>
      <c r="E2606" t="s">
        <v>15</v>
      </c>
      <c r="F2606" t="s">
        <v>16</v>
      </c>
      <c r="G2606" t="s">
        <v>17</v>
      </c>
      <c r="H2606" t="s">
        <v>23</v>
      </c>
      <c r="I2606">
        <v>87.86</v>
      </c>
      <c r="J2606">
        <v>29</v>
      </c>
      <c r="K2606" t="s">
        <v>24</v>
      </c>
      <c r="L2606" t="s">
        <v>15</v>
      </c>
    </row>
    <row r="2607" spans="1:12" x14ac:dyDescent="0.3">
      <c r="A2607">
        <v>35152</v>
      </c>
      <c r="B2607" t="s">
        <v>12</v>
      </c>
      <c r="C2607">
        <v>10</v>
      </c>
      <c r="D2607" t="s">
        <v>15</v>
      </c>
      <c r="E2607" t="s">
        <v>15</v>
      </c>
      <c r="F2607" t="s">
        <v>15</v>
      </c>
      <c r="G2607" t="s">
        <v>20</v>
      </c>
      <c r="H2607" t="s">
        <v>22</v>
      </c>
      <c r="I2607">
        <v>76.92</v>
      </c>
      <c r="J2607">
        <v>15.8</v>
      </c>
      <c r="K2607" t="s">
        <v>27</v>
      </c>
      <c r="L2607" t="s">
        <v>15</v>
      </c>
    </row>
    <row r="2608" spans="1:12" x14ac:dyDescent="0.3">
      <c r="A2608">
        <v>70081</v>
      </c>
      <c r="B2608" t="s">
        <v>12</v>
      </c>
      <c r="C2608">
        <v>42</v>
      </c>
      <c r="D2608" t="s">
        <v>16</v>
      </c>
      <c r="E2608" t="s">
        <v>15</v>
      </c>
      <c r="F2608" t="s">
        <v>16</v>
      </c>
      <c r="G2608" t="s">
        <v>18</v>
      </c>
      <c r="H2608" t="s">
        <v>23</v>
      </c>
      <c r="I2608">
        <v>77.239999999999995</v>
      </c>
      <c r="J2608">
        <v>41.2</v>
      </c>
      <c r="K2608" t="s">
        <v>27</v>
      </c>
      <c r="L2608" t="s">
        <v>15</v>
      </c>
    </row>
    <row r="2609" spans="1:12" x14ac:dyDescent="0.3">
      <c r="A2609">
        <v>72340</v>
      </c>
      <c r="B2609" t="s">
        <v>12</v>
      </c>
      <c r="C2609">
        <v>21</v>
      </c>
      <c r="D2609" t="s">
        <v>15</v>
      </c>
      <c r="E2609" t="s">
        <v>15</v>
      </c>
      <c r="F2609" t="s">
        <v>15</v>
      </c>
      <c r="G2609" t="s">
        <v>17</v>
      </c>
      <c r="H2609" t="s">
        <v>22</v>
      </c>
      <c r="I2609">
        <v>120.94</v>
      </c>
      <c r="J2609">
        <v>29.7</v>
      </c>
      <c r="K2609" t="s">
        <v>24</v>
      </c>
      <c r="L2609" t="s">
        <v>15</v>
      </c>
    </row>
    <row r="2610" spans="1:12" x14ac:dyDescent="0.3">
      <c r="A2610">
        <v>67112</v>
      </c>
      <c r="B2610" t="s">
        <v>13</v>
      </c>
      <c r="C2610">
        <v>56</v>
      </c>
      <c r="D2610" t="s">
        <v>15</v>
      </c>
      <c r="E2610" t="s">
        <v>15</v>
      </c>
      <c r="F2610" t="s">
        <v>16</v>
      </c>
      <c r="G2610" t="s">
        <v>17</v>
      </c>
      <c r="H2610" t="s">
        <v>23</v>
      </c>
      <c r="I2610">
        <v>77.66</v>
      </c>
      <c r="J2610">
        <v>40.799999999999997</v>
      </c>
      <c r="K2610" t="s">
        <v>25</v>
      </c>
      <c r="L2610" t="s">
        <v>15</v>
      </c>
    </row>
    <row r="2611" spans="1:12" x14ac:dyDescent="0.3">
      <c r="A2611">
        <v>42323</v>
      </c>
      <c r="B2611" t="s">
        <v>12</v>
      </c>
      <c r="C2611">
        <v>59</v>
      </c>
      <c r="D2611" t="s">
        <v>15</v>
      </c>
      <c r="E2611" t="s">
        <v>15</v>
      </c>
      <c r="F2611" t="s">
        <v>16</v>
      </c>
      <c r="G2611" t="s">
        <v>19</v>
      </c>
      <c r="H2611" t="s">
        <v>23</v>
      </c>
      <c r="I2611">
        <v>231.95</v>
      </c>
      <c r="J2611">
        <v>33.200000000000003</v>
      </c>
      <c r="K2611" t="s">
        <v>25</v>
      </c>
      <c r="L2611" t="s">
        <v>15</v>
      </c>
    </row>
    <row r="2612" spans="1:12" x14ac:dyDescent="0.3">
      <c r="A2612">
        <v>35022</v>
      </c>
      <c r="B2612" t="s">
        <v>13</v>
      </c>
      <c r="C2612">
        <v>69</v>
      </c>
      <c r="D2612" t="s">
        <v>15</v>
      </c>
      <c r="E2612" t="s">
        <v>15</v>
      </c>
      <c r="F2612" t="s">
        <v>16</v>
      </c>
      <c r="G2612" t="s">
        <v>17</v>
      </c>
      <c r="H2612" t="s">
        <v>22</v>
      </c>
      <c r="I2612">
        <v>111.48</v>
      </c>
      <c r="J2612">
        <v>37</v>
      </c>
      <c r="K2612" t="s">
        <v>26</v>
      </c>
      <c r="L2612" t="s">
        <v>15</v>
      </c>
    </row>
    <row r="2613" spans="1:12" x14ac:dyDescent="0.3">
      <c r="A2613">
        <v>21625</v>
      </c>
      <c r="B2613" t="s">
        <v>13</v>
      </c>
      <c r="C2613">
        <v>25</v>
      </c>
      <c r="D2613" t="s">
        <v>15</v>
      </c>
      <c r="E2613" t="s">
        <v>15</v>
      </c>
      <c r="F2613" t="s">
        <v>16</v>
      </c>
      <c r="G2613" t="s">
        <v>17</v>
      </c>
      <c r="H2613" t="s">
        <v>22</v>
      </c>
      <c r="I2613">
        <v>84.25</v>
      </c>
      <c r="J2613">
        <v>24.5</v>
      </c>
      <c r="K2613" t="s">
        <v>27</v>
      </c>
      <c r="L2613" t="s">
        <v>15</v>
      </c>
    </row>
    <row r="2614" spans="1:12" x14ac:dyDescent="0.3">
      <c r="A2614">
        <v>49972</v>
      </c>
      <c r="B2614" t="s">
        <v>12</v>
      </c>
      <c r="C2614">
        <v>63</v>
      </c>
      <c r="D2614" t="s">
        <v>15</v>
      </c>
      <c r="E2614" t="s">
        <v>15</v>
      </c>
      <c r="F2614" t="s">
        <v>16</v>
      </c>
      <c r="G2614" t="s">
        <v>18</v>
      </c>
      <c r="H2614" t="s">
        <v>23</v>
      </c>
      <c r="I2614">
        <v>216.38</v>
      </c>
      <c r="J2614">
        <v>34.5</v>
      </c>
      <c r="K2614" t="s">
        <v>25</v>
      </c>
      <c r="L2614" t="s">
        <v>15</v>
      </c>
    </row>
    <row r="2615" spans="1:12" x14ac:dyDescent="0.3">
      <c r="A2615">
        <v>44142</v>
      </c>
      <c r="B2615" t="s">
        <v>12</v>
      </c>
      <c r="C2615">
        <v>25</v>
      </c>
      <c r="D2615" t="s">
        <v>15</v>
      </c>
      <c r="E2615" t="s">
        <v>15</v>
      </c>
      <c r="F2615" t="s">
        <v>15</v>
      </c>
      <c r="G2615" t="s">
        <v>17</v>
      </c>
      <c r="H2615" t="s">
        <v>23</v>
      </c>
      <c r="I2615">
        <v>95.01</v>
      </c>
      <c r="J2615">
        <v>28</v>
      </c>
      <c r="K2615" t="s">
        <v>25</v>
      </c>
      <c r="L2615" t="s">
        <v>15</v>
      </c>
    </row>
    <row r="2616" spans="1:12" x14ac:dyDescent="0.3">
      <c r="A2616">
        <v>364</v>
      </c>
      <c r="B2616" t="s">
        <v>13</v>
      </c>
      <c r="C2616">
        <v>58</v>
      </c>
      <c r="D2616" t="s">
        <v>15</v>
      </c>
      <c r="E2616" t="s">
        <v>15</v>
      </c>
      <c r="F2616" t="s">
        <v>16</v>
      </c>
      <c r="G2616" t="s">
        <v>17</v>
      </c>
      <c r="H2616" t="s">
        <v>22</v>
      </c>
      <c r="I2616">
        <v>105.74</v>
      </c>
      <c r="J2616">
        <v>26.8</v>
      </c>
      <c r="K2616" t="s">
        <v>24</v>
      </c>
      <c r="L2616" t="s">
        <v>15</v>
      </c>
    </row>
    <row r="2617" spans="1:12" x14ac:dyDescent="0.3">
      <c r="A2617">
        <v>59669</v>
      </c>
      <c r="B2617" t="s">
        <v>13</v>
      </c>
      <c r="C2617">
        <v>28</v>
      </c>
      <c r="D2617" t="s">
        <v>15</v>
      </c>
      <c r="E2617" t="s">
        <v>15</v>
      </c>
      <c r="F2617" t="s">
        <v>16</v>
      </c>
      <c r="G2617" t="s">
        <v>17</v>
      </c>
      <c r="H2617" t="s">
        <v>23</v>
      </c>
      <c r="I2617">
        <v>58.41</v>
      </c>
      <c r="J2617">
        <v>21</v>
      </c>
      <c r="K2617" t="s">
        <v>27</v>
      </c>
      <c r="L2617" t="s">
        <v>15</v>
      </c>
    </row>
    <row r="2618" spans="1:12" x14ac:dyDescent="0.3">
      <c r="A2618">
        <v>69900</v>
      </c>
      <c r="B2618" t="s">
        <v>13</v>
      </c>
      <c r="C2618">
        <v>46</v>
      </c>
      <c r="D2618" t="s">
        <v>15</v>
      </c>
      <c r="E2618" t="s">
        <v>15</v>
      </c>
      <c r="F2618" t="s">
        <v>16</v>
      </c>
      <c r="G2618" t="s">
        <v>19</v>
      </c>
      <c r="H2618" t="s">
        <v>22</v>
      </c>
      <c r="I2618">
        <v>56.89</v>
      </c>
      <c r="J2618">
        <v>23.8</v>
      </c>
      <c r="K2618" t="s">
        <v>26</v>
      </c>
      <c r="L2618" t="s">
        <v>15</v>
      </c>
    </row>
    <row r="2619" spans="1:12" x14ac:dyDescent="0.3">
      <c r="A2619">
        <v>12753</v>
      </c>
      <c r="B2619" t="s">
        <v>12</v>
      </c>
      <c r="C2619">
        <v>53</v>
      </c>
      <c r="D2619" t="s">
        <v>15</v>
      </c>
      <c r="E2619" t="s">
        <v>15</v>
      </c>
      <c r="F2619" t="s">
        <v>16</v>
      </c>
      <c r="G2619" t="s">
        <v>17</v>
      </c>
      <c r="H2619" t="s">
        <v>22</v>
      </c>
      <c r="I2619">
        <v>86.25</v>
      </c>
      <c r="J2619">
        <v>29.3</v>
      </c>
      <c r="K2619" t="s">
        <v>25</v>
      </c>
      <c r="L2619" t="s">
        <v>15</v>
      </c>
    </row>
    <row r="2620" spans="1:12" x14ac:dyDescent="0.3">
      <c r="A2620">
        <v>10273</v>
      </c>
      <c r="B2620" t="s">
        <v>13</v>
      </c>
      <c r="C2620">
        <v>37</v>
      </c>
      <c r="D2620" t="s">
        <v>15</v>
      </c>
      <c r="E2620" t="s">
        <v>15</v>
      </c>
      <c r="F2620" t="s">
        <v>16</v>
      </c>
      <c r="G2620" t="s">
        <v>17</v>
      </c>
      <c r="H2620" t="s">
        <v>23</v>
      </c>
      <c r="I2620">
        <v>86.49</v>
      </c>
      <c r="J2620">
        <v>24.4</v>
      </c>
      <c r="K2620" t="s">
        <v>27</v>
      </c>
      <c r="L2620" t="s">
        <v>15</v>
      </c>
    </row>
    <row r="2621" spans="1:12" x14ac:dyDescent="0.3">
      <c r="A2621">
        <v>30824</v>
      </c>
      <c r="B2621" t="s">
        <v>12</v>
      </c>
      <c r="C2621">
        <v>12</v>
      </c>
      <c r="D2621" t="s">
        <v>15</v>
      </c>
      <c r="E2621" t="s">
        <v>15</v>
      </c>
      <c r="F2621" t="s">
        <v>15</v>
      </c>
      <c r="G2621" t="s">
        <v>20</v>
      </c>
      <c r="H2621" t="s">
        <v>23</v>
      </c>
      <c r="I2621">
        <v>115.47</v>
      </c>
      <c r="J2621">
        <v>22.6</v>
      </c>
      <c r="K2621" t="s">
        <v>27</v>
      </c>
      <c r="L2621" t="s">
        <v>15</v>
      </c>
    </row>
    <row r="2622" spans="1:12" x14ac:dyDescent="0.3">
      <c r="A2622">
        <v>587</v>
      </c>
      <c r="B2622" t="s">
        <v>13</v>
      </c>
      <c r="C2622">
        <v>14</v>
      </c>
      <c r="D2622" t="s">
        <v>15</v>
      </c>
      <c r="E2622" t="s">
        <v>15</v>
      </c>
      <c r="F2622" t="s">
        <v>15</v>
      </c>
      <c r="G2622" t="s">
        <v>20</v>
      </c>
      <c r="H2622" t="s">
        <v>23</v>
      </c>
      <c r="I2622">
        <v>92.22</v>
      </c>
      <c r="J2622">
        <v>22.8</v>
      </c>
      <c r="K2622" t="s">
        <v>27</v>
      </c>
      <c r="L2622" t="s">
        <v>15</v>
      </c>
    </row>
    <row r="2623" spans="1:12" x14ac:dyDescent="0.3">
      <c r="A2623">
        <v>55856</v>
      </c>
      <c r="B2623" t="s">
        <v>13</v>
      </c>
      <c r="C2623">
        <v>60</v>
      </c>
      <c r="D2623" t="s">
        <v>15</v>
      </c>
      <c r="E2623" t="s">
        <v>15</v>
      </c>
      <c r="F2623" t="s">
        <v>16</v>
      </c>
      <c r="G2623" t="s">
        <v>17</v>
      </c>
      <c r="H2623" t="s">
        <v>23</v>
      </c>
      <c r="I2623">
        <v>83.16</v>
      </c>
      <c r="J2623">
        <v>29.7</v>
      </c>
      <c r="K2623" t="s">
        <v>26</v>
      </c>
      <c r="L2623" t="s">
        <v>15</v>
      </c>
    </row>
    <row r="2624" spans="1:12" x14ac:dyDescent="0.3">
      <c r="A2624">
        <v>47196</v>
      </c>
      <c r="B2624" t="s">
        <v>12</v>
      </c>
      <c r="C2624">
        <v>42</v>
      </c>
      <c r="D2624" t="s">
        <v>15</v>
      </c>
      <c r="E2624" t="s">
        <v>15</v>
      </c>
      <c r="F2624" t="s">
        <v>16</v>
      </c>
      <c r="G2624" t="s">
        <v>17</v>
      </c>
      <c r="H2624" t="s">
        <v>23</v>
      </c>
      <c r="I2624">
        <v>110.68</v>
      </c>
      <c r="J2624">
        <v>32.4</v>
      </c>
      <c r="K2624" t="s">
        <v>24</v>
      </c>
      <c r="L2624" t="s">
        <v>15</v>
      </c>
    </row>
    <row r="2625" spans="1:12" x14ac:dyDescent="0.3">
      <c r="A2625">
        <v>67724</v>
      </c>
      <c r="B2625" t="s">
        <v>13</v>
      </c>
      <c r="C2625">
        <v>65</v>
      </c>
      <c r="D2625" t="s">
        <v>15</v>
      </c>
      <c r="E2625" t="s">
        <v>15</v>
      </c>
      <c r="F2625" t="s">
        <v>16</v>
      </c>
      <c r="G2625" t="s">
        <v>17</v>
      </c>
      <c r="H2625" t="s">
        <v>23</v>
      </c>
      <c r="I2625">
        <v>70.06</v>
      </c>
      <c r="J2625">
        <v>35.799999999999997</v>
      </c>
      <c r="K2625" t="s">
        <v>27</v>
      </c>
      <c r="L2625" t="s">
        <v>15</v>
      </c>
    </row>
    <row r="2626" spans="1:12" x14ac:dyDescent="0.3">
      <c r="A2626">
        <v>23488</v>
      </c>
      <c r="B2626" t="s">
        <v>12</v>
      </c>
      <c r="C2626">
        <v>80</v>
      </c>
      <c r="D2626" t="s">
        <v>16</v>
      </c>
      <c r="E2626" t="s">
        <v>15</v>
      </c>
      <c r="F2626" t="s">
        <v>16</v>
      </c>
      <c r="G2626" t="s">
        <v>18</v>
      </c>
      <c r="H2626" t="s">
        <v>22</v>
      </c>
      <c r="I2626">
        <v>213.33</v>
      </c>
      <c r="J2626">
        <v>31.1</v>
      </c>
      <c r="K2626" t="s">
        <v>24</v>
      </c>
      <c r="L2626" t="s">
        <v>15</v>
      </c>
    </row>
    <row r="2627" spans="1:12" x14ac:dyDescent="0.3">
      <c r="A2627">
        <v>2849</v>
      </c>
      <c r="B2627" t="s">
        <v>12</v>
      </c>
      <c r="C2627">
        <v>32</v>
      </c>
      <c r="D2627" t="s">
        <v>15</v>
      </c>
      <c r="E2627" t="s">
        <v>15</v>
      </c>
      <c r="F2627" t="s">
        <v>16</v>
      </c>
      <c r="G2627" t="s">
        <v>17</v>
      </c>
      <c r="H2627" t="s">
        <v>22</v>
      </c>
      <c r="I2627">
        <v>93.52</v>
      </c>
      <c r="J2627">
        <v>31.9</v>
      </c>
      <c r="K2627" t="s">
        <v>27</v>
      </c>
      <c r="L2627" t="s">
        <v>15</v>
      </c>
    </row>
    <row r="2628" spans="1:12" x14ac:dyDescent="0.3">
      <c r="A2628">
        <v>12134</v>
      </c>
      <c r="B2628" t="s">
        <v>13</v>
      </c>
      <c r="C2628">
        <v>53</v>
      </c>
      <c r="D2628" t="s">
        <v>15</v>
      </c>
      <c r="E2628" t="s">
        <v>15</v>
      </c>
      <c r="F2628" t="s">
        <v>16</v>
      </c>
      <c r="G2628" t="s">
        <v>19</v>
      </c>
      <c r="H2628" t="s">
        <v>23</v>
      </c>
      <c r="I2628">
        <v>87.62</v>
      </c>
      <c r="J2628">
        <v>33.700000000000003</v>
      </c>
      <c r="K2628" t="s">
        <v>26</v>
      </c>
      <c r="L2628" t="s">
        <v>15</v>
      </c>
    </row>
    <row r="2629" spans="1:12" x14ac:dyDescent="0.3">
      <c r="A2629">
        <v>24058</v>
      </c>
      <c r="B2629" t="s">
        <v>13</v>
      </c>
      <c r="C2629">
        <v>50</v>
      </c>
      <c r="D2629" t="s">
        <v>15</v>
      </c>
      <c r="E2629" t="s">
        <v>15</v>
      </c>
      <c r="F2629" t="s">
        <v>16</v>
      </c>
      <c r="G2629" t="s">
        <v>19</v>
      </c>
      <c r="H2629" t="s">
        <v>23</v>
      </c>
      <c r="I2629">
        <v>77.67</v>
      </c>
      <c r="J2629">
        <v>25.6</v>
      </c>
      <c r="K2629" t="s">
        <v>25</v>
      </c>
      <c r="L2629" t="s">
        <v>15</v>
      </c>
    </row>
    <row r="2630" spans="1:12" x14ac:dyDescent="0.3">
      <c r="A2630">
        <v>15117</v>
      </c>
      <c r="B2630" t="s">
        <v>13</v>
      </c>
      <c r="C2630">
        <v>23</v>
      </c>
      <c r="D2630" t="s">
        <v>15</v>
      </c>
      <c r="E2630" t="s">
        <v>15</v>
      </c>
      <c r="F2630" t="s">
        <v>15</v>
      </c>
      <c r="G2630" t="s">
        <v>17</v>
      </c>
      <c r="H2630" t="s">
        <v>23</v>
      </c>
      <c r="I2630">
        <v>95.66</v>
      </c>
      <c r="J2630">
        <v>19.899999999999999</v>
      </c>
      <c r="K2630" t="s">
        <v>26</v>
      </c>
      <c r="L2630" t="s">
        <v>15</v>
      </c>
    </row>
    <row r="2631" spans="1:12" x14ac:dyDescent="0.3">
      <c r="A2631">
        <v>72915</v>
      </c>
      <c r="B2631" t="s">
        <v>13</v>
      </c>
      <c r="C2631">
        <v>45</v>
      </c>
      <c r="D2631" t="s">
        <v>15</v>
      </c>
      <c r="E2631" t="s">
        <v>15</v>
      </c>
      <c r="F2631" t="s">
        <v>16</v>
      </c>
      <c r="G2631" t="s">
        <v>17</v>
      </c>
      <c r="H2631" t="s">
        <v>22</v>
      </c>
      <c r="I2631">
        <v>172.33</v>
      </c>
      <c r="J2631">
        <v>45.3</v>
      </c>
      <c r="K2631" t="s">
        <v>24</v>
      </c>
      <c r="L2631" t="s">
        <v>15</v>
      </c>
    </row>
    <row r="2632" spans="1:12" x14ac:dyDescent="0.3">
      <c r="A2632">
        <v>61836</v>
      </c>
      <c r="B2632" t="s">
        <v>13</v>
      </c>
      <c r="C2632">
        <v>0.8</v>
      </c>
      <c r="D2632" t="s">
        <v>15</v>
      </c>
      <c r="E2632" t="s">
        <v>15</v>
      </c>
      <c r="F2632" t="s">
        <v>15</v>
      </c>
      <c r="G2632" t="s">
        <v>20</v>
      </c>
      <c r="H2632" t="s">
        <v>22</v>
      </c>
      <c r="I2632">
        <v>106.59</v>
      </c>
      <c r="J2632">
        <v>15.5</v>
      </c>
      <c r="K2632" t="s">
        <v>27</v>
      </c>
      <c r="L2632" t="s">
        <v>15</v>
      </c>
    </row>
    <row r="2633" spans="1:12" x14ac:dyDescent="0.3">
      <c r="A2633">
        <v>13116</v>
      </c>
      <c r="B2633" t="s">
        <v>12</v>
      </c>
      <c r="C2633">
        <v>49</v>
      </c>
      <c r="D2633" t="s">
        <v>15</v>
      </c>
      <c r="E2633" t="s">
        <v>15</v>
      </c>
      <c r="F2633" t="s">
        <v>16</v>
      </c>
      <c r="G2633" t="s">
        <v>17</v>
      </c>
      <c r="H2633" t="s">
        <v>22</v>
      </c>
      <c r="I2633">
        <v>87.06</v>
      </c>
      <c r="J2633">
        <v>28.3</v>
      </c>
      <c r="K2633" t="s">
        <v>25</v>
      </c>
      <c r="L2633" t="s">
        <v>15</v>
      </c>
    </row>
    <row r="2634" spans="1:12" x14ac:dyDescent="0.3">
      <c r="A2634">
        <v>48146</v>
      </c>
      <c r="B2634" t="s">
        <v>12</v>
      </c>
      <c r="C2634">
        <v>70</v>
      </c>
      <c r="D2634" t="s">
        <v>15</v>
      </c>
      <c r="E2634" t="s">
        <v>16</v>
      </c>
      <c r="F2634" t="s">
        <v>16</v>
      </c>
      <c r="G2634" t="s">
        <v>17</v>
      </c>
      <c r="H2634" t="s">
        <v>23</v>
      </c>
      <c r="I2634">
        <v>93.02</v>
      </c>
      <c r="J2634">
        <v>40.200000000000003</v>
      </c>
      <c r="K2634" t="s">
        <v>24</v>
      </c>
      <c r="L2634" t="s">
        <v>15</v>
      </c>
    </row>
    <row r="2635" spans="1:12" x14ac:dyDescent="0.3">
      <c r="A2635">
        <v>72819</v>
      </c>
      <c r="B2635" t="s">
        <v>13</v>
      </c>
      <c r="C2635">
        <v>82</v>
      </c>
      <c r="D2635" t="s">
        <v>15</v>
      </c>
      <c r="E2635" t="s">
        <v>15</v>
      </c>
      <c r="F2635" t="s">
        <v>16</v>
      </c>
      <c r="G2635" t="s">
        <v>18</v>
      </c>
      <c r="H2635" t="s">
        <v>22</v>
      </c>
      <c r="I2635">
        <v>243.59</v>
      </c>
      <c r="J2635">
        <v>24.3</v>
      </c>
      <c r="K2635" t="s">
        <v>25</v>
      </c>
      <c r="L2635" t="s">
        <v>15</v>
      </c>
    </row>
    <row r="2636" spans="1:12" x14ac:dyDescent="0.3">
      <c r="A2636">
        <v>20070</v>
      </c>
      <c r="B2636" t="s">
        <v>12</v>
      </c>
      <c r="C2636">
        <v>23</v>
      </c>
      <c r="D2636" t="s">
        <v>15</v>
      </c>
      <c r="E2636" t="s">
        <v>15</v>
      </c>
      <c r="F2636" t="s">
        <v>15</v>
      </c>
      <c r="G2636" t="s">
        <v>17</v>
      </c>
      <c r="H2636" t="s">
        <v>22</v>
      </c>
      <c r="I2636">
        <v>86.7</v>
      </c>
      <c r="J2636">
        <v>24.6</v>
      </c>
      <c r="K2636" t="s">
        <v>27</v>
      </c>
      <c r="L2636" t="s">
        <v>15</v>
      </c>
    </row>
    <row r="2637" spans="1:12" x14ac:dyDescent="0.3">
      <c r="A2637">
        <v>8778</v>
      </c>
      <c r="B2637" t="s">
        <v>13</v>
      </c>
      <c r="C2637">
        <v>79</v>
      </c>
      <c r="D2637" t="s">
        <v>15</v>
      </c>
      <c r="E2637" t="s">
        <v>15</v>
      </c>
      <c r="F2637" t="s">
        <v>16</v>
      </c>
      <c r="G2637" t="s">
        <v>18</v>
      </c>
      <c r="H2637" t="s">
        <v>23</v>
      </c>
      <c r="I2637">
        <v>97.81</v>
      </c>
      <c r="J2637">
        <v>26.6</v>
      </c>
      <c r="K2637" t="s">
        <v>24</v>
      </c>
      <c r="L2637" t="s">
        <v>15</v>
      </c>
    </row>
    <row r="2638" spans="1:12" x14ac:dyDescent="0.3">
      <c r="A2638">
        <v>13764</v>
      </c>
      <c r="B2638" t="s">
        <v>13</v>
      </c>
      <c r="C2638">
        <v>74</v>
      </c>
      <c r="D2638" t="s">
        <v>15</v>
      </c>
      <c r="E2638" t="s">
        <v>15</v>
      </c>
      <c r="F2638" t="s">
        <v>16</v>
      </c>
      <c r="G2638" t="s">
        <v>17</v>
      </c>
      <c r="H2638" t="s">
        <v>22</v>
      </c>
      <c r="I2638">
        <v>116.04</v>
      </c>
      <c r="J2638">
        <v>30.9</v>
      </c>
      <c r="K2638" t="s">
        <v>25</v>
      </c>
      <c r="L2638" t="s">
        <v>15</v>
      </c>
    </row>
    <row r="2639" spans="1:12" x14ac:dyDescent="0.3">
      <c r="A2639">
        <v>2005</v>
      </c>
      <c r="B2639" t="s">
        <v>12</v>
      </c>
      <c r="C2639">
        <v>78</v>
      </c>
      <c r="D2639" t="s">
        <v>15</v>
      </c>
      <c r="E2639" t="s">
        <v>16</v>
      </c>
      <c r="F2639" t="s">
        <v>16</v>
      </c>
      <c r="G2639" t="s">
        <v>18</v>
      </c>
      <c r="H2639" t="s">
        <v>22</v>
      </c>
      <c r="I2639">
        <v>169.43</v>
      </c>
      <c r="J2639">
        <v>23.5</v>
      </c>
      <c r="K2639" t="s">
        <v>24</v>
      </c>
      <c r="L2639" t="s">
        <v>15</v>
      </c>
    </row>
    <row r="2640" spans="1:12" x14ac:dyDescent="0.3">
      <c r="A2640">
        <v>8616</v>
      </c>
      <c r="B2640" t="s">
        <v>13</v>
      </c>
      <c r="C2640">
        <v>50</v>
      </c>
      <c r="D2640" t="s">
        <v>15</v>
      </c>
      <c r="E2640" t="s">
        <v>15</v>
      </c>
      <c r="F2640" t="s">
        <v>16</v>
      </c>
      <c r="G2640" t="s">
        <v>17</v>
      </c>
      <c r="H2640" t="s">
        <v>23</v>
      </c>
      <c r="I2640">
        <v>68.41</v>
      </c>
      <c r="J2640">
        <v>23.9</v>
      </c>
      <c r="K2640" t="s">
        <v>26</v>
      </c>
      <c r="L2640" t="s">
        <v>15</v>
      </c>
    </row>
    <row r="2641" spans="1:12" x14ac:dyDescent="0.3">
      <c r="A2641">
        <v>51524</v>
      </c>
      <c r="B2641" t="s">
        <v>13</v>
      </c>
      <c r="C2641">
        <v>34</v>
      </c>
      <c r="D2641" t="s">
        <v>15</v>
      </c>
      <c r="E2641" t="s">
        <v>15</v>
      </c>
      <c r="F2641" t="s">
        <v>16</v>
      </c>
      <c r="G2641" t="s">
        <v>17</v>
      </c>
      <c r="H2641" t="s">
        <v>23</v>
      </c>
      <c r="I2641">
        <v>94.44</v>
      </c>
      <c r="J2641">
        <v>34.200000000000003</v>
      </c>
      <c r="K2641" t="s">
        <v>27</v>
      </c>
      <c r="L2641" t="s">
        <v>15</v>
      </c>
    </row>
    <row r="2642" spans="1:12" x14ac:dyDescent="0.3">
      <c r="A2642">
        <v>50541</v>
      </c>
      <c r="B2642" t="s">
        <v>12</v>
      </c>
      <c r="C2642">
        <v>47</v>
      </c>
      <c r="D2642" t="s">
        <v>15</v>
      </c>
      <c r="E2642" t="s">
        <v>15</v>
      </c>
      <c r="F2642" t="s">
        <v>16</v>
      </c>
      <c r="G2642" t="s">
        <v>19</v>
      </c>
      <c r="H2642" t="s">
        <v>22</v>
      </c>
      <c r="I2642">
        <v>73.48</v>
      </c>
      <c r="J2642">
        <v>34.9</v>
      </c>
      <c r="K2642" t="s">
        <v>26</v>
      </c>
      <c r="L2642" t="s">
        <v>15</v>
      </c>
    </row>
    <row r="2643" spans="1:12" x14ac:dyDescent="0.3">
      <c r="A2643">
        <v>21971</v>
      </c>
      <c r="B2643" t="s">
        <v>13</v>
      </c>
      <c r="C2643">
        <v>52</v>
      </c>
      <c r="D2643" t="s">
        <v>15</v>
      </c>
      <c r="E2643" t="s">
        <v>15</v>
      </c>
      <c r="F2643" t="s">
        <v>16</v>
      </c>
      <c r="G2643" t="s">
        <v>19</v>
      </c>
      <c r="H2643" t="s">
        <v>23</v>
      </c>
      <c r="I2643">
        <v>183.87</v>
      </c>
      <c r="J2643">
        <v>26.2</v>
      </c>
      <c r="K2643" t="s">
        <v>25</v>
      </c>
      <c r="L2643" t="s">
        <v>15</v>
      </c>
    </row>
    <row r="2644" spans="1:12" x14ac:dyDescent="0.3">
      <c r="A2644">
        <v>32183</v>
      </c>
      <c r="B2644" t="s">
        <v>13</v>
      </c>
      <c r="C2644">
        <v>67</v>
      </c>
      <c r="D2644" t="s">
        <v>15</v>
      </c>
      <c r="E2644" t="s">
        <v>15</v>
      </c>
      <c r="F2644" t="s">
        <v>16</v>
      </c>
      <c r="G2644" t="s">
        <v>17</v>
      </c>
      <c r="H2644" t="s">
        <v>23</v>
      </c>
      <c r="I2644">
        <v>66.08</v>
      </c>
      <c r="J2644">
        <v>36.200000000000003</v>
      </c>
      <c r="K2644" t="s">
        <v>25</v>
      </c>
      <c r="L2644" t="s">
        <v>15</v>
      </c>
    </row>
    <row r="2645" spans="1:12" x14ac:dyDescent="0.3">
      <c r="A2645">
        <v>30145</v>
      </c>
      <c r="B2645" t="s">
        <v>13</v>
      </c>
      <c r="C2645">
        <v>62</v>
      </c>
      <c r="D2645" t="s">
        <v>15</v>
      </c>
      <c r="E2645" t="s">
        <v>15</v>
      </c>
      <c r="F2645" t="s">
        <v>16</v>
      </c>
      <c r="G2645" t="s">
        <v>17</v>
      </c>
      <c r="H2645" t="s">
        <v>23</v>
      </c>
      <c r="I2645">
        <v>72.19</v>
      </c>
      <c r="J2645">
        <v>22.4</v>
      </c>
      <c r="K2645" t="s">
        <v>27</v>
      </c>
      <c r="L2645" t="s">
        <v>15</v>
      </c>
    </row>
    <row r="2646" spans="1:12" x14ac:dyDescent="0.3">
      <c r="A2646">
        <v>30482</v>
      </c>
      <c r="B2646" t="s">
        <v>13</v>
      </c>
      <c r="C2646">
        <v>18</v>
      </c>
      <c r="D2646" t="s">
        <v>15</v>
      </c>
      <c r="E2646" t="s">
        <v>15</v>
      </c>
      <c r="F2646" t="s">
        <v>15</v>
      </c>
      <c r="G2646" t="s">
        <v>17</v>
      </c>
      <c r="H2646" t="s">
        <v>23</v>
      </c>
      <c r="I2646">
        <v>101.09</v>
      </c>
      <c r="J2646">
        <v>19.3</v>
      </c>
      <c r="K2646" t="s">
        <v>26</v>
      </c>
      <c r="L2646" t="s">
        <v>15</v>
      </c>
    </row>
    <row r="2647" spans="1:12" x14ac:dyDescent="0.3">
      <c r="A2647">
        <v>30790</v>
      </c>
      <c r="B2647" t="s">
        <v>13</v>
      </c>
      <c r="C2647">
        <v>75</v>
      </c>
      <c r="D2647" t="s">
        <v>16</v>
      </c>
      <c r="E2647" t="s">
        <v>15</v>
      </c>
      <c r="F2647" t="s">
        <v>16</v>
      </c>
      <c r="G2647" t="s">
        <v>19</v>
      </c>
      <c r="H2647" t="s">
        <v>22</v>
      </c>
      <c r="I2647">
        <v>88.83</v>
      </c>
      <c r="J2647">
        <v>41.7</v>
      </c>
      <c r="K2647" t="s">
        <v>25</v>
      </c>
      <c r="L2647" t="s">
        <v>15</v>
      </c>
    </row>
    <row r="2648" spans="1:12" x14ac:dyDescent="0.3">
      <c r="A2648">
        <v>63337</v>
      </c>
      <c r="B2648" t="s">
        <v>13</v>
      </c>
      <c r="C2648">
        <v>42</v>
      </c>
      <c r="D2648" t="s">
        <v>15</v>
      </c>
      <c r="E2648" t="s">
        <v>15</v>
      </c>
      <c r="F2648" t="s">
        <v>16</v>
      </c>
      <c r="G2648" t="s">
        <v>17</v>
      </c>
      <c r="H2648" t="s">
        <v>23</v>
      </c>
      <c r="I2648">
        <v>69.989999999999995</v>
      </c>
      <c r="J2648">
        <v>46</v>
      </c>
      <c r="K2648" t="s">
        <v>26</v>
      </c>
      <c r="L2648" t="s">
        <v>15</v>
      </c>
    </row>
    <row r="2649" spans="1:12" x14ac:dyDescent="0.3">
      <c r="A2649">
        <v>66264</v>
      </c>
      <c r="B2649" t="s">
        <v>12</v>
      </c>
      <c r="C2649">
        <v>29</v>
      </c>
      <c r="D2649" t="s">
        <v>15</v>
      </c>
      <c r="E2649" t="s">
        <v>15</v>
      </c>
      <c r="F2649" t="s">
        <v>16</v>
      </c>
      <c r="G2649" t="s">
        <v>19</v>
      </c>
      <c r="H2649" t="s">
        <v>22</v>
      </c>
      <c r="I2649">
        <v>102.4</v>
      </c>
      <c r="J2649">
        <v>26.9</v>
      </c>
      <c r="K2649" t="s">
        <v>26</v>
      </c>
      <c r="L2649" t="s">
        <v>15</v>
      </c>
    </row>
    <row r="2650" spans="1:12" x14ac:dyDescent="0.3">
      <c r="A2650">
        <v>641</v>
      </c>
      <c r="B2650" t="s">
        <v>12</v>
      </c>
      <c r="C2650">
        <v>52</v>
      </c>
      <c r="D2650" t="s">
        <v>15</v>
      </c>
      <c r="E2650" t="s">
        <v>15</v>
      </c>
      <c r="F2650" t="s">
        <v>16</v>
      </c>
      <c r="G2650" t="s">
        <v>19</v>
      </c>
      <c r="H2650" t="s">
        <v>23</v>
      </c>
      <c r="I2650">
        <v>87.26</v>
      </c>
      <c r="J2650">
        <v>40.1</v>
      </c>
      <c r="K2650" t="s">
        <v>26</v>
      </c>
      <c r="L2650" t="s">
        <v>15</v>
      </c>
    </row>
    <row r="2651" spans="1:12" x14ac:dyDescent="0.3">
      <c r="A2651">
        <v>42412</v>
      </c>
      <c r="B2651" t="s">
        <v>13</v>
      </c>
      <c r="C2651">
        <v>18</v>
      </c>
      <c r="D2651" t="s">
        <v>15</v>
      </c>
      <c r="E2651" t="s">
        <v>15</v>
      </c>
      <c r="F2651" t="s">
        <v>15</v>
      </c>
      <c r="G2651" t="s">
        <v>17</v>
      </c>
      <c r="H2651" t="s">
        <v>22</v>
      </c>
      <c r="I2651">
        <v>146.59</v>
      </c>
      <c r="J2651">
        <v>27.7</v>
      </c>
      <c r="K2651" t="s">
        <v>27</v>
      </c>
      <c r="L2651" t="s">
        <v>15</v>
      </c>
    </row>
    <row r="2652" spans="1:12" x14ac:dyDescent="0.3">
      <c r="A2652">
        <v>65693</v>
      </c>
      <c r="B2652" t="s">
        <v>12</v>
      </c>
      <c r="C2652">
        <v>67</v>
      </c>
      <c r="D2652" t="s">
        <v>15</v>
      </c>
      <c r="E2652" t="s">
        <v>15</v>
      </c>
      <c r="F2652" t="s">
        <v>16</v>
      </c>
      <c r="G2652" t="s">
        <v>19</v>
      </c>
      <c r="H2652" t="s">
        <v>23</v>
      </c>
      <c r="I2652">
        <v>59</v>
      </c>
      <c r="J2652">
        <v>29.5</v>
      </c>
      <c r="K2652" t="s">
        <v>27</v>
      </c>
      <c r="L2652" t="s">
        <v>15</v>
      </c>
    </row>
    <row r="2653" spans="1:12" x14ac:dyDescent="0.3">
      <c r="A2653">
        <v>3746</v>
      </c>
      <c r="B2653" t="s">
        <v>13</v>
      </c>
      <c r="C2653">
        <v>66</v>
      </c>
      <c r="D2653" t="s">
        <v>15</v>
      </c>
      <c r="E2653" t="s">
        <v>15</v>
      </c>
      <c r="F2653" t="s">
        <v>16</v>
      </c>
      <c r="G2653" t="s">
        <v>17</v>
      </c>
      <c r="H2653" t="s">
        <v>22</v>
      </c>
      <c r="I2653">
        <v>76.83</v>
      </c>
      <c r="J2653">
        <v>26</v>
      </c>
      <c r="K2653" t="s">
        <v>25</v>
      </c>
      <c r="L2653" t="s">
        <v>15</v>
      </c>
    </row>
    <row r="2654" spans="1:12" x14ac:dyDescent="0.3">
      <c r="A2654">
        <v>71304</v>
      </c>
      <c r="B2654" t="s">
        <v>12</v>
      </c>
      <c r="C2654">
        <v>5</v>
      </c>
      <c r="D2654" t="s">
        <v>15</v>
      </c>
      <c r="E2654" t="s">
        <v>15</v>
      </c>
      <c r="F2654" t="s">
        <v>15</v>
      </c>
      <c r="G2654" t="s">
        <v>20</v>
      </c>
      <c r="H2654" t="s">
        <v>22</v>
      </c>
      <c r="I2654">
        <v>101.83</v>
      </c>
      <c r="J2654">
        <v>22.7</v>
      </c>
      <c r="K2654" t="s">
        <v>27</v>
      </c>
      <c r="L2654" t="s">
        <v>15</v>
      </c>
    </row>
    <row r="2655" spans="1:12" x14ac:dyDescent="0.3">
      <c r="A2655">
        <v>34935</v>
      </c>
      <c r="B2655" t="s">
        <v>13</v>
      </c>
      <c r="C2655">
        <v>18</v>
      </c>
      <c r="D2655" t="s">
        <v>15</v>
      </c>
      <c r="E2655" t="s">
        <v>15</v>
      </c>
      <c r="F2655" t="s">
        <v>15</v>
      </c>
      <c r="G2655" t="s">
        <v>19</v>
      </c>
      <c r="H2655" t="s">
        <v>22</v>
      </c>
      <c r="I2655">
        <v>90.92</v>
      </c>
      <c r="J2655">
        <v>16</v>
      </c>
      <c r="K2655" t="s">
        <v>25</v>
      </c>
      <c r="L2655" t="s">
        <v>15</v>
      </c>
    </row>
    <row r="2656" spans="1:12" x14ac:dyDescent="0.3">
      <c r="A2656">
        <v>29173</v>
      </c>
      <c r="B2656" t="s">
        <v>12</v>
      </c>
      <c r="C2656">
        <v>52</v>
      </c>
      <c r="D2656" t="s">
        <v>15</v>
      </c>
      <c r="E2656" t="s">
        <v>15</v>
      </c>
      <c r="F2656" t="s">
        <v>16</v>
      </c>
      <c r="G2656" t="s">
        <v>19</v>
      </c>
      <c r="H2656" t="s">
        <v>22</v>
      </c>
      <c r="I2656">
        <v>67.5</v>
      </c>
      <c r="J2656">
        <v>27.7</v>
      </c>
      <c r="K2656" t="s">
        <v>26</v>
      </c>
      <c r="L2656" t="s">
        <v>15</v>
      </c>
    </row>
    <row r="2657" spans="1:12" x14ac:dyDescent="0.3">
      <c r="A2657">
        <v>26474</v>
      </c>
      <c r="B2657" t="s">
        <v>13</v>
      </c>
      <c r="C2657">
        <v>44</v>
      </c>
      <c r="D2657" t="s">
        <v>15</v>
      </c>
      <c r="E2657" t="s">
        <v>15</v>
      </c>
      <c r="F2657" t="s">
        <v>16</v>
      </c>
      <c r="G2657" t="s">
        <v>19</v>
      </c>
      <c r="H2657" t="s">
        <v>22</v>
      </c>
      <c r="I2657">
        <v>97.16</v>
      </c>
      <c r="J2657">
        <v>33.1</v>
      </c>
      <c r="K2657" t="s">
        <v>27</v>
      </c>
      <c r="L2657" t="s">
        <v>15</v>
      </c>
    </row>
    <row r="2658" spans="1:12" x14ac:dyDescent="0.3">
      <c r="A2658">
        <v>56857</v>
      </c>
      <c r="B2658" t="s">
        <v>12</v>
      </c>
      <c r="C2658">
        <v>46</v>
      </c>
      <c r="D2658" t="s">
        <v>16</v>
      </c>
      <c r="E2658" t="s">
        <v>15</v>
      </c>
      <c r="F2658" t="s">
        <v>16</v>
      </c>
      <c r="G2658" t="s">
        <v>19</v>
      </c>
      <c r="H2658" t="s">
        <v>22</v>
      </c>
      <c r="I2658">
        <v>85.62</v>
      </c>
      <c r="J2658">
        <v>33.1</v>
      </c>
      <c r="K2658" t="s">
        <v>24</v>
      </c>
      <c r="L2658" t="s">
        <v>15</v>
      </c>
    </row>
    <row r="2659" spans="1:12" x14ac:dyDescent="0.3">
      <c r="A2659">
        <v>13529</v>
      </c>
      <c r="B2659" t="s">
        <v>13</v>
      </c>
      <c r="C2659">
        <v>36</v>
      </c>
      <c r="D2659" t="s">
        <v>15</v>
      </c>
      <c r="E2659" t="s">
        <v>15</v>
      </c>
      <c r="F2659" t="s">
        <v>16</v>
      </c>
      <c r="G2659" t="s">
        <v>19</v>
      </c>
      <c r="H2659" t="s">
        <v>23</v>
      </c>
      <c r="I2659">
        <v>129.43</v>
      </c>
      <c r="J2659">
        <v>29.7</v>
      </c>
      <c r="K2659" t="s">
        <v>25</v>
      </c>
      <c r="L2659" t="s">
        <v>15</v>
      </c>
    </row>
    <row r="2660" spans="1:12" x14ac:dyDescent="0.3">
      <c r="A2660">
        <v>61979</v>
      </c>
      <c r="B2660" t="s">
        <v>13</v>
      </c>
      <c r="C2660">
        <v>61</v>
      </c>
      <c r="D2660" t="s">
        <v>15</v>
      </c>
      <c r="E2660" t="s">
        <v>15</v>
      </c>
      <c r="F2660" t="s">
        <v>16</v>
      </c>
      <c r="G2660" t="s">
        <v>19</v>
      </c>
      <c r="H2660" t="s">
        <v>22</v>
      </c>
      <c r="I2660">
        <v>106.01</v>
      </c>
      <c r="J2660">
        <v>34</v>
      </c>
      <c r="K2660" t="s">
        <v>26</v>
      </c>
      <c r="L2660" t="s">
        <v>15</v>
      </c>
    </row>
    <row r="2661" spans="1:12" x14ac:dyDescent="0.3">
      <c r="A2661">
        <v>70886</v>
      </c>
      <c r="B2661" t="s">
        <v>13</v>
      </c>
      <c r="C2661">
        <v>7</v>
      </c>
      <c r="D2661" t="s">
        <v>15</v>
      </c>
      <c r="E2661" t="s">
        <v>15</v>
      </c>
      <c r="F2661" t="s">
        <v>15</v>
      </c>
      <c r="G2661" t="s">
        <v>20</v>
      </c>
      <c r="H2661" t="s">
        <v>23</v>
      </c>
      <c r="I2661">
        <v>114.82</v>
      </c>
      <c r="J2661">
        <v>33.299999999999997</v>
      </c>
      <c r="K2661" t="s">
        <v>27</v>
      </c>
      <c r="L2661" t="s">
        <v>15</v>
      </c>
    </row>
    <row r="2662" spans="1:12" x14ac:dyDescent="0.3">
      <c r="A2662">
        <v>27693</v>
      </c>
      <c r="B2662" t="s">
        <v>13</v>
      </c>
      <c r="C2662">
        <v>15</v>
      </c>
      <c r="D2662" t="s">
        <v>15</v>
      </c>
      <c r="E2662" t="s">
        <v>15</v>
      </c>
      <c r="F2662" t="s">
        <v>15</v>
      </c>
      <c r="G2662" t="s">
        <v>20</v>
      </c>
      <c r="H2662" t="s">
        <v>22</v>
      </c>
      <c r="I2662">
        <v>121.39</v>
      </c>
      <c r="J2662">
        <v>27</v>
      </c>
      <c r="K2662" t="s">
        <v>27</v>
      </c>
      <c r="L2662" t="s">
        <v>15</v>
      </c>
    </row>
    <row r="2663" spans="1:12" x14ac:dyDescent="0.3">
      <c r="A2663">
        <v>59762</v>
      </c>
      <c r="B2663" t="s">
        <v>12</v>
      </c>
      <c r="C2663">
        <v>61</v>
      </c>
      <c r="D2663" t="s">
        <v>15</v>
      </c>
      <c r="E2663" t="s">
        <v>15</v>
      </c>
      <c r="F2663" t="s">
        <v>16</v>
      </c>
      <c r="G2663" t="s">
        <v>17</v>
      </c>
      <c r="H2663" t="s">
        <v>22</v>
      </c>
      <c r="I2663">
        <v>227.98</v>
      </c>
      <c r="J2663">
        <v>14.2</v>
      </c>
      <c r="K2663" t="s">
        <v>27</v>
      </c>
      <c r="L2663" t="s">
        <v>15</v>
      </c>
    </row>
    <row r="2664" spans="1:12" x14ac:dyDescent="0.3">
      <c r="A2664">
        <v>57308</v>
      </c>
      <c r="B2664" t="s">
        <v>12</v>
      </c>
      <c r="C2664">
        <v>20</v>
      </c>
      <c r="D2664" t="s">
        <v>15</v>
      </c>
      <c r="E2664" t="s">
        <v>15</v>
      </c>
      <c r="F2664" t="s">
        <v>15</v>
      </c>
      <c r="G2664" t="s">
        <v>17</v>
      </c>
      <c r="H2664" t="s">
        <v>22</v>
      </c>
      <c r="I2664">
        <v>78.97</v>
      </c>
      <c r="J2664">
        <v>19.399999999999999</v>
      </c>
      <c r="K2664" t="s">
        <v>25</v>
      </c>
      <c r="L2664" t="s">
        <v>15</v>
      </c>
    </row>
    <row r="2665" spans="1:12" x14ac:dyDescent="0.3">
      <c r="A2665">
        <v>3701</v>
      </c>
      <c r="B2665" t="s">
        <v>13</v>
      </c>
      <c r="C2665">
        <v>2</v>
      </c>
      <c r="D2665" t="s">
        <v>15</v>
      </c>
      <c r="E2665" t="s">
        <v>15</v>
      </c>
      <c r="F2665" t="s">
        <v>15</v>
      </c>
      <c r="G2665" t="s">
        <v>20</v>
      </c>
      <c r="H2665" t="s">
        <v>22</v>
      </c>
      <c r="I2665">
        <v>84.12</v>
      </c>
      <c r="J2665">
        <v>15.3</v>
      </c>
      <c r="K2665" t="s">
        <v>27</v>
      </c>
      <c r="L2665" t="s">
        <v>15</v>
      </c>
    </row>
    <row r="2666" spans="1:12" x14ac:dyDescent="0.3">
      <c r="A2666">
        <v>61339</v>
      </c>
      <c r="B2666" t="s">
        <v>12</v>
      </c>
      <c r="C2666">
        <v>47</v>
      </c>
      <c r="D2666" t="s">
        <v>15</v>
      </c>
      <c r="E2666" t="s">
        <v>15</v>
      </c>
      <c r="F2666" t="s">
        <v>16</v>
      </c>
      <c r="G2666" t="s">
        <v>18</v>
      </c>
      <c r="H2666" t="s">
        <v>22</v>
      </c>
      <c r="I2666">
        <v>95.04</v>
      </c>
      <c r="J2666">
        <v>28.7</v>
      </c>
      <c r="K2666" t="s">
        <v>25</v>
      </c>
      <c r="L2666" t="s">
        <v>15</v>
      </c>
    </row>
    <row r="2667" spans="1:12" x14ac:dyDescent="0.3">
      <c r="A2667">
        <v>24965</v>
      </c>
      <c r="B2667" t="s">
        <v>13</v>
      </c>
      <c r="C2667">
        <v>25</v>
      </c>
      <c r="D2667" t="s">
        <v>15</v>
      </c>
      <c r="E2667" t="s">
        <v>15</v>
      </c>
      <c r="F2667" t="s">
        <v>15</v>
      </c>
      <c r="G2667" t="s">
        <v>19</v>
      </c>
      <c r="H2667" t="s">
        <v>23</v>
      </c>
      <c r="I2667">
        <v>103.15</v>
      </c>
      <c r="J2667">
        <v>21</v>
      </c>
      <c r="K2667" t="s">
        <v>26</v>
      </c>
      <c r="L2667" t="s">
        <v>15</v>
      </c>
    </row>
    <row r="2668" spans="1:12" x14ac:dyDescent="0.3">
      <c r="A2668">
        <v>33952</v>
      </c>
      <c r="B2668" t="s">
        <v>12</v>
      </c>
      <c r="C2668">
        <v>66</v>
      </c>
      <c r="D2668" t="s">
        <v>16</v>
      </c>
      <c r="E2668" t="s">
        <v>15</v>
      </c>
      <c r="F2668" t="s">
        <v>16</v>
      </c>
      <c r="G2668" t="s">
        <v>17</v>
      </c>
      <c r="H2668" t="s">
        <v>22</v>
      </c>
      <c r="I2668">
        <v>82.91</v>
      </c>
      <c r="J2668">
        <v>28.9</v>
      </c>
      <c r="K2668" t="s">
        <v>24</v>
      </c>
      <c r="L2668" t="s">
        <v>15</v>
      </c>
    </row>
    <row r="2669" spans="1:12" x14ac:dyDescent="0.3">
      <c r="A2669">
        <v>39042</v>
      </c>
      <c r="B2669" t="s">
        <v>12</v>
      </c>
      <c r="C2669">
        <v>2</v>
      </c>
      <c r="D2669" t="s">
        <v>15</v>
      </c>
      <c r="E2669" t="s">
        <v>15</v>
      </c>
      <c r="F2669" t="s">
        <v>15</v>
      </c>
      <c r="G2669" t="s">
        <v>20</v>
      </c>
      <c r="H2669" t="s">
        <v>22</v>
      </c>
      <c r="I2669">
        <v>70.930000000000007</v>
      </c>
      <c r="J2669">
        <v>20.3</v>
      </c>
      <c r="K2669" t="s">
        <v>27</v>
      </c>
      <c r="L2669" t="s">
        <v>15</v>
      </c>
    </row>
    <row r="2670" spans="1:12" x14ac:dyDescent="0.3">
      <c r="A2670">
        <v>43039</v>
      </c>
      <c r="B2670" t="s">
        <v>13</v>
      </c>
      <c r="C2670">
        <v>63</v>
      </c>
      <c r="D2670" t="s">
        <v>15</v>
      </c>
      <c r="E2670" t="s">
        <v>15</v>
      </c>
      <c r="F2670" t="s">
        <v>16</v>
      </c>
      <c r="G2670" t="s">
        <v>17</v>
      </c>
      <c r="H2670" t="s">
        <v>23</v>
      </c>
      <c r="I2670">
        <v>153.6</v>
      </c>
      <c r="J2670">
        <v>28</v>
      </c>
      <c r="K2670" t="s">
        <v>24</v>
      </c>
      <c r="L2670" t="s">
        <v>15</v>
      </c>
    </row>
    <row r="2671" spans="1:12" x14ac:dyDescent="0.3">
      <c r="A2671">
        <v>59915</v>
      </c>
      <c r="B2671" t="s">
        <v>13</v>
      </c>
      <c r="C2671">
        <v>53</v>
      </c>
      <c r="D2671" t="s">
        <v>15</v>
      </c>
      <c r="E2671" t="s">
        <v>15</v>
      </c>
      <c r="F2671" t="s">
        <v>15</v>
      </c>
      <c r="G2671" t="s">
        <v>17</v>
      </c>
      <c r="H2671" t="s">
        <v>22</v>
      </c>
      <c r="I2671">
        <v>129.43</v>
      </c>
      <c r="J2671">
        <v>29.6</v>
      </c>
      <c r="K2671" t="s">
        <v>25</v>
      </c>
      <c r="L2671" t="s">
        <v>15</v>
      </c>
    </row>
    <row r="2672" spans="1:12" x14ac:dyDescent="0.3">
      <c r="A2672">
        <v>4727</v>
      </c>
      <c r="B2672" t="s">
        <v>13</v>
      </c>
      <c r="C2672">
        <v>33</v>
      </c>
      <c r="D2672" t="s">
        <v>15</v>
      </c>
      <c r="E2672" t="s">
        <v>15</v>
      </c>
      <c r="F2672" t="s">
        <v>16</v>
      </c>
      <c r="G2672" t="s">
        <v>19</v>
      </c>
      <c r="H2672" t="s">
        <v>23</v>
      </c>
      <c r="I2672">
        <v>81</v>
      </c>
      <c r="J2672">
        <v>30.2</v>
      </c>
      <c r="K2672" t="s">
        <v>24</v>
      </c>
      <c r="L2672" t="s">
        <v>15</v>
      </c>
    </row>
    <row r="2673" spans="1:12" x14ac:dyDescent="0.3">
      <c r="A2673">
        <v>16481</v>
      </c>
      <c r="B2673" t="s">
        <v>13</v>
      </c>
      <c r="C2673">
        <v>23</v>
      </c>
      <c r="D2673" t="s">
        <v>15</v>
      </c>
      <c r="E2673" t="s">
        <v>15</v>
      </c>
      <c r="F2673" t="s">
        <v>15</v>
      </c>
      <c r="G2673" t="s">
        <v>19</v>
      </c>
      <c r="H2673" t="s">
        <v>23</v>
      </c>
      <c r="I2673">
        <v>71.81</v>
      </c>
      <c r="J2673">
        <v>22.2</v>
      </c>
      <c r="K2673" t="s">
        <v>27</v>
      </c>
      <c r="L2673" t="s">
        <v>15</v>
      </c>
    </row>
    <row r="2674" spans="1:12" x14ac:dyDescent="0.3">
      <c r="A2674">
        <v>15018</v>
      </c>
      <c r="B2674" t="s">
        <v>13</v>
      </c>
      <c r="C2674">
        <v>23</v>
      </c>
      <c r="D2674" t="s">
        <v>15</v>
      </c>
      <c r="E2674" t="s">
        <v>15</v>
      </c>
      <c r="F2674" t="s">
        <v>15</v>
      </c>
      <c r="G2674" t="s">
        <v>19</v>
      </c>
      <c r="H2674" t="s">
        <v>22</v>
      </c>
      <c r="I2674">
        <v>84.46</v>
      </c>
      <c r="J2674">
        <v>28.4</v>
      </c>
      <c r="K2674" t="s">
        <v>24</v>
      </c>
      <c r="L2674" t="s">
        <v>15</v>
      </c>
    </row>
    <row r="2675" spans="1:12" x14ac:dyDescent="0.3">
      <c r="A2675">
        <v>49702</v>
      </c>
      <c r="B2675" t="s">
        <v>13</v>
      </c>
      <c r="C2675">
        <v>81</v>
      </c>
      <c r="D2675" t="s">
        <v>15</v>
      </c>
      <c r="E2675" t="s">
        <v>15</v>
      </c>
      <c r="F2675" t="s">
        <v>16</v>
      </c>
      <c r="G2675" t="s">
        <v>18</v>
      </c>
      <c r="H2675" t="s">
        <v>23</v>
      </c>
      <c r="I2675">
        <v>101.32</v>
      </c>
      <c r="J2675">
        <v>29.6</v>
      </c>
      <c r="K2675" t="s">
        <v>24</v>
      </c>
      <c r="L2675" t="s">
        <v>15</v>
      </c>
    </row>
    <row r="2676" spans="1:12" x14ac:dyDescent="0.3">
      <c r="A2676">
        <v>48017</v>
      </c>
      <c r="B2676" t="s">
        <v>12</v>
      </c>
      <c r="C2676">
        <v>55</v>
      </c>
      <c r="D2676" t="s">
        <v>15</v>
      </c>
      <c r="E2676" t="s">
        <v>15</v>
      </c>
      <c r="F2676" t="s">
        <v>16</v>
      </c>
      <c r="G2676" t="s">
        <v>17</v>
      </c>
      <c r="H2676" t="s">
        <v>22</v>
      </c>
      <c r="I2676">
        <v>62.56</v>
      </c>
      <c r="J2676">
        <v>28.6</v>
      </c>
      <c r="K2676" t="s">
        <v>25</v>
      </c>
      <c r="L2676" t="s">
        <v>15</v>
      </c>
    </row>
    <row r="2677" spans="1:12" x14ac:dyDescent="0.3">
      <c r="A2677">
        <v>15313</v>
      </c>
      <c r="B2677" t="s">
        <v>13</v>
      </c>
      <c r="C2677">
        <v>69</v>
      </c>
      <c r="D2677" t="s">
        <v>16</v>
      </c>
      <c r="E2677" t="s">
        <v>15</v>
      </c>
      <c r="F2677" t="s">
        <v>16</v>
      </c>
      <c r="G2677" t="s">
        <v>19</v>
      </c>
      <c r="H2677" t="s">
        <v>22</v>
      </c>
      <c r="I2677">
        <v>208.2</v>
      </c>
      <c r="J2677">
        <v>32.6</v>
      </c>
      <c r="K2677" t="s">
        <v>24</v>
      </c>
      <c r="L2677" t="s">
        <v>15</v>
      </c>
    </row>
    <row r="2678" spans="1:12" x14ac:dyDescent="0.3">
      <c r="A2678">
        <v>22231</v>
      </c>
      <c r="B2678" t="s">
        <v>12</v>
      </c>
      <c r="C2678">
        <v>58</v>
      </c>
      <c r="D2678" t="s">
        <v>15</v>
      </c>
      <c r="E2678" t="s">
        <v>15</v>
      </c>
      <c r="F2678" t="s">
        <v>16</v>
      </c>
      <c r="G2678" t="s">
        <v>17</v>
      </c>
      <c r="H2678" t="s">
        <v>22</v>
      </c>
      <c r="I2678">
        <v>199.42</v>
      </c>
      <c r="J2678">
        <v>29</v>
      </c>
      <c r="K2678" t="s">
        <v>25</v>
      </c>
      <c r="L2678" t="s">
        <v>15</v>
      </c>
    </row>
    <row r="2679" spans="1:12" x14ac:dyDescent="0.3">
      <c r="A2679">
        <v>45461</v>
      </c>
      <c r="B2679" t="s">
        <v>13</v>
      </c>
      <c r="C2679">
        <v>70</v>
      </c>
      <c r="D2679" t="s">
        <v>15</v>
      </c>
      <c r="E2679" t="s">
        <v>15</v>
      </c>
      <c r="F2679" t="s">
        <v>16</v>
      </c>
      <c r="G2679" t="s">
        <v>17</v>
      </c>
      <c r="H2679" t="s">
        <v>22</v>
      </c>
      <c r="I2679">
        <v>91.28</v>
      </c>
      <c r="J2679">
        <v>30.1</v>
      </c>
      <c r="K2679" t="s">
        <v>27</v>
      </c>
      <c r="L2679" t="s">
        <v>15</v>
      </c>
    </row>
    <row r="2680" spans="1:12" x14ac:dyDescent="0.3">
      <c r="A2680">
        <v>30678</v>
      </c>
      <c r="B2680" t="s">
        <v>13</v>
      </c>
      <c r="C2680">
        <v>48</v>
      </c>
      <c r="D2680" t="s">
        <v>15</v>
      </c>
      <c r="E2680" t="s">
        <v>15</v>
      </c>
      <c r="F2680" t="s">
        <v>16</v>
      </c>
      <c r="G2680" t="s">
        <v>17</v>
      </c>
      <c r="H2680" t="s">
        <v>22</v>
      </c>
      <c r="I2680">
        <v>77.989999999999995</v>
      </c>
      <c r="J2680">
        <v>31.2</v>
      </c>
      <c r="K2680" t="s">
        <v>24</v>
      </c>
      <c r="L2680" t="s">
        <v>15</v>
      </c>
    </row>
    <row r="2681" spans="1:12" x14ac:dyDescent="0.3">
      <c r="A2681">
        <v>57904</v>
      </c>
      <c r="B2681" t="s">
        <v>12</v>
      </c>
      <c r="C2681">
        <v>15</v>
      </c>
      <c r="D2681" t="s">
        <v>15</v>
      </c>
      <c r="E2681" t="s">
        <v>15</v>
      </c>
      <c r="F2681" t="s">
        <v>15</v>
      </c>
      <c r="G2681" t="s">
        <v>17</v>
      </c>
      <c r="H2681" t="s">
        <v>22</v>
      </c>
      <c r="I2681">
        <v>190.13</v>
      </c>
      <c r="J2681">
        <v>20.7</v>
      </c>
      <c r="K2681" t="s">
        <v>25</v>
      </c>
      <c r="L2681" t="s">
        <v>15</v>
      </c>
    </row>
    <row r="2682" spans="1:12" x14ac:dyDescent="0.3">
      <c r="A2682">
        <v>67483</v>
      </c>
      <c r="B2682" t="s">
        <v>12</v>
      </c>
      <c r="C2682">
        <v>31</v>
      </c>
      <c r="D2682" t="s">
        <v>16</v>
      </c>
      <c r="E2682" t="s">
        <v>15</v>
      </c>
      <c r="F2682" t="s">
        <v>16</v>
      </c>
      <c r="G2682" t="s">
        <v>17</v>
      </c>
      <c r="H2682" t="s">
        <v>22</v>
      </c>
      <c r="I2682">
        <v>149.68</v>
      </c>
      <c r="J2682">
        <v>45.1</v>
      </c>
      <c r="K2682" t="s">
        <v>25</v>
      </c>
      <c r="L2682" t="s">
        <v>15</v>
      </c>
    </row>
    <row r="2683" spans="1:12" x14ac:dyDescent="0.3">
      <c r="A2683">
        <v>5646</v>
      </c>
      <c r="B2683" t="s">
        <v>13</v>
      </c>
      <c r="C2683">
        <v>2</v>
      </c>
      <c r="D2683" t="s">
        <v>15</v>
      </c>
      <c r="E2683" t="s">
        <v>15</v>
      </c>
      <c r="F2683" t="s">
        <v>15</v>
      </c>
      <c r="G2683" t="s">
        <v>20</v>
      </c>
      <c r="H2683" t="s">
        <v>23</v>
      </c>
      <c r="I2683">
        <v>92.3</v>
      </c>
      <c r="J2683">
        <v>14.8</v>
      </c>
      <c r="K2683" t="s">
        <v>27</v>
      </c>
      <c r="L2683" t="s">
        <v>15</v>
      </c>
    </row>
    <row r="2684" spans="1:12" x14ac:dyDescent="0.3">
      <c r="A2684">
        <v>67911</v>
      </c>
      <c r="B2684" t="s">
        <v>12</v>
      </c>
      <c r="C2684">
        <v>80</v>
      </c>
      <c r="D2684" t="s">
        <v>15</v>
      </c>
      <c r="E2684" t="s">
        <v>15</v>
      </c>
      <c r="F2684" t="s">
        <v>15</v>
      </c>
      <c r="G2684" t="s">
        <v>18</v>
      </c>
      <c r="H2684" t="s">
        <v>23</v>
      </c>
      <c r="I2684">
        <v>235.54</v>
      </c>
      <c r="J2684">
        <v>37.4</v>
      </c>
      <c r="K2684" t="s">
        <v>24</v>
      </c>
      <c r="L2684" t="s">
        <v>15</v>
      </c>
    </row>
    <row r="2685" spans="1:12" x14ac:dyDescent="0.3">
      <c r="A2685">
        <v>16856</v>
      </c>
      <c r="B2685" t="s">
        <v>13</v>
      </c>
      <c r="C2685">
        <v>69</v>
      </c>
      <c r="D2685" t="s">
        <v>15</v>
      </c>
      <c r="E2685" t="s">
        <v>15</v>
      </c>
      <c r="F2685" t="s">
        <v>16</v>
      </c>
      <c r="G2685" t="s">
        <v>17</v>
      </c>
      <c r="H2685" t="s">
        <v>23</v>
      </c>
      <c r="I2685">
        <v>84.46</v>
      </c>
      <c r="J2685">
        <v>19.899999999999999</v>
      </c>
      <c r="K2685" t="s">
        <v>27</v>
      </c>
      <c r="L2685" t="s">
        <v>15</v>
      </c>
    </row>
    <row r="2686" spans="1:12" x14ac:dyDescent="0.3">
      <c r="A2686">
        <v>37972</v>
      </c>
      <c r="B2686" t="s">
        <v>13</v>
      </c>
      <c r="C2686">
        <v>52</v>
      </c>
      <c r="D2686" t="s">
        <v>15</v>
      </c>
      <c r="E2686" t="s">
        <v>15</v>
      </c>
      <c r="F2686" t="s">
        <v>16</v>
      </c>
      <c r="G2686" t="s">
        <v>17</v>
      </c>
      <c r="H2686" t="s">
        <v>23</v>
      </c>
      <c r="I2686">
        <v>68.7</v>
      </c>
      <c r="J2686">
        <v>16</v>
      </c>
      <c r="K2686" t="s">
        <v>27</v>
      </c>
      <c r="L2686" t="s">
        <v>15</v>
      </c>
    </row>
    <row r="2687" spans="1:12" x14ac:dyDescent="0.3">
      <c r="A2687">
        <v>62414</v>
      </c>
      <c r="B2687" t="s">
        <v>12</v>
      </c>
      <c r="C2687">
        <v>80</v>
      </c>
      <c r="D2687" t="s">
        <v>16</v>
      </c>
      <c r="E2687" t="s">
        <v>15</v>
      </c>
      <c r="F2687" t="s">
        <v>16</v>
      </c>
      <c r="G2687" t="s">
        <v>18</v>
      </c>
      <c r="H2687" t="s">
        <v>22</v>
      </c>
      <c r="I2687">
        <v>178.89</v>
      </c>
      <c r="J2687">
        <v>27.4</v>
      </c>
      <c r="K2687" t="s">
        <v>27</v>
      </c>
      <c r="L2687" t="s">
        <v>15</v>
      </c>
    </row>
    <row r="2688" spans="1:12" x14ac:dyDescent="0.3">
      <c r="A2688">
        <v>50485</v>
      </c>
      <c r="B2688" t="s">
        <v>12</v>
      </c>
      <c r="C2688">
        <v>54</v>
      </c>
      <c r="D2688" t="s">
        <v>15</v>
      </c>
      <c r="E2688" t="s">
        <v>15</v>
      </c>
      <c r="F2688" t="s">
        <v>16</v>
      </c>
      <c r="G2688" t="s">
        <v>17</v>
      </c>
      <c r="H2688" t="s">
        <v>23</v>
      </c>
      <c r="I2688">
        <v>227.74</v>
      </c>
      <c r="J2688">
        <v>33.4</v>
      </c>
      <c r="K2688" t="s">
        <v>26</v>
      </c>
      <c r="L2688" t="s">
        <v>15</v>
      </c>
    </row>
    <row r="2689" spans="1:12" x14ac:dyDescent="0.3">
      <c r="A2689">
        <v>47405</v>
      </c>
      <c r="B2689" t="s">
        <v>13</v>
      </c>
      <c r="C2689">
        <v>2</v>
      </c>
      <c r="D2689" t="s">
        <v>15</v>
      </c>
      <c r="E2689" t="s">
        <v>15</v>
      </c>
      <c r="F2689" t="s">
        <v>15</v>
      </c>
      <c r="G2689" t="s">
        <v>20</v>
      </c>
      <c r="H2689" t="s">
        <v>23</v>
      </c>
      <c r="I2689">
        <v>100.66</v>
      </c>
      <c r="J2689">
        <v>18.5</v>
      </c>
      <c r="K2689" t="s">
        <v>27</v>
      </c>
      <c r="L2689" t="s">
        <v>15</v>
      </c>
    </row>
    <row r="2690" spans="1:12" x14ac:dyDescent="0.3">
      <c r="A2690">
        <v>70928</v>
      </c>
      <c r="B2690" t="s">
        <v>12</v>
      </c>
      <c r="C2690">
        <v>39</v>
      </c>
      <c r="D2690" t="s">
        <v>15</v>
      </c>
      <c r="E2690" t="s">
        <v>15</v>
      </c>
      <c r="F2690" t="s">
        <v>16</v>
      </c>
      <c r="G2690" t="s">
        <v>19</v>
      </c>
      <c r="H2690" t="s">
        <v>22</v>
      </c>
      <c r="I2690">
        <v>73.62</v>
      </c>
      <c r="J2690">
        <v>33.4</v>
      </c>
      <c r="K2690" t="s">
        <v>27</v>
      </c>
      <c r="L2690" t="s">
        <v>15</v>
      </c>
    </row>
    <row r="2691" spans="1:12" x14ac:dyDescent="0.3">
      <c r="A2691">
        <v>4679</v>
      </c>
      <c r="B2691" t="s">
        <v>13</v>
      </c>
      <c r="C2691">
        <v>38</v>
      </c>
      <c r="D2691" t="s">
        <v>15</v>
      </c>
      <c r="E2691" t="s">
        <v>15</v>
      </c>
      <c r="F2691" t="s">
        <v>16</v>
      </c>
      <c r="G2691" t="s">
        <v>17</v>
      </c>
      <c r="H2691" t="s">
        <v>23</v>
      </c>
      <c r="I2691">
        <v>100.05</v>
      </c>
      <c r="J2691">
        <v>20.8</v>
      </c>
      <c r="K2691" t="s">
        <v>26</v>
      </c>
      <c r="L2691" t="s">
        <v>15</v>
      </c>
    </row>
    <row r="2692" spans="1:12" x14ac:dyDescent="0.3">
      <c r="A2692">
        <v>15070</v>
      </c>
      <c r="B2692" t="s">
        <v>12</v>
      </c>
      <c r="C2692">
        <v>76</v>
      </c>
      <c r="D2692" t="s">
        <v>15</v>
      </c>
      <c r="E2692" t="s">
        <v>16</v>
      </c>
      <c r="F2692" t="s">
        <v>16</v>
      </c>
      <c r="G2692" t="s">
        <v>17</v>
      </c>
      <c r="H2692" t="s">
        <v>23</v>
      </c>
      <c r="I2692">
        <v>213.8</v>
      </c>
      <c r="J2692">
        <v>22</v>
      </c>
      <c r="K2692" t="s">
        <v>25</v>
      </c>
      <c r="L2692" t="s">
        <v>15</v>
      </c>
    </row>
    <row r="2693" spans="1:12" x14ac:dyDescent="0.3">
      <c r="A2693">
        <v>25625</v>
      </c>
      <c r="B2693" t="s">
        <v>13</v>
      </c>
      <c r="C2693">
        <v>45</v>
      </c>
      <c r="D2693" t="s">
        <v>15</v>
      </c>
      <c r="E2693" t="s">
        <v>15</v>
      </c>
      <c r="F2693" t="s">
        <v>15</v>
      </c>
      <c r="G2693" t="s">
        <v>17</v>
      </c>
      <c r="H2693" t="s">
        <v>23</v>
      </c>
      <c r="I2693">
        <v>103.94</v>
      </c>
      <c r="J2693">
        <v>32.5</v>
      </c>
      <c r="K2693" t="s">
        <v>26</v>
      </c>
      <c r="L2693" t="s">
        <v>15</v>
      </c>
    </row>
    <row r="2694" spans="1:12" x14ac:dyDescent="0.3">
      <c r="A2694">
        <v>35123</v>
      </c>
      <c r="B2694" t="s">
        <v>13</v>
      </c>
      <c r="C2694">
        <v>1.24</v>
      </c>
      <c r="D2694" t="s">
        <v>15</v>
      </c>
      <c r="E2694" t="s">
        <v>15</v>
      </c>
      <c r="F2694" t="s">
        <v>15</v>
      </c>
      <c r="G2694" t="s">
        <v>20</v>
      </c>
      <c r="H2694" t="s">
        <v>22</v>
      </c>
      <c r="I2694">
        <v>84.2</v>
      </c>
      <c r="J2694">
        <v>19.2</v>
      </c>
      <c r="K2694" t="s">
        <v>27</v>
      </c>
      <c r="L2694" t="s">
        <v>15</v>
      </c>
    </row>
    <row r="2695" spans="1:12" x14ac:dyDescent="0.3">
      <c r="A2695">
        <v>20165</v>
      </c>
      <c r="B2695" t="s">
        <v>13</v>
      </c>
      <c r="C2695">
        <v>77</v>
      </c>
      <c r="D2695" t="s">
        <v>15</v>
      </c>
      <c r="E2695" t="s">
        <v>15</v>
      </c>
      <c r="F2695" t="s">
        <v>16</v>
      </c>
      <c r="G2695" t="s">
        <v>17</v>
      </c>
      <c r="H2695" t="s">
        <v>22</v>
      </c>
      <c r="I2695">
        <v>250.8</v>
      </c>
      <c r="J2695">
        <v>32.9</v>
      </c>
      <c r="K2695" t="s">
        <v>25</v>
      </c>
      <c r="L2695" t="s">
        <v>15</v>
      </c>
    </row>
    <row r="2696" spans="1:12" x14ac:dyDescent="0.3">
      <c r="A2696">
        <v>41730</v>
      </c>
      <c r="B2696" t="s">
        <v>13</v>
      </c>
      <c r="C2696">
        <v>46</v>
      </c>
      <c r="D2696" t="s">
        <v>15</v>
      </c>
      <c r="E2696" t="s">
        <v>15</v>
      </c>
      <c r="F2696" t="s">
        <v>15</v>
      </c>
      <c r="G2696" t="s">
        <v>19</v>
      </c>
      <c r="H2696" t="s">
        <v>23</v>
      </c>
      <c r="I2696">
        <v>112.29</v>
      </c>
      <c r="J2696">
        <v>23.5</v>
      </c>
      <c r="K2696" t="s">
        <v>27</v>
      </c>
      <c r="L2696" t="s">
        <v>15</v>
      </c>
    </row>
    <row r="2697" spans="1:12" x14ac:dyDescent="0.3">
      <c r="A2697">
        <v>38761</v>
      </c>
      <c r="B2697" t="s">
        <v>13</v>
      </c>
      <c r="C2697">
        <v>50</v>
      </c>
      <c r="D2697" t="s">
        <v>15</v>
      </c>
      <c r="E2697" t="s">
        <v>15</v>
      </c>
      <c r="F2697" t="s">
        <v>16</v>
      </c>
      <c r="G2697" t="s">
        <v>17</v>
      </c>
      <c r="H2697" t="s">
        <v>22</v>
      </c>
      <c r="I2697">
        <v>65.98</v>
      </c>
      <c r="J2697">
        <v>21.7</v>
      </c>
      <c r="K2697" t="s">
        <v>25</v>
      </c>
      <c r="L2697" t="s">
        <v>15</v>
      </c>
    </row>
    <row r="2698" spans="1:12" x14ac:dyDescent="0.3">
      <c r="A2698">
        <v>4797</v>
      </c>
      <c r="B2698" t="s">
        <v>13</v>
      </c>
      <c r="C2698">
        <v>52</v>
      </c>
      <c r="D2698" t="s">
        <v>15</v>
      </c>
      <c r="E2698" t="s">
        <v>15</v>
      </c>
      <c r="F2698" t="s">
        <v>16</v>
      </c>
      <c r="G2698" t="s">
        <v>17</v>
      </c>
      <c r="H2698" t="s">
        <v>22</v>
      </c>
      <c r="I2698">
        <v>99.1</v>
      </c>
      <c r="J2698">
        <v>29.1</v>
      </c>
      <c r="K2698" t="s">
        <v>27</v>
      </c>
      <c r="L2698" t="s">
        <v>15</v>
      </c>
    </row>
    <row r="2699" spans="1:12" x14ac:dyDescent="0.3">
      <c r="A2699">
        <v>19199</v>
      </c>
      <c r="B2699" t="s">
        <v>13</v>
      </c>
      <c r="C2699">
        <v>73</v>
      </c>
      <c r="D2699" t="s">
        <v>16</v>
      </c>
      <c r="E2699" t="s">
        <v>15</v>
      </c>
      <c r="F2699" t="s">
        <v>16</v>
      </c>
      <c r="G2699" t="s">
        <v>17</v>
      </c>
      <c r="H2699" t="s">
        <v>23</v>
      </c>
      <c r="I2699">
        <v>217.84</v>
      </c>
      <c r="K2699" t="s">
        <v>25</v>
      </c>
      <c r="L2699" t="s">
        <v>15</v>
      </c>
    </row>
    <row r="2700" spans="1:12" x14ac:dyDescent="0.3">
      <c r="A2700">
        <v>30402</v>
      </c>
      <c r="B2700" t="s">
        <v>12</v>
      </c>
      <c r="C2700">
        <v>41</v>
      </c>
      <c r="D2700" t="s">
        <v>15</v>
      </c>
      <c r="E2700" t="s">
        <v>15</v>
      </c>
      <c r="F2700" t="s">
        <v>16</v>
      </c>
      <c r="G2700" t="s">
        <v>17</v>
      </c>
      <c r="H2700" t="s">
        <v>22</v>
      </c>
      <c r="I2700">
        <v>104.34</v>
      </c>
      <c r="J2700">
        <v>30.3</v>
      </c>
      <c r="K2700" t="s">
        <v>27</v>
      </c>
      <c r="L2700" t="s">
        <v>15</v>
      </c>
    </row>
    <row r="2701" spans="1:12" x14ac:dyDescent="0.3">
      <c r="A2701">
        <v>25088</v>
      </c>
      <c r="B2701" t="s">
        <v>13</v>
      </c>
      <c r="C2701">
        <v>40</v>
      </c>
      <c r="D2701" t="s">
        <v>15</v>
      </c>
      <c r="E2701" t="s">
        <v>15</v>
      </c>
      <c r="F2701" t="s">
        <v>15</v>
      </c>
      <c r="G2701" t="s">
        <v>17</v>
      </c>
      <c r="H2701" t="s">
        <v>23</v>
      </c>
      <c r="I2701">
        <v>217</v>
      </c>
      <c r="J2701">
        <v>29.4</v>
      </c>
      <c r="K2701" t="s">
        <v>24</v>
      </c>
      <c r="L2701" t="s">
        <v>15</v>
      </c>
    </row>
    <row r="2702" spans="1:12" x14ac:dyDescent="0.3">
      <c r="A2702">
        <v>54756</v>
      </c>
      <c r="B2702" t="s">
        <v>13</v>
      </c>
      <c r="C2702">
        <v>59</v>
      </c>
      <c r="D2702" t="s">
        <v>15</v>
      </c>
      <c r="E2702" t="s">
        <v>15</v>
      </c>
      <c r="F2702" t="s">
        <v>16</v>
      </c>
      <c r="G2702" t="s">
        <v>17</v>
      </c>
      <c r="H2702" t="s">
        <v>23</v>
      </c>
      <c r="I2702">
        <v>57.47</v>
      </c>
      <c r="J2702">
        <v>30.1</v>
      </c>
      <c r="K2702" t="s">
        <v>24</v>
      </c>
      <c r="L2702" t="s">
        <v>15</v>
      </c>
    </row>
    <row r="2703" spans="1:12" x14ac:dyDescent="0.3">
      <c r="A2703">
        <v>19590</v>
      </c>
      <c r="B2703" t="s">
        <v>12</v>
      </c>
      <c r="C2703">
        <v>48</v>
      </c>
      <c r="D2703" t="s">
        <v>15</v>
      </c>
      <c r="E2703" t="s">
        <v>15</v>
      </c>
      <c r="F2703" t="s">
        <v>16</v>
      </c>
      <c r="G2703" t="s">
        <v>19</v>
      </c>
      <c r="H2703" t="s">
        <v>22</v>
      </c>
      <c r="I2703">
        <v>78.239999999999995</v>
      </c>
      <c r="J2703">
        <v>32.9</v>
      </c>
      <c r="K2703" t="s">
        <v>25</v>
      </c>
      <c r="L2703" t="s">
        <v>15</v>
      </c>
    </row>
    <row r="2704" spans="1:12" x14ac:dyDescent="0.3">
      <c r="A2704">
        <v>23332</v>
      </c>
      <c r="B2704" t="s">
        <v>13</v>
      </c>
      <c r="C2704">
        <v>42</v>
      </c>
      <c r="D2704" t="s">
        <v>15</v>
      </c>
      <c r="E2704" t="s">
        <v>15</v>
      </c>
      <c r="F2704" t="s">
        <v>16</v>
      </c>
      <c r="G2704" t="s">
        <v>17</v>
      </c>
      <c r="H2704" t="s">
        <v>23</v>
      </c>
      <c r="I2704">
        <v>94.38</v>
      </c>
      <c r="J2704">
        <v>34</v>
      </c>
      <c r="K2704" t="s">
        <v>25</v>
      </c>
      <c r="L2704" t="s">
        <v>15</v>
      </c>
    </row>
    <row r="2705" spans="1:12" x14ac:dyDescent="0.3">
      <c r="A2705">
        <v>16971</v>
      </c>
      <c r="B2705" t="s">
        <v>13</v>
      </c>
      <c r="C2705">
        <v>26</v>
      </c>
      <c r="D2705" t="s">
        <v>15</v>
      </c>
      <c r="E2705" t="s">
        <v>15</v>
      </c>
      <c r="F2705" t="s">
        <v>15</v>
      </c>
      <c r="G2705" t="s">
        <v>17</v>
      </c>
      <c r="H2705" t="s">
        <v>22</v>
      </c>
      <c r="I2705">
        <v>100.31</v>
      </c>
      <c r="J2705">
        <v>38.6</v>
      </c>
      <c r="K2705" t="s">
        <v>25</v>
      </c>
      <c r="L2705" t="s">
        <v>15</v>
      </c>
    </row>
    <row r="2706" spans="1:12" x14ac:dyDescent="0.3">
      <c r="A2706">
        <v>11727</v>
      </c>
      <c r="B2706" t="s">
        <v>12</v>
      </c>
      <c r="C2706">
        <v>39</v>
      </c>
      <c r="D2706" t="s">
        <v>15</v>
      </c>
      <c r="E2706" t="s">
        <v>15</v>
      </c>
      <c r="F2706" t="s">
        <v>16</v>
      </c>
      <c r="G2706" t="s">
        <v>18</v>
      </c>
      <c r="H2706" t="s">
        <v>22</v>
      </c>
      <c r="I2706">
        <v>74.290000000000006</v>
      </c>
      <c r="J2706">
        <v>29.3</v>
      </c>
      <c r="K2706" t="s">
        <v>26</v>
      </c>
      <c r="L2706" t="s">
        <v>15</v>
      </c>
    </row>
    <row r="2707" spans="1:12" x14ac:dyDescent="0.3">
      <c r="A2707">
        <v>60255</v>
      </c>
      <c r="B2707" t="s">
        <v>13</v>
      </c>
      <c r="C2707">
        <v>34</v>
      </c>
      <c r="D2707" t="s">
        <v>15</v>
      </c>
      <c r="E2707" t="s">
        <v>15</v>
      </c>
      <c r="F2707" t="s">
        <v>15</v>
      </c>
      <c r="G2707" t="s">
        <v>17</v>
      </c>
      <c r="H2707" t="s">
        <v>23</v>
      </c>
      <c r="I2707">
        <v>103.43</v>
      </c>
      <c r="J2707">
        <v>43.6</v>
      </c>
      <c r="K2707" t="s">
        <v>26</v>
      </c>
      <c r="L2707" t="s">
        <v>15</v>
      </c>
    </row>
    <row r="2708" spans="1:12" x14ac:dyDescent="0.3">
      <c r="A2708">
        <v>38796</v>
      </c>
      <c r="B2708" t="s">
        <v>13</v>
      </c>
      <c r="C2708">
        <v>54</v>
      </c>
      <c r="D2708" t="s">
        <v>15</v>
      </c>
      <c r="E2708" t="s">
        <v>15</v>
      </c>
      <c r="F2708" t="s">
        <v>16</v>
      </c>
      <c r="G2708" t="s">
        <v>17</v>
      </c>
      <c r="H2708" t="s">
        <v>22</v>
      </c>
      <c r="I2708">
        <v>99.83</v>
      </c>
      <c r="J2708">
        <v>22.7</v>
      </c>
      <c r="K2708" t="s">
        <v>24</v>
      </c>
      <c r="L2708" t="s">
        <v>15</v>
      </c>
    </row>
    <row r="2709" spans="1:12" x14ac:dyDescent="0.3">
      <c r="A2709">
        <v>46498</v>
      </c>
      <c r="B2709" t="s">
        <v>13</v>
      </c>
      <c r="C2709">
        <v>57</v>
      </c>
      <c r="D2709" t="s">
        <v>15</v>
      </c>
      <c r="E2709" t="s">
        <v>15</v>
      </c>
      <c r="F2709" t="s">
        <v>16</v>
      </c>
      <c r="G2709" t="s">
        <v>17</v>
      </c>
      <c r="H2709" t="s">
        <v>22</v>
      </c>
      <c r="I2709">
        <v>217.4</v>
      </c>
      <c r="J2709">
        <v>36.6</v>
      </c>
      <c r="K2709" t="s">
        <v>25</v>
      </c>
      <c r="L2709" t="s">
        <v>15</v>
      </c>
    </row>
    <row r="2710" spans="1:12" x14ac:dyDescent="0.3">
      <c r="A2710">
        <v>41042</v>
      </c>
      <c r="B2710" t="s">
        <v>13</v>
      </c>
      <c r="C2710">
        <v>1.56</v>
      </c>
      <c r="D2710" t="s">
        <v>15</v>
      </c>
      <c r="E2710" t="s">
        <v>15</v>
      </c>
      <c r="F2710" t="s">
        <v>15</v>
      </c>
      <c r="G2710" t="s">
        <v>20</v>
      </c>
      <c r="H2710" t="s">
        <v>22</v>
      </c>
      <c r="I2710">
        <v>71.81</v>
      </c>
      <c r="J2710">
        <v>22.6</v>
      </c>
      <c r="K2710" t="s">
        <v>27</v>
      </c>
      <c r="L2710" t="s">
        <v>15</v>
      </c>
    </row>
    <row r="2711" spans="1:12" x14ac:dyDescent="0.3">
      <c r="A2711">
        <v>35069</v>
      </c>
      <c r="B2711" t="s">
        <v>13</v>
      </c>
      <c r="C2711">
        <v>50</v>
      </c>
      <c r="D2711" t="s">
        <v>16</v>
      </c>
      <c r="E2711" t="s">
        <v>16</v>
      </c>
      <c r="F2711" t="s">
        <v>15</v>
      </c>
      <c r="G2711" t="s">
        <v>19</v>
      </c>
      <c r="H2711" t="s">
        <v>22</v>
      </c>
      <c r="I2711">
        <v>79.790000000000006</v>
      </c>
      <c r="J2711">
        <v>25.6</v>
      </c>
      <c r="K2711" t="s">
        <v>26</v>
      </c>
      <c r="L2711" t="s">
        <v>15</v>
      </c>
    </row>
    <row r="2712" spans="1:12" x14ac:dyDescent="0.3">
      <c r="A2712">
        <v>61103</v>
      </c>
      <c r="B2712" t="s">
        <v>13</v>
      </c>
      <c r="C2712">
        <v>64</v>
      </c>
      <c r="D2712" t="s">
        <v>16</v>
      </c>
      <c r="E2712" t="s">
        <v>15</v>
      </c>
      <c r="F2712" t="s">
        <v>16</v>
      </c>
      <c r="G2712" t="s">
        <v>18</v>
      </c>
      <c r="H2712" t="s">
        <v>22</v>
      </c>
      <c r="I2712">
        <v>190.92</v>
      </c>
      <c r="J2712">
        <v>31.4</v>
      </c>
      <c r="K2712" t="s">
        <v>25</v>
      </c>
      <c r="L2712" t="s">
        <v>15</v>
      </c>
    </row>
    <row r="2713" spans="1:12" x14ac:dyDescent="0.3">
      <c r="A2713">
        <v>25095</v>
      </c>
      <c r="B2713" t="s">
        <v>12</v>
      </c>
      <c r="C2713">
        <v>44</v>
      </c>
      <c r="D2713" t="s">
        <v>15</v>
      </c>
      <c r="E2713" t="s">
        <v>15</v>
      </c>
      <c r="F2713" t="s">
        <v>16</v>
      </c>
      <c r="G2713" t="s">
        <v>19</v>
      </c>
      <c r="H2713" t="s">
        <v>22</v>
      </c>
      <c r="I2713">
        <v>94.76</v>
      </c>
      <c r="J2713">
        <v>26</v>
      </c>
      <c r="K2713" t="s">
        <v>24</v>
      </c>
      <c r="L2713" t="s">
        <v>15</v>
      </c>
    </row>
    <row r="2714" spans="1:12" x14ac:dyDescent="0.3">
      <c r="A2714">
        <v>55607</v>
      </c>
      <c r="B2714" t="s">
        <v>12</v>
      </c>
      <c r="C2714">
        <v>38</v>
      </c>
      <c r="D2714" t="s">
        <v>15</v>
      </c>
      <c r="E2714" t="s">
        <v>15</v>
      </c>
      <c r="F2714" t="s">
        <v>16</v>
      </c>
      <c r="G2714" t="s">
        <v>17</v>
      </c>
      <c r="H2714" t="s">
        <v>22</v>
      </c>
      <c r="I2714">
        <v>101.43</v>
      </c>
      <c r="J2714">
        <v>27</v>
      </c>
      <c r="K2714" t="s">
        <v>24</v>
      </c>
      <c r="L2714" t="s">
        <v>15</v>
      </c>
    </row>
    <row r="2715" spans="1:12" x14ac:dyDescent="0.3">
      <c r="A2715">
        <v>63029</v>
      </c>
      <c r="B2715" t="s">
        <v>12</v>
      </c>
      <c r="C2715">
        <v>32</v>
      </c>
      <c r="D2715" t="s">
        <v>15</v>
      </c>
      <c r="E2715" t="s">
        <v>15</v>
      </c>
      <c r="F2715" t="s">
        <v>16</v>
      </c>
      <c r="G2715" t="s">
        <v>17</v>
      </c>
      <c r="H2715" t="s">
        <v>23</v>
      </c>
      <c r="I2715">
        <v>115.86</v>
      </c>
      <c r="J2715">
        <v>33.299999999999997</v>
      </c>
      <c r="K2715" t="s">
        <v>25</v>
      </c>
      <c r="L2715" t="s">
        <v>15</v>
      </c>
    </row>
    <row r="2716" spans="1:12" x14ac:dyDescent="0.3">
      <c r="A2716">
        <v>2919</v>
      </c>
      <c r="B2716" t="s">
        <v>12</v>
      </c>
      <c r="C2716">
        <v>17</v>
      </c>
      <c r="D2716" t="s">
        <v>15</v>
      </c>
      <c r="E2716" t="s">
        <v>15</v>
      </c>
      <c r="F2716" t="s">
        <v>15</v>
      </c>
      <c r="G2716" t="s">
        <v>17</v>
      </c>
      <c r="H2716" t="s">
        <v>23</v>
      </c>
      <c r="I2716">
        <v>95.27</v>
      </c>
      <c r="J2716">
        <v>17.3</v>
      </c>
      <c r="K2716" t="s">
        <v>27</v>
      </c>
      <c r="L2716" t="s">
        <v>15</v>
      </c>
    </row>
    <row r="2717" spans="1:12" x14ac:dyDescent="0.3">
      <c r="A2717">
        <v>60003</v>
      </c>
      <c r="B2717" t="s">
        <v>12</v>
      </c>
      <c r="C2717">
        <v>81</v>
      </c>
      <c r="D2717" t="s">
        <v>15</v>
      </c>
      <c r="E2717" t="s">
        <v>15</v>
      </c>
      <c r="F2717" t="s">
        <v>16</v>
      </c>
      <c r="G2717" t="s">
        <v>19</v>
      </c>
      <c r="H2717" t="s">
        <v>23</v>
      </c>
      <c r="I2717">
        <v>89.02</v>
      </c>
      <c r="J2717">
        <v>26.9</v>
      </c>
      <c r="K2717" t="s">
        <v>25</v>
      </c>
      <c r="L2717" t="s">
        <v>15</v>
      </c>
    </row>
    <row r="2718" spans="1:12" x14ac:dyDescent="0.3">
      <c r="A2718">
        <v>46256</v>
      </c>
      <c r="B2718" t="s">
        <v>12</v>
      </c>
      <c r="C2718">
        <v>15</v>
      </c>
      <c r="D2718" t="s">
        <v>15</v>
      </c>
      <c r="E2718" t="s">
        <v>15</v>
      </c>
      <c r="F2718" t="s">
        <v>15</v>
      </c>
      <c r="G2718" t="s">
        <v>17</v>
      </c>
      <c r="H2718" t="s">
        <v>22</v>
      </c>
      <c r="I2718">
        <v>77.55</v>
      </c>
      <c r="J2718">
        <v>24.8</v>
      </c>
      <c r="K2718" t="s">
        <v>27</v>
      </c>
      <c r="L2718" t="s">
        <v>15</v>
      </c>
    </row>
    <row r="2719" spans="1:12" x14ac:dyDescent="0.3">
      <c r="A2719">
        <v>23659</v>
      </c>
      <c r="B2719" t="s">
        <v>13</v>
      </c>
      <c r="C2719">
        <v>5</v>
      </c>
      <c r="D2719" t="s">
        <v>15</v>
      </c>
      <c r="E2719" t="s">
        <v>15</v>
      </c>
      <c r="F2719" t="s">
        <v>15</v>
      </c>
      <c r="G2719" t="s">
        <v>20</v>
      </c>
      <c r="H2719" t="s">
        <v>22</v>
      </c>
      <c r="I2719">
        <v>75.86</v>
      </c>
      <c r="J2719">
        <v>20</v>
      </c>
      <c r="K2719" t="s">
        <v>27</v>
      </c>
      <c r="L2719" t="s">
        <v>15</v>
      </c>
    </row>
    <row r="2720" spans="1:12" x14ac:dyDescent="0.3">
      <c r="A2720">
        <v>2952</v>
      </c>
      <c r="B2720" t="s">
        <v>12</v>
      </c>
      <c r="C2720">
        <v>70</v>
      </c>
      <c r="D2720" t="s">
        <v>16</v>
      </c>
      <c r="E2720" t="s">
        <v>16</v>
      </c>
      <c r="F2720" t="s">
        <v>16</v>
      </c>
      <c r="G2720" t="s">
        <v>17</v>
      </c>
      <c r="H2720" t="s">
        <v>23</v>
      </c>
      <c r="I2720">
        <v>93.62</v>
      </c>
      <c r="J2720">
        <v>35.799999999999997</v>
      </c>
      <c r="K2720" t="s">
        <v>25</v>
      </c>
      <c r="L2720" t="s">
        <v>15</v>
      </c>
    </row>
    <row r="2721" spans="1:12" x14ac:dyDescent="0.3">
      <c r="A2721">
        <v>49229</v>
      </c>
      <c r="B2721" t="s">
        <v>12</v>
      </c>
      <c r="C2721">
        <v>52</v>
      </c>
      <c r="D2721" t="s">
        <v>15</v>
      </c>
      <c r="E2721" t="s">
        <v>15</v>
      </c>
      <c r="F2721" t="s">
        <v>15</v>
      </c>
      <c r="G2721" t="s">
        <v>19</v>
      </c>
      <c r="H2721" t="s">
        <v>23</v>
      </c>
      <c r="I2721">
        <v>72.709999999999994</v>
      </c>
      <c r="J2721">
        <v>36.9</v>
      </c>
      <c r="K2721" t="s">
        <v>24</v>
      </c>
      <c r="L2721" t="s">
        <v>15</v>
      </c>
    </row>
    <row r="2722" spans="1:12" x14ac:dyDescent="0.3">
      <c r="A2722">
        <v>2457</v>
      </c>
      <c r="B2722" t="s">
        <v>13</v>
      </c>
      <c r="C2722">
        <v>67</v>
      </c>
      <c r="D2722" t="s">
        <v>15</v>
      </c>
      <c r="E2722" t="s">
        <v>16</v>
      </c>
      <c r="F2722" t="s">
        <v>16</v>
      </c>
      <c r="G2722" t="s">
        <v>18</v>
      </c>
      <c r="H2722" t="s">
        <v>23</v>
      </c>
      <c r="I2722">
        <v>94.45</v>
      </c>
      <c r="J2722">
        <v>29.6</v>
      </c>
      <c r="K2722" t="s">
        <v>24</v>
      </c>
      <c r="L2722" t="s">
        <v>15</v>
      </c>
    </row>
    <row r="2723" spans="1:12" x14ac:dyDescent="0.3">
      <c r="A2723">
        <v>23508</v>
      </c>
      <c r="B2723" t="s">
        <v>13</v>
      </c>
      <c r="C2723">
        <v>17</v>
      </c>
      <c r="D2723" t="s">
        <v>15</v>
      </c>
      <c r="E2723" t="s">
        <v>15</v>
      </c>
      <c r="F2723" t="s">
        <v>15</v>
      </c>
      <c r="G2723" t="s">
        <v>21</v>
      </c>
      <c r="H2723" t="s">
        <v>23</v>
      </c>
      <c r="I2723">
        <v>88.57</v>
      </c>
      <c r="J2723">
        <v>31.1</v>
      </c>
      <c r="K2723" t="s">
        <v>25</v>
      </c>
      <c r="L2723" t="s">
        <v>15</v>
      </c>
    </row>
    <row r="2724" spans="1:12" x14ac:dyDescent="0.3">
      <c r="A2724">
        <v>28364</v>
      </c>
      <c r="B2724" t="s">
        <v>12</v>
      </c>
      <c r="C2724">
        <v>61</v>
      </c>
      <c r="D2724" t="s">
        <v>15</v>
      </c>
      <c r="E2724" t="s">
        <v>15</v>
      </c>
      <c r="F2724" t="s">
        <v>16</v>
      </c>
      <c r="G2724" t="s">
        <v>17</v>
      </c>
      <c r="H2724" t="s">
        <v>22</v>
      </c>
      <c r="I2724">
        <v>84.12</v>
      </c>
      <c r="J2724">
        <v>25.1</v>
      </c>
      <c r="K2724" t="s">
        <v>24</v>
      </c>
      <c r="L2724" t="s">
        <v>15</v>
      </c>
    </row>
    <row r="2725" spans="1:12" x14ac:dyDescent="0.3">
      <c r="A2725">
        <v>31360</v>
      </c>
      <c r="B2725" t="s">
        <v>13</v>
      </c>
      <c r="C2725">
        <v>31</v>
      </c>
      <c r="D2725" t="s">
        <v>15</v>
      </c>
      <c r="E2725" t="s">
        <v>15</v>
      </c>
      <c r="F2725" t="s">
        <v>15</v>
      </c>
      <c r="G2725" t="s">
        <v>17</v>
      </c>
      <c r="H2725" t="s">
        <v>22</v>
      </c>
      <c r="I2725">
        <v>89.11</v>
      </c>
      <c r="J2725">
        <v>51.9</v>
      </c>
      <c r="K2725" t="s">
        <v>26</v>
      </c>
      <c r="L2725" t="s">
        <v>15</v>
      </c>
    </row>
    <row r="2726" spans="1:12" x14ac:dyDescent="0.3">
      <c r="A2726">
        <v>19335</v>
      </c>
      <c r="B2726" t="s">
        <v>12</v>
      </c>
      <c r="C2726">
        <v>58</v>
      </c>
      <c r="D2726" t="s">
        <v>15</v>
      </c>
      <c r="E2726" t="s">
        <v>15</v>
      </c>
      <c r="F2726" t="s">
        <v>16</v>
      </c>
      <c r="G2726" t="s">
        <v>18</v>
      </c>
      <c r="H2726" t="s">
        <v>23</v>
      </c>
      <c r="I2726">
        <v>99.83</v>
      </c>
      <c r="J2726">
        <v>36.299999999999997</v>
      </c>
      <c r="K2726" t="s">
        <v>26</v>
      </c>
      <c r="L2726" t="s">
        <v>15</v>
      </c>
    </row>
    <row r="2727" spans="1:12" x14ac:dyDescent="0.3">
      <c r="A2727">
        <v>40390</v>
      </c>
      <c r="B2727" t="s">
        <v>13</v>
      </c>
      <c r="C2727">
        <v>12</v>
      </c>
      <c r="D2727" t="s">
        <v>15</v>
      </c>
      <c r="E2727" t="s">
        <v>15</v>
      </c>
      <c r="F2727" t="s">
        <v>15</v>
      </c>
      <c r="G2727" t="s">
        <v>20</v>
      </c>
      <c r="H2727" t="s">
        <v>23</v>
      </c>
      <c r="I2727">
        <v>150.03</v>
      </c>
      <c r="J2727">
        <v>28.2</v>
      </c>
      <c r="K2727" t="s">
        <v>25</v>
      </c>
      <c r="L2727" t="s">
        <v>15</v>
      </c>
    </row>
    <row r="2728" spans="1:12" x14ac:dyDescent="0.3">
      <c r="A2728">
        <v>63936</v>
      </c>
      <c r="B2728" t="s">
        <v>13</v>
      </c>
      <c r="C2728">
        <v>30</v>
      </c>
      <c r="D2728" t="s">
        <v>15</v>
      </c>
      <c r="E2728" t="s">
        <v>15</v>
      </c>
      <c r="F2728" t="s">
        <v>15</v>
      </c>
      <c r="G2728" t="s">
        <v>17</v>
      </c>
      <c r="H2728" t="s">
        <v>22</v>
      </c>
      <c r="I2728">
        <v>69.67</v>
      </c>
      <c r="J2728">
        <v>35.799999999999997</v>
      </c>
      <c r="K2728" t="s">
        <v>24</v>
      </c>
      <c r="L2728" t="s">
        <v>15</v>
      </c>
    </row>
    <row r="2729" spans="1:12" x14ac:dyDescent="0.3">
      <c r="A2729">
        <v>24832</v>
      </c>
      <c r="B2729" t="s">
        <v>13</v>
      </c>
      <c r="C2729">
        <v>65</v>
      </c>
      <c r="D2729" t="s">
        <v>15</v>
      </c>
      <c r="E2729" t="s">
        <v>15</v>
      </c>
      <c r="F2729" t="s">
        <v>16</v>
      </c>
      <c r="G2729" t="s">
        <v>18</v>
      </c>
      <c r="H2729" t="s">
        <v>22</v>
      </c>
      <c r="I2729">
        <v>77.459999999999994</v>
      </c>
      <c r="J2729">
        <v>30.9</v>
      </c>
      <c r="K2729" t="s">
        <v>24</v>
      </c>
      <c r="L2729" t="s">
        <v>15</v>
      </c>
    </row>
    <row r="2730" spans="1:12" x14ac:dyDescent="0.3">
      <c r="A2730">
        <v>25219</v>
      </c>
      <c r="B2730" t="s">
        <v>13</v>
      </c>
      <c r="C2730">
        <v>23</v>
      </c>
      <c r="D2730" t="s">
        <v>15</v>
      </c>
      <c r="E2730" t="s">
        <v>15</v>
      </c>
      <c r="F2730" t="s">
        <v>15</v>
      </c>
      <c r="G2730" t="s">
        <v>17</v>
      </c>
      <c r="H2730" t="s">
        <v>22</v>
      </c>
      <c r="I2730">
        <v>100.54</v>
      </c>
      <c r="J2730">
        <v>22.1</v>
      </c>
      <c r="K2730" t="s">
        <v>26</v>
      </c>
      <c r="L2730" t="s">
        <v>15</v>
      </c>
    </row>
    <row r="2731" spans="1:12" x14ac:dyDescent="0.3">
      <c r="A2731">
        <v>42393</v>
      </c>
      <c r="B2731" t="s">
        <v>12</v>
      </c>
      <c r="C2731">
        <v>14</v>
      </c>
      <c r="D2731" t="s">
        <v>15</v>
      </c>
      <c r="E2731" t="s">
        <v>15</v>
      </c>
      <c r="F2731" t="s">
        <v>15</v>
      </c>
      <c r="G2731" t="s">
        <v>20</v>
      </c>
      <c r="H2731" t="s">
        <v>23</v>
      </c>
      <c r="I2731">
        <v>142.38</v>
      </c>
      <c r="J2731">
        <v>17.600000000000001</v>
      </c>
      <c r="K2731" t="s">
        <v>25</v>
      </c>
      <c r="L2731" t="s">
        <v>15</v>
      </c>
    </row>
    <row r="2732" spans="1:12" x14ac:dyDescent="0.3">
      <c r="A2732">
        <v>17951</v>
      </c>
      <c r="B2732" t="s">
        <v>12</v>
      </c>
      <c r="C2732">
        <v>27</v>
      </c>
      <c r="D2732" t="s">
        <v>15</v>
      </c>
      <c r="E2732" t="s">
        <v>15</v>
      </c>
      <c r="F2732" t="s">
        <v>15</v>
      </c>
      <c r="G2732" t="s">
        <v>18</v>
      </c>
      <c r="H2732" t="s">
        <v>23</v>
      </c>
      <c r="I2732">
        <v>110.87</v>
      </c>
      <c r="J2732">
        <v>29.5</v>
      </c>
      <c r="K2732" t="s">
        <v>26</v>
      </c>
      <c r="L2732" t="s">
        <v>15</v>
      </c>
    </row>
    <row r="2733" spans="1:12" x14ac:dyDescent="0.3">
      <c r="A2733">
        <v>17443</v>
      </c>
      <c r="B2733" t="s">
        <v>13</v>
      </c>
      <c r="C2733">
        <v>53</v>
      </c>
      <c r="D2733" t="s">
        <v>15</v>
      </c>
      <c r="E2733" t="s">
        <v>15</v>
      </c>
      <c r="F2733" t="s">
        <v>16</v>
      </c>
      <c r="G2733" t="s">
        <v>17</v>
      </c>
      <c r="H2733" t="s">
        <v>22</v>
      </c>
      <c r="I2733">
        <v>73.599999999999994</v>
      </c>
      <c r="J2733">
        <v>27</v>
      </c>
      <c r="K2733" t="s">
        <v>25</v>
      </c>
      <c r="L2733" t="s">
        <v>15</v>
      </c>
    </row>
    <row r="2734" spans="1:12" x14ac:dyDescent="0.3">
      <c r="A2734">
        <v>52242</v>
      </c>
      <c r="B2734" t="s">
        <v>13</v>
      </c>
      <c r="C2734">
        <v>58</v>
      </c>
      <c r="D2734" t="s">
        <v>16</v>
      </c>
      <c r="E2734" t="s">
        <v>15</v>
      </c>
      <c r="F2734" t="s">
        <v>16</v>
      </c>
      <c r="G2734" t="s">
        <v>19</v>
      </c>
      <c r="H2734" t="s">
        <v>23</v>
      </c>
      <c r="I2734">
        <v>59.52</v>
      </c>
      <c r="J2734">
        <v>33.200000000000003</v>
      </c>
      <c r="K2734" t="s">
        <v>25</v>
      </c>
      <c r="L2734" t="s">
        <v>15</v>
      </c>
    </row>
    <row r="2735" spans="1:12" x14ac:dyDescent="0.3">
      <c r="A2735">
        <v>45931</v>
      </c>
      <c r="B2735" t="s">
        <v>12</v>
      </c>
      <c r="C2735">
        <v>9</v>
      </c>
      <c r="D2735" t="s">
        <v>15</v>
      </c>
      <c r="E2735" t="s">
        <v>15</v>
      </c>
      <c r="F2735" t="s">
        <v>15</v>
      </c>
      <c r="G2735" t="s">
        <v>20</v>
      </c>
      <c r="H2735" t="s">
        <v>22</v>
      </c>
      <c r="I2735">
        <v>142.68</v>
      </c>
      <c r="J2735">
        <v>24.4</v>
      </c>
      <c r="K2735" t="s">
        <v>27</v>
      </c>
      <c r="L2735" t="s">
        <v>15</v>
      </c>
    </row>
    <row r="2736" spans="1:12" x14ac:dyDescent="0.3">
      <c r="A2736">
        <v>7828</v>
      </c>
      <c r="B2736" t="s">
        <v>12</v>
      </c>
      <c r="C2736">
        <v>59</v>
      </c>
      <c r="D2736" t="s">
        <v>16</v>
      </c>
      <c r="E2736" t="s">
        <v>15</v>
      </c>
      <c r="F2736" t="s">
        <v>16</v>
      </c>
      <c r="G2736" t="s">
        <v>18</v>
      </c>
      <c r="H2736" t="s">
        <v>22</v>
      </c>
      <c r="I2736">
        <v>182.9</v>
      </c>
      <c r="J2736">
        <v>34.4</v>
      </c>
      <c r="K2736" t="s">
        <v>26</v>
      </c>
      <c r="L2736" t="s">
        <v>15</v>
      </c>
    </row>
    <row r="2737" spans="1:12" x14ac:dyDescent="0.3">
      <c r="A2737">
        <v>21547</v>
      </c>
      <c r="B2737" t="s">
        <v>13</v>
      </c>
      <c r="C2737">
        <v>46</v>
      </c>
      <c r="D2737" t="s">
        <v>15</v>
      </c>
      <c r="E2737" t="s">
        <v>15</v>
      </c>
      <c r="F2737" t="s">
        <v>16</v>
      </c>
      <c r="G2737" t="s">
        <v>19</v>
      </c>
      <c r="H2737" t="s">
        <v>22</v>
      </c>
      <c r="I2737">
        <v>75.28</v>
      </c>
      <c r="J2737">
        <v>36.700000000000003</v>
      </c>
      <c r="K2737" t="s">
        <v>24</v>
      </c>
      <c r="L2737" t="s">
        <v>15</v>
      </c>
    </row>
    <row r="2738" spans="1:12" x14ac:dyDescent="0.3">
      <c r="A2738">
        <v>42305</v>
      </c>
      <c r="B2738" t="s">
        <v>13</v>
      </c>
      <c r="C2738">
        <v>41</v>
      </c>
      <c r="D2738" t="s">
        <v>15</v>
      </c>
      <c r="E2738" t="s">
        <v>15</v>
      </c>
      <c r="F2738" t="s">
        <v>15</v>
      </c>
      <c r="G2738" t="s">
        <v>17</v>
      </c>
      <c r="H2738" t="s">
        <v>23</v>
      </c>
      <c r="I2738">
        <v>100.75</v>
      </c>
      <c r="J2738">
        <v>27.2</v>
      </c>
      <c r="K2738" t="s">
        <v>25</v>
      </c>
      <c r="L2738" t="s">
        <v>15</v>
      </c>
    </row>
    <row r="2739" spans="1:12" x14ac:dyDescent="0.3">
      <c r="A2739">
        <v>9442</v>
      </c>
      <c r="B2739" t="s">
        <v>12</v>
      </c>
      <c r="C2739">
        <v>55</v>
      </c>
      <c r="D2739" t="s">
        <v>15</v>
      </c>
      <c r="E2739" t="s">
        <v>15</v>
      </c>
      <c r="F2739" t="s">
        <v>16</v>
      </c>
      <c r="G2739" t="s">
        <v>18</v>
      </c>
      <c r="H2739" t="s">
        <v>23</v>
      </c>
      <c r="I2739">
        <v>163.82</v>
      </c>
      <c r="J2739">
        <v>27.5</v>
      </c>
      <c r="K2739" t="s">
        <v>25</v>
      </c>
      <c r="L2739" t="s">
        <v>15</v>
      </c>
    </row>
    <row r="2740" spans="1:12" x14ac:dyDescent="0.3">
      <c r="A2740">
        <v>57047</v>
      </c>
      <c r="B2740" t="s">
        <v>13</v>
      </c>
      <c r="C2740">
        <v>43</v>
      </c>
      <c r="D2740" t="s">
        <v>15</v>
      </c>
      <c r="E2740" t="s">
        <v>15</v>
      </c>
      <c r="F2740" t="s">
        <v>16</v>
      </c>
      <c r="G2740" t="s">
        <v>17</v>
      </c>
      <c r="H2740" t="s">
        <v>22</v>
      </c>
      <c r="I2740">
        <v>110.42</v>
      </c>
      <c r="J2740">
        <v>32.6</v>
      </c>
      <c r="K2740" t="s">
        <v>26</v>
      </c>
      <c r="L2740" t="s">
        <v>15</v>
      </c>
    </row>
    <row r="2741" spans="1:12" x14ac:dyDescent="0.3">
      <c r="A2741">
        <v>2538</v>
      </c>
      <c r="B2741" t="s">
        <v>13</v>
      </c>
      <c r="C2741">
        <v>5</v>
      </c>
      <c r="D2741" t="s">
        <v>15</v>
      </c>
      <c r="E2741" t="s">
        <v>15</v>
      </c>
      <c r="F2741" t="s">
        <v>15</v>
      </c>
      <c r="G2741" t="s">
        <v>20</v>
      </c>
      <c r="H2741" t="s">
        <v>23</v>
      </c>
      <c r="I2741">
        <v>105.18</v>
      </c>
      <c r="K2741" t="s">
        <v>27</v>
      </c>
      <c r="L2741" t="s">
        <v>15</v>
      </c>
    </row>
    <row r="2742" spans="1:12" x14ac:dyDescent="0.3">
      <c r="A2742">
        <v>28461</v>
      </c>
      <c r="B2742" t="s">
        <v>12</v>
      </c>
      <c r="C2742">
        <v>15</v>
      </c>
      <c r="D2742" t="s">
        <v>15</v>
      </c>
      <c r="E2742" t="s">
        <v>15</v>
      </c>
      <c r="F2742" t="s">
        <v>15</v>
      </c>
      <c r="G2742" t="s">
        <v>21</v>
      </c>
      <c r="H2742" t="s">
        <v>23</v>
      </c>
      <c r="I2742">
        <v>79.59</v>
      </c>
      <c r="J2742">
        <v>28.4</v>
      </c>
      <c r="K2742" t="s">
        <v>27</v>
      </c>
      <c r="L2742" t="s">
        <v>15</v>
      </c>
    </row>
    <row r="2743" spans="1:12" x14ac:dyDescent="0.3">
      <c r="A2743">
        <v>16433</v>
      </c>
      <c r="B2743" t="s">
        <v>13</v>
      </c>
      <c r="C2743">
        <v>36</v>
      </c>
      <c r="D2743" t="s">
        <v>15</v>
      </c>
      <c r="E2743" t="s">
        <v>15</v>
      </c>
      <c r="F2743" t="s">
        <v>16</v>
      </c>
      <c r="G2743" t="s">
        <v>17</v>
      </c>
      <c r="H2743" t="s">
        <v>23</v>
      </c>
      <c r="I2743">
        <v>107.99</v>
      </c>
      <c r="J2743">
        <v>25.5</v>
      </c>
      <c r="K2743" t="s">
        <v>25</v>
      </c>
      <c r="L2743" t="s">
        <v>15</v>
      </c>
    </row>
    <row r="2744" spans="1:12" x14ac:dyDescent="0.3">
      <c r="A2744">
        <v>50681</v>
      </c>
      <c r="B2744" t="s">
        <v>13</v>
      </c>
      <c r="C2744">
        <v>36</v>
      </c>
      <c r="D2744" t="s">
        <v>15</v>
      </c>
      <c r="E2744" t="s">
        <v>15</v>
      </c>
      <c r="F2744" t="s">
        <v>16</v>
      </c>
      <c r="G2744" t="s">
        <v>17</v>
      </c>
      <c r="H2744" t="s">
        <v>23</v>
      </c>
      <c r="I2744">
        <v>90.22</v>
      </c>
      <c r="J2744">
        <v>28.7</v>
      </c>
      <c r="K2744" t="s">
        <v>24</v>
      </c>
      <c r="L2744" t="s">
        <v>15</v>
      </c>
    </row>
    <row r="2745" spans="1:12" x14ac:dyDescent="0.3">
      <c r="A2745">
        <v>71327</v>
      </c>
      <c r="B2745" t="s">
        <v>13</v>
      </c>
      <c r="C2745">
        <v>47</v>
      </c>
      <c r="D2745" t="s">
        <v>15</v>
      </c>
      <c r="E2745" t="s">
        <v>15</v>
      </c>
      <c r="F2745" t="s">
        <v>15</v>
      </c>
      <c r="G2745" t="s">
        <v>17</v>
      </c>
      <c r="H2745" t="s">
        <v>23</v>
      </c>
      <c r="I2745">
        <v>143.44999999999999</v>
      </c>
      <c r="J2745">
        <v>23.8</v>
      </c>
      <c r="K2745" t="s">
        <v>25</v>
      </c>
      <c r="L2745" t="s">
        <v>15</v>
      </c>
    </row>
    <row r="2746" spans="1:12" x14ac:dyDescent="0.3">
      <c r="A2746">
        <v>46699</v>
      </c>
      <c r="B2746" t="s">
        <v>13</v>
      </c>
      <c r="C2746">
        <v>18</v>
      </c>
      <c r="D2746" t="s">
        <v>15</v>
      </c>
      <c r="E2746" t="s">
        <v>15</v>
      </c>
      <c r="F2746" t="s">
        <v>15</v>
      </c>
      <c r="G2746" t="s">
        <v>17</v>
      </c>
      <c r="H2746" t="s">
        <v>23</v>
      </c>
      <c r="I2746">
        <v>78.569999999999993</v>
      </c>
      <c r="J2746">
        <v>34.4</v>
      </c>
      <c r="K2746" t="s">
        <v>27</v>
      </c>
      <c r="L2746" t="s">
        <v>15</v>
      </c>
    </row>
    <row r="2747" spans="1:12" x14ac:dyDescent="0.3">
      <c r="A2747">
        <v>25248</v>
      </c>
      <c r="B2747" t="s">
        <v>12</v>
      </c>
      <c r="C2747">
        <v>19</v>
      </c>
      <c r="D2747" t="s">
        <v>15</v>
      </c>
      <c r="E2747" t="s">
        <v>15</v>
      </c>
      <c r="F2747" t="s">
        <v>15</v>
      </c>
      <c r="G2747" t="s">
        <v>17</v>
      </c>
      <c r="H2747" t="s">
        <v>23</v>
      </c>
      <c r="I2747">
        <v>79.819999999999993</v>
      </c>
      <c r="J2747">
        <v>26.1</v>
      </c>
      <c r="K2747" t="s">
        <v>27</v>
      </c>
      <c r="L2747" t="s">
        <v>15</v>
      </c>
    </row>
    <row r="2748" spans="1:12" x14ac:dyDescent="0.3">
      <c r="A2748">
        <v>35315</v>
      </c>
      <c r="B2748" t="s">
        <v>12</v>
      </c>
      <c r="C2748">
        <v>65</v>
      </c>
      <c r="D2748" t="s">
        <v>15</v>
      </c>
      <c r="E2748" t="s">
        <v>15</v>
      </c>
      <c r="F2748" t="s">
        <v>16</v>
      </c>
      <c r="G2748" t="s">
        <v>18</v>
      </c>
      <c r="H2748" t="s">
        <v>22</v>
      </c>
      <c r="I2748">
        <v>95.88</v>
      </c>
      <c r="J2748">
        <v>28.5</v>
      </c>
      <c r="K2748" t="s">
        <v>25</v>
      </c>
      <c r="L2748" t="s">
        <v>15</v>
      </c>
    </row>
    <row r="2749" spans="1:12" x14ac:dyDescent="0.3">
      <c r="A2749">
        <v>63144</v>
      </c>
      <c r="B2749" t="s">
        <v>12</v>
      </c>
      <c r="C2749">
        <v>17</v>
      </c>
      <c r="D2749" t="s">
        <v>15</v>
      </c>
      <c r="E2749" t="s">
        <v>15</v>
      </c>
      <c r="F2749" t="s">
        <v>15</v>
      </c>
      <c r="G2749" t="s">
        <v>19</v>
      </c>
      <c r="H2749" t="s">
        <v>22</v>
      </c>
      <c r="I2749">
        <v>123.04</v>
      </c>
      <c r="J2749">
        <v>29.6</v>
      </c>
      <c r="K2749" t="s">
        <v>25</v>
      </c>
      <c r="L2749" t="s">
        <v>15</v>
      </c>
    </row>
    <row r="2750" spans="1:12" x14ac:dyDescent="0.3">
      <c r="A2750">
        <v>21517</v>
      </c>
      <c r="B2750" t="s">
        <v>12</v>
      </c>
      <c r="C2750">
        <v>54</v>
      </c>
      <c r="D2750" t="s">
        <v>15</v>
      </c>
      <c r="E2750" t="s">
        <v>15</v>
      </c>
      <c r="F2750" t="s">
        <v>16</v>
      </c>
      <c r="G2750" t="s">
        <v>17</v>
      </c>
      <c r="H2750" t="s">
        <v>22</v>
      </c>
      <c r="I2750">
        <v>92.34</v>
      </c>
      <c r="J2750">
        <v>29.4</v>
      </c>
      <c r="K2750" t="s">
        <v>26</v>
      </c>
      <c r="L2750" t="s">
        <v>15</v>
      </c>
    </row>
    <row r="2751" spans="1:12" x14ac:dyDescent="0.3">
      <c r="A2751">
        <v>29789</v>
      </c>
      <c r="B2751" t="s">
        <v>13</v>
      </c>
      <c r="C2751">
        <v>46</v>
      </c>
      <c r="D2751" t="s">
        <v>15</v>
      </c>
      <c r="E2751" t="s">
        <v>15</v>
      </c>
      <c r="F2751" t="s">
        <v>16</v>
      </c>
      <c r="G2751" t="s">
        <v>17</v>
      </c>
      <c r="H2751" t="s">
        <v>23</v>
      </c>
      <c r="I2751">
        <v>116.84</v>
      </c>
      <c r="J2751">
        <v>28.2</v>
      </c>
      <c r="K2751" t="s">
        <v>25</v>
      </c>
      <c r="L2751" t="s">
        <v>15</v>
      </c>
    </row>
    <row r="2752" spans="1:12" x14ac:dyDescent="0.3">
      <c r="A2752">
        <v>52207</v>
      </c>
      <c r="B2752" t="s">
        <v>13</v>
      </c>
      <c r="C2752">
        <v>59</v>
      </c>
      <c r="D2752" t="s">
        <v>15</v>
      </c>
      <c r="E2752" t="s">
        <v>15</v>
      </c>
      <c r="F2752" t="s">
        <v>16</v>
      </c>
      <c r="G2752" t="s">
        <v>18</v>
      </c>
      <c r="H2752" t="s">
        <v>22</v>
      </c>
      <c r="I2752">
        <v>90.04</v>
      </c>
      <c r="J2752">
        <v>28.7</v>
      </c>
      <c r="K2752" t="s">
        <v>24</v>
      </c>
      <c r="L2752" t="s">
        <v>15</v>
      </c>
    </row>
    <row r="2753" spans="1:12" x14ac:dyDescent="0.3">
      <c r="A2753">
        <v>19209</v>
      </c>
      <c r="B2753" t="s">
        <v>13</v>
      </c>
      <c r="C2753">
        <v>48</v>
      </c>
      <c r="D2753" t="s">
        <v>15</v>
      </c>
      <c r="E2753" t="s">
        <v>15</v>
      </c>
      <c r="F2753" t="s">
        <v>16</v>
      </c>
      <c r="G2753" t="s">
        <v>19</v>
      </c>
      <c r="H2753" t="s">
        <v>23</v>
      </c>
      <c r="I2753">
        <v>255.17</v>
      </c>
      <c r="J2753">
        <v>38.1</v>
      </c>
      <c r="K2753" t="s">
        <v>24</v>
      </c>
      <c r="L2753" t="s">
        <v>15</v>
      </c>
    </row>
    <row r="2754" spans="1:12" x14ac:dyDescent="0.3">
      <c r="A2754">
        <v>42041</v>
      </c>
      <c r="B2754" t="s">
        <v>13</v>
      </c>
      <c r="C2754">
        <v>38</v>
      </c>
      <c r="D2754" t="s">
        <v>15</v>
      </c>
      <c r="E2754" t="s">
        <v>15</v>
      </c>
      <c r="F2754" t="s">
        <v>16</v>
      </c>
      <c r="G2754" t="s">
        <v>17</v>
      </c>
      <c r="H2754" t="s">
        <v>23</v>
      </c>
      <c r="I2754">
        <v>217.55</v>
      </c>
      <c r="K2754" t="s">
        <v>26</v>
      </c>
      <c r="L2754" t="s">
        <v>15</v>
      </c>
    </row>
    <row r="2755" spans="1:12" x14ac:dyDescent="0.3">
      <c r="A2755">
        <v>58153</v>
      </c>
      <c r="B2755" t="s">
        <v>13</v>
      </c>
      <c r="C2755">
        <v>18</v>
      </c>
      <c r="D2755" t="s">
        <v>15</v>
      </c>
      <c r="E2755" t="s">
        <v>15</v>
      </c>
      <c r="F2755" t="s">
        <v>15</v>
      </c>
      <c r="G2755" t="s">
        <v>17</v>
      </c>
      <c r="H2755" t="s">
        <v>22</v>
      </c>
      <c r="I2755">
        <v>123.66</v>
      </c>
      <c r="J2755">
        <v>22.2</v>
      </c>
      <c r="K2755" t="s">
        <v>25</v>
      </c>
      <c r="L2755" t="s">
        <v>15</v>
      </c>
    </row>
    <row r="2756" spans="1:12" x14ac:dyDescent="0.3">
      <c r="A2756">
        <v>27717</v>
      </c>
      <c r="B2756" t="s">
        <v>13</v>
      </c>
      <c r="C2756">
        <v>56</v>
      </c>
      <c r="D2756" t="s">
        <v>15</v>
      </c>
      <c r="E2756" t="s">
        <v>15</v>
      </c>
      <c r="F2756" t="s">
        <v>16</v>
      </c>
      <c r="G2756" t="s">
        <v>18</v>
      </c>
      <c r="H2756" t="s">
        <v>22</v>
      </c>
      <c r="I2756">
        <v>112.16</v>
      </c>
      <c r="J2756">
        <v>25.7</v>
      </c>
      <c r="K2756" t="s">
        <v>27</v>
      </c>
      <c r="L2756" t="s">
        <v>15</v>
      </c>
    </row>
    <row r="2757" spans="1:12" x14ac:dyDescent="0.3">
      <c r="A2757">
        <v>35106</v>
      </c>
      <c r="B2757" t="s">
        <v>12</v>
      </c>
      <c r="C2757">
        <v>3</v>
      </c>
      <c r="D2757" t="s">
        <v>15</v>
      </c>
      <c r="E2757" t="s">
        <v>15</v>
      </c>
      <c r="F2757" t="s">
        <v>15</v>
      </c>
      <c r="G2757" t="s">
        <v>20</v>
      </c>
      <c r="H2757" t="s">
        <v>22</v>
      </c>
      <c r="I2757">
        <v>88.43</v>
      </c>
      <c r="J2757">
        <v>17.7</v>
      </c>
      <c r="K2757" t="s">
        <v>27</v>
      </c>
      <c r="L2757" t="s">
        <v>15</v>
      </c>
    </row>
    <row r="2758" spans="1:12" x14ac:dyDescent="0.3">
      <c r="A2758">
        <v>47730</v>
      </c>
      <c r="B2758" t="s">
        <v>13</v>
      </c>
      <c r="C2758">
        <v>41</v>
      </c>
      <c r="D2758" t="s">
        <v>15</v>
      </c>
      <c r="E2758" t="s">
        <v>15</v>
      </c>
      <c r="F2758" t="s">
        <v>15</v>
      </c>
      <c r="G2758" t="s">
        <v>17</v>
      </c>
      <c r="H2758" t="s">
        <v>22</v>
      </c>
      <c r="I2758">
        <v>86.03</v>
      </c>
      <c r="J2758">
        <v>26.4</v>
      </c>
      <c r="K2758" t="s">
        <v>25</v>
      </c>
      <c r="L2758" t="s">
        <v>15</v>
      </c>
    </row>
    <row r="2759" spans="1:12" x14ac:dyDescent="0.3">
      <c r="A2759">
        <v>20657</v>
      </c>
      <c r="B2759" t="s">
        <v>13</v>
      </c>
      <c r="C2759">
        <v>67</v>
      </c>
      <c r="D2759" t="s">
        <v>15</v>
      </c>
      <c r="E2759" t="s">
        <v>15</v>
      </c>
      <c r="F2759" t="s">
        <v>16</v>
      </c>
      <c r="G2759" t="s">
        <v>17</v>
      </c>
      <c r="H2759" t="s">
        <v>22</v>
      </c>
      <c r="I2759">
        <v>227.96</v>
      </c>
      <c r="J2759">
        <v>32.799999999999997</v>
      </c>
      <c r="K2759" t="s">
        <v>27</v>
      </c>
      <c r="L2759" t="s">
        <v>15</v>
      </c>
    </row>
    <row r="2760" spans="1:12" x14ac:dyDescent="0.3">
      <c r="A2760">
        <v>63411</v>
      </c>
      <c r="B2760" t="s">
        <v>13</v>
      </c>
      <c r="C2760">
        <v>60</v>
      </c>
      <c r="D2760" t="s">
        <v>15</v>
      </c>
      <c r="E2760" t="s">
        <v>15</v>
      </c>
      <c r="F2760" t="s">
        <v>16</v>
      </c>
      <c r="G2760" t="s">
        <v>17</v>
      </c>
      <c r="H2760" t="s">
        <v>23</v>
      </c>
      <c r="I2760">
        <v>85.6</v>
      </c>
      <c r="J2760">
        <v>34.5</v>
      </c>
      <c r="K2760" t="s">
        <v>27</v>
      </c>
      <c r="L2760" t="s">
        <v>15</v>
      </c>
    </row>
    <row r="2761" spans="1:12" x14ac:dyDescent="0.3">
      <c r="A2761">
        <v>18671</v>
      </c>
      <c r="B2761" t="s">
        <v>13</v>
      </c>
      <c r="C2761">
        <v>47</v>
      </c>
      <c r="D2761" t="s">
        <v>15</v>
      </c>
      <c r="E2761" t="s">
        <v>15</v>
      </c>
      <c r="F2761" t="s">
        <v>16</v>
      </c>
      <c r="G2761" t="s">
        <v>19</v>
      </c>
      <c r="H2761" t="s">
        <v>23</v>
      </c>
      <c r="I2761">
        <v>111.68</v>
      </c>
      <c r="J2761">
        <v>39.5</v>
      </c>
      <c r="K2761" t="s">
        <v>25</v>
      </c>
      <c r="L2761" t="s">
        <v>15</v>
      </c>
    </row>
    <row r="2762" spans="1:12" x14ac:dyDescent="0.3">
      <c r="A2762">
        <v>3843</v>
      </c>
      <c r="B2762" t="s">
        <v>13</v>
      </c>
      <c r="C2762">
        <v>24</v>
      </c>
      <c r="D2762" t="s">
        <v>15</v>
      </c>
      <c r="E2762" t="s">
        <v>15</v>
      </c>
      <c r="F2762" t="s">
        <v>15</v>
      </c>
      <c r="G2762" t="s">
        <v>17</v>
      </c>
      <c r="H2762" t="s">
        <v>22</v>
      </c>
      <c r="I2762">
        <v>73.489999999999995</v>
      </c>
      <c r="J2762">
        <v>23.5</v>
      </c>
      <c r="K2762" t="s">
        <v>25</v>
      </c>
      <c r="L2762" t="s">
        <v>15</v>
      </c>
    </row>
    <row r="2763" spans="1:12" x14ac:dyDescent="0.3">
      <c r="A2763">
        <v>1225</v>
      </c>
      <c r="B2763" t="s">
        <v>12</v>
      </c>
      <c r="C2763">
        <v>43</v>
      </c>
      <c r="D2763" t="s">
        <v>15</v>
      </c>
      <c r="E2763" t="s">
        <v>15</v>
      </c>
      <c r="F2763" t="s">
        <v>16</v>
      </c>
      <c r="G2763" t="s">
        <v>17</v>
      </c>
      <c r="H2763" t="s">
        <v>22</v>
      </c>
      <c r="I2763">
        <v>87.82</v>
      </c>
      <c r="J2763">
        <v>38.799999999999997</v>
      </c>
      <c r="K2763" t="s">
        <v>24</v>
      </c>
      <c r="L2763" t="s">
        <v>15</v>
      </c>
    </row>
    <row r="2764" spans="1:12" x14ac:dyDescent="0.3">
      <c r="A2764">
        <v>40264</v>
      </c>
      <c r="B2764" t="s">
        <v>13</v>
      </c>
      <c r="C2764">
        <v>17</v>
      </c>
      <c r="D2764" t="s">
        <v>15</v>
      </c>
      <c r="E2764" t="s">
        <v>15</v>
      </c>
      <c r="F2764" t="s">
        <v>15</v>
      </c>
      <c r="G2764" t="s">
        <v>17</v>
      </c>
      <c r="H2764" t="s">
        <v>23</v>
      </c>
      <c r="I2764">
        <v>99.29</v>
      </c>
      <c r="J2764">
        <v>21.2</v>
      </c>
      <c r="K2764" t="s">
        <v>27</v>
      </c>
      <c r="L2764" t="s">
        <v>15</v>
      </c>
    </row>
    <row r="2765" spans="1:12" x14ac:dyDescent="0.3">
      <c r="A2765">
        <v>72451</v>
      </c>
      <c r="B2765" t="s">
        <v>13</v>
      </c>
      <c r="C2765">
        <v>45</v>
      </c>
      <c r="D2765" t="s">
        <v>15</v>
      </c>
      <c r="E2765" t="s">
        <v>15</v>
      </c>
      <c r="F2765" t="s">
        <v>16</v>
      </c>
      <c r="G2765" t="s">
        <v>17</v>
      </c>
      <c r="H2765" t="s">
        <v>23</v>
      </c>
      <c r="I2765">
        <v>63.73</v>
      </c>
      <c r="J2765">
        <v>32</v>
      </c>
      <c r="K2765" t="s">
        <v>27</v>
      </c>
      <c r="L2765" t="s">
        <v>15</v>
      </c>
    </row>
    <row r="2766" spans="1:12" x14ac:dyDescent="0.3">
      <c r="A2766">
        <v>20292</v>
      </c>
      <c r="B2766" t="s">
        <v>13</v>
      </c>
      <c r="C2766">
        <v>24</v>
      </c>
      <c r="D2766" t="s">
        <v>15</v>
      </c>
      <c r="E2766" t="s">
        <v>15</v>
      </c>
      <c r="F2766" t="s">
        <v>16</v>
      </c>
      <c r="G2766" t="s">
        <v>17</v>
      </c>
      <c r="H2766" t="s">
        <v>22</v>
      </c>
      <c r="I2766">
        <v>85.55</v>
      </c>
      <c r="J2766">
        <v>63.3</v>
      </c>
      <c r="K2766" t="s">
        <v>25</v>
      </c>
      <c r="L2766" t="s">
        <v>15</v>
      </c>
    </row>
    <row r="2767" spans="1:12" x14ac:dyDescent="0.3">
      <c r="A2767">
        <v>31201</v>
      </c>
      <c r="B2767" t="s">
        <v>13</v>
      </c>
      <c r="C2767">
        <v>79</v>
      </c>
      <c r="D2767" t="s">
        <v>15</v>
      </c>
      <c r="E2767" t="s">
        <v>15</v>
      </c>
      <c r="F2767" t="s">
        <v>15</v>
      </c>
      <c r="G2767" t="s">
        <v>18</v>
      </c>
      <c r="H2767" t="s">
        <v>22</v>
      </c>
      <c r="I2767">
        <v>79.2</v>
      </c>
      <c r="J2767">
        <v>32.6</v>
      </c>
      <c r="K2767" t="s">
        <v>25</v>
      </c>
      <c r="L2767" t="s">
        <v>15</v>
      </c>
    </row>
    <row r="2768" spans="1:12" x14ac:dyDescent="0.3">
      <c r="A2768">
        <v>59359</v>
      </c>
      <c r="B2768" t="s">
        <v>12</v>
      </c>
      <c r="C2768">
        <v>79</v>
      </c>
      <c r="D2768" t="s">
        <v>15</v>
      </c>
      <c r="E2768" t="s">
        <v>15</v>
      </c>
      <c r="F2768" t="s">
        <v>16</v>
      </c>
      <c r="G2768" t="s">
        <v>18</v>
      </c>
      <c r="H2768" t="s">
        <v>22</v>
      </c>
      <c r="I2768">
        <v>105.93</v>
      </c>
      <c r="J2768">
        <v>25.2</v>
      </c>
      <c r="K2768" t="s">
        <v>25</v>
      </c>
      <c r="L2768" t="s">
        <v>15</v>
      </c>
    </row>
    <row r="2769" spans="1:12" x14ac:dyDescent="0.3">
      <c r="A2769">
        <v>57985</v>
      </c>
      <c r="B2769" t="s">
        <v>13</v>
      </c>
      <c r="C2769">
        <v>27</v>
      </c>
      <c r="D2769" t="s">
        <v>15</v>
      </c>
      <c r="E2769" t="s">
        <v>15</v>
      </c>
      <c r="F2769" t="s">
        <v>16</v>
      </c>
      <c r="G2769" t="s">
        <v>17</v>
      </c>
      <c r="H2769" t="s">
        <v>22</v>
      </c>
      <c r="I2769">
        <v>94.19</v>
      </c>
      <c r="J2769">
        <v>27.4</v>
      </c>
      <c r="K2769" t="s">
        <v>24</v>
      </c>
      <c r="L2769" t="s">
        <v>15</v>
      </c>
    </row>
    <row r="2770" spans="1:12" x14ac:dyDescent="0.3">
      <c r="A2770">
        <v>2885</v>
      </c>
      <c r="B2770" t="s">
        <v>12</v>
      </c>
      <c r="C2770">
        <v>72</v>
      </c>
      <c r="D2770" t="s">
        <v>16</v>
      </c>
      <c r="E2770" t="s">
        <v>15</v>
      </c>
      <c r="F2770" t="s">
        <v>16</v>
      </c>
      <c r="G2770" t="s">
        <v>17</v>
      </c>
      <c r="H2770" t="s">
        <v>23</v>
      </c>
      <c r="I2770">
        <v>231.71</v>
      </c>
      <c r="K2770" t="s">
        <v>27</v>
      </c>
      <c r="L2770" t="s">
        <v>15</v>
      </c>
    </row>
    <row r="2771" spans="1:12" x14ac:dyDescent="0.3">
      <c r="A2771">
        <v>59743</v>
      </c>
      <c r="B2771" t="s">
        <v>12</v>
      </c>
      <c r="C2771">
        <v>64</v>
      </c>
      <c r="D2771" t="s">
        <v>15</v>
      </c>
      <c r="E2771" t="s">
        <v>16</v>
      </c>
      <c r="F2771" t="s">
        <v>16</v>
      </c>
      <c r="G2771" t="s">
        <v>18</v>
      </c>
      <c r="H2771" t="s">
        <v>23</v>
      </c>
      <c r="I2771">
        <v>69.28</v>
      </c>
      <c r="J2771">
        <v>38.6</v>
      </c>
      <c r="K2771" t="s">
        <v>24</v>
      </c>
      <c r="L2771" t="s">
        <v>15</v>
      </c>
    </row>
    <row r="2772" spans="1:12" x14ac:dyDescent="0.3">
      <c r="A2772">
        <v>11544</v>
      </c>
      <c r="B2772" t="s">
        <v>13</v>
      </c>
      <c r="C2772">
        <v>34</v>
      </c>
      <c r="D2772" t="s">
        <v>15</v>
      </c>
      <c r="E2772" t="s">
        <v>15</v>
      </c>
      <c r="F2772" t="s">
        <v>16</v>
      </c>
      <c r="G2772" t="s">
        <v>17</v>
      </c>
      <c r="H2772" t="s">
        <v>22</v>
      </c>
      <c r="I2772">
        <v>71.37</v>
      </c>
      <c r="J2772">
        <v>32.9</v>
      </c>
      <c r="K2772" t="s">
        <v>25</v>
      </c>
      <c r="L2772" t="s">
        <v>15</v>
      </c>
    </row>
    <row r="2773" spans="1:12" x14ac:dyDescent="0.3">
      <c r="A2773">
        <v>11969</v>
      </c>
      <c r="B2773" t="s">
        <v>13</v>
      </c>
      <c r="C2773">
        <v>50</v>
      </c>
      <c r="D2773" t="s">
        <v>15</v>
      </c>
      <c r="E2773" t="s">
        <v>15</v>
      </c>
      <c r="F2773" t="s">
        <v>16</v>
      </c>
      <c r="G2773" t="s">
        <v>18</v>
      </c>
      <c r="H2773" t="s">
        <v>22</v>
      </c>
      <c r="I2773">
        <v>110.18</v>
      </c>
      <c r="J2773">
        <v>26</v>
      </c>
      <c r="K2773" t="s">
        <v>24</v>
      </c>
      <c r="L2773" t="s">
        <v>15</v>
      </c>
    </row>
    <row r="2774" spans="1:12" x14ac:dyDescent="0.3">
      <c r="A2774">
        <v>42929</v>
      </c>
      <c r="B2774" t="s">
        <v>13</v>
      </c>
      <c r="C2774">
        <v>58</v>
      </c>
      <c r="D2774" t="s">
        <v>15</v>
      </c>
      <c r="E2774" t="s">
        <v>15</v>
      </c>
      <c r="F2774" t="s">
        <v>16</v>
      </c>
      <c r="G2774" t="s">
        <v>18</v>
      </c>
      <c r="H2774" t="s">
        <v>23</v>
      </c>
      <c r="I2774">
        <v>59.68</v>
      </c>
      <c r="J2774">
        <v>29.2</v>
      </c>
      <c r="K2774" t="s">
        <v>24</v>
      </c>
      <c r="L2774" t="s">
        <v>15</v>
      </c>
    </row>
    <row r="2775" spans="1:12" x14ac:dyDescent="0.3">
      <c r="A2775">
        <v>72776</v>
      </c>
      <c r="B2775" t="s">
        <v>12</v>
      </c>
      <c r="C2775">
        <v>26</v>
      </c>
      <c r="D2775" t="s">
        <v>15</v>
      </c>
      <c r="E2775" t="s">
        <v>15</v>
      </c>
      <c r="F2775" t="s">
        <v>16</v>
      </c>
      <c r="G2775" t="s">
        <v>19</v>
      </c>
      <c r="H2775" t="s">
        <v>22</v>
      </c>
      <c r="I2775">
        <v>94.24</v>
      </c>
      <c r="J2775">
        <v>29.2</v>
      </c>
      <c r="K2775" t="s">
        <v>24</v>
      </c>
      <c r="L2775" t="s">
        <v>15</v>
      </c>
    </row>
    <row r="2776" spans="1:12" x14ac:dyDescent="0.3">
      <c r="A2776">
        <v>21438</v>
      </c>
      <c r="B2776" t="s">
        <v>13</v>
      </c>
      <c r="C2776">
        <v>50</v>
      </c>
      <c r="D2776" t="s">
        <v>15</v>
      </c>
      <c r="E2776" t="s">
        <v>15</v>
      </c>
      <c r="F2776" t="s">
        <v>16</v>
      </c>
      <c r="G2776" t="s">
        <v>17</v>
      </c>
      <c r="H2776" t="s">
        <v>23</v>
      </c>
      <c r="I2776">
        <v>82.1</v>
      </c>
      <c r="J2776">
        <v>26.4</v>
      </c>
      <c r="K2776" t="s">
        <v>27</v>
      </c>
      <c r="L2776" t="s">
        <v>15</v>
      </c>
    </row>
    <row r="2777" spans="1:12" x14ac:dyDescent="0.3">
      <c r="A2777">
        <v>51084</v>
      </c>
      <c r="B2777" t="s">
        <v>13</v>
      </c>
      <c r="C2777">
        <v>80</v>
      </c>
      <c r="D2777" t="s">
        <v>15</v>
      </c>
      <c r="E2777" t="s">
        <v>15</v>
      </c>
      <c r="F2777" t="s">
        <v>16</v>
      </c>
      <c r="G2777" t="s">
        <v>17</v>
      </c>
      <c r="H2777" t="s">
        <v>22</v>
      </c>
      <c r="I2777">
        <v>62.62</v>
      </c>
      <c r="J2777">
        <v>23.1</v>
      </c>
      <c r="K2777" t="s">
        <v>24</v>
      </c>
      <c r="L2777" t="s">
        <v>15</v>
      </c>
    </row>
    <row r="2778" spans="1:12" x14ac:dyDescent="0.3">
      <c r="A2778">
        <v>13440</v>
      </c>
      <c r="B2778" t="s">
        <v>12</v>
      </c>
      <c r="C2778">
        <v>2</v>
      </c>
      <c r="D2778" t="s">
        <v>15</v>
      </c>
      <c r="E2778" t="s">
        <v>15</v>
      </c>
      <c r="F2778" t="s">
        <v>15</v>
      </c>
      <c r="G2778" t="s">
        <v>20</v>
      </c>
      <c r="H2778" t="s">
        <v>22</v>
      </c>
      <c r="I2778">
        <v>107.83</v>
      </c>
      <c r="J2778">
        <v>21.2</v>
      </c>
      <c r="K2778" t="s">
        <v>27</v>
      </c>
      <c r="L2778" t="s">
        <v>15</v>
      </c>
    </row>
    <row r="2779" spans="1:12" x14ac:dyDescent="0.3">
      <c r="A2779">
        <v>15533</v>
      </c>
      <c r="B2779" t="s">
        <v>12</v>
      </c>
      <c r="C2779">
        <v>46</v>
      </c>
      <c r="D2779" t="s">
        <v>15</v>
      </c>
      <c r="E2779" t="s">
        <v>15</v>
      </c>
      <c r="F2779" t="s">
        <v>15</v>
      </c>
      <c r="G2779" t="s">
        <v>17</v>
      </c>
      <c r="H2779" t="s">
        <v>22</v>
      </c>
      <c r="I2779">
        <v>107.59</v>
      </c>
      <c r="J2779">
        <v>26.2</v>
      </c>
      <c r="K2779" t="s">
        <v>24</v>
      </c>
      <c r="L2779" t="s">
        <v>15</v>
      </c>
    </row>
    <row r="2780" spans="1:12" x14ac:dyDescent="0.3">
      <c r="A2780">
        <v>50903</v>
      </c>
      <c r="B2780" t="s">
        <v>13</v>
      </c>
      <c r="C2780">
        <v>29</v>
      </c>
      <c r="D2780" t="s">
        <v>15</v>
      </c>
      <c r="E2780" t="s">
        <v>15</v>
      </c>
      <c r="F2780" t="s">
        <v>16</v>
      </c>
      <c r="G2780" t="s">
        <v>17</v>
      </c>
      <c r="H2780" t="s">
        <v>22</v>
      </c>
      <c r="I2780">
        <v>116.98</v>
      </c>
      <c r="J2780">
        <v>23.4</v>
      </c>
      <c r="K2780" t="s">
        <v>25</v>
      </c>
      <c r="L2780" t="s">
        <v>15</v>
      </c>
    </row>
    <row r="2781" spans="1:12" x14ac:dyDescent="0.3">
      <c r="A2781">
        <v>35276</v>
      </c>
      <c r="B2781" t="s">
        <v>13</v>
      </c>
      <c r="C2781">
        <v>6</v>
      </c>
      <c r="D2781" t="s">
        <v>15</v>
      </c>
      <c r="E2781" t="s">
        <v>15</v>
      </c>
      <c r="F2781" t="s">
        <v>15</v>
      </c>
      <c r="G2781" t="s">
        <v>20</v>
      </c>
      <c r="H2781" t="s">
        <v>23</v>
      </c>
      <c r="I2781">
        <v>84.1</v>
      </c>
      <c r="J2781">
        <v>19.8</v>
      </c>
      <c r="K2781" t="s">
        <v>27</v>
      </c>
      <c r="L2781" t="s">
        <v>15</v>
      </c>
    </row>
    <row r="2782" spans="1:12" x14ac:dyDescent="0.3">
      <c r="A2782">
        <v>44472</v>
      </c>
      <c r="B2782" t="s">
        <v>12</v>
      </c>
      <c r="C2782">
        <v>32</v>
      </c>
      <c r="D2782" t="s">
        <v>15</v>
      </c>
      <c r="E2782" t="s">
        <v>15</v>
      </c>
      <c r="F2782" t="s">
        <v>16</v>
      </c>
      <c r="G2782" t="s">
        <v>18</v>
      </c>
      <c r="H2782" t="s">
        <v>22</v>
      </c>
      <c r="I2782">
        <v>160.63999999999999</v>
      </c>
      <c r="J2782">
        <v>20.399999999999999</v>
      </c>
      <c r="K2782" t="s">
        <v>26</v>
      </c>
      <c r="L2782" t="s">
        <v>15</v>
      </c>
    </row>
    <row r="2783" spans="1:12" x14ac:dyDescent="0.3">
      <c r="A2783">
        <v>23587</v>
      </c>
      <c r="B2783" t="s">
        <v>13</v>
      </c>
      <c r="C2783">
        <v>16</v>
      </c>
      <c r="D2783" t="s">
        <v>15</v>
      </c>
      <c r="E2783" t="s">
        <v>15</v>
      </c>
      <c r="F2783" t="s">
        <v>15</v>
      </c>
      <c r="G2783" t="s">
        <v>21</v>
      </c>
      <c r="H2783" t="s">
        <v>22</v>
      </c>
      <c r="I2783">
        <v>84.4</v>
      </c>
      <c r="J2783">
        <v>25.9</v>
      </c>
      <c r="K2783" t="s">
        <v>25</v>
      </c>
      <c r="L2783" t="s">
        <v>15</v>
      </c>
    </row>
    <row r="2784" spans="1:12" x14ac:dyDescent="0.3">
      <c r="A2784">
        <v>66794</v>
      </c>
      <c r="B2784" t="s">
        <v>13</v>
      </c>
      <c r="C2784">
        <v>44</v>
      </c>
      <c r="D2784" t="s">
        <v>15</v>
      </c>
      <c r="E2784" t="s">
        <v>15</v>
      </c>
      <c r="F2784" t="s">
        <v>16</v>
      </c>
      <c r="G2784" t="s">
        <v>19</v>
      </c>
      <c r="H2784" t="s">
        <v>23</v>
      </c>
      <c r="I2784">
        <v>81.13</v>
      </c>
      <c r="J2784">
        <v>34.1</v>
      </c>
      <c r="K2784" t="s">
        <v>25</v>
      </c>
      <c r="L2784" t="s">
        <v>15</v>
      </c>
    </row>
    <row r="2785" spans="1:12" x14ac:dyDescent="0.3">
      <c r="A2785">
        <v>35854</v>
      </c>
      <c r="B2785" t="s">
        <v>13</v>
      </c>
      <c r="C2785">
        <v>23</v>
      </c>
      <c r="D2785" t="s">
        <v>15</v>
      </c>
      <c r="E2785" t="s">
        <v>15</v>
      </c>
      <c r="F2785" t="s">
        <v>15</v>
      </c>
      <c r="G2785" t="s">
        <v>17</v>
      </c>
      <c r="H2785" t="s">
        <v>22</v>
      </c>
      <c r="I2785">
        <v>88.19</v>
      </c>
      <c r="J2785">
        <v>18.3</v>
      </c>
      <c r="K2785" t="s">
        <v>25</v>
      </c>
      <c r="L2785" t="s">
        <v>15</v>
      </c>
    </row>
    <row r="2786" spans="1:12" x14ac:dyDescent="0.3">
      <c r="A2786">
        <v>60907</v>
      </c>
      <c r="B2786" t="s">
        <v>12</v>
      </c>
      <c r="C2786">
        <v>48</v>
      </c>
      <c r="D2786" t="s">
        <v>15</v>
      </c>
      <c r="E2786" t="s">
        <v>15</v>
      </c>
      <c r="F2786" t="s">
        <v>16</v>
      </c>
      <c r="G2786" t="s">
        <v>17</v>
      </c>
      <c r="H2786" t="s">
        <v>23</v>
      </c>
      <c r="I2786">
        <v>127.13</v>
      </c>
      <c r="J2786">
        <v>35</v>
      </c>
      <c r="K2786" t="s">
        <v>27</v>
      </c>
      <c r="L2786" t="s">
        <v>15</v>
      </c>
    </row>
    <row r="2787" spans="1:12" x14ac:dyDescent="0.3">
      <c r="A2787">
        <v>12449</v>
      </c>
      <c r="B2787" t="s">
        <v>13</v>
      </c>
      <c r="C2787">
        <v>34</v>
      </c>
      <c r="D2787" t="s">
        <v>15</v>
      </c>
      <c r="E2787" t="s">
        <v>15</v>
      </c>
      <c r="F2787" t="s">
        <v>16</v>
      </c>
      <c r="G2787" t="s">
        <v>17</v>
      </c>
      <c r="H2787" t="s">
        <v>23</v>
      </c>
      <c r="I2787">
        <v>119.61</v>
      </c>
      <c r="J2787">
        <v>26.4</v>
      </c>
      <c r="K2787" t="s">
        <v>27</v>
      </c>
      <c r="L2787" t="s">
        <v>15</v>
      </c>
    </row>
    <row r="2788" spans="1:12" x14ac:dyDescent="0.3">
      <c r="A2788">
        <v>54371</v>
      </c>
      <c r="B2788" t="s">
        <v>12</v>
      </c>
      <c r="C2788">
        <v>78</v>
      </c>
      <c r="D2788" t="s">
        <v>15</v>
      </c>
      <c r="E2788" t="s">
        <v>15</v>
      </c>
      <c r="F2788" t="s">
        <v>16</v>
      </c>
      <c r="G2788" t="s">
        <v>19</v>
      </c>
      <c r="H2788" t="s">
        <v>22</v>
      </c>
      <c r="I2788">
        <v>143.47</v>
      </c>
      <c r="J2788">
        <v>27.6</v>
      </c>
      <c r="K2788" t="s">
        <v>24</v>
      </c>
      <c r="L2788" t="s">
        <v>15</v>
      </c>
    </row>
    <row r="2789" spans="1:12" x14ac:dyDescent="0.3">
      <c r="A2789">
        <v>8106</v>
      </c>
      <c r="B2789" t="s">
        <v>13</v>
      </c>
      <c r="C2789">
        <v>42</v>
      </c>
      <c r="D2789" t="s">
        <v>15</v>
      </c>
      <c r="E2789" t="s">
        <v>15</v>
      </c>
      <c r="F2789" t="s">
        <v>16</v>
      </c>
      <c r="G2789" t="s">
        <v>17</v>
      </c>
      <c r="H2789" t="s">
        <v>23</v>
      </c>
      <c r="I2789">
        <v>84.6</v>
      </c>
      <c r="J2789">
        <v>27</v>
      </c>
      <c r="K2789" t="s">
        <v>26</v>
      </c>
      <c r="L2789" t="s">
        <v>15</v>
      </c>
    </row>
    <row r="2790" spans="1:12" x14ac:dyDescent="0.3">
      <c r="A2790">
        <v>2013</v>
      </c>
      <c r="B2790" t="s">
        <v>12</v>
      </c>
      <c r="C2790">
        <v>14</v>
      </c>
      <c r="D2790" t="s">
        <v>15</v>
      </c>
      <c r="E2790" t="s">
        <v>15</v>
      </c>
      <c r="F2790" t="s">
        <v>15</v>
      </c>
      <c r="G2790" t="s">
        <v>17</v>
      </c>
      <c r="H2790" t="s">
        <v>23</v>
      </c>
      <c r="I2790">
        <v>110.72</v>
      </c>
      <c r="K2790" t="s">
        <v>25</v>
      </c>
      <c r="L2790" t="s">
        <v>15</v>
      </c>
    </row>
    <row r="2791" spans="1:12" x14ac:dyDescent="0.3">
      <c r="A2791">
        <v>61785</v>
      </c>
      <c r="B2791" t="s">
        <v>13</v>
      </c>
      <c r="C2791">
        <v>40</v>
      </c>
      <c r="D2791" t="s">
        <v>15</v>
      </c>
      <c r="E2791" t="s">
        <v>15</v>
      </c>
      <c r="F2791" t="s">
        <v>15</v>
      </c>
      <c r="G2791" t="s">
        <v>17</v>
      </c>
      <c r="H2791" t="s">
        <v>23</v>
      </c>
      <c r="I2791">
        <v>158.93</v>
      </c>
      <c r="J2791">
        <v>31.3</v>
      </c>
      <c r="K2791" t="s">
        <v>26</v>
      </c>
      <c r="L2791" t="s">
        <v>15</v>
      </c>
    </row>
    <row r="2792" spans="1:12" x14ac:dyDescent="0.3">
      <c r="A2792">
        <v>2707</v>
      </c>
      <c r="B2792" t="s">
        <v>12</v>
      </c>
      <c r="C2792">
        <v>10</v>
      </c>
      <c r="D2792" t="s">
        <v>15</v>
      </c>
      <c r="E2792" t="s">
        <v>15</v>
      </c>
      <c r="F2792" t="s">
        <v>15</v>
      </c>
      <c r="G2792" t="s">
        <v>20</v>
      </c>
      <c r="H2792" t="s">
        <v>23</v>
      </c>
      <c r="I2792">
        <v>68.94</v>
      </c>
      <c r="J2792">
        <v>18</v>
      </c>
      <c r="K2792" t="s">
        <v>27</v>
      </c>
      <c r="L2792" t="s">
        <v>15</v>
      </c>
    </row>
    <row r="2793" spans="1:12" x14ac:dyDescent="0.3">
      <c r="A2793">
        <v>49120</v>
      </c>
      <c r="B2793" t="s">
        <v>13</v>
      </c>
      <c r="C2793">
        <v>39</v>
      </c>
      <c r="D2793" t="s">
        <v>15</v>
      </c>
      <c r="E2793" t="s">
        <v>15</v>
      </c>
      <c r="F2793" t="s">
        <v>16</v>
      </c>
      <c r="G2793" t="s">
        <v>19</v>
      </c>
      <c r="H2793" t="s">
        <v>23</v>
      </c>
      <c r="I2793">
        <v>69.38</v>
      </c>
      <c r="J2793">
        <v>22.1</v>
      </c>
      <c r="K2793" t="s">
        <v>27</v>
      </c>
      <c r="L2793" t="s">
        <v>15</v>
      </c>
    </row>
    <row r="2794" spans="1:12" x14ac:dyDescent="0.3">
      <c r="A2794">
        <v>30752</v>
      </c>
      <c r="B2794" t="s">
        <v>13</v>
      </c>
      <c r="C2794">
        <v>42</v>
      </c>
      <c r="D2794" t="s">
        <v>15</v>
      </c>
      <c r="E2794" t="s">
        <v>15</v>
      </c>
      <c r="F2794" t="s">
        <v>15</v>
      </c>
      <c r="G2794" t="s">
        <v>18</v>
      </c>
      <c r="H2794" t="s">
        <v>22</v>
      </c>
      <c r="I2794">
        <v>72</v>
      </c>
      <c r="J2794">
        <v>34.4</v>
      </c>
      <c r="K2794" t="s">
        <v>25</v>
      </c>
      <c r="L2794" t="s">
        <v>15</v>
      </c>
    </row>
    <row r="2795" spans="1:12" x14ac:dyDescent="0.3">
      <c r="A2795">
        <v>64972</v>
      </c>
      <c r="B2795" t="s">
        <v>12</v>
      </c>
      <c r="C2795">
        <v>47</v>
      </c>
      <c r="D2795" t="s">
        <v>15</v>
      </c>
      <c r="E2795" t="s">
        <v>15</v>
      </c>
      <c r="F2795" t="s">
        <v>16</v>
      </c>
      <c r="G2795" t="s">
        <v>17</v>
      </c>
      <c r="H2795" t="s">
        <v>23</v>
      </c>
      <c r="I2795">
        <v>57.76</v>
      </c>
      <c r="J2795">
        <v>33.200000000000003</v>
      </c>
      <c r="K2795" t="s">
        <v>26</v>
      </c>
      <c r="L2795" t="s">
        <v>15</v>
      </c>
    </row>
    <row r="2796" spans="1:12" x14ac:dyDescent="0.3">
      <c r="A2796">
        <v>49537</v>
      </c>
      <c r="B2796" t="s">
        <v>12</v>
      </c>
      <c r="C2796">
        <v>14</v>
      </c>
      <c r="D2796" t="s">
        <v>15</v>
      </c>
      <c r="E2796" t="s">
        <v>15</v>
      </c>
      <c r="F2796" t="s">
        <v>15</v>
      </c>
      <c r="G2796" t="s">
        <v>17</v>
      </c>
      <c r="H2796" t="s">
        <v>23</v>
      </c>
      <c r="I2796">
        <v>108.65</v>
      </c>
      <c r="J2796">
        <v>23.1</v>
      </c>
      <c r="K2796" t="s">
        <v>25</v>
      </c>
      <c r="L2796" t="s">
        <v>15</v>
      </c>
    </row>
    <row r="2797" spans="1:12" x14ac:dyDescent="0.3">
      <c r="A2797">
        <v>315</v>
      </c>
      <c r="B2797" t="s">
        <v>12</v>
      </c>
      <c r="C2797">
        <v>45</v>
      </c>
      <c r="D2797" t="s">
        <v>15</v>
      </c>
      <c r="E2797" t="s">
        <v>15</v>
      </c>
      <c r="F2797" t="s">
        <v>16</v>
      </c>
      <c r="G2797" t="s">
        <v>17</v>
      </c>
      <c r="H2797" t="s">
        <v>23</v>
      </c>
      <c r="I2797">
        <v>65.42</v>
      </c>
      <c r="J2797">
        <v>39.700000000000003</v>
      </c>
      <c r="K2797" t="s">
        <v>25</v>
      </c>
      <c r="L2797" t="s">
        <v>15</v>
      </c>
    </row>
    <row r="2798" spans="1:12" x14ac:dyDescent="0.3">
      <c r="A2798">
        <v>62814</v>
      </c>
      <c r="B2798" t="s">
        <v>12</v>
      </c>
      <c r="C2798">
        <v>58</v>
      </c>
      <c r="D2798" t="s">
        <v>15</v>
      </c>
      <c r="E2798" t="s">
        <v>15</v>
      </c>
      <c r="F2798" t="s">
        <v>15</v>
      </c>
      <c r="G2798" t="s">
        <v>17</v>
      </c>
      <c r="H2798" t="s">
        <v>23</v>
      </c>
      <c r="I2798">
        <v>78.930000000000007</v>
      </c>
      <c r="J2798">
        <v>40.700000000000003</v>
      </c>
      <c r="K2798" t="s">
        <v>24</v>
      </c>
      <c r="L2798" t="s">
        <v>15</v>
      </c>
    </row>
    <row r="2799" spans="1:12" x14ac:dyDescent="0.3">
      <c r="A2799">
        <v>7665</v>
      </c>
      <c r="B2799" t="s">
        <v>13</v>
      </c>
      <c r="C2799">
        <v>73</v>
      </c>
      <c r="D2799" t="s">
        <v>15</v>
      </c>
      <c r="E2799" t="s">
        <v>15</v>
      </c>
      <c r="F2799" t="s">
        <v>16</v>
      </c>
      <c r="G2799" t="s">
        <v>17</v>
      </c>
      <c r="H2799" t="s">
        <v>23</v>
      </c>
      <c r="I2799">
        <v>98.34</v>
      </c>
      <c r="J2799">
        <v>30.9</v>
      </c>
      <c r="K2799" t="s">
        <v>27</v>
      </c>
      <c r="L2799" t="s">
        <v>15</v>
      </c>
    </row>
    <row r="2800" spans="1:12" x14ac:dyDescent="0.3">
      <c r="A2800">
        <v>28108</v>
      </c>
      <c r="B2800" t="s">
        <v>13</v>
      </c>
      <c r="C2800">
        <v>62</v>
      </c>
      <c r="D2800" t="s">
        <v>15</v>
      </c>
      <c r="E2800" t="s">
        <v>15</v>
      </c>
      <c r="F2800" t="s">
        <v>16</v>
      </c>
      <c r="G2800" t="s">
        <v>17</v>
      </c>
      <c r="H2800" t="s">
        <v>23</v>
      </c>
      <c r="I2800">
        <v>82.57</v>
      </c>
      <c r="J2800">
        <v>27.5</v>
      </c>
      <c r="K2800" t="s">
        <v>27</v>
      </c>
      <c r="L2800" t="s">
        <v>15</v>
      </c>
    </row>
    <row r="2801" spans="1:12" x14ac:dyDescent="0.3">
      <c r="A2801">
        <v>50536</v>
      </c>
      <c r="B2801" t="s">
        <v>13</v>
      </c>
      <c r="C2801">
        <v>62</v>
      </c>
      <c r="D2801" t="s">
        <v>15</v>
      </c>
      <c r="E2801" t="s">
        <v>16</v>
      </c>
      <c r="F2801" t="s">
        <v>16</v>
      </c>
      <c r="G2801" t="s">
        <v>19</v>
      </c>
      <c r="H2801" t="s">
        <v>22</v>
      </c>
      <c r="I2801">
        <v>124.37</v>
      </c>
      <c r="J2801">
        <v>28.3</v>
      </c>
      <c r="K2801" t="s">
        <v>25</v>
      </c>
      <c r="L2801" t="s">
        <v>15</v>
      </c>
    </row>
    <row r="2802" spans="1:12" x14ac:dyDescent="0.3">
      <c r="A2802">
        <v>8655</v>
      </c>
      <c r="B2802" t="s">
        <v>13</v>
      </c>
      <c r="C2802">
        <v>51</v>
      </c>
      <c r="D2802" t="s">
        <v>15</v>
      </c>
      <c r="E2802" t="s">
        <v>16</v>
      </c>
      <c r="F2802" t="s">
        <v>16</v>
      </c>
      <c r="G2802" t="s">
        <v>18</v>
      </c>
      <c r="H2802" t="s">
        <v>22</v>
      </c>
      <c r="I2802">
        <v>100.96</v>
      </c>
      <c r="J2802">
        <v>33.4</v>
      </c>
      <c r="K2802" t="s">
        <v>25</v>
      </c>
      <c r="L2802" t="s">
        <v>15</v>
      </c>
    </row>
    <row r="2803" spans="1:12" x14ac:dyDescent="0.3">
      <c r="A2803">
        <v>760</v>
      </c>
      <c r="B2803" t="s">
        <v>12</v>
      </c>
      <c r="C2803">
        <v>0.8</v>
      </c>
      <c r="D2803" t="s">
        <v>15</v>
      </c>
      <c r="E2803" t="s">
        <v>15</v>
      </c>
      <c r="F2803" t="s">
        <v>15</v>
      </c>
      <c r="G2803" t="s">
        <v>20</v>
      </c>
      <c r="H2803" t="s">
        <v>22</v>
      </c>
      <c r="I2803">
        <v>75.22</v>
      </c>
      <c r="J2803">
        <v>33.1</v>
      </c>
      <c r="K2803" t="s">
        <v>27</v>
      </c>
      <c r="L2803" t="s">
        <v>15</v>
      </c>
    </row>
    <row r="2804" spans="1:12" x14ac:dyDescent="0.3">
      <c r="A2804">
        <v>47501</v>
      </c>
      <c r="B2804" t="s">
        <v>13</v>
      </c>
      <c r="C2804">
        <v>57</v>
      </c>
      <c r="D2804" t="s">
        <v>15</v>
      </c>
      <c r="E2804" t="s">
        <v>15</v>
      </c>
      <c r="F2804" t="s">
        <v>16</v>
      </c>
      <c r="G2804" t="s">
        <v>17</v>
      </c>
      <c r="H2804" t="s">
        <v>22</v>
      </c>
      <c r="I2804">
        <v>59.85</v>
      </c>
      <c r="J2804">
        <v>41.5</v>
      </c>
      <c r="K2804" t="s">
        <v>25</v>
      </c>
      <c r="L2804" t="s">
        <v>15</v>
      </c>
    </row>
    <row r="2805" spans="1:12" x14ac:dyDescent="0.3">
      <c r="A2805">
        <v>16863</v>
      </c>
      <c r="B2805" t="s">
        <v>13</v>
      </c>
      <c r="C2805">
        <v>8</v>
      </c>
      <c r="D2805" t="s">
        <v>15</v>
      </c>
      <c r="E2805" t="s">
        <v>15</v>
      </c>
      <c r="F2805" t="s">
        <v>15</v>
      </c>
      <c r="G2805" t="s">
        <v>20</v>
      </c>
      <c r="H2805" t="s">
        <v>23</v>
      </c>
      <c r="I2805">
        <v>104.75</v>
      </c>
      <c r="J2805">
        <v>17.100000000000001</v>
      </c>
      <c r="K2805" t="s">
        <v>27</v>
      </c>
      <c r="L2805" t="s">
        <v>15</v>
      </c>
    </row>
    <row r="2806" spans="1:12" x14ac:dyDescent="0.3">
      <c r="A2806">
        <v>51342</v>
      </c>
      <c r="B2806" t="s">
        <v>13</v>
      </c>
      <c r="C2806">
        <v>69</v>
      </c>
      <c r="D2806" t="s">
        <v>15</v>
      </c>
      <c r="E2806" t="s">
        <v>15</v>
      </c>
      <c r="F2806" t="s">
        <v>16</v>
      </c>
      <c r="G2806" t="s">
        <v>19</v>
      </c>
      <c r="H2806" t="s">
        <v>23</v>
      </c>
      <c r="I2806">
        <v>70.98</v>
      </c>
      <c r="J2806">
        <v>30</v>
      </c>
      <c r="K2806" t="s">
        <v>27</v>
      </c>
      <c r="L2806" t="s">
        <v>15</v>
      </c>
    </row>
    <row r="2807" spans="1:12" x14ac:dyDescent="0.3">
      <c r="A2807">
        <v>35759</v>
      </c>
      <c r="B2807" t="s">
        <v>13</v>
      </c>
      <c r="C2807">
        <v>16</v>
      </c>
      <c r="D2807" t="s">
        <v>15</v>
      </c>
      <c r="E2807" t="s">
        <v>15</v>
      </c>
      <c r="F2807" t="s">
        <v>15</v>
      </c>
      <c r="G2807" t="s">
        <v>17</v>
      </c>
      <c r="H2807" t="s">
        <v>23</v>
      </c>
      <c r="I2807">
        <v>92.77</v>
      </c>
      <c r="J2807">
        <v>24.9</v>
      </c>
      <c r="K2807" t="s">
        <v>27</v>
      </c>
      <c r="L2807" t="s">
        <v>15</v>
      </c>
    </row>
    <row r="2808" spans="1:12" x14ac:dyDescent="0.3">
      <c r="A2808">
        <v>17270</v>
      </c>
      <c r="B2808" t="s">
        <v>13</v>
      </c>
      <c r="C2808">
        <v>56</v>
      </c>
      <c r="D2808" t="s">
        <v>15</v>
      </c>
      <c r="E2808" t="s">
        <v>15</v>
      </c>
      <c r="F2808" t="s">
        <v>16</v>
      </c>
      <c r="G2808" t="s">
        <v>17</v>
      </c>
      <c r="H2808" t="s">
        <v>22</v>
      </c>
      <c r="I2808">
        <v>82.12</v>
      </c>
      <c r="J2808">
        <v>32.5</v>
      </c>
      <c r="K2808" t="s">
        <v>26</v>
      </c>
      <c r="L2808" t="s">
        <v>15</v>
      </c>
    </row>
    <row r="2809" spans="1:12" x14ac:dyDescent="0.3">
      <c r="A2809">
        <v>53862</v>
      </c>
      <c r="B2809" t="s">
        <v>13</v>
      </c>
      <c r="C2809">
        <v>41</v>
      </c>
      <c r="D2809" t="s">
        <v>15</v>
      </c>
      <c r="E2809" t="s">
        <v>15</v>
      </c>
      <c r="F2809" t="s">
        <v>16</v>
      </c>
      <c r="G2809" t="s">
        <v>19</v>
      </c>
      <c r="H2809" t="s">
        <v>23</v>
      </c>
      <c r="I2809">
        <v>106.35</v>
      </c>
      <c r="J2809">
        <v>26.1</v>
      </c>
      <c r="K2809" t="s">
        <v>25</v>
      </c>
      <c r="L2809" t="s">
        <v>15</v>
      </c>
    </row>
    <row r="2810" spans="1:12" x14ac:dyDescent="0.3">
      <c r="A2810">
        <v>40951</v>
      </c>
      <c r="B2810" t="s">
        <v>13</v>
      </c>
      <c r="C2810">
        <v>1.24</v>
      </c>
      <c r="D2810" t="s">
        <v>15</v>
      </c>
      <c r="E2810" t="s">
        <v>15</v>
      </c>
      <c r="F2810" t="s">
        <v>15</v>
      </c>
      <c r="G2810" t="s">
        <v>20</v>
      </c>
      <c r="H2810" t="s">
        <v>23</v>
      </c>
      <c r="I2810">
        <v>77.33</v>
      </c>
      <c r="J2810">
        <v>19.2</v>
      </c>
      <c r="K2810" t="s">
        <v>27</v>
      </c>
      <c r="L2810" t="s">
        <v>15</v>
      </c>
    </row>
    <row r="2811" spans="1:12" x14ac:dyDescent="0.3">
      <c r="A2811">
        <v>56976</v>
      </c>
      <c r="B2811" t="s">
        <v>13</v>
      </c>
      <c r="C2811">
        <v>42</v>
      </c>
      <c r="D2811" t="s">
        <v>15</v>
      </c>
      <c r="E2811" t="s">
        <v>15</v>
      </c>
      <c r="F2811" t="s">
        <v>16</v>
      </c>
      <c r="G2811" t="s">
        <v>17</v>
      </c>
      <c r="H2811" t="s">
        <v>22</v>
      </c>
      <c r="I2811">
        <v>96.01</v>
      </c>
      <c r="J2811">
        <v>38.700000000000003</v>
      </c>
      <c r="K2811" t="s">
        <v>27</v>
      </c>
      <c r="L2811" t="s">
        <v>15</v>
      </c>
    </row>
    <row r="2812" spans="1:12" x14ac:dyDescent="0.3">
      <c r="A2812">
        <v>37299</v>
      </c>
      <c r="B2812" t="s">
        <v>12</v>
      </c>
      <c r="C2812">
        <v>57</v>
      </c>
      <c r="D2812" t="s">
        <v>15</v>
      </c>
      <c r="E2812" t="s">
        <v>15</v>
      </c>
      <c r="F2812" t="s">
        <v>16</v>
      </c>
      <c r="G2812" t="s">
        <v>17</v>
      </c>
      <c r="H2812" t="s">
        <v>22</v>
      </c>
      <c r="I2812">
        <v>107.49</v>
      </c>
      <c r="J2812">
        <v>29.5</v>
      </c>
      <c r="K2812" t="s">
        <v>25</v>
      </c>
      <c r="L2812" t="s">
        <v>15</v>
      </c>
    </row>
    <row r="2813" spans="1:12" x14ac:dyDescent="0.3">
      <c r="A2813">
        <v>33247</v>
      </c>
      <c r="B2813" t="s">
        <v>12</v>
      </c>
      <c r="C2813">
        <v>20</v>
      </c>
      <c r="D2813" t="s">
        <v>15</v>
      </c>
      <c r="E2813" t="s">
        <v>15</v>
      </c>
      <c r="F2813" t="s">
        <v>15</v>
      </c>
      <c r="G2813" t="s">
        <v>17</v>
      </c>
      <c r="H2813" t="s">
        <v>23</v>
      </c>
      <c r="I2813">
        <v>88.47</v>
      </c>
      <c r="J2813">
        <v>28.1</v>
      </c>
      <c r="K2813" t="s">
        <v>26</v>
      </c>
      <c r="L2813" t="s">
        <v>15</v>
      </c>
    </row>
    <row r="2814" spans="1:12" x14ac:dyDescent="0.3">
      <c r="A2814">
        <v>32560</v>
      </c>
      <c r="B2814" t="s">
        <v>13</v>
      </c>
      <c r="C2814">
        <v>8</v>
      </c>
      <c r="D2814" t="s">
        <v>15</v>
      </c>
      <c r="E2814" t="s">
        <v>15</v>
      </c>
      <c r="F2814" t="s">
        <v>15</v>
      </c>
      <c r="G2814" t="s">
        <v>20</v>
      </c>
      <c r="H2814" t="s">
        <v>23</v>
      </c>
      <c r="I2814">
        <v>87.92</v>
      </c>
      <c r="J2814">
        <v>14.1</v>
      </c>
      <c r="K2814" t="s">
        <v>27</v>
      </c>
      <c r="L2814" t="s">
        <v>15</v>
      </c>
    </row>
    <row r="2815" spans="1:12" x14ac:dyDescent="0.3">
      <c r="A2815">
        <v>10973</v>
      </c>
      <c r="B2815" t="s">
        <v>12</v>
      </c>
      <c r="C2815">
        <v>43</v>
      </c>
      <c r="D2815" t="s">
        <v>15</v>
      </c>
      <c r="E2815" t="s">
        <v>15</v>
      </c>
      <c r="F2815" t="s">
        <v>16</v>
      </c>
      <c r="G2815" t="s">
        <v>17</v>
      </c>
      <c r="H2815" t="s">
        <v>22</v>
      </c>
      <c r="I2815">
        <v>91.13</v>
      </c>
      <c r="J2815">
        <v>33.9</v>
      </c>
      <c r="K2815" t="s">
        <v>25</v>
      </c>
      <c r="L2815" t="s">
        <v>15</v>
      </c>
    </row>
    <row r="2816" spans="1:12" x14ac:dyDescent="0.3">
      <c r="A2816">
        <v>3816</v>
      </c>
      <c r="B2816" t="s">
        <v>12</v>
      </c>
      <c r="C2816">
        <v>62</v>
      </c>
      <c r="D2816" t="s">
        <v>15</v>
      </c>
      <c r="E2816" t="s">
        <v>15</v>
      </c>
      <c r="F2816" t="s">
        <v>16</v>
      </c>
      <c r="G2816" t="s">
        <v>17</v>
      </c>
      <c r="H2816" t="s">
        <v>23</v>
      </c>
      <c r="I2816">
        <v>80.72</v>
      </c>
      <c r="J2816">
        <v>26</v>
      </c>
      <c r="K2816" t="s">
        <v>24</v>
      </c>
      <c r="L2816" t="s">
        <v>15</v>
      </c>
    </row>
    <row r="2817" spans="1:12" x14ac:dyDescent="0.3">
      <c r="A2817">
        <v>50215</v>
      </c>
      <c r="B2817" t="s">
        <v>12</v>
      </c>
      <c r="C2817">
        <v>42</v>
      </c>
      <c r="D2817" t="s">
        <v>15</v>
      </c>
      <c r="E2817" t="s">
        <v>15</v>
      </c>
      <c r="F2817" t="s">
        <v>15</v>
      </c>
      <c r="G2817" t="s">
        <v>19</v>
      </c>
      <c r="H2817" t="s">
        <v>23</v>
      </c>
      <c r="I2817">
        <v>59.83</v>
      </c>
      <c r="J2817">
        <v>52.8</v>
      </c>
      <c r="K2817" t="s">
        <v>25</v>
      </c>
      <c r="L2817" t="s">
        <v>15</v>
      </c>
    </row>
    <row r="2818" spans="1:12" x14ac:dyDescent="0.3">
      <c r="A2818">
        <v>10351</v>
      </c>
      <c r="B2818" t="s">
        <v>12</v>
      </c>
      <c r="C2818">
        <v>50</v>
      </c>
      <c r="D2818" t="s">
        <v>15</v>
      </c>
      <c r="E2818" t="s">
        <v>15</v>
      </c>
      <c r="F2818" t="s">
        <v>16</v>
      </c>
      <c r="G2818" t="s">
        <v>17</v>
      </c>
      <c r="H2818" t="s">
        <v>22</v>
      </c>
      <c r="I2818">
        <v>67.02</v>
      </c>
      <c r="K2818" t="s">
        <v>24</v>
      </c>
      <c r="L2818" t="s">
        <v>15</v>
      </c>
    </row>
    <row r="2819" spans="1:12" x14ac:dyDescent="0.3">
      <c r="A2819">
        <v>69665</v>
      </c>
      <c r="B2819" t="s">
        <v>13</v>
      </c>
      <c r="C2819">
        <v>63</v>
      </c>
      <c r="D2819" t="s">
        <v>15</v>
      </c>
      <c r="E2819" t="s">
        <v>15</v>
      </c>
      <c r="F2819" t="s">
        <v>16</v>
      </c>
      <c r="G2819" t="s">
        <v>17</v>
      </c>
      <c r="H2819" t="s">
        <v>23</v>
      </c>
      <c r="I2819">
        <v>60.22</v>
      </c>
      <c r="J2819">
        <v>29.2</v>
      </c>
      <c r="K2819" t="s">
        <v>25</v>
      </c>
      <c r="L2819" t="s">
        <v>15</v>
      </c>
    </row>
    <row r="2820" spans="1:12" x14ac:dyDescent="0.3">
      <c r="A2820">
        <v>14976</v>
      </c>
      <c r="B2820" t="s">
        <v>12</v>
      </c>
      <c r="C2820">
        <v>80</v>
      </c>
      <c r="D2820" t="s">
        <v>15</v>
      </c>
      <c r="E2820" t="s">
        <v>16</v>
      </c>
      <c r="F2820" t="s">
        <v>16</v>
      </c>
      <c r="G2820" t="s">
        <v>17</v>
      </c>
      <c r="H2820" t="s">
        <v>23</v>
      </c>
      <c r="I2820">
        <v>82.41</v>
      </c>
      <c r="J2820">
        <v>26.3</v>
      </c>
      <c r="K2820" t="s">
        <v>26</v>
      </c>
      <c r="L2820" t="s">
        <v>15</v>
      </c>
    </row>
    <row r="2821" spans="1:12" x14ac:dyDescent="0.3">
      <c r="A2821">
        <v>28183</v>
      </c>
      <c r="B2821" t="s">
        <v>13</v>
      </c>
      <c r="C2821">
        <v>13</v>
      </c>
      <c r="D2821" t="s">
        <v>15</v>
      </c>
      <c r="E2821" t="s">
        <v>15</v>
      </c>
      <c r="F2821" t="s">
        <v>15</v>
      </c>
      <c r="G2821" t="s">
        <v>20</v>
      </c>
      <c r="H2821" t="s">
        <v>22</v>
      </c>
      <c r="I2821">
        <v>75.78</v>
      </c>
      <c r="J2821">
        <v>23.6</v>
      </c>
      <c r="K2821" t="s">
        <v>27</v>
      </c>
      <c r="L2821" t="s">
        <v>15</v>
      </c>
    </row>
    <row r="2822" spans="1:12" x14ac:dyDescent="0.3">
      <c r="A2822">
        <v>33085</v>
      </c>
      <c r="B2822" t="s">
        <v>13</v>
      </c>
      <c r="C2822">
        <v>20</v>
      </c>
      <c r="D2822" t="s">
        <v>15</v>
      </c>
      <c r="E2822" t="s">
        <v>15</v>
      </c>
      <c r="F2822" t="s">
        <v>15</v>
      </c>
      <c r="G2822" t="s">
        <v>17</v>
      </c>
      <c r="H2822" t="s">
        <v>23</v>
      </c>
      <c r="I2822">
        <v>102.42</v>
      </c>
      <c r="J2822">
        <v>18.600000000000001</v>
      </c>
      <c r="K2822" t="s">
        <v>25</v>
      </c>
      <c r="L2822" t="s">
        <v>15</v>
      </c>
    </row>
    <row r="2823" spans="1:12" x14ac:dyDescent="0.3">
      <c r="A2823">
        <v>13386</v>
      </c>
      <c r="B2823" t="s">
        <v>13</v>
      </c>
      <c r="C2823">
        <v>71</v>
      </c>
      <c r="D2823" t="s">
        <v>15</v>
      </c>
      <c r="E2823" t="s">
        <v>16</v>
      </c>
      <c r="F2823" t="s">
        <v>16</v>
      </c>
      <c r="G2823" t="s">
        <v>18</v>
      </c>
      <c r="H2823" t="s">
        <v>23</v>
      </c>
      <c r="I2823">
        <v>98.45</v>
      </c>
      <c r="J2823">
        <v>29.7</v>
      </c>
      <c r="K2823" t="s">
        <v>27</v>
      </c>
      <c r="L2823" t="s">
        <v>15</v>
      </c>
    </row>
    <row r="2824" spans="1:12" x14ac:dyDescent="0.3">
      <c r="A2824">
        <v>15601</v>
      </c>
      <c r="B2824" t="s">
        <v>13</v>
      </c>
      <c r="C2824">
        <v>50</v>
      </c>
      <c r="D2824" t="s">
        <v>15</v>
      </c>
      <c r="E2824" t="s">
        <v>15</v>
      </c>
      <c r="F2824" t="s">
        <v>16</v>
      </c>
      <c r="G2824" t="s">
        <v>17</v>
      </c>
      <c r="H2824" t="s">
        <v>22</v>
      </c>
      <c r="I2824">
        <v>93.51</v>
      </c>
      <c r="J2824">
        <v>30.9</v>
      </c>
      <c r="K2824" t="s">
        <v>26</v>
      </c>
      <c r="L2824" t="s">
        <v>15</v>
      </c>
    </row>
    <row r="2825" spans="1:12" x14ac:dyDescent="0.3">
      <c r="A2825">
        <v>22254</v>
      </c>
      <c r="B2825" t="s">
        <v>13</v>
      </c>
      <c r="C2825">
        <v>76</v>
      </c>
      <c r="D2825" t="s">
        <v>15</v>
      </c>
      <c r="E2825" t="s">
        <v>15</v>
      </c>
      <c r="F2825" t="s">
        <v>16</v>
      </c>
      <c r="G2825" t="s">
        <v>17</v>
      </c>
      <c r="H2825" t="s">
        <v>23</v>
      </c>
      <c r="I2825">
        <v>113.68</v>
      </c>
      <c r="J2825">
        <v>22.8</v>
      </c>
      <c r="K2825" t="s">
        <v>27</v>
      </c>
      <c r="L2825" t="s">
        <v>15</v>
      </c>
    </row>
    <row r="2826" spans="1:12" x14ac:dyDescent="0.3">
      <c r="A2826">
        <v>15539</v>
      </c>
      <c r="B2826" t="s">
        <v>13</v>
      </c>
      <c r="C2826">
        <v>41</v>
      </c>
      <c r="D2826" t="s">
        <v>15</v>
      </c>
      <c r="E2826" t="s">
        <v>15</v>
      </c>
      <c r="F2826" t="s">
        <v>16</v>
      </c>
      <c r="G2826" t="s">
        <v>17</v>
      </c>
      <c r="H2826" t="s">
        <v>23</v>
      </c>
      <c r="I2826">
        <v>97.41</v>
      </c>
      <c r="J2826">
        <v>25.5</v>
      </c>
      <c r="K2826" t="s">
        <v>25</v>
      </c>
      <c r="L2826" t="s">
        <v>15</v>
      </c>
    </row>
    <row r="2827" spans="1:12" x14ac:dyDescent="0.3">
      <c r="A2827">
        <v>58235</v>
      </c>
      <c r="B2827" t="s">
        <v>12</v>
      </c>
      <c r="C2827">
        <v>76</v>
      </c>
      <c r="D2827" t="s">
        <v>15</v>
      </c>
      <c r="E2827" t="s">
        <v>15</v>
      </c>
      <c r="F2827" t="s">
        <v>16</v>
      </c>
      <c r="G2827" t="s">
        <v>17</v>
      </c>
      <c r="H2827" t="s">
        <v>22</v>
      </c>
      <c r="I2827">
        <v>58.65</v>
      </c>
      <c r="J2827">
        <v>25.6</v>
      </c>
      <c r="K2827" t="s">
        <v>26</v>
      </c>
      <c r="L2827" t="s">
        <v>15</v>
      </c>
    </row>
    <row r="2828" spans="1:12" x14ac:dyDescent="0.3">
      <c r="A2828">
        <v>21162</v>
      </c>
      <c r="B2828" t="s">
        <v>13</v>
      </c>
      <c r="C2828">
        <v>78</v>
      </c>
      <c r="D2828" t="s">
        <v>15</v>
      </c>
      <c r="E2828" t="s">
        <v>15</v>
      </c>
      <c r="F2828" t="s">
        <v>16</v>
      </c>
      <c r="G2828" t="s">
        <v>18</v>
      </c>
      <c r="H2828" t="s">
        <v>23</v>
      </c>
      <c r="I2828">
        <v>81.680000000000007</v>
      </c>
      <c r="J2828">
        <v>23</v>
      </c>
      <c r="K2828" t="s">
        <v>27</v>
      </c>
      <c r="L2828" t="s">
        <v>15</v>
      </c>
    </row>
    <row r="2829" spans="1:12" x14ac:dyDescent="0.3">
      <c r="A2829">
        <v>67880</v>
      </c>
      <c r="B2829" t="s">
        <v>12</v>
      </c>
      <c r="C2829">
        <v>5</v>
      </c>
      <c r="D2829" t="s">
        <v>15</v>
      </c>
      <c r="E2829" t="s">
        <v>15</v>
      </c>
      <c r="F2829" t="s">
        <v>15</v>
      </c>
      <c r="G2829" t="s">
        <v>20</v>
      </c>
      <c r="H2829" t="s">
        <v>22</v>
      </c>
      <c r="I2829">
        <v>148.52000000000001</v>
      </c>
      <c r="J2829">
        <v>20.6</v>
      </c>
      <c r="K2829" t="s">
        <v>27</v>
      </c>
      <c r="L2829" t="s">
        <v>15</v>
      </c>
    </row>
    <row r="2830" spans="1:12" x14ac:dyDescent="0.3">
      <c r="A2830">
        <v>42545</v>
      </c>
      <c r="B2830" t="s">
        <v>12</v>
      </c>
      <c r="C2830">
        <v>29</v>
      </c>
      <c r="D2830" t="s">
        <v>16</v>
      </c>
      <c r="E2830" t="s">
        <v>15</v>
      </c>
      <c r="F2830" t="s">
        <v>16</v>
      </c>
      <c r="G2830" t="s">
        <v>17</v>
      </c>
      <c r="H2830" t="s">
        <v>22</v>
      </c>
      <c r="I2830">
        <v>77.55</v>
      </c>
      <c r="K2830" t="s">
        <v>24</v>
      </c>
      <c r="L2830" t="s">
        <v>15</v>
      </c>
    </row>
    <row r="2831" spans="1:12" x14ac:dyDescent="0.3">
      <c r="A2831">
        <v>48359</v>
      </c>
      <c r="B2831" t="s">
        <v>13</v>
      </c>
      <c r="C2831">
        <v>43</v>
      </c>
      <c r="D2831" t="s">
        <v>15</v>
      </c>
      <c r="E2831" t="s">
        <v>15</v>
      </c>
      <c r="F2831" t="s">
        <v>16</v>
      </c>
      <c r="G2831" t="s">
        <v>17</v>
      </c>
      <c r="H2831" t="s">
        <v>23</v>
      </c>
      <c r="I2831">
        <v>142.12</v>
      </c>
      <c r="J2831">
        <v>28.4</v>
      </c>
      <c r="K2831" t="s">
        <v>26</v>
      </c>
      <c r="L2831" t="s">
        <v>15</v>
      </c>
    </row>
    <row r="2832" spans="1:12" x14ac:dyDescent="0.3">
      <c r="A2832">
        <v>54815</v>
      </c>
      <c r="B2832" t="s">
        <v>13</v>
      </c>
      <c r="C2832">
        <v>49</v>
      </c>
      <c r="D2832" t="s">
        <v>15</v>
      </c>
      <c r="E2832" t="s">
        <v>15</v>
      </c>
      <c r="F2832" t="s">
        <v>16</v>
      </c>
      <c r="G2832" t="s">
        <v>17</v>
      </c>
      <c r="H2832" t="s">
        <v>22</v>
      </c>
      <c r="I2832">
        <v>125.3</v>
      </c>
      <c r="J2832">
        <v>29.7</v>
      </c>
      <c r="K2832" t="s">
        <v>24</v>
      </c>
      <c r="L2832" t="s">
        <v>15</v>
      </c>
    </row>
    <row r="2833" spans="1:12" x14ac:dyDescent="0.3">
      <c r="A2833">
        <v>6233</v>
      </c>
      <c r="B2833" t="s">
        <v>12</v>
      </c>
      <c r="C2833">
        <v>70</v>
      </c>
      <c r="D2833" t="s">
        <v>16</v>
      </c>
      <c r="E2833" t="s">
        <v>15</v>
      </c>
      <c r="F2833" t="s">
        <v>16</v>
      </c>
      <c r="G2833" t="s">
        <v>18</v>
      </c>
      <c r="H2833" t="s">
        <v>23</v>
      </c>
      <c r="I2833">
        <v>118.81</v>
      </c>
      <c r="J2833">
        <v>26</v>
      </c>
      <c r="K2833" t="s">
        <v>26</v>
      </c>
      <c r="L2833" t="s">
        <v>15</v>
      </c>
    </row>
    <row r="2834" spans="1:12" x14ac:dyDescent="0.3">
      <c r="A2834">
        <v>52225</v>
      </c>
      <c r="B2834" t="s">
        <v>12</v>
      </c>
      <c r="C2834">
        <v>24</v>
      </c>
      <c r="D2834" t="s">
        <v>15</v>
      </c>
      <c r="E2834" t="s">
        <v>15</v>
      </c>
      <c r="F2834" t="s">
        <v>15</v>
      </c>
      <c r="G2834" t="s">
        <v>17</v>
      </c>
      <c r="H2834" t="s">
        <v>22</v>
      </c>
      <c r="I2834">
        <v>84.16</v>
      </c>
      <c r="J2834">
        <v>37.5</v>
      </c>
      <c r="K2834" t="s">
        <v>26</v>
      </c>
      <c r="L2834" t="s">
        <v>15</v>
      </c>
    </row>
    <row r="2835" spans="1:12" x14ac:dyDescent="0.3">
      <c r="A2835">
        <v>50463</v>
      </c>
      <c r="B2835" t="s">
        <v>13</v>
      </c>
      <c r="C2835">
        <v>41</v>
      </c>
      <c r="D2835" t="s">
        <v>15</v>
      </c>
      <c r="E2835" t="s">
        <v>15</v>
      </c>
      <c r="F2835" t="s">
        <v>16</v>
      </c>
      <c r="G2835" t="s">
        <v>17</v>
      </c>
      <c r="H2835" t="s">
        <v>22</v>
      </c>
      <c r="I2835">
        <v>78.739999999999995</v>
      </c>
      <c r="J2835">
        <v>42.3</v>
      </c>
      <c r="K2835" t="s">
        <v>26</v>
      </c>
      <c r="L2835" t="s">
        <v>15</v>
      </c>
    </row>
    <row r="2836" spans="1:12" x14ac:dyDescent="0.3">
      <c r="A2836">
        <v>49084</v>
      </c>
      <c r="B2836" t="s">
        <v>12</v>
      </c>
      <c r="C2836">
        <v>20</v>
      </c>
      <c r="D2836" t="s">
        <v>15</v>
      </c>
      <c r="E2836" t="s">
        <v>15</v>
      </c>
      <c r="F2836" t="s">
        <v>15</v>
      </c>
      <c r="G2836" t="s">
        <v>17</v>
      </c>
      <c r="H2836" t="s">
        <v>22</v>
      </c>
      <c r="I2836">
        <v>57.51</v>
      </c>
      <c r="J2836">
        <v>21.4</v>
      </c>
      <c r="K2836" t="s">
        <v>27</v>
      </c>
      <c r="L2836" t="s">
        <v>15</v>
      </c>
    </row>
    <row r="2837" spans="1:12" x14ac:dyDescent="0.3">
      <c r="A2837">
        <v>61889</v>
      </c>
      <c r="B2837" t="s">
        <v>12</v>
      </c>
      <c r="C2837">
        <v>34</v>
      </c>
      <c r="D2837" t="s">
        <v>15</v>
      </c>
      <c r="E2837" t="s">
        <v>15</v>
      </c>
      <c r="F2837" t="s">
        <v>16</v>
      </c>
      <c r="G2837" t="s">
        <v>17</v>
      </c>
      <c r="H2837" t="s">
        <v>22</v>
      </c>
      <c r="I2837">
        <v>61.11</v>
      </c>
      <c r="J2837">
        <v>29.3</v>
      </c>
      <c r="K2837" t="s">
        <v>25</v>
      </c>
      <c r="L2837" t="s">
        <v>15</v>
      </c>
    </row>
    <row r="2838" spans="1:12" x14ac:dyDescent="0.3">
      <c r="A2838">
        <v>25525</v>
      </c>
      <c r="B2838" t="s">
        <v>12</v>
      </c>
      <c r="C2838">
        <v>32</v>
      </c>
      <c r="D2838" t="s">
        <v>15</v>
      </c>
      <c r="E2838" t="s">
        <v>15</v>
      </c>
      <c r="F2838" t="s">
        <v>16</v>
      </c>
      <c r="G2838" t="s">
        <v>17</v>
      </c>
      <c r="H2838" t="s">
        <v>22</v>
      </c>
      <c r="I2838">
        <v>78.3</v>
      </c>
      <c r="J2838">
        <v>31</v>
      </c>
      <c r="K2838" t="s">
        <v>27</v>
      </c>
      <c r="L2838" t="s">
        <v>15</v>
      </c>
    </row>
    <row r="2839" spans="1:12" x14ac:dyDescent="0.3">
      <c r="A2839">
        <v>9730</v>
      </c>
      <c r="B2839" t="s">
        <v>12</v>
      </c>
      <c r="C2839">
        <v>27</v>
      </c>
      <c r="D2839" t="s">
        <v>15</v>
      </c>
      <c r="E2839" t="s">
        <v>15</v>
      </c>
      <c r="F2839" t="s">
        <v>16</v>
      </c>
      <c r="G2839" t="s">
        <v>17</v>
      </c>
      <c r="H2839" t="s">
        <v>22</v>
      </c>
      <c r="I2839">
        <v>76.19</v>
      </c>
      <c r="J2839">
        <v>22</v>
      </c>
      <c r="K2839" t="s">
        <v>25</v>
      </c>
      <c r="L2839" t="s">
        <v>15</v>
      </c>
    </row>
    <row r="2840" spans="1:12" x14ac:dyDescent="0.3">
      <c r="A2840">
        <v>30622</v>
      </c>
      <c r="B2840" t="s">
        <v>13</v>
      </c>
      <c r="C2840">
        <v>44</v>
      </c>
      <c r="D2840" t="s">
        <v>15</v>
      </c>
      <c r="E2840" t="s">
        <v>15</v>
      </c>
      <c r="F2840" t="s">
        <v>16</v>
      </c>
      <c r="G2840" t="s">
        <v>19</v>
      </c>
      <c r="H2840" t="s">
        <v>23</v>
      </c>
      <c r="I2840">
        <v>115.99</v>
      </c>
      <c r="J2840">
        <v>20.9</v>
      </c>
      <c r="K2840" t="s">
        <v>25</v>
      </c>
      <c r="L2840" t="s">
        <v>15</v>
      </c>
    </row>
    <row r="2841" spans="1:12" x14ac:dyDescent="0.3">
      <c r="A2841">
        <v>26480</v>
      </c>
      <c r="B2841" t="s">
        <v>12</v>
      </c>
      <c r="C2841">
        <v>20</v>
      </c>
      <c r="D2841" t="s">
        <v>15</v>
      </c>
      <c r="E2841" t="s">
        <v>15</v>
      </c>
      <c r="F2841" t="s">
        <v>15</v>
      </c>
      <c r="G2841" t="s">
        <v>17</v>
      </c>
      <c r="H2841" t="s">
        <v>23</v>
      </c>
      <c r="I2841">
        <v>100.8</v>
      </c>
      <c r="J2841">
        <v>45.9</v>
      </c>
      <c r="K2841" t="s">
        <v>25</v>
      </c>
      <c r="L2841" t="s">
        <v>15</v>
      </c>
    </row>
    <row r="2842" spans="1:12" x14ac:dyDescent="0.3">
      <c r="A2842">
        <v>65895</v>
      </c>
      <c r="B2842" t="s">
        <v>13</v>
      </c>
      <c r="C2842">
        <v>52</v>
      </c>
      <c r="D2842" t="s">
        <v>15</v>
      </c>
      <c r="E2842" t="s">
        <v>15</v>
      </c>
      <c r="F2842" t="s">
        <v>16</v>
      </c>
      <c r="G2842" t="s">
        <v>17</v>
      </c>
      <c r="H2842" t="s">
        <v>22</v>
      </c>
      <c r="I2842">
        <v>98.27</v>
      </c>
      <c r="J2842">
        <v>61.2</v>
      </c>
      <c r="K2842" t="s">
        <v>27</v>
      </c>
      <c r="L2842" t="s">
        <v>15</v>
      </c>
    </row>
    <row r="2843" spans="1:12" x14ac:dyDescent="0.3">
      <c r="A2843">
        <v>4913</v>
      </c>
      <c r="B2843" t="s">
        <v>13</v>
      </c>
      <c r="C2843">
        <v>57</v>
      </c>
      <c r="D2843" t="s">
        <v>15</v>
      </c>
      <c r="E2843" t="s">
        <v>15</v>
      </c>
      <c r="F2843" t="s">
        <v>16</v>
      </c>
      <c r="G2843" t="s">
        <v>17</v>
      </c>
      <c r="H2843" t="s">
        <v>23</v>
      </c>
      <c r="I2843">
        <v>93.85</v>
      </c>
      <c r="J2843">
        <v>29.1</v>
      </c>
      <c r="K2843" t="s">
        <v>25</v>
      </c>
      <c r="L2843" t="s">
        <v>15</v>
      </c>
    </row>
    <row r="2844" spans="1:12" x14ac:dyDescent="0.3">
      <c r="A2844">
        <v>20676</v>
      </c>
      <c r="B2844" t="s">
        <v>12</v>
      </c>
      <c r="C2844">
        <v>29</v>
      </c>
      <c r="D2844" t="s">
        <v>15</v>
      </c>
      <c r="E2844" t="s">
        <v>15</v>
      </c>
      <c r="F2844" t="s">
        <v>15</v>
      </c>
      <c r="G2844" t="s">
        <v>17</v>
      </c>
      <c r="H2844" t="s">
        <v>23</v>
      </c>
      <c r="I2844">
        <v>94.69</v>
      </c>
      <c r="J2844">
        <v>28.4</v>
      </c>
      <c r="K2844" t="s">
        <v>26</v>
      </c>
      <c r="L2844" t="s">
        <v>15</v>
      </c>
    </row>
    <row r="2845" spans="1:12" x14ac:dyDescent="0.3">
      <c r="A2845">
        <v>52410</v>
      </c>
      <c r="B2845" t="s">
        <v>13</v>
      </c>
      <c r="C2845">
        <v>16</v>
      </c>
      <c r="D2845" t="s">
        <v>15</v>
      </c>
      <c r="E2845" t="s">
        <v>15</v>
      </c>
      <c r="F2845" t="s">
        <v>15</v>
      </c>
      <c r="G2845" t="s">
        <v>17</v>
      </c>
      <c r="H2845" t="s">
        <v>22</v>
      </c>
      <c r="I2845">
        <v>136.22999999999999</v>
      </c>
      <c r="J2845">
        <v>22.6</v>
      </c>
      <c r="K2845" t="s">
        <v>27</v>
      </c>
      <c r="L2845" t="s">
        <v>15</v>
      </c>
    </row>
    <row r="2846" spans="1:12" x14ac:dyDescent="0.3">
      <c r="A2846">
        <v>57944</v>
      </c>
      <c r="B2846" t="s">
        <v>13</v>
      </c>
      <c r="C2846">
        <v>35</v>
      </c>
      <c r="D2846" t="s">
        <v>15</v>
      </c>
      <c r="E2846" t="s">
        <v>15</v>
      </c>
      <c r="F2846" t="s">
        <v>16</v>
      </c>
      <c r="G2846" t="s">
        <v>19</v>
      </c>
      <c r="H2846" t="s">
        <v>23</v>
      </c>
      <c r="I2846">
        <v>56.12</v>
      </c>
      <c r="J2846">
        <v>24.2</v>
      </c>
      <c r="K2846" t="s">
        <v>26</v>
      </c>
      <c r="L2846" t="s">
        <v>15</v>
      </c>
    </row>
    <row r="2847" spans="1:12" x14ac:dyDescent="0.3">
      <c r="A2847">
        <v>20290</v>
      </c>
      <c r="B2847" t="s">
        <v>13</v>
      </c>
      <c r="C2847">
        <v>5</v>
      </c>
      <c r="D2847" t="s">
        <v>15</v>
      </c>
      <c r="E2847" t="s">
        <v>15</v>
      </c>
      <c r="F2847" t="s">
        <v>15</v>
      </c>
      <c r="G2847" t="s">
        <v>20</v>
      </c>
      <c r="H2847" t="s">
        <v>23</v>
      </c>
      <c r="I2847">
        <v>93.03</v>
      </c>
      <c r="J2847">
        <v>16.3</v>
      </c>
      <c r="K2847" t="s">
        <v>27</v>
      </c>
      <c r="L2847" t="s">
        <v>15</v>
      </c>
    </row>
    <row r="2848" spans="1:12" x14ac:dyDescent="0.3">
      <c r="A2848">
        <v>10875</v>
      </c>
      <c r="B2848" t="s">
        <v>12</v>
      </c>
      <c r="C2848">
        <v>63</v>
      </c>
      <c r="D2848" t="s">
        <v>15</v>
      </c>
      <c r="E2848" t="s">
        <v>15</v>
      </c>
      <c r="F2848" t="s">
        <v>16</v>
      </c>
      <c r="G2848" t="s">
        <v>17</v>
      </c>
      <c r="H2848" t="s">
        <v>23</v>
      </c>
      <c r="I2848">
        <v>196.81</v>
      </c>
      <c r="J2848">
        <v>35.9</v>
      </c>
      <c r="K2848" t="s">
        <v>25</v>
      </c>
      <c r="L2848" t="s">
        <v>15</v>
      </c>
    </row>
    <row r="2849" spans="1:12" x14ac:dyDescent="0.3">
      <c r="A2849">
        <v>2393</v>
      </c>
      <c r="B2849" t="s">
        <v>12</v>
      </c>
      <c r="C2849">
        <v>59</v>
      </c>
      <c r="D2849" t="s">
        <v>16</v>
      </c>
      <c r="E2849" t="s">
        <v>15</v>
      </c>
      <c r="F2849" t="s">
        <v>16</v>
      </c>
      <c r="G2849" t="s">
        <v>17</v>
      </c>
      <c r="H2849" t="s">
        <v>23</v>
      </c>
      <c r="I2849">
        <v>87.81</v>
      </c>
      <c r="J2849">
        <v>29.8</v>
      </c>
      <c r="K2849" t="s">
        <v>24</v>
      </c>
      <c r="L2849" t="s">
        <v>15</v>
      </c>
    </row>
    <row r="2850" spans="1:12" x14ac:dyDescent="0.3">
      <c r="A2850">
        <v>66464</v>
      </c>
      <c r="B2850" t="s">
        <v>12</v>
      </c>
      <c r="C2850">
        <v>63</v>
      </c>
      <c r="D2850" t="s">
        <v>15</v>
      </c>
      <c r="E2850" t="s">
        <v>15</v>
      </c>
      <c r="F2850" t="s">
        <v>16</v>
      </c>
      <c r="G2850" t="s">
        <v>17</v>
      </c>
      <c r="H2850" t="s">
        <v>22</v>
      </c>
      <c r="I2850">
        <v>222.66</v>
      </c>
      <c r="J2850">
        <v>37</v>
      </c>
      <c r="K2850" t="s">
        <v>24</v>
      </c>
      <c r="L2850" t="s">
        <v>15</v>
      </c>
    </row>
    <row r="2851" spans="1:12" x14ac:dyDescent="0.3">
      <c r="A2851">
        <v>40548</v>
      </c>
      <c r="B2851" t="s">
        <v>12</v>
      </c>
      <c r="C2851">
        <v>52</v>
      </c>
      <c r="D2851" t="s">
        <v>15</v>
      </c>
      <c r="E2851" t="s">
        <v>15</v>
      </c>
      <c r="F2851" t="s">
        <v>16</v>
      </c>
      <c r="G2851" t="s">
        <v>17</v>
      </c>
      <c r="H2851" t="s">
        <v>23</v>
      </c>
      <c r="I2851">
        <v>223.58</v>
      </c>
      <c r="J2851">
        <v>35.799999999999997</v>
      </c>
      <c r="K2851" t="s">
        <v>25</v>
      </c>
      <c r="L2851" t="s">
        <v>15</v>
      </c>
    </row>
    <row r="2852" spans="1:12" x14ac:dyDescent="0.3">
      <c r="A2852">
        <v>19699</v>
      </c>
      <c r="B2852" t="s">
        <v>13</v>
      </c>
      <c r="C2852">
        <v>50</v>
      </c>
      <c r="D2852" t="s">
        <v>15</v>
      </c>
      <c r="E2852" t="s">
        <v>15</v>
      </c>
      <c r="F2852" t="s">
        <v>15</v>
      </c>
      <c r="G2852" t="s">
        <v>17</v>
      </c>
      <c r="H2852" t="s">
        <v>22</v>
      </c>
      <c r="I2852">
        <v>85.77</v>
      </c>
      <c r="J2852">
        <v>21.1</v>
      </c>
      <c r="K2852" t="s">
        <v>25</v>
      </c>
      <c r="L2852" t="s">
        <v>15</v>
      </c>
    </row>
    <row r="2853" spans="1:12" x14ac:dyDescent="0.3">
      <c r="A2853">
        <v>205</v>
      </c>
      <c r="B2853" t="s">
        <v>13</v>
      </c>
      <c r="C2853">
        <v>43</v>
      </c>
      <c r="D2853" t="s">
        <v>15</v>
      </c>
      <c r="E2853" t="s">
        <v>15</v>
      </c>
      <c r="F2853" t="s">
        <v>16</v>
      </c>
      <c r="G2853" t="s">
        <v>17</v>
      </c>
      <c r="H2853" t="s">
        <v>23</v>
      </c>
      <c r="I2853">
        <v>88.23</v>
      </c>
      <c r="J2853">
        <v>37.6</v>
      </c>
      <c r="K2853" t="s">
        <v>27</v>
      </c>
      <c r="L2853" t="s">
        <v>15</v>
      </c>
    </row>
    <row r="2854" spans="1:12" x14ac:dyDescent="0.3">
      <c r="A2854">
        <v>54805</v>
      </c>
      <c r="B2854" t="s">
        <v>13</v>
      </c>
      <c r="C2854">
        <v>27</v>
      </c>
      <c r="D2854" t="s">
        <v>15</v>
      </c>
      <c r="E2854" t="s">
        <v>15</v>
      </c>
      <c r="F2854" t="s">
        <v>15</v>
      </c>
      <c r="G2854" t="s">
        <v>18</v>
      </c>
      <c r="H2854" t="s">
        <v>22</v>
      </c>
      <c r="I2854">
        <v>73.650000000000006</v>
      </c>
      <c r="J2854">
        <v>24.8</v>
      </c>
      <c r="K2854" t="s">
        <v>27</v>
      </c>
      <c r="L2854" t="s">
        <v>15</v>
      </c>
    </row>
    <row r="2855" spans="1:12" x14ac:dyDescent="0.3">
      <c r="A2855">
        <v>53195</v>
      </c>
      <c r="B2855" t="s">
        <v>12</v>
      </c>
      <c r="C2855">
        <v>30</v>
      </c>
      <c r="D2855" t="s">
        <v>15</v>
      </c>
      <c r="E2855" t="s">
        <v>15</v>
      </c>
      <c r="F2855" t="s">
        <v>15</v>
      </c>
      <c r="G2855" t="s">
        <v>17</v>
      </c>
      <c r="H2855" t="s">
        <v>22</v>
      </c>
      <c r="I2855">
        <v>141.80000000000001</v>
      </c>
      <c r="J2855">
        <v>31.9</v>
      </c>
      <c r="K2855" t="s">
        <v>25</v>
      </c>
      <c r="L2855" t="s">
        <v>15</v>
      </c>
    </row>
    <row r="2856" spans="1:12" x14ac:dyDescent="0.3">
      <c r="A2856">
        <v>9107</v>
      </c>
      <c r="B2856" t="s">
        <v>13</v>
      </c>
      <c r="C2856">
        <v>8</v>
      </c>
      <c r="D2856" t="s">
        <v>15</v>
      </c>
      <c r="E2856" t="s">
        <v>15</v>
      </c>
      <c r="F2856" t="s">
        <v>15</v>
      </c>
      <c r="G2856" t="s">
        <v>20</v>
      </c>
      <c r="H2856" t="s">
        <v>23</v>
      </c>
      <c r="I2856">
        <v>92.65</v>
      </c>
      <c r="J2856">
        <v>17.5</v>
      </c>
      <c r="K2856" t="s">
        <v>27</v>
      </c>
      <c r="L2856" t="s">
        <v>15</v>
      </c>
    </row>
    <row r="2857" spans="1:12" x14ac:dyDescent="0.3">
      <c r="A2857">
        <v>65196</v>
      </c>
      <c r="B2857" t="s">
        <v>12</v>
      </c>
      <c r="C2857">
        <v>75</v>
      </c>
      <c r="D2857" t="s">
        <v>16</v>
      </c>
      <c r="E2857" t="s">
        <v>15</v>
      </c>
      <c r="F2857" t="s">
        <v>16</v>
      </c>
      <c r="G2857" t="s">
        <v>17</v>
      </c>
      <c r="H2857" t="s">
        <v>23</v>
      </c>
      <c r="I2857">
        <v>198.79</v>
      </c>
      <c r="K2857" t="s">
        <v>26</v>
      </c>
      <c r="L2857" t="s">
        <v>15</v>
      </c>
    </row>
    <row r="2858" spans="1:12" x14ac:dyDescent="0.3">
      <c r="A2858">
        <v>58833</v>
      </c>
      <c r="B2858" t="s">
        <v>12</v>
      </c>
      <c r="C2858">
        <v>14</v>
      </c>
      <c r="D2858" t="s">
        <v>15</v>
      </c>
      <c r="E2858" t="s">
        <v>15</v>
      </c>
      <c r="F2858" t="s">
        <v>15</v>
      </c>
      <c r="G2858" t="s">
        <v>17</v>
      </c>
      <c r="H2858" t="s">
        <v>23</v>
      </c>
      <c r="I2858">
        <v>61.04</v>
      </c>
      <c r="J2858">
        <v>17.600000000000001</v>
      </c>
      <c r="K2858" t="s">
        <v>27</v>
      </c>
      <c r="L2858" t="s">
        <v>15</v>
      </c>
    </row>
    <row r="2859" spans="1:12" x14ac:dyDescent="0.3">
      <c r="A2859">
        <v>4309</v>
      </c>
      <c r="B2859" t="s">
        <v>13</v>
      </c>
      <c r="C2859">
        <v>23</v>
      </c>
      <c r="D2859" t="s">
        <v>15</v>
      </c>
      <c r="E2859" t="s">
        <v>15</v>
      </c>
      <c r="F2859" t="s">
        <v>16</v>
      </c>
      <c r="G2859" t="s">
        <v>17</v>
      </c>
      <c r="H2859" t="s">
        <v>23</v>
      </c>
      <c r="I2859">
        <v>102.88</v>
      </c>
      <c r="J2859">
        <v>38.9</v>
      </c>
      <c r="K2859" t="s">
        <v>27</v>
      </c>
      <c r="L2859" t="s">
        <v>15</v>
      </c>
    </row>
    <row r="2860" spans="1:12" x14ac:dyDescent="0.3">
      <c r="A2860">
        <v>55462</v>
      </c>
      <c r="B2860" t="s">
        <v>12</v>
      </c>
      <c r="C2860">
        <v>6</v>
      </c>
      <c r="D2860" t="s">
        <v>15</v>
      </c>
      <c r="E2860" t="s">
        <v>15</v>
      </c>
      <c r="F2860" t="s">
        <v>15</v>
      </c>
      <c r="G2860" t="s">
        <v>20</v>
      </c>
      <c r="H2860" t="s">
        <v>22</v>
      </c>
      <c r="I2860">
        <v>123.39</v>
      </c>
      <c r="J2860">
        <v>15.2</v>
      </c>
      <c r="K2860" t="s">
        <v>27</v>
      </c>
      <c r="L2860" t="s">
        <v>15</v>
      </c>
    </row>
    <row r="2861" spans="1:12" x14ac:dyDescent="0.3">
      <c r="A2861">
        <v>51746</v>
      </c>
      <c r="B2861" t="s">
        <v>13</v>
      </c>
      <c r="C2861">
        <v>37</v>
      </c>
      <c r="D2861" t="s">
        <v>15</v>
      </c>
      <c r="E2861" t="s">
        <v>15</v>
      </c>
      <c r="F2861" t="s">
        <v>16</v>
      </c>
      <c r="G2861" t="s">
        <v>19</v>
      </c>
      <c r="H2861" t="s">
        <v>23</v>
      </c>
      <c r="I2861">
        <v>67.069999999999993</v>
      </c>
      <c r="J2861">
        <v>27.4</v>
      </c>
      <c r="K2861" t="s">
        <v>25</v>
      </c>
      <c r="L2861" t="s">
        <v>15</v>
      </c>
    </row>
    <row r="2862" spans="1:12" x14ac:dyDescent="0.3">
      <c r="A2862">
        <v>59335</v>
      </c>
      <c r="B2862" t="s">
        <v>12</v>
      </c>
      <c r="C2862">
        <v>38</v>
      </c>
      <c r="D2862" t="s">
        <v>15</v>
      </c>
      <c r="E2862" t="s">
        <v>15</v>
      </c>
      <c r="F2862" t="s">
        <v>16</v>
      </c>
      <c r="G2862" t="s">
        <v>19</v>
      </c>
      <c r="H2862" t="s">
        <v>23</v>
      </c>
      <c r="I2862">
        <v>69.88</v>
      </c>
      <c r="J2862">
        <v>27.9</v>
      </c>
      <c r="K2862" t="s">
        <v>26</v>
      </c>
      <c r="L2862" t="s">
        <v>15</v>
      </c>
    </row>
    <row r="2863" spans="1:12" x14ac:dyDescent="0.3">
      <c r="A2863">
        <v>65644</v>
      </c>
      <c r="B2863" t="s">
        <v>12</v>
      </c>
      <c r="C2863">
        <v>3</v>
      </c>
      <c r="D2863" t="s">
        <v>15</v>
      </c>
      <c r="E2863" t="s">
        <v>15</v>
      </c>
      <c r="F2863" t="s">
        <v>15</v>
      </c>
      <c r="G2863" t="s">
        <v>20</v>
      </c>
      <c r="H2863" t="s">
        <v>22</v>
      </c>
      <c r="I2863">
        <v>57.02</v>
      </c>
      <c r="J2863">
        <v>16.100000000000001</v>
      </c>
      <c r="K2863" t="s">
        <v>27</v>
      </c>
      <c r="L2863" t="s">
        <v>15</v>
      </c>
    </row>
    <row r="2864" spans="1:12" x14ac:dyDescent="0.3">
      <c r="A2864">
        <v>52790</v>
      </c>
      <c r="B2864" t="s">
        <v>13</v>
      </c>
      <c r="C2864">
        <v>26</v>
      </c>
      <c r="D2864" t="s">
        <v>15</v>
      </c>
      <c r="E2864" t="s">
        <v>15</v>
      </c>
      <c r="F2864" t="s">
        <v>15</v>
      </c>
      <c r="G2864" t="s">
        <v>19</v>
      </c>
      <c r="H2864" t="s">
        <v>22</v>
      </c>
      <c r="I2864">
        <v>123.81</v>
      </c>
      <c r="J2864">
        <v>39</v>
      </c>
      <c r="K2864" t="s">
        <v>25</v>
      </c>
      <c r="L2864" t="s">
        <v>15</v>
      </c>
    </row>
    <row r="2865" spans="1:12" x14ac:dyDescent="0.3">
      <c r="A2865">
        <v>42681</v>
      </c>
      <c r="B2865" t="s">
        <v>13</v>
      </c>
      <c r="C2865">
        <v>58</v>
      </c>
      <c r="D2865" t="s">
        <v>15</v>
      </c>
      <c r="E2865" t="s">
        <v>15</v>
      </c>
      <c r="F2865" t="s">
        <v>16</v>
      </c>
      <c r="G2865" t="s">
        <v>19</v>
      </c>
      <c r="H2865" t="s">
        <v>23</v>
      </c>
      <c r="I2865">
        <v>73.36</v>
      </c>
      <c r="J2865">
        <v>36.6</v>
      </c>
      <c r="K2865" t="s">
        <v>24</v>
      </c>
      <c r="L2865" t="s">
        <v>15</v>
      </c>
    </row>
    <row r="2866" spans="1:12" x14ac:dyDescent="0.3">
      <c r="A2866">
        <v>33697</v>
      </c>
      <c r="B2866" t="s">
        <v>12</v>
      </c>
      <c r="C2866">
        <v>57</v>
      </c>
      <c r="D2866" t="s">
        <v>15</v>
      </c>
      <c r="E2866" t="s">
        <v>15</v>
      </c>
      <c r="F2866" t="s">
        <v>16</v>
      </c>
      <c r="G2866" t="s">
        <v>17</v>
      </c>
      <c r="H2866" t="s">
        <v>23</v>
      </c>
      <c r="I2866">
        <v>90.54</v>
      </c>
      <c r="J2866">
        <v>33.700000000000003</v>
      </c>
      <c r="K2866" t="s">
        <v>25</v>
      </c>
      <c r="L2866" t="s">
        <v>15</v>
      </c>
    </row>
    <row r="2867" spans="1:12" x14ac:dyDescent="0.3">
      <c r="A2867">
        <v>51963</v>
      </c>
      <c r="B2867" t="s">
        <v>12</v>
      </c>
      <c r="C2867">
        <v>58</v>
      </c>
      <c r="D2867" t="s">
        <v>15</v>
      </c>
      <c r="E2867" t="s">
        <v>15</v>
      </c>
      <c r="F2867" t="s">
        <v>16</v>
      </c>
      <c r="G2867" t="s">
        <v>17</v>
      </c>
      <c r="H2867" t="s">
        <v>22</v>
      </c>
      <c r="I2867">
        <v>69.239999999999995</v>
      </c>
      <c r="J2867">
        <v>27.6</v>
      </c>
      <c r="K2867" t="s">
        <v>25</v>
      </c>
      <c r="L2867" t="s">
        <v>15</v>
      </c>
    </row>
    <row r="2868" spans="1:12" x14ac:dyDescent="0.3">
      <c r="A2868">
        <v>13375</v>
      </c>
      <c r="B2868" t="s">
        <v>12</v>
      </c>
      <c r="C2868">
        <v>76</v>
      </c>
      <c r="D2868" t="s">
        <v>15</v>
      </c>
      <c r="E2868" t="s">
        <v>15</v>
      </c>
      <c r="F2868" t="s">
        <v>16</v>
      </c>
      <c r="G2868" t="s">
        <v>17</v>
      </c>
      <c r="H2868" t="s">
        <v>22</v>
      </c>
      <c r="I2868">
        <v>192.39</v>
      </c>
      <c r="J2868">
        <v>31</v>
      </c>
      <c r="K2868" t="s">
        <v>25</v>
      </c>
      <c r="L2868" t="s">
        <v>15</v>
      </c>
    </row>
    <row r="2869" spans="1:12" x14ac:dyDescent="0.3">
      <c r="A2869">
        <v>37526</v>
      </c>
      <c r="B2869" t="s">
        <v>13</v>
      </c>
      <c r="C2869">
        <v>68</v>
      </c>
      <c r="D2869" t="s">
        <v>16</v>
      </c>
      <c r="E2869" t="s">
        <v>16</v>
      </c>
      <c r="F2869" t="s">
        <v>16</v>
      </c>
      <c r="G2869" t="s">
        <v>17</v>
      </c>
      <c r="H2869" t="s">
        <v>23</v>
      </c>
      <c r="I2869">
        <v>233.3</v>
      </c>
      <c r="K2869" t="s">
        <v>27</v>
      </c>
      <c r="L2869" t="s">
        <v>15</v>
      </c>
    </row>
    <row r="2870" spans="1:12" x14ac:dyDescent="0.3">
      <c r="A2870">
        <v>59454</v>
      </c>
      <c r="B2870" t="s">
        <v>13</v>
      </c>
      <c r="C2870">
        <v>79</v>
      </c>
      <c r="D2870" t="s">
        <v>15</v>
      </c>
      <c r="E2870" t="s">
        <v>15</v>
      </c>
      <c r="F2870" t="s">
        <v>16</v>
      </c>
      <c r="G2870" t="s">
        <v>18</v>
      </c>
      <c r="H2870" t="s">
        <v>22</v>
      </c>
      <c r="I2870">
        <v>74.349999999999994</v>
      </c>
      <c r="J2870">
        <v>28.5</v>
      </c>
      <c r="K2870" t="s">
        <v>24</v>
      </c>
      <c r="L2870" t="s">
        <v>15</v>
      </c>
    </row>
    <row r="2871" spans="1:12" x14ac:dyDescent="0.3">
      <c r="A2871">
        <v>23600</v>
      </c>
      <c r="B2871" t="s">
        <v>12</v>
      </c>
      <c r="C2871">
        <v>34</v>
      </c>
      <c r="D2871" t="s">
        <v>15</v>
      </c>
      <c r="E2871" t="s">
        <v>15</v>
      </c>
      <c r="F2871" t="s">
        <v>16</v>
      </c>
      <c r="G2871" t="s">
        <v>17</v>
      </c>
      <c r="H2871" t="s">
        <v>23</v>
      </c>
      <c r="I2871">
        <v>71.94</v>
      </c>
      <c r="J2871">
        <v>31.4</v>
      </c>
      <c r="K2871" t="s">
        <v>26</v>
      </c>
      <c r="L2871" t="s">
        <v>15</v>
      </c>
    </row>
    <row r="2872" spans="1:12" x14ac:dyDescent="0.3">
      <c r="A2872">
        <v>61245</v>
      </c>
      <c r="B2872" t="s">
        <v>12</v>
      </c>
      <c r="C2872">
        <v>75</v>
      </c>
      <c r="D2872" t="s">
        <v>15</v>
      </c>
      <c r="E2872" t="s">
        <v>15</v>
      </c>
      <c r="F2872" t="s">
        <v>16</v>
      </c>
      <c r="G2872" t="s">
        <v>18</v>
      </c>
      <c r="H2872" t="s">
        <v>23</v>
      </c>
      <c r="I2872">
        <v>82.35</v>
      </c>
      <c r="J2872">
        <v>25.3</v>
      </c>
      <c r="K2872" t="s">
        <v>25</v>
      </c>
      <c r="L2872" t="s">
        <v>15</v>
      </c>
    </row>
    <row r="2873" spans="1:12" x14ac:dyDescent="0.3">
      <c r="A2873">
        <v>53489</v>
      </c>
      <c r="B2873" t="s">
        <v>12</v>
      </c>
      <c r="C2873">
        <v>11</v>
      </c>
      <c r="D2873" t="s">
        <v>15</v>
      </c>
      <c r="E2873" t="s">
        <v>15</v>
      </c>
      <c r="F2873" t="s">
        <v>15</v>
      </c>
      <c r="G2873" t="s">
        <v>20</v>
      </c>
      <c r="H2873" t="s">
        <v>23</v>
      </c>
      <c r="I2873">
        <v>73.28</v>
      </c>
      <c r="J2873">
        <v>17.2</v>
      </c>
      <c r="K2873" t="s">
        <v>25</v>
      </c>
      <c r="L2873" t="s">
        <v>15</v>
      </c>
    </row>
    <row r="2874" spans="1:12" x14ac:dyDescent="0.3">
      <c r="A2874">
        <v>42284</v>
      </c>
      <c r="B2874" t="s">
        <v>12</v>
      </c>
      <c r="C2874">
        <v>71</v>
      </c>
      <c r="D2874" t="s">
        <v>16</v>
      </c>
      <c r="E2874" t="s">
        <v>15</v>
      </c>
      <c r="F2874" t="s">
        <v>16</v>
      </c>
      <c r="G2874" t="s">
        <v>18</v>
      </c>
      <c r="H2874" t="s">
        <v>23</v>
      </c>
      <c r="I2874">
        <v>97.57</v>
      </c>
      <c r="J2874">
        <v>26.9</v>
      </c>
      <c r="K2874" t="s">
        <v>27</v>
      </c>
      <c r="L2874" t="s">
        <v>15</v>
      </c>
    </row>
    <row r="2875" spans="1:12" x14ac:dyDescent="0.3">
      <c r="A2875">
        <v>69089</v>
      </c>
      <c r="B2875" t="s">
        <v>13</v>
      </c>
      <c r="C2875">
        <v>40</v>
      </c>
      <c r="D2875" t="s">
        <v>15</v>
      </c>
      <c r="E2875" t="s">
        <v>15</v>
      </c>
      <c r="F2875" t="s">
        <v>16</v>
      </c>
      <c r="G2875" t="s">
        <v>17</v>
      </c>
      <c r="H2875" t="s">
        <v>23</v>
      </c>
      <c r="I2875">
        <v>83.3</v>
      </c>
      <c r="J2875">
        <v>32</v>
      </c>
      <c r="K2875" t="s">
        <v>26</v>
      </c>
      <c r="L2875" t="s">
        <v>15</v>
      </c>
    </row>
    <row r="2876" spans="1:12" x14ac:dyDescent="0.3">
      <c r="A2876">
        <v>68970</v>
      </c>
      <c r="B2876" t="s">
        <v>13</v>
      </c>
      <c r="C2876">
        <v>24</v>
      </c>
      <c r="D2876" t="s">
        <v>15</v>
      </c>
      <c r="E2876" t="s">
        <v>15</v>
      </c>
      <c r="F2876" t="s">
        <v>15</v>
      </c>
      <c r="G2876" t="s">
        <v>17</v>
      </c>
      <c r="H2876" t="s">
        <v>22</v>
      </c>
      <c r="I2876">
        <v>85.07</v>
      </c>
      <c r="J2876">
        <v>22.5</v>
      </c>
      <c r="K2876" t="s">
        <v>27</v>
      </c>
      <c r="L2876" t="s">
        <v>15</v>
      </c>
    </row>
    <row r="2877" spans="1:12" x14ac:dyDescent="0.3">
      <c r="A2877">
        <v>42938</v>
      </c>
      <c r="B2877" t="s">
        <v>12</v>
      </c>
      <c r="C2877">
        <v>0.64</v>
      </c>
      <c r="D2877" t="s">
        <v>15</v>
      </c>
      <c r="E2877" t="s">
        <v>15</v>
      </c>
      <c r="F2877" t="s">
        <v>15</v>
      </c>
      <c r="G2877" t="s">
        <v>20</v>
      </c>
      <c r="H2877" t="s">
        <v>22</v>
      </c>
      <c r="I2877">
        <v>60.4</v>
      </c>
      <c r="J2877">
        <v>17.3</v>
      </c>
      <c r="K2877" t="s">
        <v>27</v>
      </c>
      <c r="L2877" t="s">
        <v>15</v>
      </c>
    </row>
    <row r="2878" spans="1:12" x14ac:dyDescent="0.3">
      <c r="A2878">
        <v>11327</v>
      </c>
      <c r="B2878" t="s">
        <v>13</v>
      </c>
      <c r="C2878">
        <v>82</v>
      </c>
      <c r="D2878" t="s">
        <v>15</v>
      </c>
      <c r="E2878" t="s">
        <v>15</v>
      </c>
      <c r="F2878" t="s">
        <v>16</v>
      </c>
      <c r="G2878" t="s">
        <v>18</v>
      </c>
      <c r="H2878" t="s">
        <v>22</v>
      </c>
      <c r="I2878">
        <v>79.959999999999994</v>
      </c>
      <c r="J2878">
        <v>27</v>
      </c>
      <c r="K2878" t="s">
        <v>24</v>
      </c>
      <c r="L2878" t="s">
        <v>15</v>
      </c>
    </row>
    <row r="2879" spans="1:12" x14ac:dyDescent="0.3">
      <c r="A2879">
        <v>5464</v>
      </c>
      <c r="B2879" t="s">
        <v>12</v>
      </c>
      <c r="C2879">
        <v>32</v>
      </c>
      <c r="D2879" t="s">
        <v>15</v>
      </c>
      <c r="E2879" t="s">
        <v>15</v>
      </c>
      <c r="F2879" t="s">
        <v>16</v>
      </c>
      <c r="G2879" t="s">
        <v>17</v>
      </c>
      <c r="H2879" t="s">
        <v>23</v>
      </c>
      <c r="I2879">
        <v>70.959999999999994</v>
      </c>
      <c r="J2879">
        <v>33.1</v>
      </c>
      <c r="K2879" t="s">
        <v>27</v>
      </c>
      <c r="L2879" t="s">
        <v>15</v>
      </c>
    </row>
    <row r="2880" spans="1:12" x14ac:dyDescent="0.3">
      <c r="A2880">
        <v>56995</v>
      </c>
      <c r="B2880" t="s">
        <v>13</v>
      </c>
      <c r="C2880">
        <v>81</v>
      </c>
      <c r="D2880" t="s">
        <v>15</v>
      </c>
      <c r="E2880" t="s">
        <v>15</v>
      </c>
      <c r="F2880" t="s">
        <v>16</v>
      </c>
      <c r="G2880" t="s">
        <v>17</v>
      </c>
      <c r="H2880" t="s">
        <v>22</v>
      </c>
      <c r="I2880">
        <v>82.86</v>
      </c>
      <c r="J2880">
        <v>25</v>
      </c>
      <c r="K2880" t="s">
        <v>25</v>
      </c>
      <c r="L2880" t="s">
        <v>15</v>
      </c>
    </row>
    <row r="2881" spans="1:12" x14ac:dyDescent="0.3">
      <c r="A2881">
        <v>53646</v>
      </c>
      <c r="B2881" t="s">
        <v>13</v>
      </c>
      <c r="C2881">
        <v>33</v>
      </c>
      <c r="D2881" t="s">
        <v>16</v>
      </c>
      <c r="E2881" t="s">
        <v>15</v>
      </c>
      <c r="F2881" t="s">
        <v>15</v>
      </c>
      <c r="G2881" t="s">
        <v>17</v>
      </c>
      <c r="H2881" t="s">
        <v>23</v>
      </c>
      <c r="I2881">
        <v>97.87</v>
      </c>
      <c r="K2881" t="s">
        <v>26</v>
      </c>
      <c r="L2881" t="s">
        <v>15</v>
      </c>
    </row>
    <row r="2882" spans="1:12" x14ac:dyDescent="0.3">
      <c r="A2882">
        <v>45139</v>
      </c>
      <c r="B2882" t="s">
        <v>13</v>
      </c>
      <c r="C2882">
        <v>79</v>
      </c>
      <c r="D2882" t="s">
        <v>15</v>
      </c>
      <c r="E2882" t="s">
        <v>16</v>
      </c>
      <c r="F2882" t="s">
        <v>16</v>
      </c>
      <c r="G2882" t="s">
        <v>17</v>
      </c>
      <c r="H2882" t="s">
        <v>23</v>
      </c>
      <c r="I2882">
        <v>201.38</v>
      </c>
      <c r="J2882">
        <v>31.1</v>
      </c>
      <c r="K2882" t="s">
        <v>25</v>
      </c>
      <c r="L2882" t="s">
        <v>15</v>
      </c>
    </row>
    <row r="2883" spans="1:12" x14ac:dyDescent="0.3">
      <c r="A2883">
        <v>38354</v>
      </c>
      <c r="B2883" t="s">
        <v>13</v>
      </c>
      <c r="C2883">
        <v>62</v>
      </c>
      <c r="D2883" t="s">
        <v>15</v>
      </c>
      <c r="E2883" t="s">
        <v>15</v>
      </c>
      <c r="F2883" t="s">
        <v>16</v>
      </c>
      <c r="G2883" t="s">
        <v>18</v>
      </c>
      <c r="H2883" t="s">
        <v>22</v>
      </c>
      <c r="I2883">
        <v>91.82</v>
      </c>
      <c r="J2883">
        <v>19.600000000000001</v>
      </c>
      <c r="K2883" t="s">
        <v>27</v>
      </c>
      <c r="L2883" t="s">
        <v>15</v>
      </c>
    </row>
    <row r="2884" spans="1:12" x14ac:dyDescent="0.3">
      <c r="A2884">
        <v>15566</v>
      </c>
      <c r="B2884" t="s">
        <v>12</v>
      </c>
      <c r="C2884">
        <v>39</v>
      </c>
      <c r="D2884" t="s">
        <v>15</v>
      </c>
      <c r="E2884" t="s">
        <v>15</v>
      </c>
      <c r="F2884" t="s">
        <v>16</v>
      </c>
      <c r="G2884" t="s">
        <v>17</v>
      </c>
      <c r="H2884" t="s">
        <v>23</v>
      </c>
      <c r="I2884">
        <v>91.85</v>
      </c>
      <c r="J2884">
        <v>24.7</v>
      </c>
      <c r="K2884" t="s">
        <v>26</v>
      </c>
      <c r="L2884" t="s">
        <v>15</v>
      </c>
    </row>
    <row r="2885" spans="1:12" x14ac:dyDescent="0.3">
      <c r="A2885">
        <v>4793</v>
      </c>
      <c r="B2885" t="s">
        <v>13</v>
      </c>
      <c r="C2885">
        <v>60</v>
      </c>
      <c r="D2885" t="s">
        <v>16</v>
      </c>
      <c r="E2885" t="s">
        <v>15</v>
      </c>
      <c r="F2885" t="s">
        <v>16</v>
      </c>
      <c r="G2885" t="s">
        <v>18</v>
      </c>
      <c r="H2885" t="s">
        <v>22</v>
      </c>
      <c r="I2885">
        <v>99.23</v>
      </c>
      <c r="J2885">
        <v>48</v>
      </c>
      <c r="K2885" t="s">
        <v>24</v>
      </c>
      <c r="L2885" t="s">
        <v>15</v>
      </c>
    </row>
    <row r="2886" spans="1:12" x14ac:dyDescent="0.3">
      <c r="A2886">
        <v>59223</v>
      </c>
      <c r="B2886" t="s">
        <v>12</v>
      </c>
      <c r="C2886">
        <v>48</v>
      </c>
      <c r="D2886" t="s">
        <v>15</v>
      </c>
      <c r="E2886" t="s">
        <v>15</v>
      </c>
      <c r="F2886" t="s">
        <v>16</v>
      </c>
      <c r="G2886" t="s">
        <v>17</v>
      </c>
      <c r="H2886" t="s">
        <v>22</v>
      </c>
      <c r="I2886">
        <v>68.13</v>
      </c>
      <c r="J2886">
        <v>38</v>
      </c>
      <c r="K2886" t="s">
        <v>24</v>
      </c>
      <c r="L2886" t="s">
        <v>15</v>
      </c>
    </row>
    <row r="2887" spans="1:12" x14ac:dyDescent="0.3">
      <c r="A2887">
        <v>30927</v>
      </c>
      <c r="B2887" t="s">
        <v>12</v>
      </c>
      <c r="C2887">
        <v>24</v>
      </c>
      <c r="D2887" t="s">
        <v>15</v>
      </c>
      <c r="E2887" t="s">
        <v>15</v>
      </c>
      <c r="F2887" t="s">
        <v>15</v>
      </c>
      <c r="G2887" t="s">
        <v>17</v>
      </c>
      <c r="H2887" t="s">
        <v>23</v>
      </c>
      <c r="I2887">
        <v>93.76</v>
      </c>
      <c r="J2887">
        <v>24</v>
      </c>
      <c r="K2887" t="s">
        <v>24</v>
      </c>
      <c r="L2887" t="s">
        <v>15</v>
      </c>
    </row>
    <row r="2888" spans="1:12" x14ac:dyDescent="0.3">
      <c r="A2888">
        <v>966</v>
      </c>
      <c r="B2888" t="s">
        <v>13</v>
      </c>
      <c r="C2888">
        <v>70</v>
      </c>
      <c r="D2888" t="s">
        <v>16</v>
      </c>
      <c r="E2888" t="s">
        <v>15</v>
      </c>
      <c r="F2888" t="s">
        <v>16</v>
      </c>
      <c r="G2888" t="s">
        <v>18</v>
      </c>
      <c r="H2888" t="s">
        <v>23</v>
      </c>
      <c r="I2888">
        <v>103.89</v>
      </c>
      <c r="J2888">
        <v>30</v>
      </c>
      <c r="K2888" t="s">
        <v>25</v>
      </c>
      <c r="L2888" t="s">
        <v>15</v>
      </c>
    </row>
    <row r="2889" spans="1:12" x14ac:dyDescent="0.3">
      <c r="A2889">
        <v>62923</v>
      </c>
      <c r="B2889" t="s">
        <v>13</v>
      </c>
      <c r="C2889">
        <v>17</v>
      </c>
      <c r="D2889" t="s">
        <v>15</v>
      </c>
      <c r="E2889" t="s">
        <v>15</v>
      </c>
      <c r="F2889" t="s">
        <v>15</v>
      </c>
      <c r="G2889" t="s">
        <v>17</v>
      </c>
      <c r="H2889" t="s">
        <v>22</v>
      </c>
      <c r="I2889">
        <v>87.39</v>
      </c>
      <c r="J2889">
        <v>24.6</v>
      </c>
      <c r="K2889" t="s">
        <v>27</v>
      </c>
      <c r="L2889" t="s">
        <v>15</v>
      </c>
    </row>
    <row r="2890" spans="1:12" x14ac:dyDescent="0.3">
      <c r="A2890">
        <v>30627</v>
      </c>
      <c r="B2890" t="s">
        <v>13</v>
      </c>
      <c r="C2890">
        <v>56</v>
      </c>
      <c r="D2890" t="s">
        <v>15</v>
      </c>
      <c r="E2890" t="s">
        <v>15</v>
      </c>
      <c r="F2890" t="s">
        <v>16</v>
      </c>
      <c r="G2890" t="s">
        <v>19</v>
      </c>
      <c r="H2890" t="s">
        <v>22</v>
      </c>
      <c r="I2890">
        <v>89.53</v>
      </c>
      <c r="J2890">
        <v>23.1</v>
      </c>
      <c r="K2890" t="s">
        <v>27</v>
      </c>
      <c r="L2890" t="s">
        <v>15</v>
      </c>
    </row>
    <row r="2891" spans="1:12" x14ac:dyDescent="0.3">
      <c r="A2891">
        <v>17236</v>
      </c>
      <c r="B2891" t="s">
        <v>13</v>
      </c>
      <c r="C2891">
        <v>3</v>
      </c>
      <c r="D2891" t="s">
        <v>15</v>
      </c>
      <c r="E2891" t="s">
        <v>15</v>
      </c>
      <c r="F2891" t="s">
        <v>15</v>
      </c>
      <c r="G2891" t="s">
        <v>20</v>
      </c>
      <c r="H2891" t="s">
        <v>22</v>
      </c>
      <c r="I2891">
        <v>66.61</v>
      </c>
      <c r="J2891">
        <v>17.399999999999999</v>
      </c>
      <c r="K2891" t="s">
        <v>27</v>
      </c>
      <c r="L2891" t="s">
        <v>15</v>
      </c>
    </row>
    <row r="2892" spans="1:12" x14ac:dyDescent="0.3">
      <c r="A2892">
        <v>27566</v>
      </c>
      <c r="B2892" t="s">
        <v>12</v>
      </c>
      <c r="C2892">
        <v>65</v>
      </c>
      <c r="D2892" t="s">
        <v>15</v>
      </c>
      <c r="E2892" t="s">
        <v>15</v>
      </c>
      <c r="F2892" t="s">
        <v>16</v>
      </c>
      <c r="G2892" t="s">
        <v>17</v>
      </c>
      <c r="H2892" t="s">
        <v>23</v>
      </c>
      <c r="I2892">
        <v>236.14</v>
      </c>
      <c r="J2892">
        <v>43.1</v>
      </c>
      <c r="K2892" t="s">
        <v>27</v>
      </c>
      <c r="L2892" t="s">
        <v>15</v>
      </c>
    </row>
    <row r="2893" spans="1:12" x14ac:dyDescent="0.3">
      <c r="A2893">
        <v>6368</v>
      </c>
      <c r="B2893" t="s">
        <v>12</v>
      </c>
      <c r="C2893">
        <v>72</v>
      </c>
      <c r="D2893" t="s">
        <v>15</v>
      </c>
      <c r="E2893" t="s">
        <v>16</v>
      </c>
      <c r="F2893" t="s">
        <v>16</v>
      </c>
      <c r="G2893" t="s">
        <v>17</v>
      </c>
      <c r="H2893" t="s">
        <v>22</v>
      </c>
      <c r="I2893">
        <v>99.76</v>
      </c>
      <c r="J2893">
        <v>27.1</v>
      </c>
      <c r="K2893" t="s">
        <v>24</v>
      </c>
      <c r="L2893" t="s">
        <v>15</v>
      </c>
    </row>
    <row r="2894" spans="1:12" x14ac:dyDescent="0.3">
      <c r="A2894">
        <v>33876</v>
      </c>
      <c r="B2894" t="s">
        <v>12</v>
      </c>
      <c r="C2894">
        <v>10</v>
      </c>
      <c r="D2894" t="s">
        <v>15</v>
      </c>
      <c r="E2894" t="s">
        <v>15</v>
      </c>
      <c r="F2894" t="s">
        <v>15</v>
      </c>
      <c r="G2894" t="s">
        <v>20</v>
      </c>
      <c r="H2894" t="s">
        <v>22</v>
      </c>
      <c r="I2894">
        <v>87.09</v>
      </c>
      <c r="J2894">
        <v>14.3</v>
      </c>
      <c r="K2894" t="s">
        <v>27</v>
      </c>
      <c r="L2894" t="s">
        <v>15</v>
      </c>
    </row>
    <row r="2895" spans="1:12" x14ac:dyDescent="0.3">
      <c r="A2895">
        <v>52164</v>
      </c>
      <c r="B2895" t="s">
        <v>12</v>
      </c>
      <c r="C2895">
        <v>29</v>
      </c>
      <c r="D2895" t="s">
        <v>15</v>
      </c>
      <c r="E2895" t="s">
        <v>15</v>
      </c>
      <c r="F2895" t="s">
        <v>16</v>
      </c>
      <c r="G2895" t="s">
        <v>17</v>
      </c>
      <c r="H2895" t="s">
        <v>22</v>
      </c>
      <c r="I2895">
        <v>193.81</v>
      </c>
      <c r="J2895">
        <v>46.8</v>
      </c>
      <c r="K2895" t="s">
        <v>25</v>
      </c>
      <c r="L2895" t="s">
        <v>15</v>
      </c>
    </row>
    <row r="2896" spans="1:12" x14ac:dyDescent="0.3">
      <c r="A2896">
        <v>32446</v>
      </c>
      <c r="B2896" t="s">
        <v>13</v>
      </c>
      <c r="C2896">
        <v>44</v>
      </c>
      <c r="D2896" t="s">
        <v>15</v>
      </c>
      <c r="E2896" t="s">
        <v>15</v>
      </c>
      <c r="F2896" t="s">
        <v>16</v>
      </c>
      <c r="G2896" t="s">
        <v>17</v>
      </c>
      <c r="H2896" t="s">
        <v>23</v>
      </c>
      <c r="I2896">
        <v>97.27</v>
      </c>
      <c r="J2896">
        <v>26</v>
      </c>
      <c r="K2896" t="s">
        <v>25</v>
      </c>
      <c r="L2896" t="s">
        <v>15</v>
      </c>
    </row>
    <row r="2897" spans="1:12" x14ac:dyDescent="0.3">
      <c r="A2897">
        <v>56855</v>
      </c>
      <c r="B2897" t="s">
        <v>12</v>
      </c>
      <c r="C2897">
        <v>46</v>
      </c>
      <c r="D2897" t="s">
        <v>15</v>
      </c>
      <c r="E2897" t="s">
        <v>15</v>
      </c>
      <c r="F2897" t="s">
        <v>16</v>
      </c>
      <c r="G2897" t="s">
        <v>17</v>
      </c>
      <c r="H2897" t="s">
        <v>22</v>
      </c>
      <c r="I2897">
        <v>137.77000000000001</v>
      </c>
      <c r="J2897">
        <v>29.3</v>
      </c>
      <c r="K2897" t="s">
        <v>25</v>
      </c>
      <c r="L2897" t="s">
        <v>15</v>
      </c>
    </row>
    <row r="2898" spans="1:12" x14ac:dyDescent="0.3">
      <c r="A2898">
        <v>43837</v>
      </c>
      <c r="B2898" t="s">
        <v>12</v>
      </c>
      <c r="C2898">
        <v>33</v>
      </c>
      <c r="D2898" t="s">
        <v>15</v>
      </c>
      <c r="E2898" t="s">
        <v>15</v>
      </c>
      <c r="F2898" t="s">
        <v>16</v>
      </c>
      <c r="G2898" t="s">
        <v>17</v>
      </c>
      <c r="H2898" t="s">
        <v>22</v>
      </c>
      <c r="I2898">
        <v>105.19</v>
      </c>
      <c r="J2898">
        <v>50.1</v>
      </c>
      <c r="K2898" t="s">
        <v>26</v>
      </c>
      <c r="L2898" t="s">
        <v>15</v>
      </c>
    </row>
    <row r="2899" spans="1:12" x14ac:dyDescent="0.3">
      <c r="A2899">
        <v>5477</v>
      </c>
      <c r="B2899" t="s">
        <v>12</v>
      </c>
      <c r="C2899">
        <v>63</v>
      </c>
      <c r="D2899" t="s">
        <v>15</v>
      </c>
      <c r="E2899" t="s">
        <v>16</v>
      </c>
      <c r="F2899" t="s">
        <v>16</v>
      </c>
      <c r="G2899" t="s">
        <v>18</v>
      </c>
      <c r="H2899" t="s">
        <v>22</v>
      </c>
      <c r="I2899">
        <v>82.72</v>
      </c>
      <c r="K2899" t="s">
        <v>25</v>
      </c>
      <c r="L2899" t="s">
        <v>15</v>
      </c>
    </row>
    <row r="2900" spans="1:12" x14ac:dyDescent="0.3">
      <c r="A2900">
        <v>64974</v>
      </c>
      <c r="B2900" t="s">
        <v>12</v>
      </c>
      <c r="C2900">
        <v>0.24</v>
      </c>
      <c r="D2900" t="s">
        <v>15</v>
      </c>
      <c r="E2900" t="s">
        <v>15</v>
      </c>
      <c r="F2900" t="s">
        <v>15</v>
      </c>
      <c r="G2900" t="s">
        <v>20</v>
      </c>
      <c r="H2900" t="s">
        <v>22</v>
      </c>
      <c r="I2900">
        <v>58.35</v>
      </c>
      <c r="J2900">
        <v>18.600000000000001</v>
      </c>
      <c r="K2900" t="s">
        <v>27</v>
      </c>
      <c r="L2900" t="s">
        <v>15</v>
      </c>
    </row>
    <row r="2901" spans="1:12" x14ac:dyDescent="0.3">
      <c r="A2901">
        <v>33976</v>
      </c>
      <c r="B2901" t="s">
        <v>12</v>
      </c>
      <c r="C2901">
        <v>55</v>
      </c>
      <c r="D2901" t="s">
        <v>15</v>
      </c>
      <c r="E2901" t="s">
        <v>15</v>
      </c>
      <c r="F2901" t="s">
        <v>16</v>
      </c>
      <c r="G2901" t="s">
        <v>17</v>
      </c>
      <c r="H2901" t="s">
        <v>22</v>
      </c>
      <c r="I2901">
        <v>68.790000000000006</v>
      </c>
      <c r="J2901">
        <v>27</v>
      </c>
      <c r="K2901" t="s">
        <v>25</v>
      </c>
      <c r="L2901" t="s">
        <v>15</v>
      </c>
    </row>
    <row r="2902" spans="1:12" x14ac:dyDescent="0.3">
      <c r="A2902">
        <v>31019</v>
      </c>
      <c r="B2902" t="s">
        <v>13</v>
      </c>
      <c r="C2902">
        <v>56</v>
      </c>
      <c r="D2902" t="s">
        <v>15</v>
      </c>
      <c r="E2902" t="s">
        <v>15</v>
      </c>
      <c r="F2902" t="s">
        <v>16</v>
      </c>
      <c r="G2902" t="s">
        <v>17</v>
      </c>
      <c r="H2902" t="s">
        <v>22</v>
      </c>
      <c r="I2902">
        <v>94.19</v>
      </c>
      <c r="J2902">
        <v>25.7</v>
      </c>
      <c r="K2902" t="s">
        <v>25</v>
      </c>
      <c r="L2902" t="s">
        <v>15</v>
      </c>
    </row>
    <row r="2903" spans="1:12" x14ac:dyDescent="0.3">
      <c r="A2903">
        <v>4699</v>
      </c>
      <c r="B2903" t="s">
        <v>12</v>
      </c>
      <c r="C2903">
        <v>50</v>
      </c>
      <c r="D2903" t="s">
        <v>15</v>
      </c>
      <c r="E2903" t="s">
        <v>15</v>
      </c>
      <c r="F2903" t="s">
        <v>15</v>
      </c>
      <c r="G2903" t="s">
        <v>19</v>
      </c>
      <c r="H2903" t="s">
        <v>23</v>
      </c>
      <c r="I2903">
        <v>121.17</v>
      </c>
      <c r="J2903">
        <v>25.5</v>
      </c>
      <c r="K2903" t="s">
        <v>24</v>
      </c>
      <c r="L2903" t="s">
        <v>15</v>
      </c>
    </row>
    <row r="2904" spans="1:12" x14ac:dyDescent="0.3">
      <c r="A2904">
        <v>60276</v>
      </c>
      <c r="B2904" t="s">
        <v>12</v>
      </c>
      <c r="C2904">
        <v>78</v>
      </c>
      <c r="D2904" t="s">
        <v>16</v>
      </c>
      <c r="E2904" t="s">
        <v>16</v>
      </c>
      <c r="F2904" t="s">
        <v>16</v>
      </c>
      <c r="G2904" t="s">
        <v>18</v>
      </c>
      <c r="H2904" t="s">
        <v>23</v>
      </c>
      <c r="I2904">
        <v>106.41</v>
      </c>
      <c r="J2904">
        <v>27.3</v>
      </c>
      <c r="K2904" t="s">
        <v>25</v>
      </c>
      <c r="L2904" t="s">
        <v>15</v>
      </c>
    </row>
    <row r="2905" spans="1:12" x14ac:dyDescent="0.3">
      <c r="A2905">
        <v>24420</v>
      </c>
      <c r="B2905" t="s">
        <v>12</v>
      </c>
      <c r="C2905">
        <v>63</v>
      </c>
      <c r="D2905" t="s">
        <v>15</v>
      </c>
      <c r="E2905" t="s">
        <v>15</v>
      </c>
      <c r="F2905" t="s">
        <v>16</v>
      </c>
      <c r="G2905" t="s">
        <v>17</v>
      </c>
      <c r="H2905" t="s">
        <v>23</v>
      </c>
      <c r="I2905">
        <v>104.79</v>
      </c>
      <c r="J2905">
        <v>24.1</v>
      </c>
      <c r="K2905" t="s">
        <v>27</v>
      </c>
      <c r="L2905" t="s">
        <v>15</v>
      </c>
    </row>
    <row r="2906" spans="1:12" x14ac:dyDescent="0.3">
      <c r="A2906">
        <v>28478</v>
      </c>
      <c r="B2906" t="s">
        <v>13</v>
      </c>
      <c r="C2906">
        <v>31</v>
      </c>
      <c r="D2906" t="s">
        <v>15</v>
      </c>
      <c r="E2906" t="s">
        <v>15</v>
      </c>
      <c r="F2906" t="s">
        <v>16</v>
      </c>
      <c r="G2906" t="s">
        <v>17</v>
      </c>
      <c r="H2906" t="s">
        <v>22</v>
      </c>
      <c r="I2906">
        <v>82.18</v>
      </c>
      <c r="J2906">
        <v>42.7</v>
      </c>
      <c r="K2906" t="s">
        <v>25</v>
      </c>
      <c r="L2906" t="s">
        <v>15</v>
      </c>
    </row>
    <row r="2907" spans="1:12" x14ac:dyDescent="0.3">
      <c r="A2907">
        <v>63236</v>
      </c>
      <c r="B2907" t="s">
        <v>12</v>
      </c>
      <c r="C2907">
        <v>65</v>
      </c>
      <c r="D2907" t="s">
        <v>15</v>
      </c>
      <c r="E2907" t="s">
        <v>15</v>
      </c>
      <c r="F2907" t="s">
        <v>16</v>
      </c>
      <c r="G2907" t="s">
        <v>17</v>
      </c>
      <c r="H2907" t="s">
        <v>22</v>
      </c>
      <c r="I2907">
        <v>96.81</v>
      </c>
      <c r="J2907">
        <v>41.2</v>
      </c>
      <c r="K2907" t="s">
        <v>26</v>
      </c>
      <c r="L2907" t="s">
        <v>15</v>
      </c>
    </row>
    <row r="2908" spans="1:12" x14ac:dyDescent="0.3">
      <c r="A2908">
        <v>6324</v>
      </c>
      <c r="B2908" t="s">
        <v>12</v>
      </c>
      <c r="C2908">
        <v>51</v>
      </c>
      <c r="D2908" t="s">
        <v>15</v>
      </c>
      <c r="E2908" t="s">
        <v>15</v>
      </c>
      <c r="F2908" t="s">
        <v>16</v>
      </c>
      <c r="G2908" t="s">
        <v>17</v>
      </c>
      <c r="H2908" t="s">
        <v>23</v>
      </c>
      <c r="I2908">
        <v>107.42</v>
      </c>
      <c r="J2908">
        <v>20.2</v>
      </c>
      <c r="K2908" t="s">
        <v>24</v>
      </c>
      <c r="L2908" t="s">
        <v>15</v>
      </c>
    </row>
    <row r="2909" spans="1:12" x14ac:dyDescent="0.3">
      <c r="A2909">
        <v>62059</v>
      </c>
      <c r="B2909" t="s">
        <v>12</v>
      </c>
      <c r="C2909">
        <v>60</v>
      </c>
      <c r="D2909" t="s">
        <v>15</v>
      </c>
      <c r="E2909" t="s">
        <v>15</v>
      </c>
      <c r="F2909" t="s">
        <v>16</v>
      </c>
      <c r="G2909" t="s">
        <v>17</v>
      </c>
      <c r="H2909" t="s">
        <v>23</v>
      </c>
      <c r="I2909">
        <v>69.2</v>
      </c>
      <c r="J2909">
        <v>30.9</v>
      </c>
      <c r="K2909" t="s">
        <v>25</v>
      </c>
      <c r="L2909" t="s">
        <v>15</v>
      </c>
    </row>
    <row r="2910" spans="1:12" x14ac:dyDescent="0.3">
      <c r="A2910">
        <v>28400</v>
      </c>
      <c r="B2910" t="s">
        <v>12</v>
      </c>
      <c r="C2910">
        <v>69</v>
      </c>
      <c r="D2910" t="s">
        <v>15</v>
      </c>
      <c r="E2910" t="s">
        <v>15</v>
      </c>
      <c r="F2910" t="s">
        <v>16</v>
      </c>
      <c r="G2910" t="s">
        <v>18</v>
      </c>
      <c r="H2910" t="s">
        <v>22</v>
      </c>
      <c r="I2910">
        <v>92.73</v>
      </c>
      <c r="J2910">
        <v>27.7</v>
      </c>
      <c r="K2910" t="s">
        <v>25</v>
      </c>
      <c r="L2910" t="s">
        <v>15</v>
      </c>
    </row>
    <row r="2911" spans="1:12" x14ac:dyDescent="0.3">
      <c r="A2911">
        <v>5841</v>
      </c>
      <c r="B2911" t="s">
        <v>13</v>
      </c>
      <c r="C2911">
        <v>23</v>
      </c>
      <c r="D2911" t="s">
        <v>15</v>
      </c>
      <c r="E2911" t="s">
        <v>15</v>
      </c>
      <c r="F2911" t="s">
        <v>15</v>
      </c>
      <c r="G2911" t="s">
        <v>17</v>
      </c>
      <c r="H2911" t="s">
        <v>22</v>
      </c>
      <c r="I2911">
        <v>86.11</v>
      </c>
      <c r="J2911">
        <v>22.3</v>
      </c>
      <c r="K2911" t="s">
        <v>25</v>
      </c>
      <c r="L2911" t="s">
        <v>15</v>
      </c>
    </row>
    <row r="2912" spans="1:12" x14ac:dyDescent="0.3">
      <c r="A2912">
        <v>5681</v>
      </c>
      <c r="B2912" t="s">
        <v>12</v>
      </c>
      <c r="C2912">
        <v>46</v>
      </c>
      <c r="D2912" t="s">
        <v>15</v>
      </c>
      <c r="E2912" t="s">
        <v>15</v>
      </c>
      <c r="F2912" t="s">
        <v>16</v>
      </c>
      <c r="G2912" t="s">
        <v>17</v>
      </c>
      <c r="H2912" t="s">
        <v>23</v>
      </c>
      <c r="I2912">
        <v>111.78</v>
      </c>
      <c r="J2912">
        <v>39.4</v>
      </c>
      <c r="K2912" t="s">
        <v>26</v>
      </c>
      <c r="L2912" t="s">
        <v>15</v>
      </c>
    </row>
    <row r="2913" spans="1:12" x14ac:dyDescent="0.3">
      <c r="A2913">
        <v>16587</v>
      </c>
      <c r="B2913" t="s">
        <v>13</v>
      </c>
      <c r="C2913">
        <v>16</v>
      </c>
      <c r="D2913" t="s">
        <v>15</v>
      </c>
      <c r="E2913" t="s">
        <v>15</v>
      </c>
      <c r="F2913" t="s">
        <v>15</v>
      </c>
      <c r="G2913" t="s">
        <v>17</v>
      </c>
      <c r="H2913" t="s">
        <v>22</v>
      </c>
      <c r="I2913">
        <v>122.26</v>
      </c>
      <c r="J2913">
        <v>34.200000000000003</v>
      </c>
      <c r="K2913" t="s">
        <v>25</v>
      </c>
      <c r="L2913" t="s">
        <v>15</v>
      </c>
    </row>
    <row r="2914" spans="1:12" x14ac:dyDescent="0.3">
      <c r="A2914">
        <v>3477</v>
      </c>
      <c r="B2914" t="s">
        <v>13</v>
      </c>
      <c r="C2914">
        <v>26</v>
      </c>
      <c r="D2914" t="s">
        <v>15</v>
      </c>
      <c r="E2914" t="s">
        <v>15</v>
      </c>
      <c r="F2914" t="s">
        <v>15</v>
      </c>
      <c r="G2914" t="s">
        <v>17</v>
      </c>
      <c r="H2914" t="s">
        <v>23</v>
      </c>
      <c r="I2914">
        <v>78.16</v>
      </c>
      <c r="J2914">
        <v>20.100000000000001</v>
      </c>
      <c r="K2914" t="s">
        <v>25</v>
      </c>
      <c r="L2914" t="s">
        <v>15</v>
      </c>
    </row>
    <row r="2915" spans="1:12" x14ac:dyDescent="0.3">
      <c r="A2915">
        <v>23890</v>
      </c>
      <c r="B2915" t="s">
        <v>13</v>
      </c>
      <c r="C2915">
        <v>44</v>
      </c>
      <c r="D2915" t="s">
        <v>16</v>
      </c>
      <c r="E2915" t="s">
        <v>15</v>
      </c>
      <c r="F2915" t="s">
        <v>16</v>
      </c>
      <c r="G2915" t="s">
        <v>19</v>
      </c>
      <c r="H2915" t="s">
        <v>23</v>
      </c>
      <c r="I2915">
        <v>105.77</v>
      </c>
      <c r="J2915">
        <v>36.799999999999997</v>
      </c>
      <c r="K2915" t="s">
        <v>25</v>
      </c>
      <c r="L2915" t="s">
        <v>15</v>
      </c>
    </row>
    <row r="2916" spans="1:12" x14ac:dyDescent="0.3">
      <c r="A2916">
        <v>3803</v>
      </c>
      <c r="B2916" t="s">
        <v>13</v>
      </c>
      <c r="C2916">
        <v>56</v>
      </c>
      <c r="D2916" t="s">
        <v>15</v>
      </c>
      <c r="E2916" t="s">
        <v>15</v>
      </c>
      <c r="F2916" t="s">
        <v>16</v>
      </c>
      <c r="G2916" t="s">
        <v>17</v>
      </c>
      <c r="H2916" t="s">
        <v>22</v>
      </c>
      <c r="I2916">
        <v>102.97</v>
      </c>
      <c r="K2916" t="s">
        <v>26</v>
      </c>
      <c r="L2916" t="s">
        <v>15</v>
      </c>
    </row>
    <row r="2917" spans="1:12" x14ac:dyDescent="0.3">
      <c r="A2917">
        <v>34068</v>
      </c>
      <c r="B2917" t="s">
        <v>13</v>
      </c>
      <c r="C2917">
        <v>23</v>
      </c>
      <c r="D2917" t="s">
        <v>15</v>
      </c>
      <c r="E2917" t="s">
        <v>15</v>
      </c>
      <c r="F2917" t="s">
        <v>16</v>
      </c>
      <c r="G2917" t="s">
        <v>19</v>
      </c>
      <c r="H2917" t="s">
        <v>22</v>
      </c>
      <c r="I2917">
        <v>77.53</v>
      </c>
      <c r="J2917">
        <v>33.9</v>
      </c>
      <c r="K2917" t="s">
        <v>24</v>
      </c>
      <c r="L2917" t="s">
        <v>15</v>
      </c>
    </row>
    <row r="2918" spans="1:12" x14ac:dyDescent="0.3">
      <c r="A2918">
        <v>60145</v>
      </c>
      <c r="B2918" t="s">
        <v>13</v>
      </c>
      <c r="C2918">
        <v>38</v>
      </c>
      <c r="D2918" t="s">
        <v>15</v>
      </c>
      <c r="E2918" t="s">
        <v>15</v>
      </c>
      <c r="F2918" t="s">
        <v>16</v>
      </c>
      <c r="G2918" t="s">
        <v>17</v>
      </c>
      <c r="H2918" t="s">
        <v>22</v>
      </c>
      <c r="I2918">
        <v>77.349999999999994</v>
      </c>
      <c r="J2918">
        <v>27.7</v>
      </c>
      <c r="K2918" t="s">
        <v>25</v>
      </c>
      <c r="L2918" t="s">
        <v>15</v>
      </c>
    </row>
    <row r="2919" spans="1:12" x14ac:dyDescent="0.3">
      <c r="A2919">
        <v>11702</v>
      </c>
      <c r="B2919" t="s">
        <v>13</v>
      </c>
      <c r="C2919">
        <v>18</v>
      </c>
      <c r="D2919" t="s">
        <v>15</v>
      </c>
      <c r="E2919" t="s">
        <v>15</v>
      </c>
      <c r="F2919" t="s">
        <v>15</v>
      </c>
      <c r="G2919" t="s">
        <v>21</v>
      </c>
      <c r="H2919" t="s">
        <v>22</v>
      </c>
      <c r="I2919">
        <v>82.36</v>
      </c>
      <c r="J2919">
        <v>22.7</v>
      </c>
      <c r="K2919" t="s">
        <v>27</v>
      </c>
      <c r="L2919" t="s">
        <v>15</v>
      </c>
    </row>
    <row r="2920" spans="1:12" x14ac:dyDescent="0.3">
      <c r="A2920">
        <v>50508</v>
      </c>
      <c r="B2920" t="s">
        <v>13</v>
      </c>
      <c r="C2920">
        <v>63</v>
      </c>
      <c r="D2920" t="s">
        <v>15</v>
      </c>
      <c r="E2920" t="s">
        <v>16</v>
      </c>
      <c r="F2920" t="s">
        <v>16</v>
      </c>
      <c r="G2920" t="s">
        <v>18</v>
      </c>
      <c r="H2920" t="s">
        <v>23</v>
      </c>
      <c r="I2920">
        <v>239.95</v>
      </c>
      <c r="J2920">
        <v>32.200000000000003</v>
      </c>
      <c r="K2920" t="s">
        <v>26</v>
      </c>
      <c r="L2920" t="s">
        <v>15</v>
      </c>
    </row>
    <row r="2921" spans="1:12" x14ac:dyDescent="0.3">
      <c r="A2921">
        <v>65473</v>
      </c>
      <c r="B2921" t="s">
        <v>12</v>
      </c>
      <c r="C2921">
        <v>23</v>
      </c>
      <c r="D2921" t="s">
        <v>15</v>
      </c>
      <c r="E2921" t="s">
        <v>15</v>
      </c>
      <c r="F2921" t="s">
        <v>15</v>
      </c>
      <c r="G2921" t="s">
        <v>17</v>
      </c>
      <c r="H2921" t="s">
        <v>22</v>
      </c>
      <c r="I2921">
        <v>61.96</v>
      </c>
      <c r="J2921">
        <v>22</v>
      </c>
      <c r="K2921" t="s">
        <v>26</v>
      </c>
      <c r="L2921" t="s">
        <v>15</v>
      </c>
    </row>
    <row r="2922" spans="1:12" x14ac:dyDescent="0.3">
      <c r="A2922">
        <v>51257</v>
      </c>
      <c r="B2922" t="s">
        <v>12</v>
      </c>
      <c r="C2922">
        <v>32</v>
      </c>
      <c r="D2922" t="s">
        <v>15</v>
      </c>
      <c r="E2922" t="s">
        <v>15</v>
      </c>
      <c r="F2922" t="s">
        <v>15</v>
      </c>
      <c r="G2922" t="s">
        <v>17</v>
      </c>
      <c r="H2922" t="s">
        <v>23</v>
      </c>
      <c r="I2922">
        <v>72.099999999999994</v>
      </c>
      <c r="J2922">
        <v>23.2</v>
      </c>
      <c r="K2922" t="s">
        <v>25</v>
      </c>
      <c r="L2922" t="s">
        <v>15</v>
      </c>
    </row>
    <row r="2923" spans="1:12" x14ac:dyDescent="0.3">
      <c r="A2923">
        <v>47810</v>
      </c>
      <c r="B2923" t="s">
        <v>12</v>
      </c>
      <c r="C2923">
        <v>8</v>
      </c>
      <c r="D2923" t="s">
        <v>15</v>
      </c>
      <c r="E2923" t="s">
        <v>15</v>
      </c>
      <c r="F2923" t="s">
        <v>15</v>
      </c>
      <c r="G2923" t="s">
        <v>20</v>
      </c>
      <c r="H2923" t="s">
        <v>23</v>
      </c>
      <c r="I2923">
        <v>107.97</v>
      </c>
      <c r="J2923">
        <v>26.7</v>
      </c>
      <c r="K2923" t="s">
        <v>27</v>
      </c>
      <c r="L2923" t="s">
        <v>15</v>
      </c>
    </row>
    <row r="2924" spans="1:12" x14ac:dyDescent="0.3">
      <c r="A2924">
        <v>38737</v>
      </c>
      <c r="B2924" t="s">
        <v>12</v>
      </c>
      <c r="C2924">
        <v>77</v>
      </c>
      <c r="D2924" t="s">
        <v>15</v>
      </c>
      <c r="E2924" t="s">
        <v>15</v>
      </c>
      <c r="F2924" t="s">
        <v>16</v>
      </c>
      <c r="G2924" t="s">
        <v>18</v>
      </c>
      <c r="H2924" t="s">
        <v>22</v>
      </c>
      <c r="I2924">
        <v>60.77</v>
      </c>
      <c r="J2924">
        <v>23</v>
      </c>
      <c r="K2924" t="s">
        <v>26</v>
      </c>
      <c r="L2924" t="s">
        <v>15</v>
      </c>
    </row>
    <row r="2925" spans="1:12" x14ac:dyDescent="0.3">
      <c r="A2925">
        <v>39060</v>
      </c>
      <c r="B2925" t="s">
        <v>13</v>
      </c>
      <c r="C2925">
        <v>41</v>
      </c>
      <c r="D2925" t="s">
        <v>15</v>
      </c>
      <c r="E2925" t="s">
        <v>15</v>
      </c>
      <c r="F2925" t="s">
        <v>16</v>
      </c>
      <c r="G2925" t="s">
        <v>17</v>
      </c>
      <c r="H2925" t="s">
        <v>22</v>
      </c>
      <c r="I2925">
        <v>71.06</v>
      </c>
      <c r="J2925">
        <v>23.4</v>
      </c>
      <c r="K2925" t="s">
        <v>25</v>
      </c>
      <c r="L2925" t="s">
        <v>15</v>
      </c>
    </row>
    <row r="2926" spans="1:12" x14ac:dyDescent="0.3">
      <c r="A2926">
        <v>56804</v>
      </c>
      <c r="B2926" t="s">
        <v>13</v>
      </c>
      <c r="C2926">
        <v>34</v>
      </c>
      <c r="D2926" t="s">
        <v>15</v>
      </c>
      <c r="E2926" t="s">
        <v>15</v>
      </c>
      <c r="F2926" t="s">
        <v>15</v>
      </c>
      <c r="G2926" t="s">
        <v>19</v>
      </c>
      <c r="H2926" t="s">
        <v>22</v>
      </c>
      <c r="I2926">
        <v>60.36</v>
      </c>
      <c r="J2926">
        <v>24.1</v>
      </c>
      <c r="K2926" t="s">
        <v>25</v>
      </c>
      <c r="L2926" t="s">
        <v>15</v>
      </c>
    </row>
    <row r="2927" spans="1:12" x14ac:dyDescent="0.3">
      <c r="A2927">
        <v>45099</v>
      </c>
      <c r="B2927" t="s">
        <v>12</v>
      </c>
      <c r="C2927">
        <v>25</v>
      </c>
      <c r="D2927" t="s">
        <v>15</v>
      </c>
      <c r="E2927" t="s">
        <v>15</v>
      </c>
      <c r="F2927" t="s">
        <v>16</v>
      </c>
      <c r="G2927" t="s">
        <v>18</v>
      </c>
      <c r="H2927" t="s">
        <v>22</v>
      </c>
      <c r="I2927">
        <v>83.33</v>
      </c>
      <c r="J2927">
        <v>31.5</v>
      </c>
      <c r="K2927" t="s">
        <v>27</v>
      </c>
      <c r="L2927" t="s">
        <v>15</v>
      </c>
    </row>
    <row r="2928" spans="1:12" x14ac:dyDescent="0.3">
      <c r="A2928">
        <v>22221</v>
      </c>
      <c r="B2928" t="s">
        <v>13</v>
      </c>
      <c r="C2928">
        <v>35</v>
      </c>
      <c r="D2928" t="s">
        <v>15</v>
      </c>
      <c r="E2928" t="s">
        <v>15</v>
      </c>
      <c r="F2928" t="s">
        <v>16</v>
      </c>
      <c r="G2928" t="s">
        <v>18</v>
      </c>
      <c r="H2928" t="s">
        <v>22</v>
      </c>
      <c r="I2928">
        <v>65.33</v>
      </c>
      <c r="J2928">
        <v>26.1</v>
      </c>
      <c r="K2928" t="s">
        <v>25</v>
      </c>
      <c r="L2928" t="s">
        <v>15</v>
      </c>
    </row>
    <row r="2929" spans="1:12" x14ac:dyDescent="0.3">
      <c r="A2929">
        <v>57134</v>
      </c>
      <c r="B2929" t="s">
        <v>12</v>
      </c>
      <c r="C2929">
        <v>15</v>
      </c>
      <c r="D2929" t="s">
        <v>15</v>
      </c>
      <c r="E2929" t="s">
        <v>15</v>
      </c>
      <c r="F2929" t="s">
        <v>15</v>
      </c>
      <c r="G2929" t="s">
        <v>20</v>
      </c>
      <c r="H2929" t="s">
        <v>22</v>
      </c>
      <c r="I2929">
        <v>113.28</v>
      </c>
      <c r="J2929">
        <v>23.7</v>
      </c>
      <c r="K2929" t="s">
        <v>25</v>
      </c>
      <c r="L2929" t="s">
        <v>15</v>
      </c>
    </row>
    <row r="2930" spans="1:12" x14ac:dyDescent="0.3">
      <c r="A2930">
        <v>57609</v>
      </c>
      <c r="B2930" t="s">
        <v>12</v>
      </c>
      <c r="C2930">
        <v>1.64</v>
      </c>
      <c r="D2930" t="s">
        <v>15</v>
      </c>
      <c r="E2930" t="s">
        <v>15</v>
      </c>
      <c r="F2930" t="s">
        <v>15</v>
      </c>
      <c r="G2930" t="s">
        <v>20</v>
      </c>
      <c r="H2930" t="s">
        <v>22</v>
      </c>
      <c r="I2930">
        <v>170.88</v>
      </c>
      <c r="J2930">
        <v>20.8</v>
      </c>
      <c r="K2930" t="s">
        <v>27</v>
      </c>
      <c r="L2930" t="s">
        <v>15</v>
      </c>
    </row>
    <row r="2931" spans="1:12" x14ac:dyDescent="0.3">
      <c r="A2931">
        <v>6132</v>
      </c>
      <c r="B2931" t="s">
        <v>12</v>
      </c>
      <c r="C2931">
        <v>4</v>
      </c>
      <c r="D2931" t="s">
        <v>15</v>
      </c>
      <c r="E2931" t="s">
        <v>15</v>
      </c>
      <c r="F2931" t="s">
        <v>15</v>
      </c>
      <c r="G2931" t="s">
        <v>20</v>
      </c>
      <c r="H2931" t="s">
        <v>22</v>
      </c>
      <c r="I2931">
        <v>103.34</v>
      </c>
      <c r="J2931">
        <v>18.8</v>
      </c>
      <c r="K2931" t="s">
        <v>27</v>
      </c>
      <c r="L2931" t="s">
        <v>15</v>
      </c>
    </row>
    <row r="2932" spans="1:12" x14ac:dyDescent="0.3">
      <c r="A2932">
        <v>31600</v>
      </c>
      <c r="B2932" t="s">
        <v>13</v>
      </c>
      <c r="C2932">
        <v>33</v>
      </c>
      <c r="D2932" t="s">
        <v>15</v>
      </c>
      <c r="E2932" t="s">
        <v>15</v>
      </c>
      <c r="F2932" t="s">
        <v>15</v>
      </c>
      <c r="G2932" t="s">
        <v>17</v>
      </c>
      <c r="H2932" t="s">
        <v>23</v>
      </c>
      <c r="I2932">
        <v>106.08</v>
      </c>
      <c r="J2932">
        <v>32.5</v>
      </c>
      <c r="K2932" t="s">
        <v>24</v>
      </c>
      <c r="L2932" t="s">
        <v>15</v>
      </c>
    </row>
    <row r="2933" spans="1:12" x14ac:dyDescent="0.3">
      <c r="A2933">
        <v>51497</v>
      </c>
      <c r="B2933" t="s">
        <v>12</v>
      </c>
      <c r="C2933">
        <v>28</v>
      </c>
      <c r="D2933" t="s">
        <v>15</v>
      </c>
      <c r="E2933" t="s">
        <v>15</v>
      </c>
      <c r="F2933" t="s">
        <v>16</v>
      </c>
      <c r="G2933" t="s">
        <v>18</v>
      </c>
      <c r="H2933" t="s">
        <v>22</v>
      </c>
      <c r="I2933">
        <v>156.44999999999999</v>
      </c>
      <c r="J2933">
        <v>24.3</v>
      </c>
      <c r="K2933" t="s">
        <v>25</v>
      </c>
      <c r="L2933" t="s">
        <v>15</v>
      </c>
    </row>
    <row r="2934" spans="1:12" x14ac:dyDescent="0.3">
      <c r="A2934">
        <v>48455</v>
      </c>
      <c r="B2934" t="s">
        <v>13</v>
      </c>
      <c r="C2934">
        <v>37</v>
      </c>
      <c r="D2934" t="s">
        <v>15</v>
      </c>
      <c r="E2934" t="s">
        <v>15</v>
      </c>
      <c r="F2934" t="s">
        <v>16</v>
      </c>
      <c r="G2934" t="s">
        <v>17</v>
      </c>
      <c r="H2934" t="s">
        <v>22</v>
      </c>
      <c r="I2934">
        <v>60.05</v>
      </c>
      <c r="J2934">
        <v>24.1</v>
      </c>
      <c r="K2934" t="s">
        <v>27</v>
      </c>
      <c r="L2934" t="s">
        <v>15</v>
      </c>
    </row>
    <row r="2935" spans="1:12" x14ac:dyDescent="0.3">
      <c r="A2935">
        <v>13049</v>
      </c>
      <c r="B2935" t="s">
        <v>13</v>
      </c>
      <c r="C2935">
        <v>50</v>
      </c>
      <c r="D2935" t="s">
        <v>15</v>
      </c>
      <c r="E2935" t="s">
        <v>15</v>
      </c>
      <c r="F2935" t="s">
        <v>16</v>
      </c>
      <c r="G2935" t="s">
        <v>17</v>
      </c>
      <c r="H2935" t="s">
        <v>23</v>
      </c>
      <c r="I2935">
        <v>114.05</v>
      </c>
      <c r="J2935">
        <v>32.5</v>
      </c>
      <c r="K2935" t="s">
        <v>25</v>
      </c>
      <c r="L2935" t="s">
        <v>15</v>
      </c>
    </row>
    <row r="2936" spans="1:12" x14ac:dyDescent="0.3">
      <c r="A2936">
        <v>9079</v>
      </c>
      <c r="B2936" t="s">
        <v>13</v>
      </c>
      <c r="C2936">
        <v>76</v>
      </c>
      <c r="D2936" t="s">
        <v>15</v>
      </c>
      <c r="E2936" t="s">
        <v>16</v>
      </c>
      <c r="F2936" t="s">
        <v>16</v>
      </c>
      <c r="G2936" t="s">
        <v>18</v>
      </c>
      <c r="H2936" t="s">
        <v>22</v>
      </c>
      <c r="I2936">
        <v>202.21</v>
      </c>
      <c r="J2936">
        <v>39.299999999999997</v>
      </c>
      <c r="K2936" t="s">
        <v>24</v>
      </c>
      <c r="L2936" t="s">
        <v>15</v>
      </c>
    </row>
    <row r="2937" spans="1:12" x14ac:dyDescent="0.3">
      <c r="A2937">
        <v>68568</v>
      </c>
      <c r="B2937" t="s">
        <v>13</v>
      </c>
      <c r="C2937">
        <v>72</v>
      </c>
      <c r="D2937" t="s">
        <v>15</v>
      </c>
      <c r="E2937" t="s">
        <v>15</v>
      </c>
      <c r="F2937" t="s">
        <v>16</v>
      </c>
      <c r="G2937" t="s">
        <v>18</v>
      </c>
      <c r="H2937" t="s">
        <v>23</v>
      </c>
      <c r="I2937">
        <v>57.28</v>
      </c>
      <c r="J2937">
        <v>23.9</v>
      </c>
      <c r="K2937" t="s">
        <v>25</v>
      </c>
      <c r="L2937" t="s">
        <v>15</v>
      </c>
    </row>
    <row r="2938" spans="1:12" x14ac:dyDescent="0.3">
      <c r="A2938">
        <v>72867</v>
      </c>
      <c r="B2938" t="s">
        <v>12</v>
      </c>
      <c r="C2938">
        <v>16</v>
      </c>
      <c r="D2938" t="s">
        <v>15</v>
      </c>
      <c r="E2938" t="s">
        <v>15</v>
      </c>
      <c r="F2938" t="s">
        <v>15</v>
      </c>
      <c r="G2938" t="s">
        <v>17</v>
      </c>
      <c r="H2938" t="s">
        <v>23</v>
      </c>
      <c r="I2938">
        <v>99.49</v>
      </c>
      <c r="J2938">
        <v>22</v>
      </c>
      <c r="K2938" t="s">
        <v>27</v>
      </c>
      <c r="L2938" t="s">
        <v>15</v>
      </c>
    </row>
    <row r="2939" spans="1:12" x14ac:dyDescent="0.3">
      <c r="A2939">
        <v>53121</v>
      </c>
      <c r="B2939" t="s">
        <v>12</v>
      </c>
      <c r="C2939">
        <v>44</v>
      </c>
      <c r="D2939" t="s">
        <v>15</v>
      </c>
      <c r="E2939" t="s">
        <v>15</v>
      </c>
      <c r="F2939" t="s">
        <v>16</v>
      </c>
      <c r="G2939" t="s">
        <v>17</v>
      </c>
      <c r="H2939" t="s">
        <v>22</v>
      </c>
      <c r="I2939">
        <v>63.6</v>
      </c>
      <c r="J2939">
        <v>37.299999999999997</v>
      </c>
      <c r="K2939" t="s">
        <v>25</v>
      </c>
      <c r="L2939" t="s">
        <v>15</v>
      </c>
    </row>
    <row r="2940" spans="1:12" x14ac:dyDescent="0.3">
      <c r="A2940">
        <v>33779</v>
      </c>
      <c r="B2940" t="s">
        <v>12</v>
      </c>
      <c r="C2940">
        <v>46</v>
      </c>
      <c r="D2940" t="s">
        <v>15</v>
      </c>
      <c r="E2940" t="s">
        <v>16</v>
      </c>
      <c r="F2940" t="s">
        <v>16</v>
      </c>
      <c r="G2940" t="s">
        <v>19</v>
      </c>
      <c r="H2940" t="s">
        <v>22</v>
      </c>
      <c r="I2940">
        <v>80.010000000000005</v>
      </c>
      <c r="J2940">
        <v>33</v>
      </c>
      <c r="K2940" t="s">
        <v>24</v>
      </c>
      <c r="L2940" t="s">
        <v>15</v>
      </c>
    </row>
    <row r="2941" spans="1:12" x14ac:dyDescent="0.3">
      <c r="A2941">
        <v>52367</v>
      </c>
      <c r="B2941" t="s">
        <v>12</v>
      </c>
      <c r="C2941">
        <v>46</v>
      </c>
      <c r="D2941" t="s">
        <v>15</v>
      </c>
      <c r="E2941" t="s">
        <v>15</v>
      </c>
      <c r="F2941" t="s">
        <v>16</v>
      </c>
      <c r="G2941" t="s">
        <v>17</v>
      </c>
      <c r="H2941" t="s">
        <v>22</v>
      </c>
      <c r="I2941">
        <v>58.42</v>
      </c>
      <c r="J2941">
        <v>24.7</v>
      </c>
      <c r="K2941" t="s">
        <v>24</v>
      </c>
      <c r="L2941" t="s">
        <v>15</v>
      </c>
    </row>
    <row r="2942" spans="1:12" x14ac:dyDescent="0.3">
      <c r="A2942">
        <v>29314</v>
      </c>
      <c r="B2942" t="s">
        <v>13</v>
      </c>
      <c r="C2942">
        <v>73</v>
      </c>
      <c r="D2942" t="s">
        <v>16</v>
      </c>
      <c r="E2942" t="s">
        <v>16</v>
      </c>
      <c r="F2942" t="s">
        <v>16</v>
      </c>
      <c r="G2942" t="s">
        <v>19</v>
      </c>
      <c r="H2942" t="s">
        <v>22</v>
      </c>
      <c r="I2942">
        <v>67.38</v>
      </c>
      <c r="J2942">
        <v>32.799999999999997</v>
      </c>
      <c r="K2942" t="s">
        <v>24</v>
      </c>
      <c r="L2942" t="s">
        <v>15</v>
      </c>
    </row>
    <row r="2943" spans="1:12" x14ac:dyDescent="0.3">
      <c r="A2943">
        <v>18366</v>
      </c>
      <c r="B2943" t="s">
        <v>13</v>
      </c>
      <c r="C2943">
        <v>29</v>
      </c>
      <c r="D2943" t="s">
        <v>15</v>
      </c>
      <c r="E2943" t="s">
        <v>15</v>
      </c>
      <c r="F2943" t="s">
        <v>16</v>
      </c>
      <c r="G2943" t="s">
        <v>18</v>
      </c>
      <c r="H2943" t="s">
        <v>23</v>
      </c>
      <c r="I2943">
        <v>73.58</v>
      </c>
      <c r="J2943">
        <v>29.8</v>
      </c>
      <c r="K2943" t="s">
        <v>27</v>
      </c>
      <c r="L2943" t="s">
        <v>15</v>
      </c>
    </row>
    <row r="2944" spans="1:12" x14ac:dyDescent="0.3">
      <c r="A2944">
        <v>32522</v>
      </c>
      <c r="B2944" t="s">
        <v>12</v>
      </c>
      <c r="C2944">
        <v>19</v>
      </c>
      <c r="D2944" t="s">
        <v>15</v>
      </c>
      <c r="E2944" t="s">
        <v>15</v>
      </c>
      <c r="F2944" t="s">
        <v>15</v>
      </c>
      <c r="G2944" t="s">
        <v>17</v>
      </c>
      <c r="H2944" t="s">
        <v>22</v>
      </c>
      <c r="I2944">
        <v>103.92</v>
      </c>
      <c r="J2944">
        <v>24.1</v>
      </c>
      <c r="K2944" t="s">
        <v>27</v>
      </c>
      <c r="L2944" t="s">
        <v>15</v>
      </c>
    </row>
    <row r="2945" spans="1:12" x14ac:dyDescent="0.3">
      <c r="A2945">
        <v>3980</v>
      </c>
      <c r="B2945" t="s">
        <v>13</v>
      </c>
      <c r="C2945">
        <v>27</v>
      </c>
      <c r="D2945" t="s">
        <v>15</v>
      </c>
      <c r="E2945" t="s">
        <v>15</v>
      </c>
      <c r="F2945" t="s">
        <v>15</v>
      </c>
      <c r="G2945" t="s">
        <v>17</v>
      </c>
      <c r="H2945" t="s">
        <v>23</v>
      </c>
      <c r="I2945">
        <v>80.22</v>
      </c>
      <c r="J2945">
        <v>21.6</v>
      </c>
      <c r="K2945" t="s">
        <v>25</v>
      </c>
      <c r="L2945" t="s">
        <v>15</v>
      </c>
    </row>
    <row r="2946" spans="1:12" x14ac:dyDescent="0.3">
      <c r="A2946">
        <v>5350</v>
      </c>
      <c r="B2946" t="s">
        <v>13</v>
      </c>
      <c r="C2946">
        <v>36</v>
      </c>
      <c r="D2946" t="s">
        <v>15</v>
      </c>
      <c r="E2946" t="s">
        <v>15</v>
      </c>
      <c r="F2946" t="s">
        <v>16</v>
      </c>
      <c r="G2946" t="s">
        <v>17</v>
      </c>
      <c r="H2946" t="s">
        <v>23</v>
      </c>
      <c r="I2946">
        <v>103.76</v>
      </c>
      <c r="J2946">
        <v>27.1</v>
      </c>
      <c r="K2946" t="s">
        <v>25</v>
      </c>
      <c r="L2946" t="s">
        <v>15</v>
      </c>
    </row>
    <row r="2947" spans="1:12" x14ac:dyDescent="0.3">
      <c r="A2947">
        <v>3428</v>
      </c>
      <c r="B2947" t="s">
        <v>13</v>
      </c>
      <c r="C2947">
        <v>61</v>
      </c>
      <c r="D2947" t="s">
        <v>15</v>
      </c>
      <c r="E2947" t="s">
        <v>15</v>
      </c>
      <c r="F2947" t="s">
        <v>16</v>
      </c>
      <c r="G2947" t="s">
        <v>18</v>
      </c>
      <c r="H2947" t="s">
        <v>22</v>
      </c>
      <c r="I2947">
        <v>77.06</v>
      </c>
      <c r="J2947">
        <v>27</v>
      </c>
      <c r="K2947" t="s">
        <v>25</v>
      </c>
      <c r="L2947" t="s">
        <v>15</v>
      </c>
    </row>
    <row r="2948" spans="1:12" x14ac:dyDescent="0.3">
      <c r="A2948">
        <v>62552</v>
      </c>
      <c r="B2948" t="s">
        <v>13</v>
      </c>
      <c r="C2948">
        <v>9</v>
      </c>
      <c r="D2948" t="s">
        <v>15</v>
      </c>
      <c r="E2948" t="s">
        <v>15</v>
      </c>
      <c r="F2948" t="s">
        <v>15</v>
      </c>
      <c r="G2948" t="s">
        <v>20</v>
      </c>
      <c r="H2948" t="s">
        <v>23</v>
      </c>
      <c r="I2948">
        <v>90.22</v>
      </c>
      <c r="J2948">
        <v>18.7</v>
      </c>
      <c r="K2948" t="s">
        <v>27</v>
      </c>
      <c r="L2948" t="s">
        <v>15</v>
      </c>
    </row>
    <row r="2949" spans="1:12" x14ac:dyDescent="0.3">
      <c r="A2949">
        <v>51085</v>
      </c>
      <c r="B2949" t="s">
        <v>13</v>
      </c>
      <c r="C2949">
        <v>25</v>
      </c>
      <c r="D2949" t="s">
        <v>15</v>
      </c>
      <c r="E2949" t="s">
        <v>15</v>
      </c>
      <c r="F2949" t="s">
        <v>15</v>
      </c>
      <c r="G2949" t="s">
        <v>17</v>
      </c>
      <c r="H2949" t="s">
        <v>22</v>
      </c>
      <c r="I2949">
        <v>181.3</v>
      </c>
      <c r="J2949">
        <v>35.799999999999997</v>
      </c>
      <c r="K2949" t="s">
        <v>25</v>
      </c>
      <c r="L2949" t="s">
        <v>15</v>
      </c>
    </row>
    <row r="2950" spans="1:12" x14ac:dyDescent="0.3">
      <c r="A2950">
        <v>60586</v>
      </c>
      <c r="B2950" t="s">
        <v>13</v>
      </c>
      <c r="C2950">
        <v>68</v>
      </c>
      <c r="D2950" t="s">
        <v>15</v>
      </c>
      <c r="E2950" t="s">
        <v>15</v>
      </c>
      <c r="F2950" t="s">
        <v>16</v>
      </c>
      <c r="G2950" t="s">
        <v>17</v>
      </c>
      <c r="H2950" t="s">
        <v>23</v>
      </c>
      <c r="I2950">
        <v>85.29</v>
      </c>
      <c r="J2950">
        <v>27.1</v>
      </c>
      <c r="K2950" t="s">
        <v>24</v>
      </c>
      <c r="L2950" t="s">
        <v>15</v>
      </c>
    </row>
    <row r="2951" spans="1:12" x14ac:dyDescent="0.3">
      <c r="A2951">
        <v>59988</v>
      </c>
      <c r="B2951" t="s">
        <v>13</v>
      </c>
      <c r="C2951">
        <v>26</v>
      </c>
      <c r="D2951" t="s">
        <v>16</v>
      </c>
      <c r="E2951" t="s">
        <v>15</v>
      </c>
      <c r="F2951" t="s">
        <v>16</v>
      </c>
      <c r="G2951" t="s">
        <v>17</v>
      </c>
      <c r="H2951" t="s">
        <v>22</v>
      </c>
      <c r="I2951">
        <v>107.59</v>
      </c>
      <c r="J2951">
        <v>33.1</v>
      </c>
      <c r="K2951" t="s">
        <v>26</v>
      </c>
      <c r="L2951" t="s">
        <v>15</v>
      </c>
    </row>
    <row r="2952" spans="1:12" x14ac:dyDescent="0.3">
      <c r="A2952">
        <v>34122</v>
      </c>
      <c r="B2952" t="s">
        <v>13</v>
      </c>
      <c r="C2952">
        <v>17</v>
      </c>
      <c r="D2952" t="s">
        <v>15</v>
      </c>
      <c r="E2952" t="s">
        <v>15</v>
      </c>
      <c r="F2952" t="s">
        <v>15</v>
      </c>
      <c r="G2952" t="s">
        <v>17</v>
      </c>
      <c r="H2952" t="s">
        <v>22</v>
      </c>
      <c r="I2952">
        <v>87.72</v>
      </c>
      <c r="J2952">
        <v>25.9</v>
      </c>
      <c r="K2952" t="s">
        <v>26</v>
      </c>
      <c r="L2952" t="s">
        <v>15</v>
      </c>
    </row>
    <row r="2953" spans="1:12" x14ac:dyDescent="0.3">
      <c r="A2953">
        <v>11392</v>
      </c>
      <c r="B2953" t="s">
        <v>12</v>
      </c>
      <c r="C2953">
        <v>75</v>
      </c>
      <c r="D2953" t="s">
        <v>15</v>
      </c>
      <c r="E2953" t="s">
        <v>15</v>
      </c>
      <c r="F2953" t="s">
        <v>16</v>
      </c>
      <c r="G2953" t="s">
        <v>17</v>
      </c>
      <c r="H2953" t="s">
        <v>23</v>
      </c>
      <c r="I2953">
        <v>70.73</v>
      </c>
      <c r="J2953">
        <v>26.7</v>
      </c>
      <c r="K2953" t="s">
        <v>26</v>
      </c>
      <c r="L2953" t="s">
        <v>15</v>
      </c>
    </row>
    <row r="2954" spans="1:12" x14ac:dyDescent="0.3">
      <c r="A2954">
        <v>53632</v>
      </c>
      <c r="B2954" t="s">
        <v>12</v>
      </c>
      <c r="C2954">
        <v>34</v>
      </c>
      <c r="D2954" t="s">
        <v>15</v>
      </c>
      <c r="E2954" t="s">
        <v>15</v>
      </c>
      <c r="F2954" t="s">
        <v>15</v>
      </c>
      <c r="G2954" t="s">
        <v>19</v>
      </c>
      <c r="H2954" t="s">
        <v>22</v>
      </c>
      <c r="I2954">
        <v>72.75</v>
      </c>
      <c r="J2954">
        <v>22.2</v>
      </c>
      <c r="K2954" t="s">
        <v>27</v>
      </c>
      <c r="L2954" t="s">
        <v>15</v>
      </c>
    </row>
    <row r="2955" spans="1:12" x14ac:dyDescent="0.3">
      <c r="A2955">
        <v>32202</v>
      </c>
      <c r="B2955" t="s">
        <v>12</v>
      </c>
      <c r="C2955">
        <v>53</v>
      </c>
      <c r="D2955" t="s">
        <v>15</v>
      </c>
      <c r="E2955" t="s">
        <v>15</v>
      </c>
      <c r="F2955" t="s">
        <v>16</v>
      </c>
      <c r="G2955" t="s">
        <v>17</v>
      </c>
      <c r="H2955" t="s">
        <v>23</v>
      </c>
      <c r="I2955">
        <v>95.47</v>
      </c>
      <c r="J2955">
        <v>26</v>
      </c>
      <c r="K2955" t="s">
        <v>26</v>
      </c>
      <c r="L2955" t="s">
        <v>15</v>
      </c>
    </row>
    <row r="2956" spans="1:12" x14ac:dyDescent="0.3">
      <c r="A2956">
        <v>52489</v>
      </c>
      <c r="B2956" t="s">
        <v>13</v>
      </c>
      <c r="C2956">
        <v>18</v>
      </c>
      <c r="D2956" t="s">
        <v>15</v>
      </c>
      <c r="E2956" t="s">
        <v>15</v>
      </c>
      <c r="F2956" t="s">
        <v>15</v>
      </c>
      <c r="G2956" t="s">
        <v>17</v>
      </c>
      <c r="H2956" t="s">
        <v>22</v>
      </c>
      <c r="I2956">
        <v>70.540000000000006</v>
      </c>
      <c r="J2956">
        <v>23.5</v>
      </c>
      <c r="K2956" t="s">
        <v>27</v>
      </c>
      <c r="L2956" t="s">
        <v>15</v>
      </c>
    </row>
    <row r="2957" spans="1:12" x14ac:dyDescent="0.3">
      <c r="A2957">
        <v>13374</v>
      </c>
      <c r="B2957" t="s">
        <v>12</v>
      </c>
      <c r="C2957">
        <v>48</v>
      </c>
      <c r="D2957" t="s">
        <v>15</v>
      </c>
      <c r="E2957" t="s">
        <v>15</v>
      </c>
      <c r="F2957" t="s">
        <v>16</v>
      </c>
      <c r="G2957" t="s">
        <v>17</v>
      </c>
      <c r="H2957" t="s">
        <v>22</v>
      </c>
      <c r="I2957">
        <v>100.03</v>
      </c>
      <c r="J2957">
        <v>23.5</v>
      </c>
      <c r="K2957" t="s">
        <v>25</v>
      </c>
      <c r="L2957" t="s">
        <v>15</v>
      </c>
    </row>
    <row r="2958" spans="1:12" x14ac:dyDescent="0.3">
      <c r="A2958">
        <v>66370</v>
      </c>
      <c r="B2958" t="s">
        <v>13</v>
      </c>
      <c r="C2958">
        <v>5</v>
      </c>
      <c r="D2958" t="s">
        <v>15</v>
      </c>
      <c r="E2958" t="s">
        <v>15</v>
      </c>
      <c r="F2958" t="s">
        <v>15</v>
      </c>
      <c r="G2958" t="s">
        <v>20</v>
      </c>
      <c r="H2958" t="s">
        <v>23</v>
      </c>
      <c r="I2958">
        <v>59.78</v>
      </c>
      <c r="J2958">
        <v>15.9</v>
      </c>
      <c r="K2958" t="s">
        <v>27</v>
      </c>
      <c r="L2958" t="s">
        <v>15</v>
      </c>
    </row>
    <row r="2959" spans="1:12" x14ac:dyDescent="0.3">
      <c r="A2959">
        <v>259</v>
      </c>
      <c r="B2959" t="s">
        <v>12</v>
      </c>
      <c r="C2959">
        <v>79</v>
      </c>
      <c r="D2959" t="s">
        <v>15</v>
      </c>
      <c r="E2959" t="s">
        <v>15</v>
      </c>
      <c r="F2959" t="s">
        <v>16</v>
      </c>
      <c r="G2959" t="s">
        <v>17</v>
      </c>
      <c r="H2959" t="s">
        <v>22</v>
      </c>
      <c r="I2959">
        <v>198.79</v>
      </c>
      <c r="J2959">
        <v>24.9</v>
      </c>
      <c r="K2959" t="s">
        <v>25</v>
      </c>
      <c r="L2959" t="s">
        <v>15</v>
      </c>
    </row>
    <row r="2960" spans="1:12" x14ac:dyDescent="0.3">
      <c r="A2960">
        <v>12092</v>
      </c>
      <c r="B2960" t="s">
        <v>12</v>
      </c>
      <c r="C2960">
        <v>16</v>
      </c>
      <c r="D2960" t="s">
        <v>15</v>
      </c>
      <c r="E2960" t="s">
        <v>15</v>
      </c>
      <c r="F2960" t="s">
        <v>15</v>
      </c>
      <c r="G2960" t="s">
        <v>17</v>
      </c>
      <c r="H2960" t="s">
        <v>23</v>
      </c>
      <c r="I2960">
        <v>90.39</v>
      </c>
      <c r="J2960">
        <v>26.5</v>
      </c>
      <c r="K2960" t="s">
        <v>25</v>
      </c>
      <c r="L2960" t="s">
        <v>15</v>
      </c>
    </row>
    <row r="2961" spans="1:12" x14ac:dyDescent="0.3">
      <c r="A2961">
        <v>38263</v>
      </c>
      <c r="B2961" t="s">
        <v>13</v>
      </c>
      <c r="C2961">
        <v>32</v>
      </c>
      <c r="D2961" t="s">
        <v>15</v>
      </c>
      <c r="E2961" t="s">
        <v>15</v>
      </c>
      <c r="F2961" t="s">
        <v>16</v>
      </c>
      <c r="G2961" t="s">
        <v>17</v>
      </c>
      <c r="H2961" t="s">
        <v>23</v>
      </c>
      <c r="I2961">
        <v>147.04</v>
      </c>
      <c r="J2961">
        <v>35.700000000000003</v>
      </c>
      <c r="K2961" t="s">
        <v>27</v>
      </c>
      <c r="L2961" t="s">
        <v>15</v>
      </c>
    </row>
    <row r="2962" spans="1:12" x14ac:dyDescent="0.3">
      <c r="A2962">
        <v>1666</v>
      </c>
      <c r="B2962" t="s">
        <v>12</v>
      </c>
      <c r="C2962">
        <v>70</v>
      </c>
      <c r="D2962" t="s">
        <v>15</v>
      </c>
      <c r="E2962" t="s">
        <v>15</v>
      </c>
      <c r="F2962" t="s">
        <v>16</v>
      </c>
      <c r="G2962" t="s">
        <v>19</v>
      </c>
      <c r="H2962" t="s">
        <v>22</v>
      </c>
      <c r="I2962">
        <v>202.55</v>
      </c>
      <c r="K2962" t="s">
        <v>24</v>
      </c>
      <c r="L2962" t="s">
        <v>15</v>
      </c>
    </row>
    <row r="2963" spans="1:12" x14ac:dyDescent="0.3">
      <c r="A2963">
        <v>48922</v>
      </c>
      <c r="B2963" t="s">
        <v>12</v>
      </c>
      <c r="C2963">
        <v>55</v>
      </c>
      <c r="D2963" t="s">
        <v>16</v>
      </c>
      <c r="E2963" t="s">
        <v>16</v>
      </c>
      <c r="F2963" t="s">
        <v>16</v>
      </c>
      <c r="G2963" t="s">
        <v>17</v>
      </c>
      <c r="H2963" t="s">
        <v>23</v>
      </c>
      <c r="I2963">
        <v>64.92</v>
      </c>
      <c r="J2963">
        <v>32.1</v>
      </c>
      <c r="K2963" t="s">
        <v>26</v>
      </c>
      <c r="L2963" t="s">
        <v>15</v>
      </c>
    </row>
    <row r="2964" spans="1:12" x14ac:dyDescent="0.3">
      <c r="A2964">
        <v>58061</v>
      </c>
      <c r="B2964" t="s">
        <v>13</v>
      </c>
      <c r="C2964">
        <v>70</v>
      </c>
      <c r="D2964" t="s">
        <v>16</v>
      </c>
      <c r="E2964" t="s">
        <v>15</v>
      </c>
      <c r="F2964" t="s">
        <v>16</v>
      </c>
      <c r="G2964" t="s">
        <v>18</v>
      </c>
      <c r="H2964" t="s">
        <v>23</v>
      </c>
      <c r="I2964">
        <v>154.6</v>
      </c>
      <c r="J2964">
        <v>28.5</v>
      </c>
      <c r="K2964" t="s">
        <v>24</v>
      </c>
      <c r="L2964" t="s">
        <v>15</v>
      </c>
    </row>
    <row r="2965" spans="1:12" x14ac:dyDescent="0.3">
      <c r="A2965">
        <v>50283</v>
      </c>
      <c r="B2965" t="s">
        <v>13</v>
      </c>
      <c r="C2965">
        <v>51</v>
      </c>
      <c r="D2965" t="s">
        <v>15</v>
      </c>
      <c r="E2965" t="s">
        <v>15</v>
      </c>
      <c r="F2965" t="s">
        <v>16</v>
      </c>
      <c r="G2965" t="s">
        <v>17</v>
      </c>
      <c r="H2965" t="s">
        <v>22</v>
      </c>
      <c r="I2965">
        <v>95.98</v>
      </c>
      <c r="J2965">
        <v>40.1</v>
      </c>
      <c r="K2965" t="s">
        <v>26</v>
      </c>
      <c r="L2965" t="s">
        <v>15</v>
      </c>
    </row>
    <row r="2966" spans="1:12" x14ac:dyDescent="0.3">
      <c r="A2966">
        <v>26605</v>
      </c>
      <c r="B2966" t="s">
        <v>13</v>
      </c>
      <c r="C2966">
        <v>39</v>
      </c>
      <c r="D2966" t="s">
        <v>15</v>
      </c>
      <c r="E2966" t="s">
        <v>15</v>
      </c>
      <c r="F2966" t="s">
        <v>16</v>
      </c>
      <c r="G2966" t="s">
        <v>17</v>
      </c>
      <c r="H2966" t="s">
        <v>23</v>
      </c>
      <c r="I2966">
        <v>102.51</v>
      </c>
      <c r="J2966">
        <v>26.6</v>
      </c>
      <c r="K2966" t="s">
        <v>26</v>
      </c>
      <c r="L2966" t="s">
        <v>15</v>
      </c>
    </row>
    <row r="2967" spans="1:12" x14ac:dyDescent="0.3">
      <c r="A2967">
        <v>10396</v>
      </c>
      <c r="B2967" t="s">
        <v>12</v>
      </c>
      <c r="C2967">
        <v>79</v>
      </c>
      <c r="D2967" t="s">
        <v>16</v>
      </c>
      <c r="E2967" t="s">
        <v>15</v>
      </c>
      <c r="F2967" t="s">
        <v>15</v>
      </c>
      <c r="G2967" t="s">
        <v>17</v>
      </c>
      <c r="H2967" t="s">
        <v>22</v>
      </c>
      <c r="I2967">
        <v>96.52</v>
      </c>
      <c r="J2967">
        <v>21.7</v>
      </c>
      <c r="K2967" t="s">
        <v>27</v>
      </c>
      <c r="L2967" t="s">
        <v>15</v>
      </c>
    </row>
    <row r="2968" spans="1:12" x14ac:dyDescent="0.3">
      <c r="A2968">
        <v>14695</v>
      </c>
      <c r="B2968" t="s">
        <v>12</v>
      </c>
      <c r="C2968">
        <v>80</v>
      </c>
      <c r="D2968" t="s">
        <v>16</v>
      </c>
      <c r="E2968" t="s">
        <v>15</v>
      </c>
      <c r="F2968" t="s">
        <v>16</v>
      </c>
      <c r="G2968" t="s">
        <v>18</v>
      </c>
      <c r="H2968" t="s">
        <v>23</v>
      </c>
      <c r="I2968">
        <v>232.12</v>
      </c>
      <c r="J2968">
        <v>28.8</v>
      </c>
      <c r="K2968" t="s">
        <v>25</v>
      </c>
      <c r="L2968" t="s">
        <v>15</v>
      </c>
    </row>
    <row r="2969" spans="1:12" x14ac:dyDescent="0.3">
      <c r="A2969">
        <v>2579</v>
      </c>
      <c r="B2969" t="s">
        <v>13</v>
      </c>
      <c r="C2969">
        <v>34</v>
      </c>
      <c r="D2969" t="s">
        <v>15</v>
      </c>
      <c r="E2969" t="s">
        <v>15</v>
      </c>
      <c r="F2969" t="s">
        <v>16</v>
      </c>
      <c r="G2969" t="s">
        <v>18</v>
      </c>
      <c r="H2969" t="s">
        <v>23</v>
      </c>
      <c r="I2969">
        <v>78.12</v>
      </c>
      <c r="J2969">
        <v>32</v>
      </c>
      <c r="K2969" t="s">
        <v>27</v>
      </c>
      <c r="L2969" t="s">
        <v>15</v>
      </c>
    </row>
    <row r="2970" spans="1:12" x14ac:dyDescent="0.3">
      <c r="A2970">
        <v>71061</v>
      </c>
      <c r="B2970" t="s">
        <v>12</v>
      </c>
      <c r="C2970">
        <v>59</v>
      </c>
      <c r="D2970" t="s">
        <v>15</v>
      </c>
      <c r="E2970" t="s">
        <v>15</v>
      </c>
      <c r="F2970" t="s">
        <v>16</v>
      </c>
      <c r="G2970" t="s">
        <v>19</v>
      </c>
      <c r="H2970" t="s">
        <v>22</v>
      </c>
      <c r="I2970">
        <v>70.040000000000006</v>
      </c>
      <c r="J2970">
        <v>31.4</v>
      </c>
      <c r="K2970" t="s">
        <v>25</v>
      </c>
      <c r="L2970" t="s">
        <v>15</v>
      </c>
    </row>
    <row r="2971" spans="1:12" x14ac:dyDescent="0.3">
      <c r="A2971">
        <v>41250</v>
      </c>
      <c r="B2971" t="s">
        <v>13</v>
      </c>
      <c r="C2971">
        <v>54</v>
      </c>
      <c r="D2971" t="s">
        <v>15</v>
      </c>
      <c r="E2971" t="s">
        <v>15</v>
      </c>
      <c r="F2971" t="s">
        <v>16</v>
      </c>
      <c r="G2971" t="s">
        <v>17</v>
      </c>
      <c r="H2971" t="s">
        <v>23</v>
      </c>
      <c r="I2971">
        <v>97.61</v>
      </c>
      <c r="J2971">
        <v>32.1</v>
      </c>
      <c r="K2971" t="s">
        <v>26</v>
      </c>
      <c r="L2971" t="s">
        <v>15</v>
      </c>
    </row>
    <row r="2972" spans="1:12" x14ac:dyDescent="0.3">
      <c r="A2972">
        <v>53923</v>
      </c>
      <c r="B2972" t="s">
        <v>13</v>
      </c>
      <c r="C2972">
        <v>22</v>
      </c>
      <c r="D2972" t="s">
        <v>15</v>
      </c>
      <c r="E2972" t="s">
        <v>15</v>
      </c>
      <c r="F2972" t="s">
        <v>15</v>
      </c>
      <c r="G2972" t="s">
        <v>17</v>
      </c>
      <c r="H2972" t="s">
        <v>22</v>
      </c>
      <c r="I2972">
        <v>113.11</v>
      </c>
      <c r="J2972">
        <v>19.8</v>
      </c>
      <c r="K2972" t="s">
        <v>27</v>
      </c>
      <c r="L2972" t="s">
        <v>15</v>
      </c>
    </row>
    <row r="2973" spans="1:12" x14ac:dyDescent="0.3">
      <c r="A2973">
        <v>54139</v>
      </c>
      <c r="B2973" t="s">
        <v>13</v>
      </c>
      <c r="C2973">
        <v>21</v>
      </c>
      <c r="D2973" t="s">
        <v>15</v>
      </c>
      <c r="E2973" t="s">
        <v>15</v>
      </c>
      <c r="F2973" t="s">
        <v>15</v>
      </c>
      <c r="G2973" t="s">
        <v>17</v>
      </c>
      <c r="H2973" t="s">
        <v>23</v>
      </c>
      <c r="I2973">
        <v>71.06</v>
      </c>
      <c r="J2973">
        <v>25.3</v>
      </c>
      <c r="K2973" t="s">
        <v>24</v>
      </c>
      <c r="L2973" t="s">
        <v>15</v>
      </c>
    </row>
    <row r="2974" spans="1:12" x14ac:dyDescent="0.3">
      <c r="A2974">
        <v>32430</v>
      </c>
      <c r="B2974" t="s">
        <v>13</v>
      </c>
      <c r="C2974">
        <v>4</v>
      </c>
      <c r="D2974" t="s">
        <v>15</v>
      </c>
      <c r="E2974" t="s">
        <v>15</v>
      </c>
      <c r="F2974" t="s">
        <v>15</v>
      </c>
      <c r="G2974" t="s">
        <v>20</v>
      </c>
      <c r="H2974" t="s">
        <v>23</v>
      </c>
      <c r="I2974">
        <v>104.95</v>
      </c>
      <c r="J2974">
        <v>28.8</v>
      </c>
      <c r="K2974" t="s">
        <v>27</v>
      </c>
      <c r="L2974" t="s">
        <v>15</v>
      </c>
    </row>
    <row r="2975" spans="1:12" x14ac:dyDescent="0.3">
      <c r="A2975">
        <v>14928</v>
      </c>
      <c r="B2975" t="s">
        <v>13</v>
      </c>
      <c r="C2975">
        <v>26</v>
      </c>
      <c r="D2975" t="s">
        <v>15</v>
      </c>
      <c r="E2975" t="s">
        <v>15</v>
      </c>
      <c r="F2975" t="s">
        <v>15</v>
      </c>
      <c r="G2975" t="s">
        <v>17</v>
      </c>
      <c r="H2975" t="s">
        <v>22</v>
      </c>
      <c r="I2975">
        <v>81.94</v>
      </c>
      <c r="J2975">
        <v>26</v>
      </c>
      <c r="K2975" t="s">
        <v>26</v>
      </c>
      <c r="L2975" t="s">
        <v>15</v>
      </c>
    </row>
    <row r="2976" spans="1:12" x14ac:dyDescent="0.3">
      <c r="A2976">
        <v>32457</v>
      </c>
      <c r="B2976" t="s">
        <v>12</v>
      </c>
      <c r="C2976">
        <v>62</v>
      </c>
      <c r="D2976" t="s">
        <v>15</v>
      </c>
      <c r="E2976" t="s">
        <v>15</v>
      </c>
      <c r="F2976" t="s">
        <v>16</v>
      </c>
      <c r="G2976" t="s">
        <v>17</v>
      </c>
      <c r="H2976" t="s">
        <v>22</v>
      </c>
      <c r="I2976">
        <v>96.37</v>
      </c>
      <c r="J2976">
        <v>30.7</v>
      </c>
      <c r="K2976" t="s">
        <v>24</v>
      </c>
      <c r="L2976" t="s">
        <v>15</v>
      </c>
    </row>
    <row r="2977" spans="1:12" x14ac:dyDescent="0.3">
      <c r="A2977">
        <v>59718</v>
      </c>
      <c r="B2977" t="s">
        <v>13</v>
      </c>
      <c r="C2977">
        <v>33</v>
      </c>
      <c r="D2977" t="s">
        <v>15</v>
      </c>
      <c r="E2977" t="s">
        <v>15</v>
      </c>
      <c r="F2977" t="s">
        <v>16</v>
      </c>
      <c r="G2977" t="s">
        <v>17</v>
      </c>
      <c r="H2977" t="s">
        <v>23</v>
      </c>
      <c r="I2977">
        <v>114.16</v>
      </c>
      <c r="J2977">
        <v>43.3</v>
      </c>
      <c r="K2977" t="s">
        <v>25</v>
      </c>
      <c r="L2977" t="s">
        <v>15</v>
      </c>
    </row>
    <row r="2978" spans="1:12" x14ac:dyDescent="0.3">
      <c r="A2978">
        <v>4948</v>
      </c>
      <c r="B2978" t="s">
        <v>12</v>
      </c>
      <c r="C2978">
        <v>51</v>
      </c>
      <c r="D2978" t="s">
        <v>15</v>
      </c>
      <c r="E2978" t="s">
        <v>15</v>
      </c>
      <c r="F2978" t="s">
        <v>16</v>
      </c>
      <c r="G2978" t="s">
        <v>18</v>
      </c>
      <c r="H2978" t="s">
        <v>23</v>
      </c>
      <c r="I2978">
        <v>93.58</v>
      </c>
      <c r="J2978">
        <v>35.200000000000003</v>
      </c>
      <c r="K2978" t="s">
        <v>26</v>
      </c>
      <c r="L2978" t="s">
        <v>15</v>
      </c>
    </row>
    <row r="2979" spans="1:12" x14ac:dyDescent="0.3">
      <c r="A2979">
        <v>40870</v>
      </c>
      <c r="B2979" t="s">
        <v>13</v>
      </c>
      <c r="C2979">
        <v>75</v>
      </c>
      <c r="D2979" t="s">
        <v>15</v>
      </c>
      <c r="E2979" t="s">
        <v>15</v>
      </c>
      <c r="F2979" t="s">
        <v>16</v>
      </c>
      <c r="G2979" t="s">
        <v>19</v>
      </c>
      <c r="H2979" t="s">
        <v>22</v>
      </c>
      <c r="I2979">
        <v>73.89</v>
      </c>
      <c r="J2979">
        <v>20.9</v>
      </c>
      <c r="K2979" t="s">
        <v>27</v>
      </c>
      <c r="L2979" t="s">
        <v>15</v>
      </c>
    </row>
    <row r="2980" spans="1:12" x14ac:dyDescent="0.3">
      <c r="A2980">
        <v>2218</v>
      </c>
      <c r="B2980" t="s">
        <v>12</v>
      </c>
      <c r="C2980">
        <v>42</v>
      </c>
      <c r="D2980" t="s">
        <v>15</v>
      </c>
      <c r="E2980" t="s">
        <v>15</v>
      </c>
      <c r="F2980" t="s">
        <v>16</v>
      </c>
      <c r="G2980" t="s">
        <v>17</v>
      </c>
      <c r="H2980" t="s">
        <v>23</v>
      </c>
      <c r="I2980">
        <v>107.83</v>
      </c>
      <c r="J2980">
        <v>35.299999999999997</v>
      </c>
      <c r="K2980" t="s">
        <v>26</v>
      </c>
      <c r="L2980" t="s">
        <v>15</v>
      </c>
    </row>
    <row r="2981" spans="1:12" x14ac:dyDescent="0.3">
      <c r="A2981">
        <v>57494</v>
      </c>
      <c r="B2981" t="s">
        <v>13</v>
      </c>
      <c r="C2981">
        <v>82</v>
      </c>
      <c r="D2981" t="s">
        <v>16</v>
      </c>
      <c r="E2981" t="s">
        <v>15</v>
      </c>
      <c r="F2981" t="s">
        <v>16</v>
      </c>
      <c r="G2981" t="s">
        <v>18</v>
      </c>
      <c r="H2981" t="s">
        <v>22</v>
      </c>
      <c r="I2981">
        <v>107.21</v>
      </c>
      <c r="J2981">
        <v>27</v>
      </c>
      <c r="K2981" t="s">
        <v>24</v>
      </c>
      <c r="L2981" t="s">
        <v>15</v>
      </c>
    </row>
    <row r="2982" spans="1:12" x14ac:dyDescent="0.3">
      <c r="A2982">
        <v>1534</v>
      </c>
      <c r="B2982" t="s">
        <v>13</v>
      </c>
      <c r="C2982">
        <v>61</v>
      </c>
      <c r="D2982" t="s">
        <v>15</v>
      </c>
      <c r="E2982" t="s">
        <v>15</v>
      </c>
      <c r="F2982" t="s">
        <v>16</v>
      </c>
      <c r="G2982" t="s">
        <v>17</v>
      </c>
      <c r="H2982" t="s">
        <v>23</v>
      </c>
      <c r="I2982">
        <v>99.35</v>
      </c>
      <c r="J2982">
        <v>26.1</v>
      </c>
      <c r="K2982" t="s">
        <v>26</v>
      </c>
      <c r="L2982" t="s">
        <v>15</v>
      </c>
    </row>
    <row r="2983" spans="1:12" x14ac:dyDescent="0.3">
      <c r="A2983">
        <v>69329</v>
      </c>
      <c r="B2983" t="s">
        <v>13</v>
      </c>
      <c r="C2983">
        <v>62</v>
      </c>
      <c r="D2983" t="s">
        <v>15</v>
      </c>
      <c r="E2983" t="s">
        <v>15</v>
      </c>
      <c r="F2983" t="s">
        <v>16</v>
      </c>
      <c r="G2983" t="s">
        <v>17</v>
      </c>
      <c r="H2983" t="s">
        <v>23</v>
      </c>
      <c r="I2983">
        <v>203.57</v>
      </c>
      <c r="J2983">
        <v>29.1</v>
      </c>
      <c r="K2983" t="s">
        <v>27</v>
      </c>
      <c r="L2983" t="s">
        <v>15</v>
      </c>
    </row>
    <row r="2984" spans="1:12" x14ac:dyDescent="0.3">
      <c r="A2984">
        <v>39852</v>
      </c>
      <c r="B2984" t="s">
        <v>12</v>
      </c>
      <c r="C2984">
        <v>59</v>
      </c>
      <c r="D2984" t="s">
        <v>16</v>
      </c>
      <c r="E2984" t="s">
        <v>16</v>
      </c>
      <c r="F2984" t="s">
        <v>16</v>
      </c>
      <c r="G2984" t="s">
        <v>19</v>
      </c>
      <c r="H2984" t="s">
        <v>23</v>
      </c>
      <c r="I2984">
        <v>81.510000000000005</v>
      </c>
      <c r="J2984">
        <v>32.6</v>
      </c>
      <c r="K2984" t="s">
        <v>25</v>
      </c>
      <c r="L2984" t="s">
        <v>15</v>
      </c>
    </row>
    <row r="2985" spans="1:12" x14ac:dyDescent="0.3">
      <c r="A2985">
        <v>65358</v>
      </c>
      <c r="B2985" t="s">
        <v>13</v>
      </c>
      <c r="C2985">
        <v>31</v>
      </c>
      <c r="D2985" t="s">
        <v>15</v>
      </c>
      <c r="E2985" t="s">
        <v>15</v>
      </c>
      <c r="F2985" t="s">
        <v>16</v>
      </c>
      <c r="G2985" t="s">
        <v>17</v>
      </c>
      <c r="H2985" t="s">
        <v>23</v>
      </c>
      <c r="I2985">
        <v>69.260000000000005</v>
      </c>
      <c r="J2985">
        <v>21.8</v>
      </c>
      <c r="K2985" t="s">
        <v>24</v>
      </c>
      <c r="L2985" t="s">
        <v>15</v>
      </c>
    </row>
    <row r="2986" spans="1:12" x14ac:dyDescent="0.3">
      <c r="A2986">
        <v>36488</v>
      </c>
      <c r="B2986" t="s">
        <v>12</v>
      </c>
      <c r="C2986">
        <v>12</v>
      </c>
      <c r="D2986" t="s">
        <v>15</v>
      </c>
      <c r="E2986" t="s">
        <v>15</v>
      </c>
      <c r="F2986" t="s">
        <v>15</v>
      </c>
      <c r="G2986" t="s">
        <v>20</v>
      </c>
      <c r="H2986" t="s">
        <v>22</v>
      </c>
      <c r="I2986">
        <v>111.47</v>
      </c>
      <c r="J2986">
        <v>32.299999999999997</v>
      </c>
      <c r="K2986" t="s">
        <v>25</v>
      </c>
      <c r="L2986" t="s">
        <v>15</v>
      </c>
    </row>
    <row r="2987" spans="1:12" x14ac:dyDescent="0.3">
      <c r="A2987">
        <v>55567</v>
      </c>
      <c r="B2987" t="s">
        <v>13</v>
      </c>
      <c r="C2987">
        <v>76</v>
      </c>
      <c r="D2987" t="s">
        <v>15</v>
      </c>
      <c r="E2987" t="s">
        <v>16</v>
      </c>
      <c r="F2987" t="s">
        <v>16</v>
      </c>
      <c r="G2987" t="s">
        <v>17</v>
      </c>
      <c r="H2987" t="s">
        <v>23</v>
      </c>
      <c r="I2987">
        <v>86.09</v>
      </c>
      <c r="J2987">
        <v>28.1</v>
      </c>
      <c r="K2987" t="s">
        <v>25</v>
      </c>
      <c r="L2987" t="s">
        <v>15</v>
      </c>
    </row>
    <row r="2988" spans="1:12" x14ac:dyDescent="0.3">
      <c r="A2988">
        <v>33562</v>
      </c>
      <c r="B2988" t="s">
        <v>12</v>
      </c>
      <c r="C2988">
        <v>71</v>
      </c>
      <c r="D2988" t="s">
        <v>15</v>
      </c>
      <c r="E2988" t="s">
        <v>16</v>
      </c>
      <c r="F2988" t="s">
        <v>16</v>
      </c>
      <c r="G2988" t="s">
        <v>19</v>
      </c>
      <c r="H2988" t="s">
        <v>23</v>
      </c>
      <c r="I2988">
        <v>72.94</v>
      </c>
      <c r="J2988">
        <v>32.299999999999997</v>
      </c>
      <c r="K2988" t="s">
        <v>24</v>
      </c>
      <c r="L2988" t="s">
        <v>15</v>
      </c>
    </row>
    <row r="2989" spans="1:12" x14ac:dyDescent="0.3">
      <c r="A2989">
        <v>20006</v>
      </c>
      <c r="B2989" t="s">
        <v>13</v>
      </c>
      <c r="C2989">
        <v>15</v>
      </c>
      <c r="D2989" t="s">
        <v>15</v>
      </c>
      <c r="E2989" t="s">
        <v>15</v>
      </c>
      <c r="F2989" t="s">
        <v>15</v>
      </c>
      <c r="G2989" t="s">
        <v>17</v>
      </c>
      <c r="H2989" t="s">
        <v>22</v>
      </c>
      <c r="I2989">
        <v>76.77</v>
      </c>
      <c r="J2989">
        <v>21.7</v>
      </c>
      <c r="K2989" t="s">
        <v>27</v>
      </c>
      <c r="L2989" t="s">
        <v>15</v>
      </c>
    </row>
    <row r="2990" spans="1:12" x14ac:dyDescent="0.3">
      <c r="A2990">
        <v>47696</v>
      </c>
      <c r="B2990" t="s">
        <v>12</v>
      </c>
      <c r="C2990">
        <v>44</v>
      </c>
      <c r="D2990" t="s">
        <v>15</v>
      </c>
      <c r="E2990" t="s">
        <v>15</v>
      </c>
      <c r="F2990" t="s">
        <v>16</v>
      </c>
      <c r="G2990" t="s">
        <v>17</v>
      </c>
      <c r="H2990" t="s">
        <v>23</v>
      </c>
      <c r="I2990">
        <v>60.32</v>
      </c>
      <c r="J2990">
        <v>25</v>
      </c>
      <c r="K2990" t="s">
        <v>25</v>
      </c>
      <c r="L2990" t="s">
        <v>15</v>
      </c>
    </row>
    <row r="2991" spans="1:12" x14ac:dyDescent="0.3">
      <c r="A2991">
        <v>60117</v>
      </c>
      <c r="B2991" t="s">
        <v>12</v>
      </c>
      <c r="C2991">
        <v>30</v>
      </c>
      <c r="D2991" t="s">
        <v>15</v>
      </c>
      <c r="E2991" t="s">
        <v>15</v>
      </c>
      <c r="F2991" t="s">
        <v>15</v>
      </c>
      <c r="G2991" t="s">
        <v>17</v>
      </c>
      <c r="H2991" t="s">
        <v>23</v>
      </c>
      <c r="I2991">
        <v>133.24</v>
      </c>
      <c r="J2991">
        <v>28.9</v>
      </c>
      <c r="K2991" t="s">
        <v>25</v>
      </c>
      <c r="L2991" t="s">
        <v>15</v>
      </c>
    </row>
    <row r="2992" spans="1:12" x14ac:dyDescent="0.3">
      <c r="A2992">
        <v>5032</v>
      </c>
      <c r="B2992" t="s">
        <v>13</v>
      </c>
      <c r="C2992">
        <v>47</v>
      </c>
      <c r="D2992" t="s">
        <v>15</v>
      </c>
      <c r="E2992" t="s">
        <v>15</v>
      </c>
      <c r="F2992" t="s">
        <v>16</v>
      </c>
      <c r="G2992" t="s">
        <v>17</v>
      </c>
      <c r="H2992" t="s">
        <v>23</v>
      </c>
      <c r="I2992">
        <v>65.010000000000005</v>
      </c>
      <c r="J2992">
        <v>21.7</v>
      </c>
      <c r="K2992" t="s">
        <v>24</v>
      </c>
      <c r="L2992" t="s">
        <v>15</v>
      </c>
    </row>
    <row r="2993" spans="1:12" x14ac:dyDescent="0.3">
      <c r="A2993">
        <v>5780</v>
      </c>
      <c r="B2993" t="s">
        <v>13</v>
      </c>
      <c r="C2993">
        <v>47</v>
      </c>
      <c r="D2993" t="s">
        <v>15</v>
      </c>
      <c r="E2993" t="s">
        <v>15</v>
      </c>
      <c r="F2993" t="s">
        <v>16</v>
      </c>
      <c r="G2993" t="s">
        <v>17</v>
      </c>
      <c r="H2993" t="s">
        <v>22</v>
      </c>
      <c r="I2993">
        <v>74.63</v>
      </c>
      <c r="J2993">
        <v>45.3</v>
      </c>
      <c r="K2993" t="s">
        <v>25</v>
      </c>
      <c r="L2993" t="s">
        <v>15</v>
      </c>
    </row>
    <row r="2994" spans="1:12" x14ac:dyDescent="0.3">
      <c r="A2994">
        <v>52236</v>
      </c>
      <c r="B2994" t="s">
        <v>13</v>
      </c>
      <c r="C2994">
        <v>60</v>
      </c>
      <c r="D2994" t="s">
        <v>15</v>
      </c>
      <c r="E2994" t="s">
        <v>15</v>
      </c>
      <c r="F2994" t="s">
        <v>16</v>
      </c>
      <c r="G2994" t="s">
        <v>17</v>
      </c>
      <c r="H2994" t="s">
        <v>23</v>
      </c>
      <c r="I2994">
        <v>230.78</v>
      </c>
      <c r="J2994">
        <v>40.200000000000003</v>
      </c>
      <c r="K2994" t="s">
        <v>25</v>
      </c>
      <c r="L2994" t="s">
        <v>15</v>
      </c>
    </row>
    <row r="2995" spans="1:12" x14ac:dyDescent="0.3">
      <c r="A2995">
        <v>59752</v>
      </c>
      <c r="B2995" t="s">
        <v>12</v>
      </c>
      <c r="C2995">
        <v>62</v>
      </c>
      <c r="D2995" t="s">
        <v>15</v>
      </c>
      <c r="E2995" t="s">
        <v>15</v>
      </c>
      <c r="F2995" t="s">
        <v>16</v>
      </c>
      <c r="G2995" t="s">
        <v>17</v>
      </c>
      <c r="H2995" t="s">
        <v>22</v>
      </c>
      <c r="I2995">
        <v>72.5</v>
      </c>
      <c r="J2995">
        <v>22.5</v>
      </c>
      <c r="K2995" t="s">
        <v>24</v>
      </c>
      <c r="L2995" t="s">
        <v>15</v>
      </c>
    </row>
    <row r="2996" spans="1:12" x14ac:dyDescent="0.3">
      <c r="A2996">
        <v>47005</v>
      </c>
      <c r="B2996" t="s">
        <v>13</v>
      </c>
      <c r="C2996">
        <v>47</v>
      </c>
      <c r="D2996" t="s">
        <v>15</v>
      </c>
      <c r="E2996" t="s">
        <v>15</v>
      </c>
      <c r="F2996" t="s">
        <v>16</v>
      </c>
      <c r="G2996" t="s">
        <v>17</v>
      </c>
      <c r="H2996" t="s">
        <v>22</v>
      </c>
      <c r="I2996">
        <v>68.48</v>
      </c>
      <c r="J2996">
        <v>21.3</v>
      </c>
      <c r="K2996" t="s">
        <v>25</v>
      </c>
      <c r="L2996" t="s">
        <v>15</v>
      </c>
    </row>
    <row r="2997" spans="1:12" x14ac:dyDescent="0.3">
      <c r="A2997">
        <v>4750</v>
      </c>
      <c r="B2997" t="s">
        <v>12</v>
      </c>
      <c r="C2997">
        <v>78</v>
      </c>
      <c r="D2997" t="s">
        <v>15</v>
      </c>
      <c r="E2997" t="s">
        <v>15</v>
      </c>
      <c r="F2997" t="s">
        <v>16</v>
      </c>
      <c r="G2997" t="s">
        <v>17</v>
      </c>
      <c r="H2997" t="s">
        <v>22</v>
      </c>
      <c r="I2997">
        <v>85.03</v>
      </c>
      <c r="J2997">
        <v>26.1</v>
      </c>
      <c r="K2997" t="s">
        <v>24</v>
      </c>
      <c r="L2997" t="s">
        <v>15</v>
      </c>
    </row>
    <row r="2998" spans="1:12" x14ac:dyDescent="0.3">
      <c r="A2998">
        <v>65127</v>
      </c>
      <c r="B2998" t="s">
        <v>13</v>
      </c>
      <c r="C2998">
        <v>35</v>
      </c>
      <c r="D2998" t="s">
        <v>15</v>
      </c>
      <c r="E2998" t="s">
        <v>15</v>
      </c>
      <c r="F2998" t="s">
        <v>16</v>
      </c>
      <c r="G2998" t="s">
        <v>17</v>
      </c>
      <c r="H2998" t="s">
        <v>22</v>
      </c>
      <c r="I2998">
        <v>80.760000000000005</v>
      </c>
      <c r="J2998">
        <v>28.8</v>
      </c>
      <c r="K2998" t="s">
        <v>26</v>
      </c>
      <c r="L2998" t="s">
        <v>15</v>
      </c>
    </row>
    <row r="2999" spans="1:12" x14ac:dyDescent="0.3">
      <c r="A2999">
        <v>4498</v>
      </c>
      <c r="B2999" t="s">
        <v>12</v>
      </c>
      <c r="C2999">
        <v>71</v>
      </c>
      <c r="D2999" t="s">
        <v>15</v>
      </c>
      <c r="E2999" t="s">
        <v>16</v>
      </c>
      <c r="F2999" t="s">
        <v>16</v>
      </c>
      <c r="G2999" t="s">
        <v>17</v>
      </c>
      <c r="H2999" t="s">
        <v>22</v>
      </c>
      <c r="I2999">
        <v>204.98</v>
      </c>
      <c r="K2999" t="s">
        <v>24</v>
      </c>
      <c r="L2999" t="s">
        <v>15</v>
      </c>
    </row>
    <row r="3000" spans="1:12" x14ac:dyDescent="0.3">
      <c r="A3000">
        <v>32203</v>
      </c>
      <c r="B3000" t="s">
        <v>13</v>
      </c>
      <c r="C3000">
        <v>57</v>
      </c>
      <c r="D3000" t="s">
        <v>15</v>
      </c>
      <c r="E3000" t="s">
        <v>15</v>
      </c>
      <c r="F3000" t="s">
        <v>16</v>
      </c>
      <c r="G3000" t="s">
        <v>18</v>
      </c>
      <c r="H3000" t="s">
        <v>23</v>
      </c>
      <c r="I3000">
        <v>95.36</v>
      </c>
      <c r="J3000">
        <v>32.4</v>
      </c>
      <c r="K3000" t="s">
        <v>24</v>
      </c>
      <c r="L3000" t="s">
        <v>15</v>
      </c>
    </row>
    <row r="3001" spans="1:12" x14ac:dyDescent="0.3">
      <c r="A3001">
        <v>27436</v>
      </c>
      <c r="B3001" t="s">
        <v>12</v>
      </c>
      <c r="C3001">
        <v>12</v>
      </c>
      <c r="D3001" t="s">
        <v>15</v>
      </c>
      <c r="E3001" t="s">
        <v>15</v>
      </c>
      <c r="F3001" t="s">
        <v>15</v>
      </c>
      <c r="G3001" t="s">
        <v>20</v>
      </c>
      <c r="H3001" t="s">
        <v>22</v>
      </c>
      <c r="I3001">
        <v>110.33</v>
      </c>
      <c r="J3001">
        <v>20.399999999999999</v>
      </c>
      <c r="K3001" t="s">
        <v>27</v>
      </c>
      <c r="L3001" t="s">
        <v>15</v>
      </c>
    </row>
    <row r="3002" spans="1:12" x14ac:dyDescent="0.3">
      <c r="A3002">
        <v>34999</v>
      </c>
      <c r="B3002" t="s">
        <v>12</v>
      </c>
      <c r="C3002">
        <v>26</v>
      </c>
      <c r="D3002" t="s">
        <v>15</v>
      </c>
      <c r="E3002" t="s">
        <v>15</v>
      </c>
      <c r="F3002" t="s">
        <v>16</v>
      </c>
      <c r="G3002" t="s">
        <v>17</v>
      </c>
      <c r="H3002" t="s">
        <v>22</v>
      </c>
      <c r="I3002">
        <v>89.18</v>
      </c>
      <c r="J3002">
        <v>25.9</v>
      </c>
      <c r="K3002" t="s">
        <v>24</v>
      </c>
      <c r="L3002" t="s">
        <v>15</v>
      </c>
    </row>
    <row r="3003" spans="1:12" x14ac:dyDescent="0.3">
      <c r="A3003">
        <v>4213</v>
      </c>
      <c r="B3003" t="s">
        <v>12</v>
      </c>
      <c r="C3003">
        <v>33</v>
      </c>
      <c r="D3003" t="s">
        <v>15</v>
      </c>
      <c r="E3003" t="s">
        <v>15</v>
      </c>
      <c r="F3003" t="s">
        <v>15</v>
      </c>
      <c r="G3003" t="s">
        <v>18</v>
      </c>
      <c r="H3003" t="s">
        <v>23</v>
      </c>
      <c r="I3003">
        <v>91.53</v>
      </c>
      <c r="J3003">
        <v>38.799999999999997</v>
      </c>
      <c r="K3003" t="s">
        <v>24</v>
      </c>
      <c r="L3003" t="s">
        <v>15</v>
      </c>
    </row>
    <row r="3004" spans="1:12" x14ac:dyDescent="0.3">
      <c r="A3004">
        <v>71669</v>
      </c>
      <c r="B3004" t="s">
        <v>12</v>
      </c>
      <c r="C3004">
        <v>60</v>
      </c>
      <c r="D3004" t="s">
        <v>15</v>
      </c>
      <c r="E3004" t="s">
        <v>15</v>
      </c>
      <c r="F3004" t="s">
        <v>16</v>
      </c>
      <c r="G3004" t="s">
        <v>17</v>
      </c>
      <c r="H3004" t="s">
        <v>23</v>
      </c>
      <c r="I3004">
        <v>65.16</v>
      </c>
      <c r="J3004">
        <v>30.8</v>
      </c>
      <c r="K3004" t="s">
        <v>25</v>
      </c>
      <c r="L3004" t="s">
        <v>15</v>
      </c>
    </row>
    <row r="3005" spans="1:12" x14ac:dyDescent="0.3">
      <c r="A3005">
        <v>36803</v>
      </c>
      <c r="B3005" t="s">
        <v>13</v>
      </c>
      <c r="C3005">
        <v>35</v>
      </c>
      <c r="D3005" t="s">
        <v>15</v>
      </c>
      <c r="E3005" t="s">
        <v>15</v>
      </c>
      <c r="F3005" t="s">
        <v>15</v>
      </c>
      <c r="G3005" t="s">
        <v>17</v>
      </c>
      <c r="H3005" t="s">
        <v>23</v>
      </c>
      <c r="I3005">
        <v>74.53</v>
      </c>
      <c r="J3005">
        <v>24.6</v>
      </c>
      <c r="K3005" t="s">
        <v>25</v>
      </c>
      <c r="L3005" t="s">
        <v>15</v>
      </c>
    </row>
    <row r="3006" spans="1:12" x14ac:dyDescent="0.3">
      <c r="A3006">
        <v>17725</v>
      </c>
      <c r="B3006" t="s">
        <v>13</v>
      </c>
      <c r="C3006">
        <v>10</v>
      </c>
      <c r="D3006" t="s">
        <v>15</v>
      </c>
      <c r="E3006" t="s">
        <v>15</v>
      </c>
      <c r="F3006" t="s">
        <v>15</v>
      </c>
      <c r="G3006" t="s">
        <v>20</v>
      </c>
      <c r="H3006" t="s">
        <v>23</v>
      </c>
      <c r="I3006">
        <v>93.29</v>
      </c>
      <c r="J3006">
        <v>20.6</v>
      </c>
      <c r="K3006" t="s">
        <v>27</v>
      </c>
      <c r="L3006" t="s">
        <v>15</v>
      </c>
    </row>
    <row r="3007" spans="1:12" x14ac:dyDescent="0.3">
      <c r="A3007">
        <v>57983</v>
      </c>
      <c r="B3007" t="s">
        <v>12</v>
      </c>
      <c r="C3007">
        <v>50</v>
      </c>
      <c r="D3007" t="s">
        <v>15</v>
      </c>
      <c r="E3007" t="s">
        <v>15</v>
      </c>
      <c r="F3007" t="s">
        <v>16</v>
      </c>
      <c r="G3007" t="s">
        <v>19</v>
      </c>
      <c r="H3007" t="s">
        <v>22</v>
      </c>
      <c r="I3007">
        <v>227.89</v>
      </c>
      <c r="J3007">
        <v>38.799999999999997</v>
      </c>
      <c r="K3007" t="s">
        <v>24</v>
      </c>
      <c r="L3007" t="s">
        <v>15</v>
      </c>
    </row>
    <row r="3008" spans="1:12" x14ac:dyDescent="0.3">
      <c r="A3008">
        <v>68089</v>
      </c>
      <c r="B3008" t="s">
        <v>13</v>
      </c>
      <c r="C3008">
        <v>44</v>
      </c>
      <c r="D3008" t="s">
        <v>15</v>
      </c>
      <c r="E3008" t="s">
        <v>15</v>
      </c>
      <c r="F3008" t="s">
        <v>16</v>
      </c>
      <c r="G3008" t="s">
        <v>17</v>
      </c>
      <c r="H3008" t="s">
        <v>22</v>
      </c>
      <c r="I3008">
        <v>121.46</v>
      </c>
      <c r="J3008">
        <v>40.4</v>
      </c>
      <c r="K3008" t="s">
        <v>27</v>
      </c>
      <c r="L3008" t="s">
        <v>15</v>
      </c>
    </row>
    <row r="3009" spans="1:12" x14ac:dyDescent="0.3">
      <c r="A3009">
        <v>3135</v>
      </c>
      <c r="B3009" t="s">
        <v>13</v>
      </c>
      <c r="C3009">
        <v>73</v>
      </c>
      <c r="D3009" t="s">
        <v>15</v>
      </c>
      <c r="E3009" t="s">
        <v>15</v>
      </c>
      <c r="F3009" t="s">
        <v>15</v>
      </c>
      <c r="G3009" t="s">
        <v>18</v>
      </c>
      <c r="H3009" t="s">
        <v>23</v>
      </c>
      <c r="I3009">
        <v>69.349999999999994</v>
      </c>
      <c r="K3009" t="s">
        <v>25</v>
      </c>
      <c r="L3009" t="s">
        <v>15</v>
      </c>
    </row>
    <row r="3010" spans="1:12" x14ac:dyDescent="0.3">
      <c r="A3010">
        <v>563</v>
      </c>
      <c r="B3010" t="s">
        <v>13</v>
      </c>
      <c r="C3010">
        <v>41</v>
      </c>
      <c r="D3010" t="s">
        <v>15</v>
      </c>
      <c r="E3010" t="s">
        <v>15</v>
      </c>
      <c r="F3010" t="s">
        <v>16</v>
      </c>
      <c r="G3010" t="s">
        <v>17</v>
      </c>
      <c r="H3010" t="s">
        <v>23</v>
      </c>
      <c r="I3010">
        <v>216.71</v>
      </c>
      <c r="J3010">
        <v>36.200000000000003</v>
      </c>
      <c r="K3010" t="s">
        <v>25</v>
      </c>
      <c r="L3010" t="s">
        <v>15</v>
      </c>
    </row>
    <row r="3011" spans="1:12" x14ac:dyDescent="0.3">
      <c r="A3011">
        <v>19364</v>
      </c>
      <c r="B3011" t="s">
        <v>13</v>
      </c>
      <c r="C3011">
        <v>7</v>
      </c>
      <c r="D3011" t="s">
        <v>15</v>
      </c>
      <c r="E3011" t="s">
        <v>15</v>
      </c>
      <c r="F3011" t="s">
        <v>15</v>
      </c>
      <c r="G3011" t="s">
        <v>20</v>
      </c>
      <c r="H3011" t="s">
        <v>23</v>
      </c>
      <c r="I3011">
        <v>74.959999999999994</v>
      </c>
      <c r="J3011">
        <v>18.8</v>
      </c>
      <c r="K3011" t="s">
        <v>27</v>
      </c>
      <c r="L3011" t="s">
        <v>15</v>
      </c>
    </row>
    <row r="3012" spans="1:12" x14ac:dyDescent="0.3">
      <c r="A3012">
        <v>34590</v>
      </c>
      <c r="B3012" t="s">
        <v>12</v>
      </c>
      <c r="C3012">
        <v>45</v>
      </c>
      <c r="D3012" t="s">
        <v>15</v>
      </c>
      <c r="E3012" t="s">
        <v>15</v>
      </c>
      <c r="F3012" t="s">
        <v>16</v>
      </c>
      <c r="G3012" t="s">
        <v>18</v>
      </c>
      <c r="H3012" t="s">
        <v>23</v>
      </c>
      <c r="I3012">
        <v>75.25</v>
      </c>
      <c r="J3012">
        <v>27.6</v>
      </c>
      <c r="K3012" t="s">
        <v>26</v>
      </c>
      <c r="L3012" t="s">
        <v>15</v>
      </c>
    </row>
    <row r="3013" spans="1:12" x14ac:dyDescent="0.3">
      <c r="A3013">
        <v>55459</v>
      </c>
      <c r="B3013" t="s">
        <v>13</v>
      </c>
      <c r="C3013">
        <v>60</v>
      </c>
      <c r="D3013" t="s">
        <v>15</v>
      </c>
      <c r="E3013" t="s">
        <v>15</v>
      </c>
      <c r="F3013" t="s">
        <v>15</v>
      </c>
      <c r="G3013" t="s">
        <v>17</v>
      </c>
      <c r="H3013" t="s">
        <v>23</v>
      </c>
      <c r="I3013">
        <v>91.82</v>
      </c>
      <c r="J3013">
        <v>28.3</v>
      </c>
      <c r="K3013" t="s">
        <v>24</v>
      </c>
      <c r="L3013" t="s">
        <v>15</v>
      </c>
    </row>
    <row r="3014" spans="1:12" x14ac:dyDescent="0.3">
      <c r="A3014">
        <v>38724</v>
      </c>
      <c r="B3014" t="s">
        <v>13</v>
      </c>
      <c r="C3014">
        <v>49</v>
      </c>
      <c r="D3014" t="s">
        <v>16</v>
      </c>
      <c r="E3014" t="s">
        <v>15</v>
      </c>
      <c r="F3014" t="s">
        <v>16</v>
      </c>
      <c r="G3014" t="s">
        <v>19</v>
      </c>
      <c r="H3014" t="s">
        <v>22</v>
      </c>
      <c r="I3014">
        <v>56.37</v>
      </c>
      <c r="J3014">
        <v>39.4</v>
      </c>
      <c r="K3014" t="s">
        <v>26</v>
      </c>
      <c r="L3014" t="s">
        <v>15</v>
      </c>
    </row>
    <row r="3015" spans="1:12" x14ac:dyDescent="0.3">
      <c r="A3015">
        <v>52968</v>
      </c>
      <c r="B3015" t="s">
        <v>13</v>
      </c>
      <c r="C3015">
        <v>45</v>
      </c>
      <c r="D3015" t="s">
        <v>15</v>
      </c>
      <c r="E3015" t="s">
        <v>15</v>
      </c>
      <c r="F3015" t="s">
        <v>16</v>
      </c>
      <c r="G3015" t="s">
        <v>18</v>
      </c>
      <c r="H3015" t="s">
        <v>23</v>
      </c>
      <c r="I3015">
        <v>149.15</v>
      </c>
      <c r="J3015">
        <v>33.5</v>
      </c>
      <c r="K3015" t="s">
        <v>27</v>
      </c>
      <c r="L3015" t="s">
        <v>15</v>
      </c>
    </row>
    <row r="3016" spans="1:12" x14ac:dyDescent="0.3">
      <c r="A3016">
        <v>35716</v>
      </c>
      <c r="B3016" t="s">
        <v>13</v>
      </c>
      <c r="C3016">
        <v>55</v>
      </c>
      <c r="D3016" t="s">
        <v>16</v>
      </c>
      <c r="E3016" t="s">
        <v>15</v>
      </c>
      <c r="F3016" t="s">
        <v>16</v>
      </c>
      <c r="G3016" t="s">
        <v>17</v>
      </c>
      <c r="H3016" t="s">
        <v>22</v>
      </c>
      <c r="I3016">
        <v>202.67</v>
      </c>
      <c r="J3016">
        <v>40.4</v>
      </c>
      <c r="K3016" t="s">
        <v>24</v>
      </c>
      <c r="L3016" t="s">
        <v>15</v>
      </c>
    </row>
    <row r="3017" spans="1:12" x14ac:dyDescent="0.3">
      <c r="A3017">
        <v>51421</v>
      </c>
      <c r="B3017" t="s">
        <v>13</v>
      </c>
      <c r="C3017">
        <v>54</v>
      </c>
      <c r="D3017" t="s">
        <v>15</v>
      </c>
      <c r="E3017" t="s">
        <v>15</v>
      </c>
      <c r="F3017" t="s">
        <v>16</v>
      </c>
      <c r="G3017" t="s">
        <v>17</v>
      </c>
      <c r="H3017" t="s">
        <v>23</v>
      </c>
      <c r="I3017">
        <v>65.38</v>
      </c>
      <c r="J3017">
        <v>25.9</v>
      </c>
      <c r="K3017" t="s">
        <v>27</v>
      </c>
      <c r="L3017" t="s">
        <v>15</v>
      </c>
    </row>
    <row r="3018" spans="1:12" x14ac:dyDescent="0.3">
      <c r="A3018">
        <v>72525</v>
      </c>
      <c r="B3018" t="s">
        <v>13</v>
      </c>
      <c r="C3018">
        <v>39</v>
      </c>
      <c r="D3018" t="s">
        <v>15</v>
      </c>
      <c r="E3018" t="s">
        <v>15</v>
      </c>
      <c r="F3018" t="s">
        <v>16</v>
      </c>
      <c r="G3018" t="s">
        <v>17</v>
      </c>
      <c r="H3018" t="s">
        <v>22</v>
      </c>
      <c r="I3018">
        <v>90.31</v>
      </c>
      <c r="J3018">
        <v>27.6</v>
      </c>
      <c r="K3018" t="s">
        <v>26</v>
      </c>
      <c r="L3018" t="s">
        <v>15</v>
      </c>
    </row>
    <row r="3019" spans="1:12" x14ac:dyDescent="0.3">
      <c r="A3019">
        <v>33009</v>
      </c>
      <c r="B3019" t="s">
        <v>12</v>
      </c>
      <c r="C3019">
        <v>76</v>
      </c>
      <c r="D3019" t="s">
        <v>15</v>
      </c>
      <c r="E3019" t="s">
        <v>15</v>
      </c>
      <c r="F3019" t="s">
        <v>16</v>
      </c>
      <c r="G3019" t="s">
        <v>18</v>
      </c>
      <c r="H3019" t="s">
        <v>23</v>
      </c>
      <c r="I3019">
        <v>221.8</v>
      </c>
      <c r="J3019">
        <v>44.7</v>
      </c>
      <c r="K3019" t="s">
        <v>24</v>
      </c>
      <c r="L3019" t="s">
        <v>15</v>
      </c>
    </row>
    <row r="3020" spans="1:12" x14ac:dyDescent="0.3">
      <c r="A3020">
        <v>35437</v>
      </c>
      <c r="B3020" t="s">
        <v>13</v>
      </c>
      <c r="C3020">
        <v>28</v>
      </c>
      <c r="D3020" t="s">
        <v>15</v>
      </c>
      <c r="E3020" t="s">
        <v>15</v>
      </c>
      <c r="F3020" t="s">
        <v>16</v>
      </c>
      <c r="G3020" t="s">
        <v>17</v>
      </c>
      <c r="H3020" t="s">
        <v>23</v>
      </c>
      <c r="I3020">
        <v>73.39</v>
      </c>
      <c r="J3020">
        <v>30.8</v>
      </c>
      <c r="K3020" t="s">
        <v>27</v>
      </c>
      <c r="L3020" t="s">
        <v>15</v>
      </c>
    </row>
    <row r="3021" spans="1:12" x14ac:dyDescent="0.3">
      <c r="A3021">
        <v>37253</v>
      </c>
      <c r="B3021" t="s">
        <v>13</v>
      </c>
      <c r="C3021">
        <v>70</v>
      </c>
      <c r="D3021" t="s">
        <v>16</v>
      </c>
      <c r="E3021" t="s">
        <v>15</v>
      </c>
      <c r="F3021" t="s">
        <v>16</v>
      </c>
      <c r="G3021" t="s">
        <v>17</v>
      </c>
      <c r="H3021" t="s">
        <v>22</v>
      </c>
      <c r="I3021">
        <v>147.12</v>
      </c>
      <c r="J3021">
        <v>22.3</v>
      </c>
      <c r="K3021" t="s">
        <v>24</v>
      </c>
      <c r="L3021" t="s">
        <v>15</v>
      </c>
    </row>
    <row r="3022" spans="1:12" x14ac:dyDescent="0.3">
      <c r="A3022">
        <v>46171</v>
      </c>
      <c r="B3022" t="s">
        <v>12</v>
      </c>
      <c r="C3022">
        <v>28</v>
      </c>
      <c r="D3022" t="s">
        <v>15</v>
      </c>
      <c r="E3022" t="s">
        <v>15</v>
      </c>
      <c r="F3022" t="s">
        <v>16</v>
      </c>
      <c r="G3022" t="s">
        <v>17</v>
      </c>
      <c r="H3022" t="s">
        <v>22</v>
      </c>
      <c r="I3022">
        <v>109.85</v>
      </c>
      <c r="J3022">
        <v>27.9</v>
      </c>
      <c r="K3022" t="s">
        <v>27</v>
      </c>
      <c r="L3022" t="s">
        <v>15</v>
      </c>
    </row>
    <row r="3023" spans="1:12" x14ac:dyDescent="0.3">
      <c r="A3023">
        <v>18143</v>
      </c>
      <c r="B3023" t="s">
        <v>12</v>
      </c>
      <c r="C3023">
        <v>79</v>
      </c>
      <c r="D3023" t="s">
        <v>15</v>
      </c>
      <c r="E3023" t="s">
        <v>15</v>
      </c>
      <c r="F3023" t="s">
        <v>16</v>
      </c>
      <c r="G3023" t="s">
        <v>18</v>
      </c>
      <c r="H3023" t="s">
        <v>23</v>
      </c>
      <c r="I3023">
        <v>103.21</v>
      </c>
      <c r="J3023">
        <v>22.9</v>
      </c>
      <c r="K3023" t="s">
        <v>24</v>
      </c>
      <c r="L3023" t="s">
        <v>15</v>
      </c>
    </row>
    <row r="3024" spans="1:12" x14ac:dyDescent="0.3">
      <c r="A3024">
        <v>35330</v>
      </c>
      <c r="B3024" t="s">
        <v>12</v>
      </c>
      <c r="C3024">
        <v>30</v>
      </c>
      <c r="D3024" t="s">
        <v>15</v>
      </c>
      <c r="E3024" t="s">
        <v>15</v>
      </c>
      <c r="F3024" t="s">
        <v>16</v>
      </c>
      <c r="G3024" t="s">
        <v>17</v>
      </c>
      <c r="H3024" t="s">
        <v>22</v>
      </c>
      <c r="I3024">
        <v>81.25</v>
      </c>
      <c r="J3024">
        <v>27.3</v>
      </c>
      <c r="K3024" t="s">
        <v>26</v>
      </c>
      <c r="L3024" t="s">
        <v>15</v>
      </c>
    </row>
    <row r="3025" spans="1:12" x14ac:dyDescent="0.3">
      <c r="A3025">
        <v>32127</v>
      </c>
      <c r="B3025" t="s">
        <v>13</v>
      </c>
      <c r="C3025">
        <v>26</v>
      </c>
      <c r="D3025" t="s">
        <v>15</v>
      </c>
      <c r="E3025" t="s">
        <v>15</v>
      </c>
      <c r="F3025" t="s">
        <v>16</v>
      </c>
      <c r="G3025" t="s">
        <v>19</v>
      </c>
      <c r="H3025" t="s">
        <v>22</v>
      </c>
      <c r="I3025">
        <v>84.69</v>
      </c>
      <c r="J3025">
        <v>25</v>
      </c>
      <c r="K3025" t="s">
        <v>25</v>
      </c>
      <c r="L3025" t="s">
        <v>15</v>
      </c>
    </row>
    <row r="3026" spans="1:12" x14ac:dyDescent="0.3">
      <c r="A3026">
        <v>69834</v>
      </c>
      <c r="B3026" t="s">
        <v>13</v>
      </c>
      <c r="C3026">
        <v>57</v>
      </c>
      <c r="D3026" t="s">
        <v>15</v>
      </c>
      <c r="E3026" t="s">
        <v>15</v>
      </c>
      <c r="F3026" t="s">
        <v>16</v>
      </c>
      <c r="G3026" t="s">
        <v>19</v>
      </c>
      <c r="H3026" t="s">
        <v>23</v>
      </c>
      <c r="I3026">
        <v>87.1</v>
      </c>
      <c r="J3026">
        <v>48.3</v>
      </c>
      <c r="K3026" t="s">
        <v>26</v>
      </c>
      <c r="L3026" t="s">
        <v>15</v>
      </c>
    </row>
    <row r="3027" spans="1:12" x14ac:dyDescent="0.3">
      <c r="A3027">
        <v>56311</v>
      </c>
      <c r="B3027" t="s">
        <v>13</v>
      </c>
      <c r="C3027">
        <v>16</v>
      </c>
      <c r="D3027" t="s">
        <v>15</v>
      </c>
      <c r="E3027" t="s">
        <v>15</v>
      </c>
      <c r="F3027" t="s">
        <v>15</v>
      </c>
      <c r="G3027" t="s">
        <v>17</v>
      </c>
      <c r="H3027" t="s">
        <v>23</v>
      </c>
      <c r="I3027">
        <v>81.92</v>
      </c>
      <c r="J3027">
        <v>22.7</v>
      </c>
      <c r="K3027" t="s">
        <v>27</v>
      </c>
      <c r="L3027" t="s">
        <v>15</v>
      </c>
    </row>
    <row r="3028" spans="1:12" x14ac:dyDescent="0.3">
      <c r="A3028">
        <v>13439</v>
      </c>
      <c r="B3028" t="s">
        <v>12</v>
      </c>
      <c r="C3028">
        <v>40</v>
      </c>
      <c r="D3028" t="s">
        <v>16</v>
      </c>
      <c r="E3028" t="s">
        <v>15</v>
      </c>
      <c r="F3028" t="s">
        <v>16</v>
      </c>
      <c r="G3028" t="s">
        <v>17</v>
      </c>
      <c r="H3028" t="s">
        <v>22</v>
      </c>
      <c r="I3028">
        <v>90.91</v>
      </c>
      <c r="J3028">
        <v>39.1</v>
      </c>
      <c r="K3028" t="s">
        <v>27</v>
      </c>
      <c r="L3028" t="s">
        <v>15</v>
      </c>
    </row>
    <row r="3029" spans="1:12" x14ac:dyDescent="0.3">
      <c r="A3029">
        <v>36366</v>
      </c>
      <c r="B3029" t="s">
        <v>12</v>
      </c>
      <c r="C3029">
        <v>77</v>
      </c>
      <c r="D3029" t="s">
        <v>15</v>
      </c>
      <c r="E3029" t="s">
        <v>15</v>
      </c>
      <c r="F3029" t="s">
        <v>16</v>
      </c>
      <c r="G3029" t="s">
        <v>19</v>
      </c>
      <c r="H3029" t="s">
        <v>22</v>
      </c>
      <c r="I3029">
        <v>64.400000000000006</v>
      </c>
      <c r="J3029">
        <v>27.8</v>
      </c>
      <c r="K3029" t="s">
        <v>25</v>
      </c>
      <c r="L3029" t="s">
        <v>15</v>
      </c>
    </row>
    <row r="3030" spans="1:12" x14ac:dyDescent="0.3">
      <c r="A3030">
        <v>13111</v>
      </c>
      <c r="B3030" t="s">
        <v>13</v>
      </c>
      <c r="C3030">
        <v>67</v>
      </c>
      <c r="D3030" t="s">
        <v>16</v>
      </c>
      <c r="E3030" t="s">
        <v>15</v>
      </c>
      <c r="F3030" t="s">
        <v>16</v>
      </c>
      <c r="G3030" t="s">
        <v>17</v>
      </c>
      <c r="H3030" t="s">
        <v>23</v>
      </c>
      <c r="I3030">
        <v>85.48</v>
      </c>
      <c r="K3030" t="s">
        <v>26</v>
      </c>
      <c r="L3030" t="s">
        <v>15</v>
      </c>
    </row>
    <row r="3031" spans="1:12" x14ac:dyDescent="0.3">
      <c r="A3031">
        <v>28932</v>
      </c>
      <c r="B3031" t="s">
        <v>13</v>
      </c>
      <c r="C3031">
        <v>36</v>
      </c>
      <c r="D3031" t="s">
        <v>15</v>
      </c>
      <c r="E3031" t="s">
        <v>15</v>
      </c>
      <c r="F3031" t="s">
        <v>16</v>
      </c>
      <c r="G3031" t="s">
        <v>17</v>
      </c>
      <c r="H3031" t="s">
        <v>23</v>
      </c>
      <c r="I3031">
        <v>67.290000000000006</v>
      </c>
      <c r="J3031">
        <v>36.700000000000003</v>
      </c>
      <c r="K3031" t="s">
        <v>24</v>
      </c>
      <c r="L3031" t="s">
        <v>15</v>
      </c>
    </row>
    <row r="3032" spans="1:12" x14ac:dyDescent="0.3">
      <c r="A3032">
        <v>67521</v>
      </c>
      <c r="B3032" t="s">
        <v>13</v>
      </c>
      <c r="C3032">
        <v>40</v>
      </c>
      <c r="D3032" t="s">
        <v>16</v>
      </c>
      <c r="E3032" t="s">
        <v>15</v>
      </c>
      <c r="F3032" t="s">
        <v>16</v>
      </c>
      <c r="G3032" t="s">
        <v>17</v>
      </c>
      <c r="H3032" t="s">
        <v>22</v>
      </c>
      <c r="I3032">
        <v>124.48</v>
      </c>
      <c r="J3032">
        <v>38.5</v>
      </c>
      <c r="K3032" t="s">
        <v>27</v>
      </c>
      <c r="L3032" t="s">
        <v>15</v>
      </c>
    </row>
    <row r="3033" spans="1:12" x14ac:dyDescent="0.3">
      <c r="A3033">
        <v>65688</v>
      </c>
      <c r="B3033" t="s">
        <v>12</v>
      </c>
      <c r="C3033">
        <v>2</v>
      </c>
      <c r="D3033" t="s">
        <v>15</v>
      </c>
      <c r="E3033" t="s">
        <v>16</v>
      </c>
      <c r="F3033" t="s">
        <v>15</v>
      </c>
      <c r="G3033" t="s">
        <v>20</v>
      </c>
      <c r="H3033" t="s">
        <v>22</v>
      </c>
      <c r="I3033">
        <v>62.89</v>
      </c>
      <c r="J3033">
        <v>29.4</v>
      </c>
      <c r="K3033" t="s">
        <v>27</v>
      </c>
      <c r="L3033" t="s">
        <v>15</v>
      </c>
    </row>
    <row r="3034" spans="1:12" x14ac:dyDescent="0.3">
      <c r="A3034">
        <v>58761</v>
      </c>
      <c r="B3034" t="s">
        <v>12</v>
      </c>
      <c r="C3034">
        <v>52</v>
      </c>
      <c r="D3034" t="s">
        <v>15</v>
      </c>
      <c r="E3034" t="s">
        <v>15</v>
      </c>
      <c r="F3034" t="s">
        <v>16</v>
      </c>
      <c r="G3034" t="s">
        <v>17</v>
      </c>
      <c r="H3034" t="s">
        <v>22</v>
      </c>
      <c r="I3034">
        <v>87.51</v>
      </c>
      <c r="J3034">
        <v>30.5</v>
      </c>
      <c r="K3034" t="s">
        <v>24</v>
      </c>
      <c r="L3034" t="s">
        <v>15</v>
      </c>
    </row>
    <row r="3035" spans="1:12" x14ac:dyDescent="0.3">
      <c r="A3035">
        <v>21192</v>
      </c>
      <c r="B3035" t="s">
        <v>13</v>
      </c>
      <c r="C3035">
        <v>78</v>
      </c>
      <c r="D3035" t="s">
        <v>15</v>
      </c>
      <c r="E3035" t="s">
        <v>15</v>
      </c>
      <c r="F3035" t="s">
        <v>16</v>
      </c>
      <c r="G3035" t="s">
        <v>17</v>
      </c>
      <c r="H3035" t="s">
        <v>22</v>
      </c>
      <c r="I3035">
        <v>93.15</v>
      </c>
      <c r="J3035">
        <v>23.6</v>
      </c>
      <c r="K3035" t="s">
        <v>27</v>
      </c>
      <c r="L3035" t="s">
        <v>15</v>
      </c>
    </row>
    <row r="3036" spans="1:12" x14ac:dyDescent="0.3">
      <c r="A3036">
        <v>72348</v>
      </c>
      <c r="B3036" t="s">
        <v>13</v>
      </c>
      <c r="C3036">
        <v>22</v>
      </c>
      <c r="D3036" t="s">
        <v>15</v>
      </c>
      <c r="E3036" t="s">
        <v>15</v>
      </c>
      <c r="F3036" t="s">
        <v>15</v>
      </c>
      <c r="G3036" t="s">
        <v>17</v>
      </c>
      <c r="H3036" t="s">
        <v>22</v>
      </c>
      <c r="I3036">
        <v>64.87</v>
      </c>
      <c r="J3036">
        <v>20.6</v>
      </c>
      <c r="K3036" t="s">
        <v>27</v>
      </c>
      <c r="L3036" t="s">
        <v>15</v>
      </c>
    </row>
    <row r="3037" spans="1:12" x14ac:dyDescent="0.3">
      <c r="A3037">
        <v>1825</v>
      </c>
      <c r="B3037" t="s">
        <v>12</v>
      </c>
      <c r="C3037">
        <v>33</v>
      </c>
      <c r="D3037" t="s">
        <v>15</v>
      </c>
      <c r="E3037" t="s">
        <v>15</v>
      </c>
      <c r="F3037" t="s">
        <v>16</v>
      </c>
      <c r="G3037" t="s">
        <v>18</v>
      </c>
      <c r="H3037" t="s">
        <v>22</v>
      </c>
      <c r="I3037">
        <v>90.68</v>
      </c>
      <c r="J3037">
        <v>31.7</v>
      </c>
      <c r="K3037" t="s">
        <v>26</v>
      </c>
      <c r="L3037" t="s">
        <v>15</v>
      </c>
    </row>
    <row r="3038" spans="1:12" x14ac:dyDescent="0.3">
      <c r="A3038">
        <v>25674</v>
      </c>
      <c r="B3038" t="s">
        <v>12</v>
      </c>
      <c r="C3038">
        <v>40</v>
      </c>
      <c r="D3038" t="s">
        <v>15</v>
      </c>
      <c r="E3038" t="s">
        <v>15</v>
      </c>
      <c r="F3038" t="s">
        <v>16</v>
      </c>
      <c r="G3038" t="s">
        <v>17</v>
      </c>
      <c r="H3038" t="s">
        <v>22</v>
      </c>
      <c r="I3038">
        <v>104.64</v>
      </c>
      <c r="J3038">
        <v>24.9</v>
      </c>
      <c r="K3038" t="s">
        <v>27</v>
      </c>
      <c r="L3038" t="s">
        <v>15</v>
      </c>
    </row>
    <row r="3039" spans="1:12" x14ac:dyDescent="0.3">
      <c r="A3039">
        <v>33035</v>
      </c>
      <c r="B3039" t="s">
        <v>13</v>
      </c>
      <c r="C3039">
        <v>20</v>
      </c>
      <c r="D3039" t="s">
        <v>15</v>
      </c>
      <c r="E3039" t="s">
        <v>15</v>
      </c>
      <c r="F3039" t="s">
        <v>15</v>
      </c>
      <c r="G3039" t="s">
        <v>17</v>
      </c>
      <c r="H3039" t="s">
        <v>22</v>
      </c>
      <c r="I3039">
        <v>92.44</v>
      </c>
      <c r="J3039">
        <v>33.4</v>
      </c>
      <c r="K3039" t="s">
        <v>25</v>
      </c>
      <c r="L3039" t="s">
        <v>15</v>
      </c>
    </row>
    <row r="3040" spans="1:12" x14ac:dyDescent="0.3">
      <c r="A3040">
        <v>54297</v>
      </c>
      <c r="B3040" t="s">
        <v>12</v>
      </c>
      <c r="C3040">
        <v>19</v>
      </c>
      <c r="D3040" t="s">
        <v>15</v>
      </c>
      <c r="E3040" t="s">
        <v>15</v>
      </c>
      <c r="F3040" t="s">
        <v>15</v>
      </c>
      <c r="G3040" t="s">
        <v>17</v>
      </c>
      <c r="H3040" t="s">
        <v>23</v>
      </c>
      <c r="I3040">
        <v>120.46</v>
      </c>
      <c r="J3040">
        <v>22.2</v>
      </c>
      <c r="K3040" t="s">
        <v>27</v>
      </c>
      <c r="L3040" t="s">
        <v>15</v>
      </c>
    </row>
    <row r="3041" spans="1:12" x14ac:dyDescent="0.3">
      <c r="A3041">
        <v>9122</v>
      </c>
      <c r="B3041" t="s">
        <v>12</v>
      </c>
      <c r="C3041">
        <v>25</v>
      </c>
      <c r="D3041" t="s">
        <v>15</v>
      </c>
      <c r="E3041" t="s">
        <v>15</v>
      </c>
      <c r="F3041" t="s">
        <v>16</v>
      </c>
      <c r="G3041" t="s">
        <v>17</v>
      </c>
      <c r="H3041" t="s">
        <v>22</v>
      </c>
      <c r="I3041">
        <v>89.87</v>
      </c>
      <c r="J3041">
        <v>26.5</v>
      </c>
      <c r="K3041" t="s">
        <v>25</v>
      </c>
      <c r="L3041" t="s">
        <v>15</v>
      </c>
    </row>
    <row r="3042" spans="1:12" x14ac:dyDescent="0.3">
      <c r="A3042">
        <v>1218</v>
      </c>
      <c r="B3042" t="s">
        <v>13</v>
      </c>
      <c r="C3042">
        <v>23</v>
      </c>
      <c r="D3042" t="s">
        <v>15</v>
      </c>
      <c r="E3042" t="s">
        <v>15</v>
      </c>
      <c r="F3042" t="s">
        <v>15</v>
      </c>
      <c r="G3042" t="s">
        <v>17</v>
      </c>
      <c r="H3042" t="s">
        <v>22</v>
      </c>
      <c r="I3042">
        <v>105.28</v>
      </c>
      <c r="J3042">
        <v>27.1</v>
      </c>
      <c r="K3042" t="s">
        <v>24</v>
      </c>
      <c r="L3042" t="s">
        <v>15</v>
      </c>
    </row>
    <row r="3043" spans="1:12" x14ac:dyDescent="0.3">
      <c r="A3043">
        <v>57210</v>
      </c>
      <c r="B3043" t="s">
        <v>13</v>
      </c>
      <c r="C3043">
        <v>28</v>
      </c>
      <c r="D3043" t="s">
        <v>15</v>
      </c>
      <c r="E3043" t="s">
        <v>15</v>
      </c>
      <c r="F3043" t="s">
        <v>16</v>
      </c>
      <c r="G3043" t="s">
        <v>17</v>
      </c>
      <c r="H3043" t="s">
        <v>23</v>
      </c>
      <c r="I3043">
        <v>131.80000000000001</v>
      </c>
      <c r="J3043">
        <v>30.3</v>
      </c>
      <c r="K3043" t="s">
        <v>25</v>
      </c>
      <c r="L3043" t="s">
        <v>15</v>
      </c>
    </row>
    <row r="3044" spans="1:12" x14ac:dyDescent="0.3">
      <c r="A3044">
        <v>37096</v>
      </c>
      <c r="B3044" t="s">
        <v>13</v>
      </c>
      <c r="C3044">
        <v>6</v>
      </c>
      <c r="D3044" t="s">
        <v>15</v>
      </c>
      <c r="E3044" t="s">
        <v>15</v>
      </c>
      <c r="F3044" t="s">
        <v>15</v>
      </c>
      <c r="G3044" t="s">
        <v>20</v>
      </c>
      <c r="H3044" t="s">
        <v>23</v>
      </c>
      <c r="I3044">
        <v>66.33</v>
      </c>
      <c r="J3044">
        <v>18.600000000000001</v>
      </c>
      <c r="K3044" t="s">
        <v>27</v>
      </c>
      <c r="L3044" t="s">
        <v>15</v>
      </c>
    </row>
    <row r="3045" spans="1:12" x14ac:dyDescent="0.3">
      <c r="A3045">
        <v>38243</v>
      </c>
      <c r="B3045" t="s">
        <v>13</v>
      </c>
      <c r="C3045">
        <v>37</v>
      </c>
      <c r="D3045" t="s">
        <v>15</v>
      </c>
      <c r="E3045" t="s">
        <v>15</v>
      </c>
      <c r="F3045" t="s">
        <v>16</v>
      </c>
      <c r="G3045" t="s">
        <v>17</v>
      </c>
      <c r="H3045" t="s">
        <v>23</v>
      </c>
      <c r="I3045">
        <v>101.07</v>
      </c>
      <c r="J3045">
        <v>26.4</v>
      </c>
      <c r="K3045" t="s">
        <v>27</v>
      </c>
      <c r="L3045" t="s">
        <v>15</v>
      </c>
    </row>
    <row r="3046" spans="1:12" x14ac:dyDescent="0.3">
      <c r="A3046">
        <v>17198</v>
      </c>
      <c r="B3046" t="s">
        <v>13</v>
      </c>
      <c r="C3046">
        <v>10</v>
      </c>
      <c r="D3046" t="s">
        <v>15</v>
      </c>
      <c r="E3046" t="s">
        <v>15</v>
      </c>
      <c r="F3046" t="s">
        <v>15</v>
      </c>
      <c r="G3046" t="s">
        <v>20</v>
      </c>
      <c r="H3046" t="s">
        <v>23</v>
      </c>
      <c r="I3046">
        <v>83.37</v>
      </c>
      <c r="J3046">
        <v>17.8</v>
      </c>
      <c r="K3046" t="s">
        <v>24</v>
      </c>
      <c r="L3046" t="s">
        <v>15</v>
      </c>
    </row>
    <row r="3047" spans="1:12" x14ac:dyDescent="0.3">
      <c r="A3047">
        <v>70884</v>
      </c>
      <c r="B3047" t="s">
        <v>13</v>
      </c>
      <c r="C3047">
        <v>34</v>
      </c>
      <c r="D3047" t="s">
        <v>15</v>
      </c>
      <c r="E3047" t="s">
        <v>15</v>
      </c>
      <c r="F3047" t="s">
        <v>16</v>
      </c>
      <c r="G3047" t="s">
        <v>17</v>
      </c>
      <c r="H3047" t="s">
        <v>22</v>
      </c>
      <c r="I3047">
        <v>79.8</v>
      </c>
      <c r="J3047">
        <v>37.4</v>
      </c>
      <c r="K3047" t="s">
        <v>26</v>
      </c>
      <c r="L3047" t="s">
        <v>15</v>
      </c>
    </row>
    <row r="3048" spans="1:12" x14ac:dyDescent="0.3">
      <c r="A3048">
        <v>51809</v>
      </c>
      <c r="B3048" t="s">
        <v>13</v>
      </c>
      <c r="C3048">
        <v>60</v>
      </c>
      <c r="D3048" t="s">
        <v>15</v>
      </c>
      <c r="E3048" t="s">
        <v>15</v>
      </c>
      <c r="F3048" t="s">
        <v>16</v>
      </c>
      <c r="G3048" t="s">
        <v>18</v>
      </c>
      <c r="H3048" t="s">
        <v>23</v>
      </c>
      <c r="I3048">
        <v>103.17</v>
      </c>
      <c r="J3048">
        <v>32.1</v>
      </c>
      <c r="K3048" t="s">
        <v>24</v>
      </c>
      <c r="L3048" t="s">
        <v>15</v>
      </c>
    </row>
    <row r="3049" spans="1:12" x14ac:dyDescent="0.3">
      <c r="A3049">
        <v>40602</v>
      </c>
      <c r="B3049" t="s">
        <v>13</v>
      </c>
      <c r="C3049">
        <v>22</v>
      </c>
      <c r="D3049" t="s">
        <v>15</v>
      </c>
      <c r="E3049" t="s">
        <v>15</v>
      </c>
      <c r="F3049" t="s">
        <v>15</v>
      </c>
      <c r="G3049" t="s">
        <v>17</v>
      </c>
      <c r="H3049" t="s">
        <v>22</v>
      </c>
      <c r="I3049">
        <v>62.52</v>
      </c>
      <c r="J3049">
        <v>38.200000000000003</v>
      </c>
      <c r="K3049" t="s">
        <v>25</v>
      </c>
      <c r="L3049" t="s">
        <v>15</v>
      </c>
    </row>
    <row r="3050" spans="1:12" x14ac:dyDescent="0.3">
      <c r="A3050">
        <v>65116</v>
      </c>
      <c r="B3050" t="s">
        <v>13</v>
      </c>
      <c r="C3050">
        <v>62</v>
      </c>
      <c r="D3050" t="s">
        <v>16</v>
      </c>
      <c r="E3050" t="s">
        <v>15</v>
      </c>
      <c r="F3050" t="s">
        <v>16</v>
      </c>
      <c r="G3050" t="s">
        <v>18</v>
      </c>
      <c r="H3050" t="s">
        <v>22</v>
      </c>
      <c r="I3050">
        <v>75.78</v>
      </c>
      <c r="K3050" t="s">
        <v>26</v>
      </c>
      <c r="L3050" t="s">
        <v>15</v>
      </c>
    </row>
    <row r="3051" spans="1:12" x14ac:dyDescent="0.3">
      <c r="A3051">
        <v>70455</v>
      </c>
      <c r="B3051" t="s">
        <v>13</v>
      </c>
      <c r="C3051">
        <v>52</v>
      </c>
      <c r="D3051" t="s">
        <v>15</v>
      </c>
      <c r="E3051" t="s">
        <v>15</v>
      </c>
      <c r="F3051" t="s">
        <v>16</v>
      </c>
      <c r="G3051" t="s">
        <v>19</v>
      </c>
      <c r="H3051" t="s">
        <v>22</v>
      </c>
      <c r="I3051">
        <v>110.36</v>
      </c>
      <c r="J3051">
        <v>39.1</v>
      </c>
      <c r="K3051" t="s">
        <v>24</v>
      </c>
      <c r="L3051" t="s">
        <v>15</v>
      </c>
    </row>
    <row r="3052" spans="1:12" x14ac:dyDescent="0.3">
      <c r="A3052">
        <v>41618</v>
      </c>
      <c r="B3052" t="s">
        <v>12</v>
      </c>
      <c r="C3052">
        <v>61</v>
      </c>
      <c r="D3052" t="s">
        <v>15</v>
      </c>
      <c r="E3052" t="s">
        <v>15</v>
      </c>
      <c r="F3052" t="s">
        <v>15</v>
      </c>
      <c r="G3052" t="s">
        <v>17</v>
      </c>
      <c r="H3052" t="s">
        <v>23</v>
      </c>
      <c r="I3052">
        <v>140.07</v>
      </c>
      <c r="J3052">
        <v>29.5</v>
      </c>
      <c r="K3052" t="s">
        <v>25</v>
      </c>
      <c r="L3052" t="s">
        <v>15</v>
      </c>
    </row>
    <row r="3053" spans="1:12" x14ac:dyDescent="0.3">
      <c r="A3053">
        <v>21209</v>
      </c>
      <c r="B3053" t="s">
        <v>13</v>
      </c>
      <c r="C3053">
        <v>10</v>
      </c>
      <c r="D3053" t="s">
        <v>15</v>
      </c>
      <c r="E3053" t="s">
        <v>15</v>
      </c>
      <c r="F3053" t="s">
        <v>15</v>
      </c>
      <c r="G3053" t="s">
        <v>20</v>
      </c>
      <c r="H3053" t="s">
        <v>23</v>
      </c>
      <c r="I3053">
        <v>84.86</v>
      </c>
      <c r="J3053">
        <v>28.6</v>
      </c>
      <c r="K3053" t="s">
        <v>25</v>
      </c>
      <c r="L3053" t="s">
        <v>15</v>
      </c>
    </row>
    <row r="3054" spans="1:12" x14ac:dyDescent="0.3">
      <c r="A3054">
        <v>26103</v>
      </c>
      <c r="B3054" t="s">
        <v>12</v>
      </c>
      <c r="C3054">
        <v>36</v>
      </c>
      <c r="D3054" t="s">
        <v>15</v>
      </c>
      <c r="E3054" t="s">
        <v>15</v>
      </c>
      <c r="F3054" t="s">
        <v>16</v>
      </c>
      <c r="G3054" t="s">
        <v>17</v>
      </c>
      <c r="H3054" t="s">
        <v>23</v>
      </c>
      <c r="I3054">
        <v>106.85</v>
      </c>
      <c r="J3054">
        <v>40.1</v>
      </c>
      <c r="K3054" t="s">
        <v>25</v>
      </c>
      <c r="L3054" t="s">
        <v>15</v>
      </c>
    </row>
    <row r="3055" spans="1:12" x14ac:dyDescent="0.3">
      <c r="A3055">
        <v>10436</v>
      </c>
      <c r="B3055" t="s">
        <v>13</v>
      </c>
      <c r="C3055">
        <v>29</v>
      </c>
      <c r="D3055" t="s">
        <v>15</v>
      </c>
      <c r="E3055" t="s">
        <v>15</v>
      </c>
      <c r="F3055" t="s">
        <v>16</v>
      </c>
      <c r="G3055" t="s">
        <v>17</v>
      </c>
      <c r="H3055" t="s">
        <v>23</v>
      </c>
      <c r="I3055">
        <v>102.07</v>
      </c>
      <c r="J3055">
        <v>31.8</v>
      </c>
      <c r="K3055" t="s">
        <v>25</v>
      </c>
      <c r="L3055" t="s">
        <v>15</v>
      </c>
    </row>
    <row r="3056" spans="1:12" x14ac:dyDescent="0.3">
      <c r="A3056">
        <v>16550</v>
      </c>
      <c r="B3056" t="s">
        <v>13</v>
      </c>
      <c r="C3056">
        <v>69</v>
      </c>
      <c r="D3056" t="s">
        <v>15</v>
      </c>
      <c r="E3056" t="s">
        <v>16</v>
      </c>
      <c r="F3056" t="s">
        <v>15</v>
      </c>
      <c r="G3056" t="s">
        <v>19</v>
      </c>
      <c r="H3056" t="s">
        <v>22</v>
      </c>
      <c r="I3056">
        <v>202.38</v>
      </c>
      <c r="J3056">
        <v>34.6</v>
      </c>
      <c r="K3056" t="s">
        <v>27</v>
      </c>
      <c r="L3056" t="s">
        <v>15</v>
      </c>
    </row>
    <row r="3057" spans="1:12" x14ac:dyDescent="0.3">
      <c r="A3057">
        <v>17697</v>
      </c>
      <c r="B3057" t="s">
        <v>13</v>
      </c>
      <c r="C3057">
        <v>62</v>
      </c>
      <c r="D3057" t="s">
        <v>15</v>
      </c>
      <c r="E3057" t="s">
        <v>15</v>
      </c>
      <c r="F3057" t="s">
        <v>16</v>
      </c>
      <c r="G3057" t="s">
        <v>19</v>
      </c>
      <c r="H3057" t="s">
        <v>22</v>
      </c>
      <c r="I3057">
        <v>67.069999999999993</v>
      </c>
      <c r="J3057">
        <v>24.5</v>
      </c>
      <c r="K3057" t="s">
        <v>25</v>
      </c>
      <c r="L3057" t="s">
        <v>15</v>
      </c>
    </row>
    <row r="3058" spans="1:12" x14ac:dyDescent="0.3">
      <c r="A3058">
        <v>10744</v>
      </c>
      <c r="B3058" t="s">
        <v>12</v>
      </c>
      <c r="C3058">
        <v>62</v>
      </c>
      <c r="D3058" t="s">
        <v>15</v>
      </c>
      <c r="E3058" t="s">
        <v>16</v>
      </c>
      <c r="F3058" t="s">
        <v>16</v>
      </c>
      <c r="G3058" t="s">
        <v>19</v>
      </c>
      <c r="H3058" t="s">
        <v>23</v>
      </c>
      <c r="I3058">
        <v>73.7</v>
      </c>
      <c r="J3058">
        <v>26.2</v>
      </c>
      <c r="K3058" t="s">
        <v>25</v>
      </c>
      <c r="L3058" t="s">
        <v>15</v>
      </c>
    </row>
    <row r="3059" spans="1:12" x14ac:dyDescent="0.3">
      <c r="A3059">
        <v>7799</v>
      </c>
      <c r="B3059" t="s">
        <v>13</v>
      </c>
      <c r="C3059">
        <v>79</v>
      </c>
      <c r="D3059" t="s">
        <v>15</v>
      </c>
      <c r="E3059" t="s">
        <v>15</v>
      </c>
      <c r="F3059" t="s">
        <v>15</v>
      </c>
      <c r="G3059" t="s">
        <v>18</v>
      </c>
      <c r="H3059" t="s">
        <v>22</v>
      </c>
      <c r="I3059">
        <v>77.59</v>
      </c>
      <c r="J3059">
        <v>33</v>
      </c>
      <c r="K3059" t="s">
        <v>25</v>
      </c>
      <c r="L3059" t="s">
        <v>15</v>
      </c>
    </row>
    <row r="3060" spans="1:12" x14ac:dyDescent="0.3">
      <c r="A3060">
        <v>57183</v>
      </c>
      <c r="B3060" t="s">
        <v>12</v>
      </c>
      <c r="C3060">
        <v>13</v>
      </c>
      <c r="D3060" t="s">
        <v>15</v>
      </c>
      <c r="E3060" t="s">
        <v>15</v>
      </c>
      <c r="F3060" t="s">
        <v>15</v>
      </c>
      <c r="G3060" t="s">
        <v>20</v>
      </c>
      <c r="H3060" t="s">
        <v>23</v>
      </c>
      <c r="I3060">
        <v>69.16</v>
      </c>
      <c r="J3060">
        <v>22.3</v>
      </c>
      <c r="K3060" t="s">
        <v>27</v>
      </c>
      <c r="L3060" t="s">
        <v>15</v>
      </c>
    </row>
    <row r="3061" spans="1:12" x14ac:dyDescent="0.3">
      <c r="A3061">
        <v>121</v>
      </c>
      <c r="B3061" t="s">
        <v>13</v>
      </c>
      <c r="C3061">
        <v>38</v>
      </c>
      <c r="D3061" t="s">
        <v>15</v>
      </c>
      <c r="E3061" t="s">
        <v>15</v>
      </c>
      <c r="F3061" t="s">
        <v>16</v>
      </c>
      <c r="G3061" t="s">
        <v>17</v>
      </c>
      <c r="H3061" t="s">
        <v>22</v>
      </c>
      <c r="I3061">
        <v>91.44</v>
      </c>
      <c r="K3061" t="s">
        <v>27</v>
      </c>
      <c r="L3061" t="s">
        <v>15</v>
      </c>
    </row>
    <row r="3062" spans="1:12" x14ac:dyDescent="0.3">
      <c r="A3062">
        <v>32604</v>
      </c>
      <c r="B3062" t="s">
        <v>12</v>
      </c>
      <c r="C3062">
        <v>49</v>
      </c>
      <c r="D3062" t="s">
        <v>15</v>
      </c>
      <c r="E3062" t="s">
        <v>15</v>
      </c>
      <c r="F3062" t="s">
        <v>16</v>
      </c>
      <c r="G3062" t="s">
        <v>18</v>
      </c>
      <c r="H3062" t="s">
        <v>23</v>
      </c>
      <c r="I3062">
        <v>215.81</v>
      </c>
      <c r="J3062">
        <v>58.1</v>
      </c>
      <c r="K3062" t="s">
        <v>25</v>
      </c>
      <c r="L3062" t="s">
        <v>15</v>
      </c>
    </row>
    <row r="3063" spans="1:12" x14ac:dyDescent="0.3">
      <c r="A3063">
        <v>49883</v>
      </c>
      <c r="B3063" t="s">
        <v>13</v>
      </c>
      <c r="C3063">
        <v>41</v>
      </c>
      <c r="D3063" t="s">
        <v>15</v>
      </c>
      <c r="E3063" t="s">
        <v>15</v>
      </c>
      <c r="F3063" t="s">
        <v>16</v>
      </c>
      <c r="G3063" t="s">
        <v>17</v>
      </c>
      <c r="H3063" t="s">
        <v>23</v>
      </c>
      <c r="I3063">
        <v>65.400000000000006</v>
      </c>
      <c r="J3063">
        <v>36.9</v>
      </c>
      <c r="K3063" t="s">
        <v>24</v>
      </c>
      <c r="L3063" t="s">
        <v>15</v>
      </c>
    </row>
    <row r="3064" spans="1:12" x14ac:dyDescent="0.3">
      <c r="A3064">
        <v>68242</v>
      </c>
      <c r="B3064" t="s">
        <v>12</v>
      </c>
      <c r="C3064">
        <v>56</v>
      </c>
      <c r="D3064" t="s">
        <v>15</v>
      </c>
      <c r="E3064" t="s">
        <v>15</v>
      </c>
      <c r="F3064" t="s">
        <v>16</v>
      </c>
      <c r="G3064" t="s">
        <v>17</v>
      </c>
      <c r="H3064" t="s">
        <v>22</v>
      </c>
      <c r="I3064">
        <v>139.72</v>
      </c>
      <c r="J3064">
        <v>43.9</v>
      </c>
      <c r="K3064" t="s">
        <v>25</v>
      </c>
      <c r="L3064" t="s">
        <v>15</v>
      </c>
    </row>
    <row r="3065" spans="1:12" x14ac:dyDescent="0.3">
      <c r="A3065">
        <v>33726</v>
      </c>
      <c r="B3065" t="s">
        <v>13</v>
      </c>
      <c r="C3065">
        <v>8</v>
      </c>
      <c r="D3065" t="s">
        <v>15</v>
      </c>
      <c r="E3065" t="s">
        <v>15</v>
      </c>
      <c r="F3065" t="s">
        <v>15</v>
      </c>
      <c r="G3065" t="s">
        <v>20</v>
      </c>
      <c r="H3065" t="s">
        <v>22</v>
      </c>
      <c r="I3065">
        <v>72.81</v>
      </c>
      <c r="J3065">
        <v>18.2</v>
      </c>
      <c r="K3065" t="s">
        <v>27</v>
      </c>
      <c r="L3065" t="s">
        <v>15</v>
      </c>
    </row>
    <row r="3066" spans="1:12" x14ac:dyDescent="0.3">
      <c r="A3066">
        <v>56255</v>
      </c>
      <c r="B3066" t="s">
        <v>13</v>
      </c>
      <c r="C3066">
        <v>24</v>
      </c>
      <c r="D3066" t="s">
        <v>15</v>
      </c>
      <c r="E3066" t="s">
        <v>15</v>
      </c>
      <c r="F3066" t="s">
        <v>15</v>
      </c>
      <c r="G3066" t="s">
        <v>17</v>
      </c>
      <c r="H3066" t="s">
        <v>22</v>
      </c>
      <c r="I3066">
        <v>149.16999999999999</v>
      </c>
      <c r="J3066">
        <v>23.1</v>
      </c>
      <c r="K3066" t="s">
        <v>25</v>
      </c>
      <c r="L3066" t="s">
        <v>15</v>
      </c>
    </row>
    <row r="3067" spans="1:12" x14ac:dyDescent="0.3">
      <c r="A3067">
        <v>46455</v>
      </c>
      <c r="B3067" t="s">
        <v>13</v>
      </c>
      <c r="C3067">
        <v>61</v>
      </c>
      <c r="D3067" t="s">
        <v>15</v>
      </c>
      <c r="E3067" t="s">
        <v>15</v>
      </c>
      <c r="F3067" t="s">
        <v>16</v>
      </c>
      <c r="G3067" t="s">
        <v>17</v>
      </c>
      <c r="H3067" t="s">
        <v>22</v>
      </c>
      <c r="I3067">
        <v>125.74</v>
      </c>
      <c r="J3067">
        <v>32.6</v>
      </c>
      <c r="K3067" t="s">
        <v>27</v>
      </c>
      <c r="L3067" t="s">
        <v>15</v>
      </c>
    </row>
    <row r="3068" spans="1:12" x14ac:dyDescent="0.3">
      <c r="A3068">
        <v>13270</v>
      </c>
      <c r="B3068" t="s">
        <v>13</v>
      </c>
      <c r="C3068">
        <v>40</v>
      </c>
      <c r="D3068" t="s">
        <v>15</v>
      </c>
      <c r="E3068" t="s">
        <v>15</v>
      </c>
      <c r="F3068" t="s">
        <v>15</v>
      </c>
      <c r="G3068" t="s">
        <v>19</v>
      </c>
      <c r="H3068" t="s">
        <v>22</v>
      </c>
      <c r="I3068">
        <v>90.21</v>
      </c>
      <c r="J3068">
        <v>41.2</v>
      </c>
      <c r="K3068" t="s">
        <v>25</v>
      </c>
      <c r="L3068" t="s">
        <v>15</v>
      </c>
    </row>
    <row r="3069" spans="1:12" x14ac:dyDescent="0.3">
      <c r="A3069">
        <v>38067</v>
      </c>
      <c r="B3069" t="s">
        <v>13</v>
      </c>
      <c r="C3069">
        <v>22</v>
      </c>
      <c r="D3069" t="s">
        <v>15</v>
      </c>
      <c r="E3069" t="s">
        <v>15</v>
      </c>
      <c r="F3069" t="s">
        <v>15</v>
      </c>
      <c r="G3069" t="s">
        <v>17</v>
      </c>
      <c r="H3069" t="s">
        <v>22</v>
      </c>
      <c r="I3069">
        <v>139.47999999999999</v>
      </c>
      <c r="J3069">
        <v>28.6</v>
      </c>
      <c r="K3069" t="s">
        <v>24</v>
      </c>
      <c r="L3069" t="s">
        <v>15</v>
      </c>
    </row>
    <row r="3070" spans="1:12" x14ac:dyDescent="0.3">
      <c r="A3070">
        <v>9160</v>
      </c>
      <c r="B3070" t="s">
        <v>13</v>
      </c>
      <c r="C3070">
        <v>80</v>
      </c>
      <c r="D3070" t="s">
        <v>16</v>
      </c>
      <c r="E3070" t="s">
        <v>15</v>
      </c>
      <c r="F3070" t="s">
        <v>16</v>
      </c>
      <c r="G3070" t="s">
        <v>17</v>
      </c>
      <c r="H3070" t="s">
        <v>22</v>
      </c>
      <c r="I3070">
        <v>90.77</v>
      </c>
      <c r="J3070">
        <v>26</v>
      </c>
      <c r="K3070" t="s">
        <v>25</v>
      </c>
      <c r="L3070" t="s">
        <v>15</v>
      </c>
    </row>
    <row r="3071" spans="1:12" x14ac:dyDescent="0.3">
      <c r="A3071">
        <v>52843</v>
      </c>
      <c r="B3071" t="s">
        <v>13</v>
      </c>
      <c r="C3071">
        <v>60</v>
      </c>
      <c r="D3071" t="s">
        <v>16</v>
      </c>
      <c r="E3071" t="s">
        <v>16</v>
      </c>
      <c r="F3071" t="s">
        <v>16</v>
      </c>
      <c r="G3071" t="s">
        <v>17</v>
      </c>
      <c r="H3071" t="s">
        <v>22</v>
      </c>
      <c r="I3071">
        <v>220.24</v>
      </c>
      <c r="J3071">
        <v>36.799999999999997</v>
      </c>
      <c r="K3071" t="s">
        <v>25</v>
      </c>
      <c r="L3071" t="s">
        <v>15</v>
      </c>
    </row>
    <row r="3072" spans="1:12" x14ac:dyDescent="0.3">
      <c r="A3072">
        <v>67343</v>
      </c>
      <c r="B3072" t="s">
        <v>13</v>
      </c>
      <c r="C3072">
        <v>57</v>
      </c>
      <c r="D3072" t="s">
        <v>15</v>
      </c>
      <c r="E3072" t="s">
        <v>15</v>
      </c>
      <c r="F3072" t="s">
        <v>16</v>
      </c>
      <c r="G3072" t="s">
        <v>17</v>
      </c>
      <c r="H3072" t="s">
        <v>23</v>
      </c>
      <c r="I3072">
        <v>81.42</v>
      </c>
      <c r="J3072">
        <v>35.799999999999997</v>
      </c>
      <c r="K3072" t="s">
        <v>25</v>
      </c>
      <c r="L3072" t="s">
        <v>15</v>
      </c>
    </row>
    <row r="3073" spans="1:12" x14ac:dyDescent="0.3">
      <c r="A3073">
        <v>50805</v>
      </c>
      <c r="B3073" t="s">
        <v>13</v>
      </c>
      <c r="C3073">
        <v>55</v>
      </c>
      <c r="D3073" t="s">
        <v>15</v>
      </c>
      <c r="E3073" t="s">
        <v>15</v>
      </c>
      <c r="F3073" t="s">
        <v>16</v>
      </c>
      <c r="G3073" t="s">
        <v>17</v>
      </c>
      <c r="H3073" t="s">
        <v>22</v>
      </c>
      <c r="I3073">
        <v>102.36</v>
      </c>
      <c r="J3073">
        <v>24.2</v>
      </c>
      <c r="K3073" t="s">
        <v>25</v>
      </c>
      <c r="L3073" t="s">
        <v>15</v>
      </c>
    </row>
    <row r="3074" spans="1:12" x14ac:dyDescent="0.3">
      <c r="A3074">
        <v>10826</v>
      </c>
      <c r="B3074" t="s">
        <v>13</v>
      </c>
      <c r="C3074">
        <v>39</v>
      </c>
      <c r="D3074" t="s">
        <v>15</v>
      </c>
      <c r="E3074" t="s">
        <v>15</v>
      </c>
      <c r="F3074" t="s">
        <v>16</v>
      </c>
      <c r="G3074" t="s">
        <v>18</v>
      </c>
      <c r="H3074" t="s">
        <v>22</v>
      </c>
      <c r="I3074">
        <v>82.85</v>
      </c>
      <c r="J3074">
        <v>22.9</v>
      </c>
      <c r="K3074" t="s">
        <v>26</v>
      </c>
      <c r="L3074" t="s">
        <v>15</v>
      </c>
    </row>
    <row r="3075" spans="1:12" x14ac:dyDescent="0.3">
      <c r="A3075">
        <v>60358</v>
      </c>
      <c r="B3075" t="s">
        <v>13</v>
      </c>
      <c r="C3075">
        <v>51</v>
      </c>
      <c r="D3075" t="s">
        <v>15</v>
      </c>
      <c r="E3075" t="s">
        <v>15</v>
      </c>
      <c r="F3075" t="s">
        <v>16</v>
      </c>
      <c r="G3075" t="s">
        <v>17</v>
      </c>
      <c r="H3075" t="s">
        <v>22</v>
      </c>
      <c r="I3075">
        <v>102.11</v>
      </c>
      <c r="J3075">
        <v>23.1</v>
      </c>
      <c r="K3075" t="s">
        <v>25</v>
      </c>
      <c r="L3075" t="s">
        <v>15</v>
      </c>
    </row>
    <row r="3076" spans="1:12" x14ac:dyDescent="0.3">
      <c r="A3076">
        <v>72231</v>
      </c>
      <c r="B3076" t="s">
        <v>13</v>
      </c>
      <c r="C3076">
        <v>47</v>
      </c>
      <c r="D3076" t="s">
        <v>15</v>
      </c>
      <c r="E3076" t="s">
        <v>15</v>
      </c>
      <c r="F3076" t="s">
        <v>16</v>
      </c>
      <c r="G3076" t="s">
        <v>18</v>
      </c>
      <c r="H3076" t="s">
        <v>23</v>
      </c>
      <c r="I3076">
        <v>195.61</v>
      </c>
      <c r="K3076" t="s">
        <v>25</v>
      </c>
      <c r="L3076" t="s">
        <v>15</v>
      </c>
    </row>
    <row r="3077" spans="1:12" x14ac:dyDescent="0.3">
      <c r="A3077">
        <v>58586</v>
      </c>
      <c r="B3077" t="s">
        <v>12</v>
      </c>
      <c r="C3077">
        <v>77</v>
      </c>
      <c r="D3077" t="s">
        <v>16</v>
      </c>
      <c r="E3077" t="s">
        <v>16</v>
      </c>
      <c r="F3077" t="s">
        <v>16</v>
      </c>
      <c r="G3077" t="s">
        <v>18</v>
      </c>
      <c r="H3077" t="s">
        <v>22</v>
      </c>
      <c r="I3077">
        <v>80.92</v>
      </c>
      <c r="J3077">
        <v>28.9</v>
      </c>
      <c r="K3077" t="s">
        <v>26</v>
      </c>
      <c r="L3077" t="s">
        <v>15</v>
      </c>
    </row>
    <row r="3078" spans="1:12" x14ac:dyDescent="0.3">
      <c r="A3078">
        <v>50499</v>
      </c>
      <c r="B3078" t="s">
        <v>13</v>
      </c>
      <c r="C3078">
        <v>32</v>
      </c>
      <c r="D3078" t="s">
        <v>15</v>
      </c>
      <c r="E3078" t="s">
        <v>15</v>
      </c>
      <c r="F3078" t="s">
        <v>16</v>
      </c>
      <c r="G3078" t="s">
        <v>17</v>
      </c>
      <c r="H3078" t="s">
        <v>23</v>
      </c>
      <c r="I3078">
        <v>71.8</v>
      </c>
      <c r="J3078">
        <v>26.5</v>
      </c>
      <c r="K3078" t="s">
        <v>25</v>
      </c>
      <c r="L3078" t="s">
        <v>15</v>
      </c>
    </row>
    <row r="3079" spans="1:12" x14ac:dyDescent="0.3">
      <c r="A3079">
        <v>18986</v>
      </c>
      <c r="B3079" t="s">
        <v>13</v>
      </c>
      <c r="C3079">
        <v>45</v>
      </c>
      <c r="D3079" t="s">
        <v>15</v>
      </c>
      <c r="E3079" t="s">
        <v>15</v>
      </c>
      <c r="F3079" t="s">
        <v>15</v>
      </c>
      <c r="G3079" t="s">
        <v>18</v>
      </c>
      <c r="H3079" t="s">
        <v>22</v>
      </c>
      <c r="I3079">
        <v>88.47</v>
      </c>
      <c r="J3079">
        <v>29.3</v>
      </c>
      <c r="K3079" t="s">
        <v>25</v>
      </c>
      <c r="L3079" t="s">
        <v>15</v>
      </c>
    </row>
    <row r="3080" spans="1:12" x14ac:dyDescent="0.3">
      <c r="A3080">
        <v>51177</v>
      </c>
      <c r="B3080" t="s">
        <v>13</v>
      </c>
      <c r="C3080">
        <v>49</v>
      </c>
      <c r="D3080" t="s">
        <v>15</v>
      </c>
      <c r="E3080" t="s">
        <v>15</v>
      </c>
      <c r="F3080" t="s">
        <v>16</v>
      </c>
      <c r="G3080" t="s">
        <v>17</v>
      </c>
      <c r="H3080" t="s">
        <v>22</v>
      </c>
      <c r="I3080">
        <v>67.680000000000007</v>
      </c>
      <c r="J3080">
        <v>24.8</v>
      </c>
      <c r="K3080" t="s">
        <v>24</v>
      </c>
      <c r="L3080" t="s">
        <v>15</v>
      </c>
    </row>
    <row r="3081" spans="1:12" x14ac:dyDescent="0.3">
      <c r="A3081">
        <v>575</v>
      </c>
      <c r="B3081" t="s">
        <v>12</v>
      </c>
      <c r="C3081">
        <v>13</v>
      </c>
      <c r="D3081" t="s">
        <v>15</v>
      </c>
      <c r="E3081" t="s">
        <v>15</v>
      </c>
      <c r="F3081" t="s">
        <v>15</v>
      </c>
      <c r="G3081" t="s">
        <v>20</v>
      </c>
      <c r="H3081" t="s">
        <v>23</v>
      </c>
      <c r="I3081">
        <v>98.65</v>
      </c>
      <c r="J3081">
        <v>20.100000000000001</v>
      </c>
      <c r="K3081" t="s">
        <v>27</v>
      </c>
      <c r="L3081" t="s">
        <v>15</v>
      </c>
    </row>
    <row r="3082" spans="1:12" x14ac:dyDescent="0.3">
      <c r="A3082">
        <v>47321</v>
      </c>
      <c r="B3082" t="s">
        <v>13</v>
      </c>
      <c r="C3082">
        <v>74</v>
      </c>
      <c r="D3082" t="s">
        <v>15</v>
      </c>
      <c r="E3082" t="s">
        <v>15</v>
      </c>
      <c r="F3082" t="s">
        <v>16</v>
      </c>
      <c r="G3082" t="s">
        <v>17</v>
      </c>
      <c r="H3082" t="s">
        <v>23</v>
      </c>
      <c r="I3082">
        <v>83.58</v>
      </c>
      <c r="J3082">
        <v>18.2</v>
      </c>
      <c r="K3082" t="s">
        <v>25</v>
      </c>
      <c r="L3082" t="s">
        <v>15</v>
      </c>
    </row>
    <row r="3083" spans="1:12" x14ac:dyDescent="0.3">
      <c r="A3083">
        <v>7754</v>
      </c>
      <c r="B3083" t="s">
        <v>13</v>
      </c>
      <c r="C3083">
        <v>72</v>
      </c>
      <c r="D3083" t="s">
        <v>15</v>
      </c>
      <c r="E3083" t="s">
        <v>15</v>
      </c>
      <c r="F3083" t="s">
        <v>16</v>
      </c>
      <c r="G3083" t="s">
        <v>18</v>
      </c>
      <c r="H3083" t="s">
        <v>23</v>
      </c>
      <c r="I3083">
        <v>104.04</v>
      </c>
      <c r="J3083">
        <v>34.700000000000003</v>
      </c>
      <c r="K3083" t="s">
        <v>24</v>
      </c>
      <c r="L3083" t="s">
        <v>15</v>
      </c>
    </row>
    <row r="3084" spans="1:12" x14ac:dyDescent="0.3">
      <c r="A3084">
        <v>66270</v>
      </c>
      <c r="B3084" t="s">
        <v>13</v>
      </c>
      <c r="C3084">
        <v>57</v>
      </c>
      <c r="D3084" t="s">
        <v>15</v>
      </c>
      <c r="E3084" t="s">
        <v>15</v>
      </c>
      <c r="F3084" t="s">
        <v>16</v>
      </c>
      <c r="G3084" t="s">
        <v>17</v>
      </c>
      <c r="H3084" t="s">
        <v>23</v>
      </c>
      <c r="I3084">
        <v>69.400000000000006</v>
      </c>
      <c r="J3084">
        <v>24</v>
      </c>
      <c r="K3084" t="s">
        <v>27</v>
      </c>
      <c r="L3084" t="s">
        <v>15</v>
      </c>
    </row>
    <row r="3085" spans="1:12" x14ac:dyDescent="0.3">
      <c r="A3085">
        <v>2814</v>
      </c>
      <c r="B3085" t="s">
        <v>12</v>
      </c>
      <c r="C3085">
        <v>51</v>
      </c>
      <c r="D3085" t="s">
        <v>16</v>
      </c>
      <c r="E3085" t="s">
        <v>15</v>
      </c>
      <c r="F3085" t="s">
        <v>15</v>
      </c>
      <c r="G3085" t="s">
        <v>19</v>
      </c>
      <c r="H3085" t="s">
        <v>22</v>
      </c>
      <c r="I3085">
        <v>106.22</v>
      </c>
      <c r="J3085">
        <v>29</v>
      </c>
      <c r="K3085" t="s">
        <v>25</v>
      </c>
      <c r="L3085" t="s">
        <v>15</v>
      </c>
    </row>
    <row r="3086" spans="1:12" x14ac:dyDescent="0.3">
      <c r="A3086">
        <v>52847</v>
      </c>
      <c r="B3086" t="s">
        <v>13</v>
      </c>
      <c r="C3086">
        <v>55</v>
      </c>
      <c r="D3086" t="s">
        <v>15</v>
      </c>
      <c r="E3086" t="s">
        <v>15</v>
      </c>
      <c r="F3086" t="s">
        <v>16</v>
      </c>
      <c r="G3086" t="s">
        <v>17</v>
      </c>
      <c r="H3086" t="s">
        <v>23</v>
      </c>
      <c r="I3086">
        <v>112.46</v>
      </c>
      <c r="J3086">
        <v>27.3</v>
      </c>
      <c r="K3086" t="s">
        <v>25</v>
      </c>
      <c r="L3086" t="s">
        <v>15</v>
      </c>
    </row>
    <row r="3087" spans="1:12" x14ac:dyDescent="0.3">
      <c r="A3087">
        <v>60235</v>
      </c>
      <c r="B3087" t="s">
        <v>12</v>
      </c>
      <c r="C3087">
        <v>73</v>
      </c>
      <c r="D3087" t="s">
        <v>15</v>
      </c>
      <c r="E3087" t="s">
        <v>16</v>
      </c>
      <c r="F3087" t="s">
        <v>16</v>
      </c>
      <c r="G3087" t="s">
        <v>17</v>
      </c>
      <c r="H3087" t="s">
        <v>23</v>
      </c>
      <c r="I3087">
        <v>72.42</v>
      </c>
      <c r="J3087">
        <v>27.6</v>
      </c>
      <c r="K3087" t="s">
        <v>25</v>
      </c>
      <c r="L3087" t="s">
        <v>15</v>
      </c>
    </row>
    <row r="3088" spans="1:12" x14ac:dyDescent="0.3">
      <c r="A3088">
        <v>10981</v>
      </c>
      <c r="B3088" t="s">
        <v>12</v>
      </c>
      <c r="C3088">
        <v>12</v>
      </c>
      <c r="D3088" t="s">
        <v>15</v>
      </c>
      <c r="E3088" t="s">
        <v>15</v>
      </c>
      <c r="F3088" t="s">
        <v>15</v>
      </c>
      <c r="G3088" t="s">
        <v>20</v>
      </c>
      <c r="H3088" t="s">
        <v>23</v>
      </c>
      <c r="I3088">
        <v>96.73</v>
      </c>
      <c r="J3088">
        <v>20.399999999999999</v>
      </c>
      <c r="K3088" t="s">
        <v>25</v>
      </c>
      <c r="L3088" t="s">
        <v>15</v>
      </c>
    </row>
    <row r="3089" spans="1:12" x14ac:dyDescent="0.3">
      <c r="A3089">
        <v>62833</v>
      </c>
      <c r="B3089" t="s">
        <v>13</v>
      </c>
      <c r="C3089">
        <v>6</v>
      </c>
      <c r="D3089" t="s">
        <v>15</v>
      </c>
      <c r="E3089" t="s">
        <v>15</v>
      </c>
      <c r="F3089" t="s">
        <v>15</v>
      </c>
      <c r="G3089" t="s">
        <v>20</v>
      </c>
      <c r="H3089" t="s">
        <v>22</v>
      </c>
      <c r="I3089">
        <v>107.4</v>
      </c>
      <c r="J3089">
        <v>17.7</v>
      </c>
      <c r="K3089" t="s">
        <v>27</v>
      </c>
      <c r="L3089" t="s">
        <v>15</v>
      </c>
    </row>
    <row r="3090" spans="1:12" x14ac:dyDescent="0.3">
      <c r="A3090">
        <v>26267</v>
      </c>
      <c r="B3090" t="s">
        <v>13</v>
      </c>
      <c r="C3090">
        <v>76</v>
      </c>
      <c r="D3090" t="s">
        <v>15</v>
      </c>
      <c r="E3090" t="s">
        <v>15</v>
      </c>
      <c r="F3090" t="s">
        <v>16</v>
      </c>
      <c r="G3090" t="s">
        <v>18</v>
      </c>
      <c r="H3090" t="s">
        <v>22</v>
      </c>
      <c r="I3090">
        <v>267.61</v>
      </c>
      <c r="J3090">
        <v>27.9</v>
      </c>
      <c r="K3090" t="s">
        <v>26</v>
      </c>
      <c r="L3090" t="s">
        <v>15</v>
      </c>
    </row>
    <row r="3091" spans="1:12" x14ac:dyDescent="0.3">
      <c r="A3091">
        <v>69918</v>
      </c>
      <c r="B3091" t="s">
        <v>13</v>
      </c>
      <c r="C3091">
        <v>38</v>
      </c>
      <c r="D3091" t="s">
        <v>16</v>
      </c>
      <c r="E3091" t="s">
        <v>15</v>
      </c>
      <c r="F3091" t="s">
        <v>16</v>
      </c>
      <c r="G3091" t="s">
        <v>17</v>
      </c>
      <c r="H3091" t="s">
        <v>23</v>
      </c>
      <c r="I3091">
        <v>109.46</v>
      </c>
      <c r="J3091">
        <v>41.5</v>
      </c>
      <c r="K3091" t="s">
        <v>25</v>
      </c>
      <c r="L3091" t="s">
        <v>15</v>
      </c>
    </row>
    <row r="3092" spans="1:12" x14ac:dyDescent="0.3">
      <c r="A3092">
        <v>44927</v>
      </c>
      <c r="B3092" t="s">
        <v>13</v>
      </c>
      <c r="C3092">
        <v>50</v>
      </c>
      <c r="D3092" t="s">
        <v>15</v>
      </c>
      <c r="E3092" t="s">
        <v>15</v>
      </c>
      <c r="F3092" t="s">
        <v>16</v>
      </c>
      <c r="G3092" t="s">
        <v>19</v>
      </c>
      <c r="H3092" t="s">
        <v>23</v>
      </c>
      <c r="I3092">
        <v>120.05</v>
      </c>
      <c r="J3092">
        <v>27.4</v>
      </c>
      <c r="K3092" t="s">
        <v>27</v>
      </c>
      <c r="L3092" t="s">
        <v>15</v>
      </c>
    </row>
    <row r="3093" spans="1:12" x14ac:dyDescent="0.3">
      <c r="A3093">
        <v>20169</v>
      </c>
      <c r="B3093" t="s">
        <v>13</v>
      </c>
      <c r="C3093">
        <v>75</v>
      </c>
      <c r="D3093" t="s">
        <v>15</v>
      </c>
      <c r="E3093" t="s">
        <v>15</v>
      </c>
      <c r="F3093" t="s">
        <v>16</v>
      </c>
      <c r="G3093" t="s">
        <v>17</v>
      </c>
      <c r="H3093" t="s">
        <v>23</v>
      </c>
      <c r="I3093">
        <v>106.33</v>
      </c>
      <c r="J3093">
        <v>27.8</v>
      </c>
      <c r="K3093" t="s">
        <v>27</v>
      </c>
      <c r="L3093" t="s">
        <v>15</v>
      </c>
    </row>
    <row r="3094" spans="1:12" x14ac:dyDescent="0.3">
      <c r="A3094">
        <v>31481</v>
      </c>
      <c r="B3094" t="s">
        <v>13</v>
      </c>
      <c r="C3094">
        <v>1.1599999999999999</v>
      </c>
      <c r="D3094" t="s">
        <v>15</v>
      </c>
      <c r="E3094" t="s">
        <v>15</v>
      </c>
      <c r="F3094" t="s">
        <v>15</v>
      </c>
      <c r="G3094" t="s">
        <v>20</v>
      </c>
      <c r="H3094" t="s">
        <v>22</v>
      </c>
      <c r="I3094">
        <v>97.28</v>
      </c>
      <c r="J3094">
        <v>17.8</v>
      </c>
      <c r="K3094" t="s">
        <v>27</v>
      </c>
      <c r="L3094" t="s">
        <v>15</v>
      </c>
    </row>
    <row r="3095" spans="1:12" x14ac:dyDescent="0.3">
      <c r="A3095">
        <v>27721</v>
      </c>
      <c r="B3095" t="s">
        <v>12</v>
      </c>
      <c r="C3095">
        <v>32</v>
      </c>
      <c r="D3095" t="s">
        <v>15</v>
      </c>
      <c r="E3095" t="s">
        <v>15</v>
      </c>
      <c r="F3095" t="s">
        <v>16</v>
      </c>
      <c r="G3095" t="s">
        <v>17</v>
      </c>
      <c r="H3095" t="s">
        <v>23</v>
      </c>
      <c r="I3095">
        <v>83.13</v>
      </c>
      <c r="J3095">
        <v>32</v>
      </c>
      <c r="K3095" t="s">
        <v>26</v>
      </c>
      <c r="L3095" t="s">
        <v>15</v>
      </c>
    </row>
    <row r="3096" spans="1:12" x14ac:dyDescent="0.3">
      <c r="A3096">
        <v>71419</v>
      </c>
      <c r="B3096" t="s">
        <v>12</v>
      </c>
      <c r="C3096">
        <v>12</v>
      </c>
      <c r="D3096" t="s">
        <v>15</v>
      </c>
      <c r="E3096" t="s">
        <v>15</v>
      </c>
      <c r="F3096" t="s">
        <v>15</v>
      </c>
      <c r="G3096" t="s">
        <v>20</v>
      </c>
      <c r="H3096" t="s">
        <v>22</v>
      </c>
      <c r="I3096">
        <v>97.35</v>
      </c>
      <c r="J3096">
        <v>37.299999999999997</v>
      </c>
      <c r="K3096" t="s">
        <v>27</v>
      </c>
      <c r="L3096" t="s">
        <v>15</v>
      </c>
    </row>
    <row r="3097" spans="1:12" x14ac:dyDescent="0.3">
      <c r="A3097">
        <v>25642</v>
      </c>
      <c r="B3097" t="s">
        <v>12</v>
      </c>
      <c r="C3097">
        <v>32</v>
      </c>
      <c r="D3097" t="s">
        <v>15</v>
      </c>
      <c r="E3097" t="s">
        <v>15</v>
      </c>
      <c r="F3097" t="s">
        <v>15</v>
      </c>
      <c r="G3097" t="s">
        <v>17</v>
      </c>
      <c r="H3097" t="s">
        <v>22</v>
      </c>
      <c r="I3097">
        <v>79.540000000000006</v>
      </c>
      <c r="J3097">
        <v>28.1</v>
      </c>
      <c r="K3097" t="s">
        <v>27</v>
      </c>
      <c r="L3097" t="s">
        <v>15</v>
      </c>
    </row>
    <row r="3098" spans="1:12" x14ac:dyDescent="0.3">
      <c r="A3098">
        <v>31932</v>
      </c>
      <c r="B3098" t="s">
        <v>13</v>
      </c>
      <c r="C3098">
        <v>13</v>
      </c>
      <c r="D3098" t="s">
        <v>15</v>
      </c>
      <c r="E3098" t="s">
        <v>15</v>
      </c>
      <c r="F3098" t="s">
        <v>15</v>
      </c>
      <c r="G3098" t="s">
        <v>20</v>
      </c>
      <c r="H3098" t="s">
        <v>22</v>
      </c>
      <c r="I3098">
        <v>76.55</v>
      </c>
      <c r="J3098">
        <v>29.1</v>
      </c>
      <c r="K3098" t="s">
        <v>27</v>
      </c>
      <c r="L3098" t="s">
        <v>15</v>
      </c>
    </row>
    <row r="3099" spans="1:12" x14ac:dyDescent="0.3">
      <c r="A3099">
        <v>13629</v>
      </c>
      <c r="B3099" t="s">
        <v>12</v>
      </c>
      <c r="C3099">
        <v>1.32</v>
      </c>
      <c r="D3099" t="s">
        <v>15</v>
      </c>
      <c r="E3099" t="s">
        <v>15</v>
      </c>
      <c r="F3099" t="s">
        <v>15</v>
      </c>
      <c r="G3099" t="s">
        <v>20</v>
      </c>
      <c r="H3099" t="s">
        <v>22</v>
      </c>
      <c r="I3099">
        <v>56.11</v>
      </c>
      <c r="J3099">
        <v>22.9</v>
      </c>
      <c r="K3099" t="s">
        <v>27</v>
      </c>
      <c r="L3099" t="s">
        <v>15</v>
      </c>
    </row>
    <row r="3100" spans="1:12" x14ac:dyDescent="0.3">
      <c r="A3100">
        <v>38258</v>
      </c>
      <c r="B3100" t="s">
        <v>13</v>
      </c>
      <c r="C3100">
        <v>63</v>
      </c>
      <c r="D3100" t="s">
        <v>15</v>
      </c>
      <c r="E3100" t="s">
        <v>15</v>
      </c>
      <c r="F3100" t="s">
        <v>16</v>
      </c>
      <c r="G3100" t="s">
        <v>17</v>
      </c>
      <c r="H3100" t="s">
        <v>23</v>
      </c>
      <c r="I3100">
        <v>91.36</v>
      </c>
      <c r="J3100">
        <v>38.799999999999997</v>
      </c>
      <c r="K3100" t="s">
        <v>24</v>
      </c>
      <c r="L3100" t="s">
        <v>15</v>
      </c>
    </row>
    <row r="3101" spans="1:12" x14ac:dyDescent="0.3">
      <c r="A3101">
        <v>70602</v>
      </c>
      <c r="B3101" t="s">
        <v>13</v>
      </c>
      <c r="C3101">
        <v>29</v>
      </c>
      <c r="D3101" t="s">
        <v>15</v>
      </c>
      <c r="E3101" t="s">
        <v>15</v>
      </c>
      <c r="F3101" t="s">
        <v>15</v>
      </c>
      <c r="G3101" t="s">
        <v>17</v>
      </c>
      <c r="H3101" t="s">
        <v>23</v>
      </c>
      <c r="I3101">
        <v>79.27</v>
      </c>
      <c r="J3101">
        <v>29</v>
      </c>
      <c r="K3101" t="s">
        <v>26</v>
      </c>
      <c r="L3101" t="s">
        <v>15</v>
      </c>
    </row>
    <row r="3102" spans="1:12" x14ac:dyDescent="0.3">
      <c r="A3102">
        <v>60056</v>
      </c>
      <c r="B3102" t="s">
        <v>12</v>
      </c>
      <c r="C3102">
        <v>53</v>
      </c>
      <c r="D3102" t="s">
        <v>15</v>
      </c>
      <c r="E3102" t="s">
        <v>15</v>
      </c>
      <c r="F3102" t="s">
        <v>16</v>
      </c>
      <c r="G3102" t="s">
        <v>17</v>
      </c>
      <c r="H3102" t="s">
        <v>22</v>
      </c>
      <c r="I3102">
        <v>113.21</v>
      </c>
      <c r="J3102">
        <v>28.6</v>
      </c>
      <c r="K3102" t="s">
        <v>26</v>
      </c>
      <c r="L3102" t="s">
        <v>15</v>
      </c>
    </row>
    <row r="3103" spans="1:12" x14ac:dyDescent="0.3">
      <c r="A3103">
        <v>31156</v>
      </c>
      <c r="B3103" t="s">
        <v>13</v>
      </c>
      <c r="C3103">
        <v>49</v>
      </c>
      <c r="D3103" t="s">
        <v>15</v>
      </c>
      <c r="E3103" t="s">
        <v>15</v>
      </c>
      <c r="F3103" t="s">
        <v>16</v>
      </c>
      <c r="G3103" t="s">
        <v>17</v>
      </c>
      <c r="H3103" t="s">
        <v>22</v>
      </c>
      <c r="I3103">
        <v>105.99</v>
      </c>
      <c r="J3103">
        <v>29.8</v>
      </c>
      <c r="K3103" t="s">
        <v>25</v>
      </c>
      <c r="L3103" t="s">
        <v>15</v>
      </c>
    </row>
    <row r="3104" spans="1:12" x14ac:dyDescent="0.3">
      <c r="A3104">
        <v>69643</v>
      </c>
      <c r="B3104" t="s">
        <v>12</v>
      </c>
      <c r="C3104">
        <v>81</v>
      </c>
      <c r="D3104" t="s">
        <v>15</v>
      </c>
      <c r="E3104" t="s">
        <v>15</v>
      </c>
      <c r="F3104" t="s">
        <v>16</v>
      </c>
      <c r="G3104" t="s">
        <v>17</v>
      </c>
      <c r="H3104" t="s">
        <v>23</v>
      </c>
      <c r="I3104">
        <v>59.93</v>
      </c>
      <c r="J3104">
        <v>28.9</v>
      </c>
      <c r="K3104" t="s">
        <v>24</v>
      </c>
      <c r="L3104" t="s">
        <v>15</v>
      </c>
    </row>
    <row r="3105" spans="1:12" x14ac:dyDescent="0.3">
      <c r="A3105">
        <v>23171</v>
      </c>
      <c r="B3105" t="s">
        <v>12</v>
      </c>
      <c r="C3105">
        <v>66</v>
      </c>
      <c r="D3105" t="s">
        <v>15</v>
      </c>
      <c r="E3105" t="s">
        <v>15</v>
      </c>
      <c r="F3105" t="s">
        <v>16</v>
      </c>
      <c r="G3105" t="s">
        <v>17</v>
      </c>
      <c r="H3105" t="s">
        <v>23</v>
      </c>
      <c r="I3105">
        <v>88.83</v>
      </c>
      <c r="J3105">
        <v>29.1</v>
      </c>
      <c r="K3105" t="s">
        <v>27</v>
      </c>
      <c r="L3105" t="s">
        <v>15</v>
      </c>
    </row>
    <row r="3106" spans="1:12" x14ac:dyDescent="0.3">
      <c r="A3106">
        <v>42309</v>
      </c>
      <c r="B3106" t="s">
        <v>13</v>
      </c>
      <c r="C3106">
        <v>42</v>
      </c>
      <c r="D3106" t="s">
        <v>15</v>
      </c>
      <c r="E3106" t="s">
        <v>15</v>
      </c>
      <c r="F3106" t="s">
        <v>16</v>
      </c>
      <c r="G3106" t="s">
        <v>17</v>
      </c>
      <c r="H3106" t="s">
        <v>22</v>
      </c>
      <c r="I3106">
        <v>73.37</v>
      </c>
      <c r="K3106" t="s">
        <v>26</v>
      </c>
      <c r="L3106" t="s">
        <v>15</v>
      </c>
    </row>
    <row r="3107" spans="1:12" x14ac:dyDescent="0.3">
      <c r="A3107">
        <v>2877</v>
      </c>
      <c r="B3107" t="s">
        <v>13</v>
      </c>
      <c r="C3107">
        <v>61</v>
      </c>
      <c r="D3107" t="s">
        <v>15</v>
      </c>
      <c r="E3107" t="s">
        <v>15</v>
      </c>
      <c r="F3107" t="s">
        <v>16</v>
      </c>
      <c r="G3107" t="s">
        <v>17</v>
      </c>
      <c r="H3107" t="s">
        <v>22</v>
      </c>
      <c r="I3107">
        <v>115.42</v>
      </c>
      <c r="J3107">
        <v>16.7</v>
      </c>
      <c r="K3107" t="s">
        <v>26</v>
      </c>
      <c r="L3107" t="s">
        <v>15</v>
      </c>
    </row>
    <row r="3108" spans="1:12" x14ac:dyDescent="0.3">
      <c r="A3108">
        <v>37011</v>
      </c>
      <c r="B3108" t="s">
        <v>13</v>
      </c>
      <c r="C3108">
        <v>52</v>
      </c>
      <c r="D3108" t="s">
        <v>15</v>
      </c>
      <c r="E3108" t="s">
        <v>15</v>
      </c>
      <c r="F3108" t="s">
        <v>16</v>
      </c>
      <c r="G3108" t="s">
        <v>17</v>
      </c>
      <c r="H3108" t="s">
        <v>23</v>
      </c>
      <c r="I3108">
        <v>71.930000000000007</v>
      </c>
      <c r="J3108">
        <v>34.1</v>
      </c>
      <c r="K3108" t="s">
        <v>27</v>
      </c>
      <c r="L3108" t="s">
        <v>15</v>
      </c>
    </row>
    <row r="3109" spans="1:12" x14ac:dyDescent="0.3">
      <c r="A3109">
        <v>355</v>
      </c>
      <c r="B3109" t="s">
        <v>12</v>
      </c>
      <c r="C3109">
        <v>8</v>
      </c>
      <c r="D3109" t="s">
        <v>15</v>
      </c>
      <c r="E3109" t="s">
        <v>15</v>
      </c>
      <c r="F3109" t="s">
        <v>15</v>
      </c>
      <c r="G3109" t="s">
        <v>20</v>
      </c>
      <c r="H3109" t="s">
        <v>23</v>
      </c>
      <c r="I3109">
        <v>96.43</v>
      </c>
      <c r="J3109">
        <v>25.7</v>
      </c>
      <c r="K3109" t="s">
        <v>27</v>
      </c>
      <c r="L3109" t="s">
        <v>15</v>
      </c>
    </row>
    <row r="3110" spans="1:12" x14ac:dyDescent="0.3">
      <c r="A3110">
        <v>53252</v>
      </c>
      <c r="B3110" t="s">
        <v>12</v>
      </c>
      <c r="C3110">
        <v>82</v>
      </c>
      <c r="D3110" t="s">
        <v>15</v>
      </c>
      <c r="E3110" t="s">
        <v>15</v>
      </c>
      <c r="F3110" t="s">
        <v>15</v>
      </c>
      <c r="G3110" t="s">
        <v>18</v>
      </c>
      <c r="H3110" t="s">
        <v>22</v>
      </c>
      <c r="I3110">
        <v>161.94999999999999</v>
      </c>
      <c r="J3110">
        <v>30.8</v>
      </c>
      <c r="K3110" t="s">
        <v>25</v>
      </c>
      <c r="L3110" t="s">
        <v>15</v>
      </c>
    </row>
    <row r="3111" spans="1:12" x14ac:dyDescent="0.3">
      <c r="A3111">
        <v>3553</v>
      </c>
      <c r="B3111" t="s">
        <v>13</v>
      </c>
      <c r="C3111">
        <v>43</v>
      </c>
      <c r="D3111" t="s">
        <v>15</v>
      </c>
      <c r="E3111" t="s">
        <v>15</v>
      </c>
      <c r="F3111" t="s">
        <v>16</v>
      </c>
      <c r="G3111" t="s">
        <v>19</v>
      </c>
      <c r="H3111" t="s">
        <v>22</v>
      </c>
      <c r="I3111">
        <v>104.55</v>
      </c>
      <c r="J3111">
        <v>23.9</v>
      </c>
      <c r="K3111" t="s">
        <v>26</v>
      </c>
      <c r="L3111" t="s">
        <v>15</v>
      </c>
    </row>
    <row r="3112" spans="1:12" x14ac:dyDescent="0.3">
      <c r="A3112">
        <v>72178</v>
      </c>
      <c r="B3112" t="s">
        <v>13</v>
      </c>
      <c r="C3112">
        <v>4</v>
      </c>
      <c r="D3112" t="s">
        <v>15</v>
      </c>
      <c r="E3112" t="s">
        <v>15</v>
      </c>
      <c r="F3112" t="s">
        <v>15</v>
      </c>
      <c r="G3112" t="s">
        <v>20</v>
      </c>
      <c r="H3112" t="s">
        <v>22</v>
      </c>
      <c r="I3112">
        <v>71.25</v>
      </c>
      <c r="J3112">
        <v>18.8</v>
      </c>
      <c r="K3112" t="s">
        <v>27</v>
      </c>
      <c r="L3112" t="s">
        <v>15</v>
      </c>
    </row>
    <row r="3113" spans="1:12" x14ac:dyDescent="0.3">
      <c r="A3113">
        <v>11817</v>
      </c>
      <c r="B3113" t="s">
        <v>12</v>
      </c>
      <c r="C3113">
        <v>58</v>
      </c>
      <c r="D3113" t="s">
        <v>15</v>
      </c>
      <c r="E3113" t="s">
        <v>15</v>
      </c>
      <c r="F3113" t="s">
        <v>16</v>
      </c>
      <c r="G3113" t="s">
        <v>19</v>
      </c>
      <c r="H3113" t="s">
        <v>22</v>
      </c>
      <c r="I3113">
        <v>160.87</v>
      </c>
      <c r="K3113" t="s">
        <v>24</v>
      </c>
      <c r="L3113" t="s">
        <v>15</v>
      </c>
    </row>
    <row r="3114" spans="1:12" x14ac:dyDescent="0.3">
      <c r="A3114">
        <v>26468</v>
      </c>
      <c r="B3114" t="s">
        <v>13</v>
      </c>
      <c r="C3114">
        <v>45</v>
      </c>
      <c r="D3114" t="s">
        <v>15</v>
      </c>
      <c r="E3114" t="s">
        <v>15</v>
      </c>
      <c r="F3114" t="s">
        <v>16</v>
      </c>
      <c r="G3114" t="s">
        <v>19</v>
      </c>
      <c r="H3114" t="s">
        <v>22</v>
      </c>
      <c r="I3114">
        <v>82.02</v>
      </c>
      <c r="J3114">
        <v>41.8</v>
      </c>
      <c r="K3114" t="s">
        <v>26</v>
      </c>
      <c r="L3114" t="s">
        <v>15</v>
      </c>
    </row>
    <row r="3115" spans="1:12" x14ac:dyDescent="0.3">
      <c r="A3115">
        <v>13176</v>
      </c>
      <c r="B3115" t="s">
        <v>13</v>
      </c>
      <c r="C3115">
        <v>62</v>
      </c>
      <c r="D3115" t="s">
        <v>16</v>
      </c>
      <c r="E3115" t="s">
        <v>15</v>
      </c>
      <c r="F3115" t="s">
        <v>16</v>
      </c>
      <c r="G3115" t="s">
        <v>17</v>
      </c>
      <c r="H3115" t="s">
        <v>22</v>
      </c>
      <c r="I3115">
        <v>78.02</v>
      </c>
      <c r="J3115">
        <v>36.4</v>
      </c>
      <c r="K3115" t="s">
        <v>25</v>
      </c>
      <c r="L3115" t="s">
        <v>15</v>
      </c>
    </row>
    <row r="3116" spans="1:12" x14ac:dyDescent="0.3">
      <c r="A3116">
        <v>67032</v>
      </c>
      <c r="B3116" t="s">
        <v>12</v>
      </c>
      <c r="C3116">
        <v>42</v>
      </c>
      <c r="D3116" t="s">
        <v>15</v>
      </c>
      <c r="E3116" t="s">
        <v>15</v>
      </c>
      <c r="F3116" t="s">
        <v>15</v>
      </c>
      <c r="G3116" t="s">
        <v>19</v>
      </c>
      <c r="H3116" t="s">
        <v>22</v>
      </c>
      <c r="I3116">
        <v>115.21</v>
      </c>
      <c r="J3116">
        <v>28.7</v>
      </c>
      <c r="K3116" t="s">
        <v>27</v>
      </c>
      <c r="L3116" t="s">
        <v>15</v>
      </c>
    </row>
    <row r="3117" spans="1:12" x14ac:dyDescent="0.3">
      <c r="A3117">
        <v>39784</v>
      </c>
      <c r="B3117" t="s">
        <v>13</v>
      </c>
      <c r="C3117">
        <v>72</v>
      </c>
      <c r="D3117" t="s">
        <v>15</v>
      </c>
      <c r="E3117" t="s">
        <v>15</v>
      </c>
      <c r="F3117" t="s">
        <v>16</v>
      </c>
      <c r="G3117" t="s">
        <v>18</v>
      </c>
      <c r="H3117" t="s">
        <v>22</v>
      </c>
      <c r="I3117">
        <v>65.12</v>
      </c>
      <c r="J3117">
        <v>28.3</v>
      </c>
      <c r="K3117" t="s">
        <v>25</v>
      </c>
      <c r="L3117" t="s">
        <v>15</v>
      </c>
    </row>
    <row r="3118" spans="1:12" x14ac:dyDescent="0.3">
      <c r="A3118">
        <v>56156</v>
      </c>
      <c r="B3118" t="s">
        <v>14</v>
      </c>
      <c r="C3118">
        <v>26</v>
      </c>
      <c r="D3118" t="s">
        <v>15</v>
      </c>
      <c r="E3118" t="s">
        <v>15</v>
      </c>
      <c r="F3118" t="s">
        <v>15</v>
      </c>
      <c r="G3118" t="s">
        <v>17</v>
      </c>
      <c r="H3118" t="s">
        <v>23</v>
      </c>
      <c r="I3118">
        <v>143.33000000000001</v>
      </c>
      <c r="J3118">
        <v>22.4</v>
      </c>
      <c r="K3118" t="s">
        <v>24</v>
      </c>
      <c r="L3118" t="s">
        <v>15</v>
      </c>
    </row>
    <row r="3119" spans="1:12" x14ac:dyDescent="0.3">
      <c r="A3119">
        <v>15230</v>
      </c>
      <c r="B3119" t="s">
        <v>13</v>
      </c>
      <c r="C3119">
        <v>9</v>
      </c>
      <c r="D3119" t="s">
        <v>15</v>
      </c>
      <c r="E3119" t="s">
        <v>15</v>
      </c>
      <c r="F3119" t="s">
        <v>15</v>
      </c>
      <c r="G3119" t="s">
        <v>20</v>
      </c>
      <c r="H3119" t="s">
        <v>23</v>
      </c>
      <c r="I3119">
        <v>80.55</v>
      </c>
      <c r="J3119">
        <v>15.1</v>
      </c>
      <c r="K3119" t="s">
        <v>27</v>
      </c>
      <c r="L3119" t="s">
        <v>15</v>
      </c>
    </row>
    <row r="3120" spans="1:12" x14ac:dyDescent="0.3">
      <c r="A3120">
        <v>25218</v>
      </c>
      <c r="B3120" t="s">
        <v>13</v>
      </c>
      <c r="C3120">
        <v>31</v>
      </c>
      <c r="D3120" t="s">
        <v>15</v>
      </c>
      <c r="E3120" t="s">
        <v>15</v>
      </c>
      <c r="F3120" t="s">
        <v>16</v>
      </c>
      <c r="G3120" t="s">
        <v>19</v>
      </c>
      <c r="H3120" t="s">
        <v>22</v>
      </c>
      <c r="I3120">
        <v>88.2</v>
      </c>
      <c r="J3120">
        <v>22.7</v>
      </c>
      <c r="K3120" t="s">
        <v>25</v>
      </c>
      <c r="L3120" t="s">
        <v>15</v>
      </c>
    </row>
    <row r="3121" spans="1:12" x14ac:dyDescent="0.3">
      <c r="A3121">
        <v>39637</v>
      </c>
      <c r="B3121" t="s">
        <v>13</v>
      </c>
      <c r="C3121">
        <v>20</v>
      </c>
      <c r="D3121" t="s">
        <v>15</v>
      </c>
      <c r="E3121" t="s">
        <v>15</v>
      </c>
      <c r="F3121" t="s">
        <v>15</v>
      </c>
      <c r="G3121" t="s">
        <v>17</v>
      </c>
      <c r="H3121" t="s">
        <v>23</v>
      </c>
      <c r="I3121">
        <v>147.41999999999999</v>
      </c>
      <c r="J3121">
        <v>26.6</v>
      </c>
      <c r="K3121" t="s">
        <v>27</v>
      </c>
      <c r="L3121" t="s">
        <v>15</v>
      </c>
    </row>
    <row r="3122" spans="1:12" x14ac:dyDescent="0.3">
      <c r="A3122">
        <v>26777</v>
      </c>
      <c r="B3122" t="s">
        <v>12</v>
      </c>
      <c r="C3122">
        <v>22</v>
      </c>
      <c r="D3122" t="s">
        <v>15</v>
      </c>
      <c r="E3122" t="s">
        <v>15</v>
      </c>
      <c r="F3122" t="s">
        <v>15</v>
      </c>
      <c r="G3122" t="s">
        <v>17</v>
      </c>
      <c r="H3122" t="s">
        <v>23</v>
      </c>
      <c r="I3122">
        <v>86.53</v>
      </c>
      <c r="J3122">
        <v>20.8</v>
      </c>
      <c r="K3122" t="s">
        <v>25</v>
      </c>
      <c r="L3122" t="s">
        <v>15</v>
      </c>
    </row>
    <row r="3123" spans="1:12" x14ac:dyDescent="0.3">
      <c r="A3123">
        <v>60533</v>
      </c>
      <c r="B3123" t="s">
        <v>13</v>
      </c>
      <c r="C3123">
        <v>23</v>
      </c>
      <c r="D3123" t="s">
        <v>15</v>
      </c>
      <c r="E3123" t="s">
        <v>15</v>
      </c>
      <c r="F3123" t="s">
        <v>15</v>
      </c>
      <c r="G3123" t="s">
        <v>17</v>
      </c>
      <c r="H3123" t="s">
        <v>23</v>
      </c>
      <c r="I3123">
        <v>91.95</v>
      </c>
      <c r="J3123">
        <v>23</v>
      </c>
      <c r="K3123" t="s">
        <v>27</v>
      </c>
      <c r="L3123" t="s">
        <v>15</v>
      </c>
    </row>
    <row r="3124" spans="1:12" x14ac:dyDescent="0.3">
      <c r="A3124">
        <v>44375</v>
      </c>
      <c r="B3124" t="s">
        <v>13</v>
      </c>
      <c r="C3124">
        <v>57</v>
      </c>
      <c r="D3124" t="s">
        <v>16</v>
      </c>
      <c r="E3124" t="s">
        <v>15</v>
      </c>
      <c r="F3124" t="s">
        <v>16</v>
      </c>
      <c r="G3124" t="s">
        <v>18</v>
      </c>
      <c r="H3124" t="s">
        <v>23</v>
      </c>
      <c r="I3124">
        <v>63.72</v>
      </c>
      <c r="J3124">
        <v>35.799999999999997</v>
      </c>
      <c r="K3124" t="s">
        <v>26</v>
      </c>
      <c r="L3124" t="s">
        <v>15</v>
      </c>
    </row>
    <row r="3125" spans="1:12" x14ac:dyDescent="0.3">
      <c r="A3125">
        <v>49848</v>
      </c>
      <c r="B3125" t="s">
        <v>12</v>
      </c>
      <c r="C3125">
        <v>52</v>
      </c>
      <c r="D3125" t="s">
        <v>15</v>
      </c>
      <c r="E3125" t="s">
        <v>15</v>
      </c>
      <c r="F3125" t="s">
        <v>16</v>
      </c>
      <c r="G3125" t="s">
        <v>17</v>
      </c>
      <c r="H3125" t="s">
        <v>23</v>
      </c>
      <c r="I3125">
        <v>63.78</v>
      </c>
      <c r="J3125">
        <v>29.9</v>
      </c>
      <c r="K3125" t="s">
        <v>25</v>
      </c>
      <c r="L3125" t="s">
        <v>15</v>
      </c>
    </row>
    <row r="3126" spans="1:12" x14ac:dyDescent="0.3">
      <c r="A3126">
        <v>65413</v>
      </c>
      <c r="B3126" t="s">
        <v>13</v>
      </c>
      <c r="C3126">
        <v>64</v>
      </c>
      <c r="D3126" t="s">
        <v>15</v>
      </c>
      <c r="E3126" t="s">
        <v>15</v>
      </c>
      <c r="F3126" t="s">
        <v>16</v>
      </c>
      <c r="G3126" t="s">
        <v>17</v>
      </c>
      <c r="H3126" t="s">
        <v>22</v>
      </c>
      <c r="I3126">
        <v>55.64</v>
      </c>
      <c r="J3126">
        <v>43.4</v>
      </c>
      <c r="K3126" t="s">
        <v>25</v>
      </c>
      <c r="L3126" t="s">
        <v>15</v>
      </c>
    </row>
    <row r="3127" spans="1:12" x14ac:dyDescent="0.3">
      <c r="A3127">
        <v>31161</v>
      </c>
      <c r="B3127" t="s">
        <v>13</v>
      </c>
      <c r="C3127">
        <v>26</v>
      </c>
      <c r="D3127" t="s">
        <v>15</v>
      </c>
      <c r="E3127" t="s">
        <v>15</v>
      </c>
      <c r="F3127" t="s">
        <v>15</v>
      </c>
      <c r="G3127" t="s">
        <v>19</v>
      </c>
      <c r="H3127" t="s">
        <v>22</v>
      </c>
      <c r="I3127">
        <v>88.88</v>
      </c>
      <c r="J3127">
        <v>36.299999999999997</v>
      </c>
      <c r="K3127" t="s">
        <v>25</v>
      </c>
      <c r="L3127" t="s">
        <v>15</v>
      </c>
    </row>
    <row r="3128" spans="1:12" x14ac:dyDescent="0.3">
      <c r="A3128">
        <v>61787</v>
      </c>
      <c r="B3128" t="s">
        <v>12</v>
      </c>
      <c r="C3128">
        <v>54</v>
      </c>
      <c r="D3128" t="s">
        <v>15</v>
      </c>
      <c r="E3128" t="s">
        <v>15</v>
      </c>
      <c r="F3128" t="s">
        <v>16</v>
      </c>
      <c r="G3128" t="s">
        <v>18</v>
      </c>
      <c r="H3128" t="s">
        <v>22</v>
      </c>
      <c r="I3128">
        <v>114.61</v>
      </c>
      <c r="J3128">
        <v>40.1</v>
      </c>
      <c r="K3128" t="s">
        <v>24</v>
      </c>
      <c r="L3128" t="s">
        <v>15</v>
      </c>
    </row>
    <row r="3129" spans="1:12" x14ac:dyDescent="0.3">
      <c r="A3129">
        <v>53482</v>
      </c>
      <c r="B3129" t="s">
        <v>12</v>
      </c>
      <c r="C3129">
        <v>32</v>
      </c>
      <c r="D3129" t="s">
        <v>15</v>
      </c>
      <c r="E3129" t="s">
        <v>15</v>
      </c>
      <c r="F3129" t="s">
        <v>15</v>
      </c>
      <c r="G3129" t="s">
        <v>18</v>
      </c>
      <c r="H3129" t="s">
        <v>23</v>
      </c>
      <c r="I3129">
        <v>56.08</v>
      </c>
      <c r="J3129">
        <v>35.9</v>
      </c>
      <c r="K3129" t="s">
        <v>24</v>
      </c>
      <c r="L3129" t="s">
        <v>15</v>
      </c>
    </row>
    <row r="3130" spans="1:12" x14ac:dyDescent="0.3">
      <c r="A3130">
        <v>71387</v>
      </c>
      <c r="B3130" t="s">
        <v>13</v>
      </c>
      <c r="C3130">
        <v>66</v>
      </c>
      <c r="D3130" t="s">
        <v>15</v>
      </c>
      <c r="E3130" t="s">
        <v>15</v>
      </c>
      <c r="F3130" t="s">
        <v>16</v>
      </c>
      <c r="G3130" t="s">
        <v>19</v>
      </c>
      <c r="H3130" t="s">
        <v>23</v>
      </c>
      <c r="I3130">
        <v>59.62</v>
      </c>
      <c r="J3130">
        <v>32.4</v>
      </c>
      <c r="K3130" t="s">
        <v>25</v>
      </c>
      <c r="L3130" t="s">
        <v>15</v>
      </c>
    </row>
    <row r="3131" spans="1:12" x14ac:dyDescent="0.3">
      <c r="A3131">
        <v>7577</v>
      </c>
      <c r="B3131" t="s">
        <v>12</v>
      </c>
      <c r="C3131">
        <v>13</v>
      </c>
      <c r="D3131" t="s">
        <v>15</v>
      </c>
      <c r="E3131" t="s">
        <v>15</v>
      </c>
      <c r="F3131" t="s">
        <v>15</v>
      </c>
      <c r="G3131" t="s">
        <v>20</v>
      </c>
      <c r="H3131" t="s">
        <v>22</v>
      </c>
      <c r="I3131">
        <v>75.849999999999994</v>
      </c>
      <c r="J3131">
        <v>20.3</v>
      </c>
      <c r="K3131" t="s">
        <v>27</v>
      </c>
      <c r="L3131" t="s">
        <v>15</v>
      </c>
    </row>
    <row r="3132" spans="1:12" x14ac:dyDescent="0.3">
      <c r="A3132">
        <v>34400</v>
      </c>
      <c r="B3132" t="s">
        <v>13</v>
      </c>
      <c r="C3132">
        <v>77</v>
      </c>
      <c r="D3132" t="s">
        <v>16</v>
      </c>
      <c r="E3132" t="s">
        <v>15</v>
      </c>
      <c r="F3132" t="s">
        <v>16</v>
      </c>
      <c r="G3132" t="s">
        <v>18</v>
      </c>
      <c r="H3132" t="s">
        <v>23</v>
      </c>
      <c r="I3132">
        <v>176.71</v>
      </c>
      <c r="J3132">
        <v>33.200000000000003</v>
      </c>
      <c r="K3132" t="s">
        <v>25</v>
      </c>
      <c r="L3132" t="s">
        <v>15</v>
      </c>
    </row>
    <row r="3133" spans="1:12" x14ac:dyDescent="0.3">
      <c r="A3133">
        <v>45175</v>
      </c>
      <c r="B3133" t="s">
        <v>12</v>
      </c>
      <c r="C3133">
        <v>18</v>
      </c>
      <c r="D3133" t="s">
        <v>15</v>
      </c>
      <c r="E3133" t="s">
        <v>15</v>
      </c>
      <c r="F3133" t="s">
        <v>15</v>
      </c>
      <c r="G3133" t="s">
        <v>17</v>
      </c>
      <c r="H3133" t="s">
        <v>22</v>
      </c>
      <c r="I3133">
        <v>80.069999999999993</v>
      </c>
      <c r="J3133">
        <v>22.3</v>
      </c>
      <c r="K3133" t="s">
        <v>27</v>
      </c>
      <c r="L3133" t="s">
        <v>15</v>
      </c>
    </row>
    <row r="3134" spans="1:12" x14ac:dyDescent="0.3">
      <c r="A3134">
        <v>71192</v>
      </c>
      <c r="B3134" t="s">
        <v>12</v>
      </c>
      <c r="C3134">
        <v>11</v>
      </c>
      <c r="D3134" t="s">
        <v>15</v>
      </c>
      <c r="E3134" t="s">
        <v>15</v>
      </c>
      <c r="F3134" t="s">
        <v>15</v>
      </c>
      <c r="G3134" t="s">
        <v>20</v>
      </c>
      <c r="H3134" t="s">
        <v>23</v>
      </c>
      <c r="I3134">
        <v>56.33</v>
      </c>
      <c r="J3134">
        <v>18.100000000000001</v>
      </c>
      <c r="K3134" t="s">
        <v>27</v>
      </c>
      <c r="L3134" t="s">
        <v>15</v>
      </c>
    </row>
    <row r="3135" spans="1:12" x14ac:dyDescent="0.3">
      <c r="A3135">
        <v>26997</v>
      </c>
      <c r="B3135" t="s">
        <v>13</v>
      </c>
      <c r="C3135">
        <v>16</v>
      </c>
      <c r="D3135" t="s">
        <v>15</v>
      </c>
      <c r="E3135" t="s">
        <v>15</v>
      </c>
      <c r="F3135" t="s">
        <v>15</v>
      </c>
      <c r="G3135" t="s">
        <v>17</v>
      </c>
      <c r="H3135" t="s">
        <v>22</v>
      </c>
      <c r="I3135">
        <v>87.16</v>
      </c>
      <c r="J3135">
        <v>28.2</v>
      </c>
      <c r="K3135" t="s">
        <v>25</v>
      </c>
      <c r="L3135" t="s">
        <v>15</v>
      </c>
    </row>
    <row r="3136" spans="1:12" x14ac:dyDescent="0.3">
      <c r="A3136">
        <v>33532</v>
      </c>
      <c r="B3136" t="s">
        <v>13</v>
      </c>
      <c r="C3136">
        <v>73</v>
      </c>
      <c r="D3136" t="s">
        <v>15</v>
      </c>
      <c r="E3136" t="s">
        <v>16</v>
      </c>
      <c r="F3136" t="s">
        <v>16</v>
      </c>
      <c r="G3136" t="s">
        <v>17</v>
      </c>
      <c r="H3136" t="s">
        <v>23</v>
      </c>
      <c r="I3136">
        <v>102.46</v>
      </c>
      <c r="J3136">
        <v>29.7</v>
      </c>
      <c r="K3136" t="s">
        <v>25</v>
      </c>
      <c r="L3136" t="s">
        <v>15</v>
      </c>
    </row>
    <row r="3137" spans="1:12" x14ac:dyDescent="0.3">
      <c r="A3137">
        <v>33704</v>
      </c>
      <c r="B3137" t="s">
        <v>12</v>
      </c>
      <c r="C3137">
        <v>44</v>
      </c>
      <c r="D3137" t="s">
        <v>16</v>
      </c>
      <c r="E3137" t="s">
        <v>15</v>
      </c>
      <c r="F3137" t="s">
        <v>16</v>
      </c>
      <c r="G3137" t="s">
        <v>17</v>
      </c>
      <c r="H3137" t="s">
        <v>23</v>
      </c>
      <c r="I3137">
        <v>84.1</v>
      </c>
      <c r="K3137" t="s">
        <v>27</v>
      </c>
      <c r="L3137" t="s">
        <v>15</v>
      </c>
    </row>
    <row r="3138" spans="1:12" x14ac:dyDescent="0.3">
      <c r="A3138">
        <v>51897</v>
      </c>
      <c r="B3138" t="s">
        <v>12</v>
      </c>
      <c r="C3138">
        <v>36</v>
      </c>
      <c r="D3138" t="s">
        <v>15</v>
      </c>
      <c r="E3138" t="s">
        <v>15</v>
      </c>
      <c r="F3138" t="s">
        <v>16</v>
      </c>
      <c r="G3138" t="s">
        <v>17</v>
      </c>
      <c r="H3138" t="s">
        <v>23</v>
      </c>
      <c r="I3138">
        <v>161</v>
      </c>
      <c r="J3138">
        <v>29</v>
      </c>
      <c r="K3138" t="s">
        <v>26</v>
      </c>
      <c r="L3138" t="s">
        <v>15</v>
      </c>
    </row>
    <row r="3139" spans="1:12" x14ac:dyDescent="0.3">
      <c r="A3139">
        <v>43016</v>
      </c>
      <c r="B3139" t="s">
        <v>12</v>
      </c>
      <c r="C3139">
        <v>10</v>
      </c>
      <c r="D3139" t="s">
        <v>15</v>
      </c>
      <c r="E3139" t="s">
        <v>15</v>
      </c>
      <c r="F3139" t="s">
        <v>15</v>
      </c>
      <c r="G3139" t="s">
        <v>20</v>
      </c>
      <c r="H3139" t="s">
        <v>22</v>
      </c>
      <c r="I3139">
        <v>70.7</v>
      </c>
      <c r="J3139">
        <v>25.4</v>
      </c>
      <c r="K3139" t="s">
        <v>27</v>
      </c>
      <c r="L3139" t="s">
        <v>15</v>
      </c>
    </row>
    <row r="3140" spans="1:12" x14ac:dyDescent="0.3">
      <c r="A3140">
        <v>3370</v>
      </c>
      <c r="B3140" t="s">
        <v>13</v>
      </c>
      <c r="C3140">
        <v>54</v>
      </c>
      <c r="D3140" t="s">
        <v>15</v>
      </c>
      <c r="E3140" t="s">
        <v>15</v>
      </c>
      <c r="F3140" t="s">
        <v>16</v>
      </c>
      <c r="G3140" t="s">
        <v>17</v>
      </c>
      <c r="H3140" t="s">
        <v>23</v>
      </c>
      <c r="I3140">
        <v>81.260000000000005</v>
      </c>
      <c r="J3140">
        <v>26.5</v>
      </c>
      <c r="K3140" t="s">
        <v>27</v>
      </c>
      <c r="L3140" t="s">
        <v>15</v>
      </c>
    </row>
    <row r="3141" spans="1:12" x14ac:dyDescent="0.3">
      <c r="A3141">
        <v>39984</v>
      </c>
      <c r="B3141" t="s">
        <v>13</v>
      </c>
      <c r="C3141">
        <v>42</v>
      </c>
      <c r="D3141" t="s">
        <v>15</v>
      </c>
      <c r="E3141" t="s">
        <v>15</v>
      </c>
      <c r="F3141" t="s">
        <v>16</v>
      </c>
      <c r="G3141" t="s">
        <v>19</v>
      </c>
      <c r="H3141" t="s">
        <v>23</v>
      </c>
      <c r="I3141">
        <v>157.66999999999999</v>
      </c>
      <c r="J3141">
        <v>22.7</v>
      </c>
      <c r="K3141" t="s">
        <v>24</v>
      </c>
      <c r="L3141" t="s">
        <v>15</v>
      </c>
    </row>
    <row r="3142" spans="1:12" x14ac:dyDescent="0.3">
      <c r="A3142">
        <v>59232</v>
      </c>
      <c r="B3142" t="s">
        <v>13</v>
      </c>
      <c r="C3142">
        <v>52</v>
      </c>
      <c r="D3142" t="s">
        <v>15</v>
      </c>
      <c r="E3142" t="s">
        <v>15</v>
      </c>
      <c r="F3142" t="s">
        <v>16</v>
      </c>
      <c r="G3142" t="s">
        <v>18</v>
      </c>
      <c r="H3142" t="s">
        <v>22</v>
      </c>
      <c r="I3142">
        <v>89.59</v>
      </c>
      <c r="J3142">
        <v>27.5</v>
      </c>
      <c r="K3142" t="s">
        <v>27</v>
      </c>
      <c r="L3142" t="s">
        <v>15</v>
      </c>
    </row>
    <row r="3143" spans="1:12" x14ac:dyDescent="0.3">
      <c r="A3143">
        <v>57896</v>
      </c>
      <c r="B3143" t="s">
        <v>12</v>
      </c>
      <c r="C3143">
        <v>32</v>
      </c>
      <c r="D3143" t="s">
        <v>15</v>
      </c>
      <c r="E3143" t="s">
        <v>15</v>
      </c>
      <c r="F3143" t="s">
        <v>16</v>
      </c>
      <c r="G3143" t="s">
        <v>17</v>
      </c>
      <c r="H3143" t="s">
        <v>22</v>
      </c>
      <c r="I3143">
        <v>64.02</v>
      </c>
      <c r="J3143">
        <v>23.8</v>
      </c>
      <c r="K3143" t="s">
        <v>26</v>
      </c>
      <c r="L3143" t="s">
        <v>15</v>
      </c>
    </row>
    <row r="3144" spans="1:12" x14ac:dyDescent="0.3">
      <c r="A3144">
        <v>21917</v>
      </c>
      <c r="B3144" t="s">
        <v>12</v>
      </c>
      <c r="C3144">
        <v>43</v>
      </c>
      <c r="D3144" t="s">
        <v>15</v>
      </c>
      <c r="E3144" t="s">
        <v>15</v>
      </c>
      <c r="F3144" t="s">
        <v>16</v>
      </c>
      <c r="G3144" t="s">
        <v>19</v>
      </c>
      <c r="H3144" t="s">
        <v>23</v>
      </c>
      <c r="I3144">
        <v>110.69</v>
      </c>
      <c r="J3144">
        <v>35.6</v>
      </c>
      <c r="K3144" t="s">
        <v>27</v>
      </c>
      <c r="L3144" t="s">
        <v>15</v>
      </c>
    </row>
    <row r="3145" spans="1:12" x14ac:dyDescent="0.3">
      <c r="A3145">
        <v>66435</v>
      </c>
      <c r="B3145" t="s">
        <v>13</v>
      </c>
      <c r="C3145">
        <v>28</v>
      </c>
      <c r="D3145" t="s">
        <v>15</v>
      </c>
      <c r="E3145" t="s">
        <v>15</v>
      </c>
      <c r="F3145" t="s">
        <v>16</v>
      </c>
      <c r="G3145" t="s">
        <v>17</v>
      </c>
      <c r="H3145" t="s">
        <v>23</v>
      </c>
      <c r="I3145">
        <v>71.97</v>
      </c>
      <c r="J3145">
        <v>27.2</v>
      </c>
      <c r="K3145" t="s">
        <v>25</v>
      </c>
      <c r="L3145" t="s">
        <v>15</v>
      </c>
    </row>
    <row r="3146" spans="1:12" x14ac:dyDescent="0.3">
      <c r="A3146">
        <v>3442</v>
      </c>
      <c r="B3146" t="s">
        <v>13</v>
      </c>
      <c r="C3146">
        <v>79</v>
      </c>
      <c r="D3146" t="s">
        <v>15</v>
      </c>
      <c r="E3146" t="s">
        <v>15</v>
      </c>
      <c r="F3146" t="s">
        <v>15</v>
      </c>
      <c r="G3146" t="s">
        <v>18</v>
      </c>
      <c r="H3146" t="s">
        <v>23</v>
      </c>
      <c r="I3146">
        <v>82.07</v>
      </c>
      <c r="J3146">
        <v>30.4</v>
      </c>
      <c r="K3146" t="s">
        <v>27</v>
      </c>
      <c r="L3146" t="s">
        <v>15</v>
      </c>
    </row>
    <row r="3147" spans="1:12" x14ac:dyDescent="0.3">
      <c r="A3147">
        <v>48064</v>
      </c>
      <c r="B3147" t="s">
        <v>12</v>
      </c>
      <c r="C3147">
        <v>11</v>
      </c>
      <c r="D3147" t="s">
        <v>15</v>
      </c>
      <c r="E3147" t="s">
        <v>15</v>
      </c>
      <c r="F3147" t="s">
        <v>15</v>
      </c>
      <c r="G3147" t="s">
        <v>20</v>
      </c>
      <c r="H3147" t="s">
        <v>23</v>
      </c>
      <c r="I3147">
        <v>65.069999999999993</v>
      </c>
      <c r="J3147">
        <v>21.5</v>
      </c>
      <c r="K3147" t="s">
        <v>25</v>
      </c>
      <c r="L3147" t="s">
        <v>15</v>
      </c>
    </row>
    <row r="3148" spans="1:12" x14ac:dyDescent="0.3">
      <c r="A3148">
        <v>13358</v>
      </c>
      <c r="B3148" t="s">
        <v>13</v>
      </c>
      <c r="C3148">
        <v>75</v>
      </c>
      <c r="D3148" t="s">
        <v>15</v>
      </c>
      <c r="E3148" t="s">
        <v>15</v>
      </c>
      <c r="F3148" t="s">
        <v>16</v>
      </c>
      <c r="G3148" t="s">
        <v>18</v>
      </c>
      <c r="H3148" t="s">
        <v>23</v>
      </c>
      <c r="I3148">
        <v>207.62</v>
      </c>
      <c r="J3148">
        <v>31.8</v>
      </c>
      <c r="K3148" t="s">
        <v>25</v>
      </c>
      <c r="L3148" t="s">
        <v>15</v>
      </c>
    </row>
    <row r="3149" spans="1:12" x14ac:dyDescent="0.3">
      <c r="A3149">
        <v>64986</v>
      </c>
      <c r="B3149" t="s">
        <v>12</v>
      </c>
      <c r="C3149">
        <v>55</v>
      </c>
      <c r="D3149" t="s">
        <v>15</v>
      </c>
      <c r="E3149" t="s">
        <v>15</v>
      </c>
      <c r="F3149" t="s">
        <v>16</v>
      </c>
      <c r="G3149" t="s">
        <v>17</v>
      </c>
      <c r="H3149" t="s">
        <v>22</v>
      </c>
      <c r="I3149">
        <v>108.64</v>
      </c>
      <c r="J3149">
        <v>29.5</v>
      </c>
      <c r="K3149" t="s">
        <v>25</v>
      </c>
      <c r="L3149" t="s">
        <v>15</v>
      </c>
    </row>
    <row r="3150" spans="1:12" x14ac:dyDescent="0.3">
      <c r="A3150">
        <v>6032</v>
      </c>
      <c r="B3150" t="s">
        <v>12</v>
      </c>
      <c r="C3150">
        <v>78</v>
      </c>
      <c r="D3150" t="s">
        <v>15</v>
      </c>
      <c r="E3150" t="s">
        <v>15</v>
      </c>
      <c r="F3150" t="s">
        <v>16</v>
      </c>
      <c r="G3150" t="s">
        <v>18</v>
      </c>
      <c r="H3150" t="s">
        <v>22</v>
      </c>
      <c r="I3150">
        <v>201.58</v>
      </c>
      <c r="J3150">
        <v>30.6</v>
      </c>
      <c r="K3150" t="s">
        <v>27</v>
      </c>
      <c r="L3150" t="s">
        <v>15</v>
      </c>
    </row>
    <row r="3151" spans="1:12" x14ac:dyDescent="0.3">
      <c r="A3151">
        <v>52924</v>
      </c>
      <c r="B3151" t="s">
        <v>13</v>
      </c>
      <c r="C3151">
        <v>48</v>
      </c>
      <c r="D3151" t="s">
        <v>15</v>
      </c>
      <c r="E3151" t="s">
        <v>15</v>
      </c>
      <c r="F3151" t="s">
        <v>16</v>
      </c>
      <c r="G3151" t="s">
        <v>17</v>
      </c>
      <c r="H3151" t="s">
        <v>22</v>
      </c>
      <c r="I3151">
        <v>116.2</v>
      </c>
      <c r="J3151">
        <v>27.6</v>
      </c>
      <c r="K3151" t="s">
        <v>24</v>
      </c>
      <c r="L3151" t="s">
        <v>15</v>
      </c>
    </row>
    <row r="3152" spans="1:12" x14ac:dyDescent="0.3">
      <c r="A3152">
        <v>69979</v>
      </c>
      <c r="B3152" t="s">
        <v>12</v>
      </c>
      <c r="C3152">
        <v>73</v>
      </c>
      <c r="D3152" t="s">
        <v>15</v>
      </c>
      <c r="E3152" t="s">
        <v>15</v>
      </c>
      <c r="F3152" t="s">
        <v>16</v>
      </c>
      <c r="G3152" t="s">
        <v>18</v>
      </c>
      <c r="H3152" t="s">
        <v>23</v>
      </c>
      <c r="I3152">
        <v>231.43</v>
      </c>
      <c r="J3152">
        <v>23</v>
      </c>
      <c r="K3152" t="s">
        <v>26</v>
      </c>
      <c r="L3152" t="s">
        <v>15</v>
      </c>
    </row>
    <row r="3153" spans="1:12" x14ac:dyDescent="0.3">
      <c r="A3153">
        <v>50489</v>
      </c>
      <c r="B3153" t="s">
        <v>13</v>
      </c>
      <c r="C3153">
        <v>56</v>
      </c>
      <c r="D3153" t="s">
        <v>15</v>
      </c>
      <c r="E3153" t="s">
        <v>15</v>
      </c>
      <c r="F3153" t="s">
        <v>16</v>
      </c>
      <c r="G3153" t="s">
        <v>19</v>
      </c>
      <c r="H3153" t="s">
        <v>22</v>
      </c>
      <c r="I3153">
        <v>112.62</v>
      </c>
      <c r="J3153">
        <v>24.8</v>
      </c>
      <c r="K3153" t="s">
        <v>25</v>
      </c>
      <c r="L3153" t="s">
        <v>15</v>
      </c>
    </row>
    <row r="3154" spans="1:12" x14ac:dyDescent="0.3">
      <c r="A3154">
        <v>20094</v>
      </c>
      <c r="B3154" t="s">
        <v>12</v>
      </c>
      <c r="C3154">
        <v>54</v>
      </c>
      <c r="D3154" t="s">
        <v>16</v>
      </c>
      <c r="E3154" t="s">
        <v>15</v>
      </c>
      <c r="F3154" t="s">
        <v>16</v>
      </c>
      <c r="G3154" t="s">
        <v>17</v>
      </c>
      <c r="H3154" t="s">
        <v>22</v>
      </c>
      <c r="I3154">
        <v>220.26</v>
      </c>
      <c r="J3154">
        <v>28</v>
      </c>
      <c r="K3154" t="s">
        <v>24</v>
      </c>
      <c r="L3154" t="s">
        <v>15</v>
      </c>
    </row>
    <row r="3155" spans="1:12" x14ac:dyDescent="0.3">
      <c r="A3155">
        <v>16618</v>
      </c>
      <c r="B3155" t="s">
        <v>13</v>
      </c>
      <c r="C3155">
        <v>55</v>
      </c>
      <c r="D3155" t="s">
        <v>15</v>
      </c>
      <c r="E3155" t="s">
        <v>15</v>
      </c>
      <c r="F3155" t="s">
        <v>16</v>
      </c>
      <c r="G3155" t="s">
        <v>17</v>
      </c>
      <c r="H3155" t="s">
        <v>22</v>
      </c>
      <c r="I3155">
        <v>84.37</v>
      </c>
      <c r="J3155">
        <v>22.2</v>
      </c>
      <c r="K3155" t="s">
        <v>27</v>
      </c>
      <c r="L3155" t="s">
        <v>15</v>
      </c>
    </row>
    <row r="3156" spans="1:12" x14ac:dyDescent="0.3">
      <c r="A3156">
        <v>63280</v>
      </c>
      <c r="B3156" t="s">
        <v>13</v>
      </c>
      <c r="C3156">
        <v>65</v>
      </c>
      <c r="D3156" t="s">
        <v>15</v>
      </c>
      <c r="E3156" t="s">
        <v>15</v>
      </c>
      <c r="F3156" t="s">
        <v>16</v>
      </c>
      <c r="G3156" t="s">
        <v>17</v>
      </c>
      <c r="H3156" t="s">
        <v>23</v>
      </c>
      <c r="I3156">
        <v>82.83</v>
      </c>
      <c r="J3156">
        <v>27.8</v>
      </c>
      <c r="K3156" t="s">
        <v>24</v>
      </c>
      <c r="L3156" t="s">
        <v>15</v>
      </c>
    </row>
    <row r="3157" spans="1:12" x14ac:dyDescent="0.3">
      <c r="A3157">
        <v>14551</v>
      </c>
      <c r="B3157" t="s">
        <v>13</v>
      </c>
      <c r="C3157">
        <v>69</v>
      </c>
      <c r="D3157" t="s">
        <v>15</v>
      </c>
      <c r="E3157" t="s">
        <v>15</v>
      </c>
      <c r="F3157" t="s">
        <v>15</v>
      </c>
      <c r="G3157" t="s">
        <v>17</v>
      </c>
      <c r="H3157" t="s">
        <v>22</v>
      </c>
      <c r="I3157">
        <v>102.48</v>
      </c>
      <c r="J3157">
        <v>30.2</v>
      </c>
      <c r="K3157" t="s">
        <v>24</v>
      </c>
      <c r="L3157" t="s">
        <v>15</v>
      </c>
    </row>
    <row r="3158" spans="1:12" x14ac:dyDescent="0.3">
      <c r="A3158">
        <v>22098</v>
      </c>
      <c r="B3158" t="s">
        <v>13</v>
      </c>
      <c r="C3158">
        <v>29</v>
      </c>
      <c r="D3158" t="s">
        <v>15</v>
      </c>
      <c r="E3158" t="s">
        <v>15</v>
      </c>
      <c r="F3158" t="s">
        <v>16</v>
      </c>
      <c r="G3158" t="s">
        <v>18</v>
      </c>
      <c r="H3158" t="s">
        <v>23</v>
      </c>
      <c r="I3158">
        <v>69.12</v>
      </c>
      <c r="J3158">
        <v>26.8</v>
      </c>
      <c r="K3158" t="s">
        <v>25</v>
      </c>
      <c r="L3158" t="s">
        <v>15</v>
      </c>
    </row>
    <row r="3159" spans="1:12" x14ac:dyDescent="0.3">
      <c r="A3159">
        <v>17771</v>
      </c>
      <c r="B3159" t="s">
        <v>13</v>
      </c>
      <c r="C3159">
        <v>64</v>
      </c>
      <c r="D3159" t="s">
        <v>16</v>
      </c>
      <c r="E3159" t="s">
        <v>15</v>
      </c>
      <c r="F3159" t="s">
        <v>16</v>
      </c>
      <c r="G3159" t="s">
        <v>19</v>
      </c>
      <c r="H3159" t="s">
        <v>22</v>
      </c>
      <c r="I3159">
        <v>211.12</v>
      </c>
      <c r="J3159">
        <v>22</v>
      </c>
      <c r="K3159" t="s">
        <v>25</v>
      </c>
      <c r="L3159" t="s">
        <v>15</v>
      </c>
    </row>
    <row r="3160" spans="1:12" x14ac:dyDescent="0.3">
      <c r="A3160">
        <v>11803</v>
      </c>
      <c r="B3160" t="s">
        <v>13</v>
      </c>
      <c r="C3160">
        <v>16</v>
      </c>
      <c r="D3160" t="s">
        <v>15</v>
      </c>
      <c r="E3160" t="s">
        <v>15</v>
      </c>
      <c r="F3160" t="s">
        <v>15</v>
      </c>
      <c r="G3160" t="s">
        <v>17</v>
      </c>
      <c r="H3160" t="s">
        <v>23</v>
      </c>
      <c r="I3160">
        <v>95.38</v>
      </c>
      <c r="J3160">
        <v>34.299999999999997</v>
      </c>
      <c r="K3160" t="s">
        <v>24</v>
      </c>
      <c r="L3160" t="s">
        <v>15</v>
      </c>
    </row>
    <row r="3161" spans="1:12" x14ac:dyDescent="0.3">
      <c r="A3161">
        <v>34356</v>
      </c>
      <c r="B3161" t="s">
        <v>13</v>
      </c>
      <c r="C3161">
        <v>75</v>
      </c>
      <c r="D3161" t="s">
        <v>15</v>
      </c>
      <c r="E3161" t="s">
        <v>15</v>
      </c>
      <c r="F3161" t="s">
        <v>16</v>
      </c>
      <c r="G3161" t="s">
        <v>17</v>
      </c>
      <c r="H3161" t="s">
        <v>23</v>
      </c>
      <c r="I3161">
        <v>108.72</v>
      </c>
      <c r="J3161">
        <v>29.2</v>
      </c>
      <c r="K3161" t="s">
        <v>24</v>
      </c>
      <c r="L3161" t="s">
        <v>15</v>
      </c>
    </row>
    <row r="3162" spans="1:12" x14ac:dyDescent="0.3">
      <c r="A3162">
        <v>26528</v>
      </c>
      <c r="B3162" t="s">
        <v>13</v>
      </c>
      <c r="C3162">
        <v>17</v>
      </c>
      <c r="D3162" t="s">
        <v>15</v>
      </c>
      <c r="E3162" t="s">
        <v>15</v>
      </c>
      <c r="F3162" t="s">
        <v>15</v>
      </c>
      <c r="G3162" t="s">
        <v>17</v>
      </c>
      <c r="H3162" t="s">
        <v>23</v>
      </c>
      <c r="I3162">
        <v>88.65</v>
      </c>
      <c r="J3162">
        <v>30.3</v>
      </c>
      <c r="K3162" t="s">
        <v>25</v>
      </c>
      <c r="L3162" t="s">
        <v>15</v>
      </c>
    </row>
    <row r="3163" spans="1:12" x14ac:dyDescent="0.3">
      <c r="A3163">
        <v>51554</v>
      </c>
      <c r="B3163" t="s">
        <v>12</v>
      </c>
      <c r="C3163">
        <v>42</v>
      </c>
      <c r="D3163" t="s">
        <v>15</v>
      </c>
      <c r="E3163" t="s">
        <v>15</v>
      </c>
      <c r="F3163" t="s">
        <v>16</v>
      </c>
      <c r="G3163" t="s">
        <v>17</v>
      </c>
      <c r="H3163" t="s">
        <v>22</v>
      </c>
      <c r="I3163">
        <v>177.91</v>
      </c>
      <c r="K3163" t="s">
        <v>27</v>
      </c>
      <c r="L3163" t="s">
        <v>15</v>
      </c>
    </row>
    <row r="3164" spans="1:12" x14ac:dyDescent="0.3">
      <c r="A3164">
        <v>2296</v>
      </c>
      <c r="B3164" t="s">
        <v>12</v>
      </c>
      <c r="C3164">
        <v>78</v>
      </c>
      <c r="D3164" t="s">
        <v>16</v>
      </c>
      <c r="E3164" t="s">
        <v>15</v>
      </c>
      <c r="F3164" t="s">
        <v>16</v>
      </c>
      <c r="G3164" t="s">
        <v>18</v>
      </c>
      <c r="H3164" t="s">
        <v>22</v>
      </c>
      <c r="I3164">
        <v>90.19</v>
      </c>
      <c r="K3164" t="s">
        <v>27</v>
      </c>
      <c r="L3164" t="s">
        <v>15</v>
      </c>
    </row>
    <row r="3165" spans="1:12" x14ac:dyDescent="0.3">
      <c r="A3165">
        <v>10624</v>
      </c>
      <c r="B3165" t="s">
        <v>12</v>
      </c>
      <c r="C3165">
        <v>24</v>
      </c>
      <c r="D3165" t="s">
        <v>15</v>
      </c>
      <c r="E3165" t="s">
        <v>15</v>
      </c>
      <c r="F3165" t="s">
        <v>16</v>
      </c>
      <c r="G3165" t="s">
        <v>17</v>
      </c>
      <c r="H3165" t="s">
        <v>23</v>
      </c>
      <c r="I3165">
        <v>73.78</v>
      </c>
      <c r="J3165">
        <v>21.4</v>
      </c>
      <c r="K3165" t="s">
        <v>26</v>
      </c>
      <c r="L3165" t="s">
        <v>15</v>
      </c>
    </row>
    <row r="3166" spans="1:12" x14ac:dyDescent="0.3">
      <c r="A3166">
        <v>1681</v>
      </c>
      <c r="B3166" t="s">
        <v>13</v>
      </c>
      <c r="C3166">
        <v>68</v>
      </c>
      <c r="D3166" t="s">
        <v>15</v>
      </c>
      <c r="E3166" t="s">
        <v>15</v>
      </c>
      <c r="F3166" t="s">
        <v>15</v>
      </c>
      <c r="G3166" t="s">
        <v>17</v>
      </c>
      <c r="H3166" t="s">
        <v>22</v>
      </c>
      <c r="I3166">
        <v>82.85</v>
      </c>
      <c r="K3166" t="s">
        <v>26</v>
      </c>
      <c r="L3166" t="s">
        <v>15</v>
      </c>
    </row>
    <row r="3167" spans="1:12" x14ac:dyDescent="0.3">
      <c r="A3167">
        <v>36375</v>
      </c>
      <c r="B3167" t="s">
        <v>12</v>
      </c>
      <c r="C3167">
        <v>50</v>
      </c>
      <c r="D3167" t="s">
        <v>15</v>
      </c>
      <c r="E3167" t="s">
        <v>15</v>
      </c>
      <c r="F3167" t="s">
        <v>16</v>
      </c>
      <c r="G3167" t="s">
        <v>17</v>
      </c>
      <c r="H3167" t="s">
        <v>23</v>
      </c>
      <c r="I3167">
        <v>59.48</v>
      </c>
      <c r="J3167">
        <v>26.6</v>
      </c>
      <c r="K3167" t="s">
        <v>27</v>
      </c>
      <c r="L3167" t="s">
        <v>15</v>
      </c>
    </row>
    <row r="3168" spans="1:12" x14ac:dyDescent="0.3">
      <c r="A3168">
        <v>8117</v>
      </c>
      <c r="B3168" t="s">
        <v>12</v>
      </c>
      <c r="C3168">
        <v>52</v>
      </c>
      <c r="D3168" t="s">
        <v>15</v>
      </c>
      <c r="E3168" t="s">
        <v>15</v>
      </c>
      <c r="F3168" t="s">
        <v>16</v>
      </c>
      <c r="G3168" t="s">
        <v>17</v>
      </c>
      <c r="H3168" t="s">
        <v>23</v>
      </c>
      <c r="I3168">
        <v>75.77</v>
      </c>
      <c r="J3168">
        <v>30</v>
      </c>
      <c r="K3168" t="s">
        <v>24</v>
      </c>
      <c r="L3168" t="s">
        <v>15</v>
      </c>
    </row>
    <row r="3169" spans="1:12" x14ac:dyDescent="0.3">
      <c r="A3169">
        <v>49849</v>
      </c>
      <c r="B3169" t="s">
        <v>13</v>
      </c>
      <c r="C3169">
        <v>82</v>
      </c>
      <c r="D3169" t="s">
        <v>15</v>
      </c>
      <c r="E3169" t="s">
        <v>15</v>
      </c>
      <c r="F3169" t="s">
        <v>16</v>
      </c>
      <c r="G3169" t="s">
        <v>17</v>
      </c>
      <c r="H3169" t="s">
        <v>23</v>
      </c>
      <c r="I3169">
        <v>80.959999999999994</v>
      </c>
      <c r="J3169">
        <v>33.700000000000003</v>
      </c>
      <c r="K3169" t="s">
        <v>24</v>
      </c>
      <c r="L3169" t="s">
        <v>15</v>
      </c>
    </row>
    <row r="3170" spans="1:12" x14ac:dyDescent="0.3">
      <c r="A3170">
        <v>19436</v>
      </c>
      <c r="B3170" t="s">
        <v>12</v>
      </c>
      <c r="C3170">
        <v>56</v>
      </c>
      <c r="D3170" t="s">
        <v>15</v>
      </c>
      <c r="E3170" t="s">
        <v>15</v>
      </c>
      <c r="F3170" t="s">
        <v>16</v>
      </c>
      <c r="G3170" t="s">
        <v>17</v>
      </c>
      <c r="H3170" t="s">
        <v>23</v>
      </c>
      <c r="I3170">
        <v>82.4</v>
      </c>
      <c r="J3170">
        <v>30.9</v>
      </c>
      <c r="K3170" t="s">
        <v>26</v>
      </c>
      <c r="L3170" t="s">
        <v>15</v>
      </c>
    </row>
    <row r="3171" spans="1:12" x14ac:dyDescent="0.3">
      <c r="A3171">
        <v>10523</v>
      </c>
      <c r="B3171" t="s">
        <v>12</v>
      </c>
      <c r="C3171">
        <v>56</v>
      </c>
      <c r="D3171" t="s">
        <v>15</v>
      </c>
      <c r="E3171" t="s">
        <v>15</v>
      </c>
      <c r="F3171" t="s">
        <v>16</v>
      </c>
      <c r="G3171" t="s">
        <v>17</v>
      </c>
      <c r="H3171" t="s">
        <v>22</v>
      </c>
      <c r="I3171">
        <v>78.930000000000007</v>
      </c>
      <c r="J3171">
        <v>31.1</v>
      </c>
      <c r="K3171" t="s">
        <v>27</v>
      </c>
      <c r="L3171" t="s">
        <v>15</v>
      </c>
    </row>
    <row r="3172" spans="1:12" x14ac:dyDescent="0.3">
      <c r="A3172">
        <v>39322</v>
      </c>
      <c r="B3172" t="s">
        <v>12</v>
      </c>
      <c r="C3172">
        <v>18</v>
      </c>
      <c r="D3172" t="s">
        <v>15</v>
      </c>
      <c r="E3172" t="s">
        <v>15</v>
      </c>
      <c r="F3172" t="s">
        <v>15</v>
      </c>
      <c r="G3172" t="s">
        <v>17</v>
      </c>
      <c r="H3172" t="s">
        <v>22</v>
      </c>
      <c r="I3172">
        <v>80.59</v>
      </c>
      <c r="J3172">
        <v>23</v>
      </c>
      <c r="K3172" t="s">
        <v>27</v>
      </c>
      <c r="L3172" t="s">
        <v>15</v>
      </c>
    </row>
    <row r="3173" spans="1:12" x14ac:dyDescent="0.3">
      <c r="A3173">
        <v>53265</v>
      </c>
      <c r="B3173" t="s">
        <v>13</v>
      </c>
      <c r="C3173">
        <v>33</v>
      </c>
      <c r="D3173" t="s">
        <v>15</v>
      </c>
      <c r="E3173" t="s">
        <v>15</v>
      </c>
      <c r="F3173" t="s">
        <v>16</v>
      </c>
      <c r="G3173" t="s">
        <v>18</v>
      </c>
      <c r="H3173" t="s">
        <v>22</v>
      </c>
      <c r="I3173">
        <v>70.59</v>
      </c>
      <c r="J3173">
        <v>20.2</v>
      </c>
      <c r="K3173" t="s">
        <v>27</v>
      </c>
      <c r="L3173" t="s">
        <v>15</v>
      </c>
    </row>
    <row r="3174" spans="1:12" x14ac:dyDescent="0.3">
      <c r="A3174">
        <v>40379</v>
      </c>
      <c r="B3174" t="s">
        <v>13</v>
      </c>
      <c r="C3174">
        <v>57</v>
      </c>
      <c r="D3174" t="s">
        <v>15</v>
      </c>
      <c r="E3174" t="s">
        <v>15</v>
      </c>
      <c r="F3174" t="s">
        <v>16</v>
      </c>
      <c r="G3174" t="s">
        <v>17</v>
      </c>
      <c r="H3174" t="s">
        <v>23</v>
      </c>
      <c r="I3174">
        <v>98.57</v>
      </c>
      <c r="J3174">
        <v>31.6</v>
      </c>
      <c r="K3174" t="s">
        <v>25</v>
      </c>
      <c r="L3174" t="s">
        <v>15</v>
      </c>
    </row>
    <row r="3175" spans="1:12" x14ac:dyDescent="0.3">
      <c r="A3175">
        <v>66841</v>
      </c>
      <c r="B3175" t="s">
        <v>12</v>
      </c>
      <c r="C3175">
        <v>30</v>
      </c>
      <c r="D3175" t="s">
        <v>15</v>
      </c>
      <c r="E3175" t="s">
        <v>15</v>
      </c>
      <c r="F3175" t="s">
        <v>15</v>
      </c>
      <c r="G3175" t="s">
        <v>17</v>
      </c>
      <c r="H3175" t="s">
        <v>23</v>
      </c>
      <c r="I3175">
        <v>61.87</v>
      </c>
      <c r="J3175">
        <v>23.9</v>
      </c>
      <c r="K3175" t="s">
        <v>27</v>
      </c>
      <c r="L3175" t="s">
        <v>15</v>
      </c>
    </row>
    <row r="3176" spans="1:12" x14ac:dyDescent="0.3">
      <c r="A3176">
        <v>38900</v>
      </c>
      <c r="B3176" t="s">
        <v>13</v>
      </c>
      <c r="C3176">
        <v>52</v>
      </c>
      <c r="D3176" t="s">
        <v>15</v>
      </c>
      <c r="E3176" t="s">
        <v>15</v>
      </c>
      <c r="F3176" t="s">
        <v>16</v>
      </c>
      <c r="G3176" t="s">
        <v>17</v>
      </c>
      <c r="H3176" t="s">
        <v>22</v>
      </c>
      <c r="I3176">
        <v>68.88</v>
      </c>
      <c r="J3176">
        <v>26.1</v>
      </c>
      <c r="K3176" t="s">
        <v>27</v>
      </c>
      <c r="L3176" t="s">
        <v>15</v>
      </c>
    </row>
    <row r="3177" spans="1:12" x14ac:dyDescent="0.3">
      <c r="A3177">
        <v>18180</v>
      </c>
      <c r="B3177" t="s">
        <v>13</v>
      </c>
      <c r="C3177">
        <v>3</v>
      </c>
      <c r="D3177" t="s">
        <v>15</v>
      </c>
      <c r="E3177" t="s">
        <v>15</v>
      </c>
      <c r="F3177" t="s">
        <v>15</v>
      </c>
      <c r="G3177" t="s">
        <v>20</v>
      </c>
      <c r="H3177" t="s">
        <v>22</v>
      </c>
      <c r="I3177">
        <v>66.25</v>
      </c>
      <c r="J3177">
        <v>15.8</v>
      </c>
      <c r="K3177" t="s">
        <v>27</v>
      </c>
      <c r="L3177" t="s">
        <v>15</v>
      </c>
    </row>
    <row r="3178" spans="1:12" x14ac:dyDescent="0.3">
      <c r="A3178">
        <v>1183</v>
      </c>
      <c r="B3178" t="s">
        <v>12</v>
      </c>
      <c r="C3178">
        <v>39</v>
      </c>
      <c r="D3178" t="s">
        <v>15</v>
      </c>
      <c r="E3178" t="s">
        <v>15</v>
      </c>
      <c r="F3178" t="s">
        <v>16</v>
      </c>
      <c r="G3178" t="s">
        <v>17</v>
      </c>
      <c r="H3178" t="s">
        <v>23</v>
      </c>
      <c r="I3178">
        <v>84.18</v>
      </c>
      <c r="K3178" t="s">
        <v>26</v>
      </c>
      <c r="L3178" t="s">
        <v>15</v>
      </c>
    </row>
    <row r="3179" spans="1:12" x14ac:dyDescent="0.3">
      <c r="A3179">
        <v>22964</v>
      </c>
      <c r="B3179" t="s">
        <v>12</v>
      </c>
      <c r="C3179">
        <v>44</v>
      </c>
      <c r="D3179" t="s">
        <v>15</v>
      </c>
      <c r="E3179" t="s">
        <v>15</v>
      </c>
      <c r="F3179" t="s">
        <v>16</v>
      </c>
      <c r="G3179" t="s">
        <v>19</v>
      </c>
      <c r="H3179" t="s">
        <v>23</v>
      </c>
      <c r="I3179">
        <v>69.23</v>
      </c>
      <c r="J3179">
        <v>28.7</v>
      </c>
      <c r="K3179" t="s">
        <v>26</v>
      </c>
      <c r="L3179" t="s">
        <v>15</v>
      </c>
    </row>
    <row r="3180" spans="1:12" x14ac:dyDescent="0.3">
      <c r="A3180">
        <v>64597</v>
      </c>
      <c r="B3180" t="s">
        <v>13</v>
      </c>
      <c r="C3180">
        <v>33</v>
      </c>
      <c r="D3180" t="s">
        <v>15</v>
      </c>
      <c r="E3180" t="s">
        <v>15</v>
      </c>
      <c r="F3180" t="s">
        <v>16</v>
      </c>
      <c r="G3180" t="s">
        <v>17</v>
      </c>
      <c r="H3180" t="s">
        <v>23</v>
      </c>
      <c r="I3180">
        <v>73.2</v>
      </c>
      <c r="J3180">
        <v>28.9</v>
      </c>
      <c r="K3180" t="s">
        <v>27</v>
      </c>
      <c r="L3180" t="s">
        <v>15</v>
      </c>
    </row>
    <row r="3181" spans="1:12" x14ac:dyDescent="0.3">
      <c r="A3181">
        <v>23893</v>
      </c>
      <c r="B3181" t="s">
        <v>12</v>
      </c>
      <c r="C3181">
        <v>24</v>
      </c>
      <c r="D3181" t="s">
        <v>15</v>
      </c>
      <c r="E3181" t="s">
        <v>15</v>
      </c>
      <c r="F3181" t="s">
        <v>16</v>
      </c>
      <c r="G3181" t="s">
        <v>17</v>
      </c>
      <c r="H3181" t="s">
        <v>22</v>
      </c>
      <c r="I3181">
        <v>103.45</v>
      </c>
      <c r="J3181">
        <v>25.1</v>
      </c>
      <c r="K3181" t="s">
        <v>26</v>
      </c>
      <c r="L3181" t="s">
        <v>15</v>
      </c>
    </row>
    <row r="3182" spans="1:12" x14ac:dyDescent="0.3">
      <c r="A3182">
        <v>51564</v>
      </c>
      <c r="B3182" t="s">
        <v>13</v>
      </c>
      <c r="C3182">
        <v>24</v>
      </c>
      <c r="D3182" t="s">
        <v>15</v>
      </c>
      <c r="E3182" t="s">
        <v>15</v>
      </c>
      <c r="F3182" t="s">
        <v>15</v>
      </c>
      <c r="G3182" t="s">
        <v>19</v>
      </c>
      <c r="H3182" t="s">
        <v>22</v>
      </c>
      <c r="I3182">
        <v>104.86</v>
      </c>
      <c r="J3182">
        <v>19.8</v>
      </c>
      <c r="K3182" t="s">
        <v>25</v>
      </c>
      <c r="L3182" t="s">
        <v>15</v>
      </c>
    </row>
    <row r="3183" spans="1:12" x14ac:dyDescent="0.3">
      <c r="A3183">
        <v>14410</v>
      </c>
      <c r="B3183" t="s">
        <v>12</v>
      </c>
      <c r="C3183">
        <v>54</v>
      </c>
      <c r="D3183" t="s">
        <v>15</v>
      </c>
      <c r="E3183" t="s">
        <v>16</v>
      </c>
      <c r="F3183" t="s">
        <v>16</v>
      </c>
      <c r="G3183" t="s">
        <v>19</v>
      </c>
      <c r="H3183" t="s">
        <v>22</v>
      </c>
      <c r="I3183">
        <v>90.3</v>
      </c>
      <c r="J3183">
        <v>30.8</v>
      </c>
      <c r="K3183" t="s">
        <v>26</v>
      </c>
      <c r="L3183" t="s">
        <v>15</v>
      </c>
    </row>
    <row r="3184" spans="1:12" x14ac:dyDescent="0.3">
      <c r="A3184">
        <v>4964</v>
      </c>
      <c r="B3184" t="s">
        <v>13</v>
      </c>
      <c r="C3184">
        <v>72</v>
      </c>
      <c r="D3184" t="s">
        <v>16</v>
      </c>
      <c r="E3184" t="s">
        <v>15</v>
      </c>
      <c r="F3184" t="s">
        <v>16</v>
      </c>
      <c r="G3184" t="s">
        <v>17</v>
      </c>
      <c r="H3184" t="s">
        <v>23</v>
      </c>
      <c r="I3184">
        <v>90.87</v>
      </c>
      <c r="J3184">
        <v>22.1</v>
      </c>
      <c r="K3184" t="s">
        <v>25</v>
      </c>
      <c r="L3184" t="s">
        <v>15</v>
      </c>
    </row>
    <row r="3185" spans="1:12" x14ac:dyDescent="0.3">
      <c r="A3185">
        <v>15020</v>
      </c>
      <c r="B3185" t="s">
        <v>13</v>
      </c>
      <c r="C3185">
        <v>37</v>
      </c>
      <c r="D3185" t="s">
        <v>15</v>
      </c>
      <c r="E3185" t="s">
        <v>15</v>
      </c>
      <c r="F3185" t="s">
        <v>15</v>
      </c>
      <c r="G3185" t="s">
        <v>19</v>
      </c>
      <c r="H3185" t="s">
        <v>23</v>
      </c>
      <c r="I3185">
        <v>76.209999999999994</v>
      </c>
      <c r="J3185">
        <v>20.399999999999999</v>
      </c>
      <c r="K3185" t="s">
        <v>27</v>
      </c>
      <c r="L3185" t="s">
        <v>15</v>
      </c>
    </row>
    <row r="3186" spans="1:12" x14ac:dyDescent="0.3">
      <c r="A3186">
        <v>27380</v>
      </c>
      <c r="B3186" t="s">
        <v>13</v>
      </c>
      <c r="C3186">
        <v>36</v>
      </c>
      <c r="D3186" t="s">
        <v>15</v>
      </c>
      <c r="E3186" t="s">
        <v>15</v>
      </c>
      <c r="F3186" t="s">
        <v>16</v>
      </c>
      <c r="G3186" t="s">
        <v>17</v>
      </c>
      <c r="H3186" t="s">
        <v>23</v>
      </c>
      <c r="I3186">
        <v>74.14</v>
      </c>
      <c r="J3186">
        <v>31.2</v>
      </c>
      <c r="K3186" t="s">
        <v>24</v>
      </c>
      <c r="L3186" t="s">
        <v>15</v>
      </c>
    </row>
    <row r="3187" spans="1:12" x14ac:dyDescent="0.3">
      <c r="A3187">
        <v>21523</v>
      </c>
      <c r="B3187" t="s">
        <v>13</v>
      </c>
      <c r="C3187">
        <v>22</v>
      </c>
      <c r="D3187" t="s">
        <v>15</v>
      </c>
      <c r="E3187" t="s">
        <v>15</v>
      </c>
      <c r="F3187" t="s">
        <v>15</v>
      </c>
      <c r="G3187" t="s">
        <v>19</v>
      </c>
      <c r="H3187" t="s">
        <v>22</v>
      </c>
      <c r="I3187">
        <v>87.25</v>
      </c>
      <c r="J3187">
        <v>24.9</v>
      </c>
      <c r="K3187" t="s">
        <v>26</v>
      </c>
      <c r="L3187" t="s">
        <v>15</v>
      </c>
    </row>
    <row r="3188" spans="1:12" x14ac:dyDescent="0.3">
      <c r="A3188">
        <v>8819</v>
      </c>
      <c r="B3188" t="s">
        <v>13</v>
      </c>
      <c r="C3188">
        <v>68</v>
      </c>
      <c r="D3188" t="s">
        <v>15</v>
      </c>
      <c r="E3188" t="s">
        <v>15</v>
      </c>
      <c r="F3188" t="s">
        <v>16</v>
      </c>
      <c r="G3188" t="s">
        <v>19</v>
      </c>
      <c r="H3188" t="s">
        <v>23</v>
      </c>
      <c r="I3188">
        <v>215.33</v>
      </c>
      <c r="J3188">
        <v>27</v>
      </c>
      <c r="K3188" t="s">
        <v>24</v>
      </c>
      <c r="L3188" t="s">
        <v>15</v>
      </c>
    </row>
    <row r="3189" spans="1:12" x14ac:dyDescent="0.3">
      <c r="A3189">
        <v>68408</v>
      </c>
      <c r="B3189" t="s">
        <v>12</v>
      </c>
      <c r="C3189">
        <v>24</v>
      </c>
      <c r="D3189" t="s">
        <v>15</v>
      </c>
      <c r="E3189" t="s">
        <v>15</v>
      </c>
      <c r="F3189" t="s">
        <v>15</v>
      </c>
      <c r="G3189" t="s">
        <v>17</v>
      </c>
      <c r="H3189" t="s">
        <v>22</v>
      </c>
      <c r="I3189">
        <v>88.38</v>
      </c>
      <c r="J3189">
        <v>20.100000000000001</v>
      </c>
      <c r="K3189" t="s">
        <v>26</v>
      </c>
      <c r="L3189" t="s">
        <v>15</v>
      </c>
    </row>
    <row r="3190" spans="1:12" x14ac:dyDescent="0.3">
      <c r="A3190">
        <v>8976</v>
      </c>
      <c r="B3190" t="s">
        <v>13</v>
      </c>
      <c r="C3190">
        <v>35</v>
      </c>
      <c r="D3190" t="s">
        <v>15</v>
      </c>
      <c r="E3190" t="s">
        <v>15</v>
      </c>
      <c r="F3190" t="s">
        <v>16</v>
      </c>
      <c r="G3190" t="s">
        <v>17</v>
      </c>
      <c r="H3190" t="s">
        <v>23</v>
      </c>
      <c r="I3190">
        <v>104.4</v>
      </c>
      <c r="J3190">
        <v>24.4</v>
      </c>
      <c r="K3190" t="s">
        <v>25</v>
      </c>
      <c r="L3190" t="s">
        <v>15</v>
      </c>
    </row>
    <row r="3191" spans="1:12" x14ac:dyDescent="0.3">
      <c r="A3191">
        <v>22290</v>
      </c>
      <c r="B3191" t="s">
        <v>13</v>
      </c>
      <c r="C3191">
        <v>32</v>
      </c>
      <c r="D3191" t="s">
        <v>15</v>
      </c>
      <c r="E3191" t="s">
        <v>15</v>
      </c>
      <c r="F3191" t="s">
        <v>16</v>
      </c>
      <c r="G3191" t="s">
        <v>17</v>
      </c>
      <c r="H3191" t="s">
        <v>22</v>
      </c>
      <c r="I3191">
        <v>104.92</v>
      </c>
      <c r="J3191">
        <v>22.6</v>
      </c>
      <c r="K3191" t="s">
        <v>25</v>
      </c>
      <c r="L3191" t="s">
        <v>15</v>
      </c>
    </row>
    <row r="3192" spans="1:12" x14ac:dyDescent="0.3">
      <c r="A3192">
        <v>7700</v>
      </c>
      <c r="B3192" t="s">
        <v>13</v>
      </c>
      <c r="C3192">
        <v>52</v>
      </c>
      <c r="D3192" t="s">
        <v>15</v>
      </c>
      <c r="E3192" t="s">
        <v>15</v>
      </c>
      <c r="F3192" t="s">
        <v>16</v>
      </c>
      <c r="G3192" t="s">
        <v>17</v>
      </c>
      <c r="H3192" t="s">
        <v>22</v>
      </c>
      <c r="I3192">
        <v>106.54</v>
      </c>
      <c r="J3192">
        <v>22.4</v>
      </c>
      <c r="K3192" t="s">
        <v>25</v>
      </c>
      <c r="L3192" t="s">
        <v>15</v>
      </c>
    </row>
    <row r="3193" spans="1:12" x14ac:dyDescent="0.3">
      <c r="A3193">
        <v>40503</v>
      </c>
      <c r="B3193" t="s">
        <v>12</v>
      </c>
      <c r="C3193">
        <v>21</v>
      </c>
      <c r="D3193" t="s">
        <v>15</v>
      </c>
      <c r="E3193" t="s">
        <v>15</v>
      </c>
      <c r="F3193" t="s">
        <v>15</v>
      </c>
      <c r="G3193" t="s">
        <v>17</v>
      </c>
      <c r="H3193" t="s">
        <v>23</v>
      </c>
      <c r="I3193">
        <v>62.91</v>
      </c>
      <c r="J3193">
        <v>26.2</v>
      </c>
      <c r="K3193" t="s">
        <v>25</v>
      </c>
      <c r="L3193" t="s">
        <v>15</v>
      </c>
    </row>
    <row r="3194" spans="1:12" x14ac:dyDescent="0.3">
      <c r="A3194">
        <v>47917</v>
      </c>
      <c r="B3194" t="s">
        <v>13</v>
      </c>
      <c r="C3194">
        <v>82</v>
      </c>
      <c r="D3194" t="s">
        <v>16</v>
      </c>
      <c r="E3194" t="s">
        <v>15</v>
      </c>
      <c r="F3194" t="s">
        <v>15</v>
      </c>
      <c r="G3194" t="s">
        <v>17</v>
      </c>
      <c r="H3194" t="s">
        <v>23</v>
      </c>
      <c r="I3194">
        <v>61.47</v>
      </c>
      <c r="J3194">
        <v>22.9</v>
      </c>
      <c r="K3194" t="s">
        <v>25</v>
      </c>
      <c r="L3194" t="s">
        <v>15</v>
      </c>
    </row>
    <row r="3195" spans="1:12" x14ac:dyDescent="0.3">
      <c r="A3195">
        <v>30303</v>
      </c>
      <c r="B3195" t="s">
        <v>12</v>
      </c>
      <c r="C3195">
        <v>33</v>
      </c>
      <c r="D3195" t="s">
        <v>15</v>
      </c>
      <c r="E3195" t="s">
        <v>15</v>
      </c>
      <c r="F3195" t="s">
        <v>15</v>
      </c>
      <c r="G3195" t="s">
        <v>17</v>
      </c>
      <c r="H3195" t="s">
        <v>23</v>
      </c>
      <c r="I3195">
        <v>88.5</v>
      </c>
      <c r="J3195">
        <v>32.6</v>
      </c>
      <c r="K3195" t="s">
        <v>24</v>
      </c>
      <c r="L3195" t="s">
        <v>15</v>
      </c>
    </row>
    <row r="3196" spans="1:12" x14ac:dyDescent="0.3">
      <c r="A3196">
        <v>63864</v>
      </c>
      <c r="B3196" t="s">
        <v>12</v>
      </c>
      <c r="C3196">
        <v>62</v>
      </c>
      <c r="D3196" t="s">
        <v>15</v>
      </c>
      <c r="E3196" t="s">
        <v>15</v>
      </c>
      <c r="F3196" t="s">
        <v>16</v>
      </c>
      <c r="G3196" t="s">
        <v>17</v>
      </c>
      <c r="H3196" t="s">
        <v>23</v>
      </c>
      <c r="I3196">
        <v>107.61</v>
      </c>
      <c r="J3196">
        <v>31.3</v>
      </c>
      <c r="K3196" t="s">
        <v>27</v>
      </c>
      <c r="L3196" t="s">
        <v>15</v>
      </c>
    </row>
    <row r="3197" spans="1:12" x14ac:dyDescent="0.3">
      <c r="A3197">
        <v>24177</v>
      </c>
      <c r="B3197" t="s">
        <v>13</v>
      </c>
      <c r="C3197">
        <v>57</v>
      </c>
      <c r="D3197" t="s">
        <v>16</v>
      </c>
      <c r="E3197" t="s">
        <v>15</v>
      </c>
      <c r="F3197" t="s">
        <v>16</v>
      </c>
      <c r="G3197" t="s">
        <v>17</v>
      </c>
      <c r="H3197" t="s">
        <v>22</v>
      </c>
      <c r="I3197">
        <v>90.77</v>
      </c>
      <c r="J3197">
        <v>43.9</v>
      </c>
      <c r="K3197" t="s">
        <v>24</v>
      </c>
      <c r="L3197" t="s">
        <v>15</v>
      </c>
    </row>
    <row r="3198" spans="1:12" x14ac:dyDescent="0.3">
      <c r="A3198">
        <v>57274</v>
      </c>
      <c r="B3198" t="s">
        <v>12</v>
      </c>
      <c r="C3198">
        <v>14</v>
      </c>
      <c r="D3198" t="s">
        <v>15</v>
      </c>
      <c r="E3198" t="s">
        <v>15</v>
      </c>
      <c r="F3198" t="s">
        <v>15</v>
      </c>
      <c r="G3198" t="s">
        <v>21</v>
      </c>
      <c r="H3198" t="s">
        <v>22</v>
      </c>
      <c r="I3198">
        <v>137.91</v>
      </c>
      <c r="J3198">
        <v>41.8</v>
      </c>
      <c r="K3198" t="s">
        <v>25</v>
      </c>
      <c r="L3198" t="s">
        <v>15</v>
      </c>
    </row>
    <row r="3199" spans="1:12" x14ac:dyDescent="0.3">
      <c r="A3199">
        <v>37213</v>
      </c>
      <c r="B3199" t="s">
        <v>12</v>
      </c>
      <c r="C3199">
        <v>60</v>
      </c>
      <c r="D3199" t="s">
        <v>15</v>
      </c>
      <c r="E3199" t="s">
        <v>15</v>
      </c>
      <c r="F3199" t="s">
        <v>16</v>
      </c>
      <c r="G3199" t="s">
        <v>18</v>
      </c>
      <c r="H3199" t="s">
        <v>23</v>
      </c>
      <c r="I3199">
        <v>212.02</v>
      </c>
      <c r="K3199" t="s">
        <v>27</v>
      </c>
      <c r="L3199" t="s">
        <v>15</v>
      </c>
    </row>
    <row r="3200" spans="1:12" x14ac:dyDescent="0.3">
      <c r="A3200">
        <v>59992</v>
      </c>
      <c r="B3200" t="s">
        <v>13</v>
      </c>
      <c r="C3200">
        <v>63</v>
      </c>
      <c r="D3200" t="s">
        <v>16</v>
      </c>
      <c r="E3200" t="s">
        <v>15</v>
      </c>
      <c r="F3200" t="s">
        <v>16</v>
      </c>
      <c r="G3200" t="s">
        <v>18</v>
      </c>
      <c r="H3200" t="s">
        <v>22</v>
      </c>
      <c r="I3200">
        <v>228.2</v>
      </c>
      <c r="J3200">
        <v>37.700000000000003</v>
      </c>
      <c r="K3200" t="s">
        <v>25</v>
      </c>
      <c r="L3200" t="s">
        <v>15</v>
      </c>
    </row>
    <row r="3201" spans="1:12" x14ac:dyDescent="0.3">
      <c r="A3201">
        <v>27382</v>
      </c>
      <c r="B3201" t="s">
        <v>13</v>
      </c>
      <c r="C3201">
        <v>50</v>
      </c>
      <c r="D3201" t="s">
        <v>15</v>
      </c>
      <c r="E3201" t="s">
        <v>15</v>
      </c>
      <c r="F3201" t="s">
        <v>16</v>
      </c>
      <c r="G3201" t="s">
        <v>19</v>
      </c>
      <c r="H3201" t="s">
        <v>22</v>
      </c>
      <c r="I3201">
        <v>92.15</v>
      </c>
      <c r="J3201">
        <v>20.8</v>
      </c>
      <c r="K3201" t="s">
        <v>25</v>
      </c>
      <c r="L3201" t="s">
        <v>15</v>
      </c>
    </row>
    <row r="3202" spans="1:12" x14ac:dyDescent="0.3">
      <c r="A3202">
        <v>61017</v>
      </c>
      <c r="B3202" t="s">
        <v>13</v>
      </c>
      <c r="C3202">
        <v>12</v>
      </c>
      <c r="D3202" t="s">
        <v>15</v>
      </c>
      <c r="E3202" t="s">
        <v>15</v>
      </c>
      <c r="F3202" t="s">
        <v>15</v>
      </c>
      <c r="G3202" t="s">
        <v>20</v>
      </c>
      <c r="H3202" t="s">
        <v>22</v>
      </c>
      <c r="I3202">
        <v>126.32</v>
      </c>
      <c r="J3202">
        <v>21.6</v>
      </c>
      <c r="K3202" t="s">
        <v>27</v>
      </c>
      <c r="L3202" t="s">
        <v>15</v>
      </c>
    </row>
    <row r="3203" spans="1:12" x14ac:dyDescent="0.3">
      <c r="A3203">
        <v>61699</v>
      </c>
      <c r="B3203" t="s">
        <v>12</v>
      </c>
      <c r="C3203">
        <v>80</v>
      </c>
      <c r="D3203" t="s">
        <v>15</v>
      </c>
      <c r="E3203" t="s">
        <v>15</v>
      </c>
      <c r="F3203" t="s">
        <v>16</v>
      </c>
      <c r="G3203" t="s">
        <v>17</v>
      </c>
      <c r="H3203" t="s">
        <v>23</v>
      </c>
      <c r="I3203">
        <v>94.96</v>
      </c>
      <c r="J3203">
        <v>22.1</v>
      </c>
      <c r="K3203" t="s">
        <v>24</v>
      </c>
      <c r="L3203" t="s">
        <v>15</v>
      </c>
    </row>
    <row r="3204" spans="1:12" x14ac:dyDescent="0.3">
      <c r="A3204">
        <v>14489</v>
      </c>
      <c r="B3204" t="s">
        <v>13</v>
      </c>
      <c r="C3204">
        <v>74</v>
      </c>
      <c r="D3204" t="s">
        <v>15</v>
      </c>
      <c r="E3204" t="s">
        <v>15</v>
      </c>
      <c r="F3204" t="s">
        <v>15</v>
      </c>
      <c r="G3204" t="s">
        <v>18</v>
      </c>
      <c r="H3204" t="s">
        <v>22</v>
      </c>
      <c r="I3204">
        <v>89.52</v>
      </c>
      <c r="J3204">
        <v>39.200000000000003</v>
      </c>
      <c r="K3204" t="s">
        <v>27</v>
      </c>
      <c r="L3204" t="s">
        <v>15</v>
      </c>
    </row>
    <row r="3205" spans="1:12" x14ac:dyDescent="0.3">
      <c r="A3205">
        <v>54053</v>
      </c>
      <c r="B3205" t="s">
        <v>12</v>
      </c>
      <c r="C3205">
        <v>46</v>
      </c>
      <c r="D3205" t="s">
        <v>15</v>
      </c>
      <c r="E3205" t="s">
        <v>15</v>
      </c>
      <c r="F3205" t="s">
        <v>16</v>
      </c>
      <c r="G3205" t="s">
        <v>17</v>
      </c>
      <c r="H3205" t="s">
        <v>23</v>
      </c>
      <c r="I3205">
        <v>66.59</v>
      </c>
      <c r="J3205">
        <v>36.700000000000003</v>
      </c>
      <c r="K3205" t="s">
        <v>24</v>
      </c>
      <c r="L3205" t="s">
        <v>15</v>
      </c>
    </row>
    <row r="3206" spans="1:12" x14ac:dyDescent="0.3">
      <c r="A3206">
        <v>38348</v>
      </c>
      <c r="B3206" t="s">
        <v>13</v>
      </c>
      <c r="C3206">
        <v>66</v>
      </c>
      <c r="D3206" t="s">
        <v>15</v>
      </c>
      <c r="E3206" t="s">
        <v>15</v>
      </c>
      <c r="F3206" t="s">
        <v>16</v>
      </c>
      <c r="G3206" t="s">
        <v>17</v>
      </c>
      <c r="H3206" t="s">
        <v>22</v>
      </c>
      <c r="I3206">
        <v>80.099999999999994</v>
      </c>
      <c r="J3206">
        <v>32</v>
      </c>
      <c r="K3206" t="s">
        <v>25</v>
      </c>
      <c r="L3206" t="s">
        <v>15</v>
      </c>
    </row>
    <row r="3207" spans="1:12" x14ac:dyDescent="0.3">
      <c r="A3207">
        <v>17668</v>
      </c>
      <c r="B3207" t="s">
        <v>12</v>
      </c>
      <c r="C3207">
        <v>26</v>
      </c>
      <c r="D3207" t="s">
        <v>15</v>
      </c>
      <c r="E3207" t="s">
        <v>15</v>
      </c>
      <c r="F3207" t="s">
        <v>16</v>
      </c>
      <c r="G3207" t="s">
        <v>18</v>
      </c>
      <c r="H3207" t="s">
        <v>22</v>
      </c>
      <c r="I3207">
        <v>73.72</v>
      </c>
      <c r="J3207">
        <v>25.9</v>
      </c>
      <c r="K3207" t="s">
        <v>26</v>
      </c>
      <c r="L3207" t="s">
        <v>15</v>
      </c>
    </row>
    <row r="3208" spans="1:12" x14ac:dyDescent="0.3">
      <c r="A3208">
        <v>11792</v>
      </c>
      <c r="B3208" t="s">
        <v>13</v>
      </c>
      <c r="C3208">
        <v>70</v>
      </c>
      <c r="D3208" t="s">
        <v>15</v>
      </c>
      <c r="E3208" t="s">
        <v>15</v>
      </c>
      <c r="F3208" t="s">
        <v>16</v>
      </c>
      <c r="G3208" t="s">
        <v>17</v>
      </c>
      <c r="H3208" t="s">
        <v>22</v>
      </c>
      <c r="I3208">
        <v>90.49</v>
      </c>
      <c r="J3208">
        <v>28.9</v>
      </c>
      <c r="K3208" t="s">
        <v>24</v>
      </c>
      <c r="L3208" t="s">
        <v>15</v>
      </c>
    </row>
    <row r="3209" spans="1:12" x14ac:dyDescent="0.3">
      <c r="A3209">
        <v>22917</v>
      </c>
      <c r="B3209" t="s">
        <v>13</v>
      </c>
      <c r="C3209">
        <v>62</v>
      </c>
      <c r="D3209" t="s">
        <v>15</v>
      </c>
      <c r="E3209" t="s">
        <v>15</v>
      </c>
      <c r="F3209" t="s">
        <v>16</v>
      </c>
      <c r="G3209" t="s">
        <v>17</v>
      </c>
      <c r="H3209" t="s">
        <v>22</v>
      </c>
      <c r="I3209">
        <v>92.99</v>
      </c>
      <c r="J3209">
        <v>29.3</v>
      </c>
      <c r="K3209" t="s">
        <v>24</v>
      </c>
      <c r="L3209" t="s">
        <v>15</v>
      </c>
    </row>
    <row r="3210" spans="1:12" x14ac:dyDescent="0.3">
      <c r="A3210">
        <v>36204</v>
      </c>
      <c r="B3210" t="s">
        <v>12</v>
      </c>
      <c r="C3210">
        <v>15</v>
      </c>
      <c r="D3210" t="s">
        <v>15</v>
      </c>
      <c r="E3210" t="s">
        <v>15</v>
      </c>
      <c r="F3210" t="s">
        <v>15</v>
      </c>
      <c r="G3210" t="s">
        <v>20</v>
      </c>
      <c r="H3210" t="s">
        <v>23</v>
      </c>
      <c r="I3210">
        <v>62.57</v>
      </c>
      <c r="J3210">
        <v>32.299999999999997</v>
      </c>
      <c r="K3210" t="s">
        <v>25</v>
      </c>
      <c r="L3210" t="s">
        <v>15</v>
      </c>
    </row>
    <row r="3211" spans="1:12" x14ac:dyDescent="0.3">
      <c r="A3211">
        <v>49554</v>
      </c>
      <c r="B3211" t="s">
        <v>12</v>
      </c>
      <c r="C3211">
        <v>67</v>
      </c>
      <c r="D3211" t="s">
        <v>15</v>
      </c>
      <c r="E3211" t="s">
        <v>15</v>
      </c>
      <c r="F3211" t="s">
        <v>16</v>
      </c>
      <c r="G3211" t="s">
        <v>17</v>
      </c>
      <c r="H3211" t="s">
        <v>23</v>
      </c>
      <c r="I3211">
        <v>65.510000000000005</v>
      </c>
      <c r="J3211">
        <v>33.200000000000003</v>
      </c>
      <c r="K3211" t="s">
        <v>24</v>
      </c>
      <c r="L3211" t="s">
        <v>15</v>
      </c>
    </row>
    <row r="3212" spans="1:12" x14ac:dyDescent="0.3">
      <c r="A3212">
        <v>72594</v>
      </c>
      <c r="B3212" t="s">
        <v>12</v>
      </c>
      <c r="C3212">
        <v>63</v>
      </c>
      <c r="D3212" t="s">
        <v>15</v>
      </c>
      <c r="E3212" t="s">
        <v>15</v>
      </c>
      <c r="F3212" t="s">
        <v>16</v>
      </c>
      <c r="G3212" t="s">
        <v>17</v>
      </c>
      <c r="H3212" t="s">
        <v>22</v>
      </c>
      <c r="I3212">
        <v>95.29</v>
      </c>
      <c r="J3212">
        <v>31.6</v>
      </c>
      <c r="K3212" t="s">
        <v>26</v>
      </c>
      <c r="L3212" t="s">
        <v>15</v>
      </c>
    </row>
    <row r="3213" spans="1:12" x14ac:dyDescent="0.3">
      <c r="A3213">
        <v>28027</v>
      </c>
      <c r="B3213" t="s">
        <v>13</v>
      </c>
      <c r="C3213">
        <v>42</v>
      </c>
      <c r="D3213" t="s">
        <v>15</v>
      </c>
      <c r="E3213" t="s">
        <v>15</v>
      </c>
      <c r="F3213" t="s">
        <v>16</v>
      </c>
      <c r="G3213" t="s">
        <v>19</v>
      </c>
      <c r="H3213" t="s">
        <v>22</v>
      </c>
      <c r="I3213">
        <v>83.7</v>
      </c>
      <c r="J3213">
        <v>20.6</v>
      </c>
      <c r="K3213" t="s">
        <v>25</v>
      </c>
      <c r="L3213" t="s">
        <v>15</v>
      </c>
    </row>
    <row r="3214" spans="1:12" x14ac:dyDescent="0.3">
      <c r="A3214">
        <v>54177</v>
      </c>
      <c r="B3214" t="s">
        <v>13</v>
      </c>
      <c r="C3214">
        <v>49</v>
      </c>
      <c r="D3214" t="s">
        <v>16</v>
      </c>
      <c r="E3214" t="s">
        <v>15</v>
      </c>
      <c r="F3214" t="s">
        <v>16</v>
      </c>
      <c r="G3214" t="s">
        <v>19</v>
      </c>
      <c r="H3214" t="s">
        <v>23</v>
      </c>
      <c r="I3214">
        <v>63.16</v>
      </c>
      <c r="J3214">
        <v>23.3</v>
      </c>
      <c r="K3214" t="s">
        <v>24</v>
      </c>
      <c r="L3214" t="s">
        <v>15</v>
      </c>
    </row>
    <row r="3215" spans="1:12" x14ac:dyDescent="0.3">
      <c r="A3215">
        <v>32602</v>
      </c>
      <c r="B3215" t="s">
        <v>12</v>
      </c>
      <c r="C3215">
        <v>78</v>
      </c>
      <c r="D3215" t="s">
        <v>15</v>
      </c>
      <c r="E3215" t="s">
        <v>16</v>
      </c>
      <c r="F3215" t="s">
        <v>16</v>
      </c>
      <c r="G3215" t="s">
        <v>18</v>
      </c>
      <c r="H3215" t="s">
        <v>22</v>
      </c>
      <c r="I3215">
        <v>87.77</v>
      </c>
      <c r="J3215">
        <v>30.8</v>
      </c>
      <c r="K3215" t="s">
        <v>27</v>
      </c>
      <c r="L3215" t="s">
        <v>15</v>
      </c>
    </row>
    <row r="3216" spans="1:12" x14ac:dyDescent="0.3">
      <c r="A3216">
        <v>1213</v>
      </c>
      <c r="B3216" t="s">
        <v>13</v>
      </c>
      <c r="C3216">
        <v>31</v>
      </c>
      <c r="D3216" t="s">
        <v>15</v>
      </c>
      <c r="E3216" t="s">
        <v>15</v>
      </c>
      <c r="F3216" t="s">
        <v>16</v>
      </c>
      <c r="G3216" t="s">
        <v>18</v>
      </c>
      <c r="H3216" t="s">
        <v>22</v>
      </c>
      <c r="I3216">
        <v>87.23</v>
      </c>
      <c r="K3216" t="s">
        <v>24</v>
      </c>
      <c r="L3216" t="s">
        <v>15</v>
      </c>
    </row>
    <row r="3217" spans="1:12" x14ac:dyDescent="0.3">
      <c r="A3217">
        <v>21534</v>
      </c>
      <c r="B3217" t="s">
        <v>12</v>
      </c>
      <c r="C3217">
        <v>67</v>
      </c>
      <c r="D3217" t="s">
        <v>15</v>
      </c>
      <c r="E3217" t="s">
        <v>15</v>
      </c>
      <c r="F3217" t="s">
        <v>16</v>
      </c>
      <c r="G3217" t="s">
        <v>17</v>
      </c>
      <c r="H3217" t="s">
        <v>22</v>
      </c>
      <c r="I3217">
        <v>260.85000000000002</v>
      </c>
      <c r="K3217" t="s">
        <v>27</v>
      </c>
      <c r="L3217" t="s">
        <v>15</v>
      </c>
    </row>
    <row r="3218" spans="1:12" x14ac:dyDescent="0.3">
      <c r="A3218">
        <v>6852</v>
      </c>
      <c r="B3218" t="s">
        <v>13</v>
      </c>
      <c r="C3218">
        <v>52</v>
      </c>
      <c r="D3218" t="s">
        <v>16</v>
      </c>
      <c r="E3218" t="s">
        <v>15</v>
      </c>
      <c r="F3218" t="s">
        <v>16</v>
      </c>
      <c r="G3218" t="s">
        <v>18</v>
      </c>
      <c r="H3218" t="s">
        <v>23</v>
      </c>
      <c r="I3218">
        <v>104.45</v>
      </c>
      <c r="K3218" t="s">
        <v>25</v>
      </c>
      <c r="L3218" t="s">
        <v>15</v>
      </c>
    </row>
    <row r="3219" spans="1:12" x14ac:dyDescent="0.3">
      <c r="A3219">
        <v>3379</v>
      </c>
      <c r="B3219" t="s">
        <v>13</v>
      </c>
      <c r="C3219">
        <v>61</v>
      </c>
      <c r="D3219" t="s">
        <v>15</v>
      </c>
      <c r="E3219" t="s">
        <v>15</v>
      </c>
      <c r="F3219" t="s">
        <v>16</v>
      </c>
      <c r="G3219" t="s">
        <v>17</v>
      </c>
      <c r="H3219" t="s">
        <v>22</v>
      </c>
      <c r="I3219">
        <v>87.52</v>
      </c>
      <c r="J3219">
        <v>23.7</v>
      </c>
      <c r="K3219" t="s">
        <v>27</v>
      </c>
      <c r="L3219" t="s">
        <v>15</v>
      </c>
    </row>
    <row r="3220" spans="1:12" x14ac:dyDescent="0.3">
      <c r="A3220">
        <v>41146</v>
      </c>
      <c r="B3220" t="s">
        <v>12</v>
      </c>
      <c r="C3220">
        <v>41</v>
      </c>
      <c r="D3220" t="s">
        <v>15</v>
      </c>
      <c r="E3220" t="s">
        <v>15</v>
      </c>
      <c r="F3220" t="s">
        <v>16</v>
      </c>
      <c r="G3220" t="s">
        <v>17</v>
      </c>
      <c r="H3220" t="s">
        <v>23</v>
      </c>
      <c r="I3220">
        <v>113.65</v>
      </c>
      <c r="J3220">
        <v>49.3</v>
      </c>
      <c r="K3220" t="s">
        <v>25</v>
      </c>
      <c r="L3220" t="s">
        <v>15</v>
      </c>
    </row>
    <row r="3221" spans="1:12" x14ac:dyDescent="0.3">
      <c r="A3221">
        <v>20391</v>
      </c>
      <c r="B3221" t="s">
        <v>13</v>
      </c>
      <c r="C3221">
        <v>73</v>
      </c>
      <c r="D3221" t="s">
        <v>15</v>
      </c>
      <c r="E3221" t="s">
        <v>15</v>
      </c>
      <c r="F3221" t="s">
        <v>16</v>
      </c>
      <c r="G3221" t="s">
        <v>19</v>
      </c>
      <c r="H3221" t="s">
        <v>23</v>
      </c>
      <c r="I3221">
        <v>65.930000000000007</v>
      </c>
      <c r="J3221">
        <v>30.3</v>
      </c>
      <c r="K3221" t="s">
        <v>25</v>
      </c>
      <c r="L3221" t="s">
        <v>15</v>
      </c>
    </row>
    <row r="3222" spans="1:12" x14ac:dyDescent="0.3">
      <c r="A3222">
        <v>69379</v>
      </c>
      <c r="B3222" t="s">
        <v>13</v>
      </c>
      <c r="C3222">
        <v>64</v>
      </c>
      <c r="D3222" t="s">
        <v>16</v>
      </c>
      <c r="E3222" t="s">
        <v>15</v>
      </c>
      <c r="F3222" t="s">
        <v>16</v>
      </c>
      <c r="G3222" t="s">
        <v>18</v>
      </c>
      <c r="H3222" t="s">
        <v>22</v>
      </c>
      <c r="I3222">
        <v>93.78</v>
      </c>
      <c r="J3222">
        <v>24.4</v>
      </c>
      <c r="K3222" t="s">
        <v>25</v>
      </c>
      <c r="L3222" t="s">
        <v>15</v>
      </c>
    </row>
    <row r="3223" spans="1:12" x14ac:dyDescent="0.3">
      <c r="A3223">
        <v>34778</v>
      </c>
      <c r="B3223" t="s">
        <v>12</v>
      </c>
      <c r="C3223">
        <v>65</v>
      </c>
      <c r="D3223" t="s">
        <v>15</v>
      </c>
      <c r="E3223" t="s">
        <v>15</v>
      </c>
      <c r="F3223" t="s">
        <v>16</v>
      </c>
      <c r="G3223" t="s">
        <v>17</v>
      </c>
      <c r="H3223" t="s">
        <v>23</v>
      </c>
      <c r="I3223">
        <v>223.9</v>
      </c>
      <c r="J3223">
        <v>28.2</v>
      </c>
      <c r="K3223" t="s">
        <v>24</v>
      </c>
      <c r="L3223" t="s">
        <v>15</v>
      </c>
    </row>
    <row r="3224" spans="1:12" x14ac:dyDescent="0.3">
      <c r="A3224">
        <v>49270</v>
      </c>
      <c r="B3224" t="s">
        <v>13</v>
      </c>
      <c r="C3224">
        <v>81</v>
      </c>
      <c r="D3224" t="s">
        <v>15</v>
      </c>
      <c r="E3224" t="s">
        <v>15</v>
      </c>
      <c r="F3224" t="s">
        <v>16</v>
      </c>
      <c r="G3224" t="s">
        <v>17</v>
      </c>
      <c r="H3224" t="s">
        <v>22</v>
      </c>
      <c r="I3224">
        <v>77.540000000000006</v>
      </c>
      <c r="J3224">
        <v>33.799999999999997</v>
      </c>
      <c r="K3224" t="s">
        <v>27</v>
      </c>
      <c r="L3224" t="s">
        <v>15</v>
      </c>
    </row>
    <row r="3225" spans="1:12" x14ac:dyDescent="0.3">
      <c r="A3225">
        <v>55407</v>
      </c>
      <c r="B3225" t="s">
        <v>13</v>
      </c>
      <c r="C3225">
        <v>47</v>
      </c>
      <c r="D3225" t="s">
        <v>15</v>
      </c>
      <c r="E3225" t="s">
        <v>15</v>
      </c>
      <c r="F3225" t="s">
        <v>16</v>
      </c>
      <c r="G3225" t="s">
        <v>17</v>
      </c>
      <c r="H3225" t="s">
        <v>22</v>
      </c>
      <c r="I3225">
        <v>93.18</v>
      </c>
      <c r="J3225">
        <v>42.6</v>
      </c>
      <c r="K3225" t="s">
        <v>24</v>
      </c>
      <c r="L3225" t="s">
        <v>15</v>
      </c>
    </row>
    <row r="3226" spans="1:12" x14ac:dyDescent="0.3">
      <c r="A3226">
        <v>36744</v>
      </c>
      <c r="B3226" t="s">
        <v>12</v>
      </c>
      <c r="C3226">
        <v>40</v>
      </c>
      <c r="D3226" t="s">
        <v>15</v>
      </c>
      <c r="E3226" t="s">
        <v>15</v>
      </c>
      <c r="F3226" t="s">
        <v>16</v>
      </c>
      <c r="G3226" t="s">
        <v>18</v>
      </c>
      <c r="H3226" t="s">
        <v>23</v>
      </c>
      <c r="I3226">
        <v>169.74</v>
      </c>
      <c r="J3226">
        <v>31.9</v>
      </c>
      <c r="K3226" t="s">
        <v>25</v>
      </c>
      <c r="L3226" t="s">
        <v>15</v>
      </c>
    </row>
    <row r="3227" spans="1:12" x14ac:dyDescent="0.3">
      <c r="A3227">
        <v>26603</v>
      </c>
      <c r="B3227" t="s">
        <v>12</v>
      </c>
      <c r="C3227">
        <v>46</v>
      </c>
      <c r="D3227" t="s">
        <v>16</v>
      </c>
      <c r="E3227" t="s">
        <v>15</v>
      </c>
      <c r="F3227" t="s">
        <v>16</v>
      </c>
      <c r="G3227" t="s">
        <v>18</v>
      </c>
      <c r="H3227" t="s">
        <v>22</v>
      </c>
      <c r="I3227">
        <v>101.93</v>
      </c>
      <c r="J3227">
        <v>34</v>
      </c>
      <c r="K3227" t="s">
        <v>27</v>
      </c>
      <c r="L3227" t="s">
        <v>15</v>
      </c>
    </row>
    <row r="3228" spans="1:12" x14ac:dyDescent="0.3">
      <c r="A3228">
        <v>71414</v>
      </c>
      <c r="B3228" t="s">
        <v>13</v>
      </c>
      <c r="C3228">
        <v>2</v>
      </c>
      <c r="D3228" t="s">
        <v>15</v>
      </c>
      <c r="E3228" t="s">
        <v>15</v>
      </c>
      <c r="F3228" t="s">
        <v>15</v>
      </c>
      <c r="G3228" t="s">
        <v>20</v>
      </c>
      <c r="H3228" t="s">
        <v>22</v>
      </c>
      <c r="I3228">
        <v>125.03</v>
      </c>
      <c r="J3228">
        <v>19.8</v>
      </c>
      <c r="K3228" t="s">
        <v>27</v>
      </c>
      <c r="L3228" t="s">
        <v>15</v>
      </c>
    </row>
    <row r="3229" spans="1:12" x14ac:dyDescent="0.3">
      <c r="A3229">
        <v>14517</v>
      </c>
      <c r="B3229" t="s">
        <v>12</v>
      </c>
      <c r="C3229">
        <v>56</v>
      </c>
      <c r="D3229" t="s">
        <v>15</v>
      </c>
      <c r="E3229" t="s">
        <v>15</v>
      </c>
      <c r="F3229" t="s">
        <v>16</v>
      </c>
      <c r="G3229" t="s">
        <v>17</v>
      </c>
      <c r="H3229" t="s">
        <v>22</v>
      </c>
      <c r="I3229">
        <v>82.25</v>
      </c>
      <c r="J3229">
        <v>30.5</v>
      </c>
      <c r="K3229" t="s">
        <v>24</v>
      </c>
      <c r="L3229" t="s">
        <v>15</v>
      </c>
    </row>
    <row r="3230" spans="1:12" x14ac:dyDescent="0.3">
      <c r="A3230">
        <v>69050</v>
      </c>
      <c r="B3230" t="s">
        <v>12</v>
      </c>
      <c r="C3230">
        <v>54</v>
      </c>
      <c r="D3230" t="s">
        <v>15</v>
      </c>
      <c r="E3230" t="s">
        <v>15</v>
      </c>
      <c r="F3230" t="s">
        <v>16</v>
      </c>
      <c r="G3230" t="s">
        <v>17</v>
      </c>
      <c r="H3230" t="s">
        <v>22</v>
      </c>
      <c r="I3230">
        <v>85.81</v>
      </c>
      <c r="J3230">
        <v>21.7</v>
      </c>
      <c r="K3230" t="s">
        <v>24</v>
      </c>
      <c r="L3230" t="s">
        <v>15</v>
      </c>
    </row>
    <row r="3231" spans="1:12" x14ac:dyDescent="0.3">
      <c r="A3231">
        <v>52080</v>
      </c>
      <c r="B3231" t="s">
        <v>13</v>
      </c>
      <c r="C3231">
        <v>26</v>
      </c>
      <c r="D3231" t="s">
        <v>15</v>
      </c>
      <c r="E3231" t="s">
        <v>15</v>
      </c>
      <c r="F3231" t="s">
        <v>15</v>
      </c>
      <c r="G3231" t="s">
        <v>17</v>
      </c>
      <c r="H3231" t="s">
        <v>23</v>
      </c>
      <c r="I3231">
        <v>85.27</v>
      </c>
      <c r="J3231">
        <v>24.6</v>
      </c>
      <c r="K3231" t="s">
        <v>25</v>
      </c>
      <c r="L3231" t="s">
        <v>15</v>
      </c>
    </row>
    <row r="3232" spans="1:12" x14ac:dyDescent="0.3">
      <c r="A3232">
        <v>27493</v>
      </c>
      <c r="B3232" t="s">
        <v>13</v>
      </c>
      <c r="C3232">
        <v>45</v>
      </c>
      <c r="D3232" t="s">
        <v>15</v>
      </c>
      <c r="E3232" t="s">
        <v>15</v>
      </c>
      <c r="F3232" t="s">
        <v>16</v>
      </c>
      <c r="G3232" t="s">
        <v>17</v>
      </c>
      <c r="H3232" t="s">
        <v>22</v>
      </c>
      <c r="I3232">
        <v>86.06</v>
      </c>
      <c r="J3232">
        <v>38.1</v>
      </c>
      <c r="K3232" t="s">
        <v>25</v>
      </c>
      <c r="L3232" t="s">
        <v>15</v>
      </c>
    </row>
    <row r="3233" spans="1:12" x14ac:dyDescent="0.3">
      <c r="A3233">
        <v>6295</v>
      </c>
      <c r="B3233" t="s">
        <v>13</v>
      </c>
      <c r="C3233">
        <v>57</v>
      </c>
      <c r="D3233" t="s">
        <v>15</v>
      </c>
      <c r="E3233" t="s">
        <v>15</v>
      </c>
      <c r="F3233" t="s">
        <v>16</v>
      </c>
      <c r="G3233" t="s">
        <v>19</v>
      </c>
      <c r="H3233" t="s">
        <v>22</v>
      </c>
      <c r="I3233">
        <v>104.36</v>
      </c>
      <c r="J3233">
        <v>19.2</v>
      </c>
      <c r="K3233" t="s">
        <v>26</v>
      </c>
      <c r="L3233" t="s">
        <v>15</v>
      </c>
    </row>
    <row r="3234" spans="1:12" x14ac:dyDescent="0.3">
      <c r="A3234">
        <v>20375</v>
      </c>
      <c r="B3234" t="s">
        <v>13</v>
      </c>
      <c r="C3234">
        <v>78</v>
      </c>
      <c r="D3234" t="s">
        <v>15</v>
      </c>
      <c r="E3234" t="s">
        <v>15</v>
      </c>
      <c r="F3234" t="s">
        <v>16</v>
      </c>
      <c r="G3234" t="s">
        <v>17</v>
      </c>
      <c r="H3234" t="s">
        <v>22</v>
      </c>
      <c r="I3234">
        <v>78.290000000000006</v>
      </c>
      <c r="J3234">
        <v>30.1</v>
      </c>
      <c r="K3234" t="s">
        <v>24</v>
      </c>
      <c r="L3234" t="s">
        <v>15</v>
      </c>
    </row>
    <row r="3235" spans="1:12" x14ac:dyDescent="0.3">
      <c r="A3235">
        <v>29017</v>
      </c>
      <c r="B3235" t="s">
        <v>12</v>
      </c>
      <c r="C3235">
        <v>2</v>
      </c>
      <c r="D3235" t="s">
        <v>15</v>
      </c>
      <c r="E3235" t="s">
        <v>15</v>
      </c>
      <c r="F3235" t="s">
        <v>15</v>
      </c>
      <c r="G3235" t="s">
        <v>20</v>
      </c>
      <c r="H3235" t="s">
        <v>22</v>
      </c>
      <c r="I3235">
        <v>93.55</v>
      </c>
      <c r="J3235">
        <v>23.3</v>
      </c>
      <c r="K3235" t="s">
        <v>27</v>
      </c>
      <c r="L3235" t="s">
        <v>15</v>
      </c>
    </row>
    <row r="3236" spans="1:12" x14ac:dyDescent="0.3">
      <c r="A3236">
        <v>56635</v>
      </c>
      <c r="B3236" t="s">
        <v>12</v>
      </c>
      <c r="C3236">
        <v>76</v>
      </c>
      <c r="D3236" t="s">
        <v>16</v>
      </c>
      <c r="E3236" t="s">
        <v>15</v>
      </c>
      <c r="F3236" t="s">
        <v>16</v>
      </c>
      <c r="G3236" t="s">
        <v>18</v>
      </c>
      <c r="H3236" t="s">
        <v>23</v>
      </c>
      <c r="I3236">
        <v>207.96</v>
      </c>
      <c r="J3236">
        <v>34.5</v>
      </c>
      <c r="K3236" t="s">
        <v>24</v>
      </c>
      <c r="L3236" t="s">
        <v>15</v>
      </c>
    </row>
    <row r="3237" spans="1:12" x14ac:dyDescent="0.3">
      <c r="A3237">
        <v>4280</v>
      </c>
      <c r="B3237" t="s">
        <v>13</v>
      </c>
      <c r="C3237">
        <v>51</v>
      </c>
      <c r="D3237" t="s">
        <v>15</v>
      </c>
      <c r="E3237" t="s">
        <v>15</v>
      </c>
      <c r="F3237" t="s">
        <v>16</v>
      </c>
      <c r="G3237" t="s">
        <v>19</v>
      </c>
      <c r="H3237" t="s">
        <v>23</v>
      </c>
      <c r="I3237">
        <v>105.52</v>
      </c>
      <c r="J3237">
        <v>30.8</v>
      </c>
      <c r="K3237" t="s">
        <v>25</v>
      </c>
      <c r="L3237" t="s">
        <v>15</v>
      </c>
    </row>
    <row r="3238" spans="1:12" x14ac:dyDescent="0.3">
      <c r="A3238">
        <v>22896</v>
      </c>
      <c r="B3238" t="s">
        <v>13</v>
      </c>
      <c r="C3238">
        <v>54</v>
      </c>
      <c r="D3238" t="s">
        <v>15</v>
      </c>
      <c r="E3238" t="s">
        <v>15</v>
      </c>
      <c r="F3238" t="s">
        <v>16</v>
      </c>
      <c r="G3238" t="s">
        <v>17</v>
      </c>
      <c r="H3238" t="s">
        <v>23</v>
      </c>
      <c r="I3238">
        <v>109.27</v>
      </c>
      <c r="J3238">
        <v>43.8</v>
      </c>
      <c r="K3238" t="s">
        <v>24</v>
      </c>
      <c r="L3238" t="s">
        <v>15</v>
      </c>
    </row>
    <row r="3239" spans="1:12" x14ac:dyDescent="0.3">
      <c r="A3239">
        <v>70297</v>
      </c>
      <c r="B3239" t="s">
        <v>13</v>
      </c>
      <c r="C3239">
        <v>36</v>
      </c>
      <c r="D3239" t="s">
        <v>15</v>
      </c>
      <c r="E3239" t="s">
        <v>15</v>
      </c>
      <c r="F3239" t="s">
        <v>16</v>
      </c>
      <c r="G3239" t="s">
        <v>17</v>
      </c>
      <c r="H3239" t="s">
        <v>22</v>
      </c>
      <c r="I3239">
        <v>91.34</v>
      </c>
      <c r="J3239">
        <v>29.9</v>
      </c>
      <c r="K3239" t="s">
        <v>25</v>
      </c>
      <c r="L3239" t="s">
        <v>15</v>
      </c>
    </row>
    <row r="3240" spans="1:12" x14ac:dyDescent="0.3">
      <c r="A3240">
        <v>47776</v>
      </c>
      <c r="B3240" t="s">
        <v>13</v>
      </c>
      <c r="C3240">
        <v>57</v>
      </c>
      <c r="D3240" t="s">
        <v>15</v>
      </c>
      <c r="E3240" t="s">
        <v>15</v>
      </c>
      <c r="F3240" t="s">
        <v>16</v>
      </c>
      <c r="G3240" t="s">
        <v>19</v>
      </c>
      <c r="H3240" t="s">
        <v>23</v>
      </c>
      <c r="I3240">
        <v>176.78</v>
      </c>
      <c r="J3240">
        <v>50.4</v>
      </c>
      <c r="K3240" t="s">
        <v>25</v>
      </c>
      <c r="L3240" t="s">
        <v>15</v>
      </c>
    </row>
    <row r="3241" spans="1:12" x14ac:dyDescent="0.3">
      <c r="A3241">
        <v>53141</v>
      </c>
      <c r="B3241" t="s">
        <v>13</v>
      </c>
      <c r="C3241">
        <v>25</v>
      </c>
      <c r="D3241" t="s">
        <v>15</v>
      </c>
      <c r="E3241" t="s">
        <v>15</v>
      </c>
      <c r="F3241" t="s">
        <v>15</v>
      </c>
      <c r="G3241" t="s">
        <v>17</v>
      </c>
      <c r="H3241" t="s">
        <v>23</v>
      </c>
      <c r="I3241">
        <v>67.73</v>
      </c>
      <c r="J3241">
        <v>22.6</v>
      </c>
      <c r="K3241" t="s">
        <v>25</v>
      </c>
      <c r="L3241" t="s">
        <v>15</v>
      </c>
    </row>
    <row r="3242" spans="1:12" x14ac:dyDescent="0.3">
      <c r="A3242">
        <v>16145</v>
      </c>
      <c r="B3242" t="s">
        <v>13</v>
      </c>
      <c r="C3242">
        <v>7</v>
      </c>
      <c r="D3242" t="s">
        <v>15</v>
      </c>
      <c r="E3242" t="s">
        <v>15</v>
      </c>
      <c r="F3242" t="s">
        <v>15</v>
      </c>
      <c r="G3242" t="s">
        <v>20</v>
      </c>
      <c r="H3242" t="s">
        <v>23</v>
      </c>
      <c r="I3242">
        <v>73.27</v>
      </c>
      <c r="J3242">
        <v>19.5</v>
      </c>
      <c r="K3242" t="s">
        <v>27</v>
      </c>
      <c r="L3242" t="s">
        <v>15</v>
      </c>
    </row>
    <row r="3243" spans="1:12" x14ac:dyDescent="0.3">
      <c r="A3243">
        <v>41593</v>
      </c>
      <c r="B3243" t="s">
        <v>13</v>
      </c>
      <c r="C3243">
        <v>76</v>
      </c>
      <c r="D3243" t="s">
        <v>15</v>
      </c>
      <c r="E3243" t="s">
        <v>15</v>
      </c>
      <c r="F3243" t="s">
        <v>16</v>
      </c>
      <c r="G3243" t="s">
        <v>18</v>
      </c>
      <c r="H3243" t="s">
        <v>23</v>
      </c>
      <c r="I3243">
        <v>70.290000000000006</v>
      </c>
      <c r="J3243">
        <v>33.4</v>
      </c>
      <c r="K3243" t="s">
        <v>24</v>
      </c>
      <c r="L3243" t="s">
        <v>15</v>
      </c>
    </row>
    <row r="3244" spans="1:12" x14ac:dyDescent="0.3">
      <c r="A3244">
        <v>50651</v>
      </c>
      <c r="B3244" t="s">
        <v>13</v>
      </c>
      <c r="C3244">
        <v>45</v>
      </c>
      <c r="D3244" t="s">
        <v>15</v>
      </c>
      <c r="E3244" t="s">
        <v>15</v>
      </c>
      <c r="F3244" t="s">
        <v>15</v>
      </c>
      <c r="G3244" t="s">
        <v>17</v>
      </c>
      <c r="H3244" t="s">
        <v>23</v>
      </c>
      <c r="I3244">
        <v>91.47</v>
      </c>
      <c r="J3244">
        <v>24.2</v>
      </c>
      <c r="K3244" t="s">
        <v>27</v>
      </c>
      <c r="L3244" t="s">
        <v>15</v>
      </c>
    </row>
    <row r="3245" spans="1:12" x14ac:dyDescent="0.3">
      <c r="A3245">
        <v>11111</v>
      </c>
      <c r="B3245" t="s">
        <v>13</v>
      </c>
      <c r="C3245">
        <v>66</v>
      </c>
      <c r="D3245" t="s">
        <v>16</v>
      </c>
      <c r="E3245" t="s">
        <v>15</v>
      </c>
      <c r="F3245" t="s">
        <v>16</v>
      </c>
      <c r="G3245" t="s">
        <v>19</v>
      </c>
      <c r="H3245" t="s">
        <v>22</v>
      </c>
      <c r="I3245">
        <v>205.01</v>
      </c>
      <c r="J3245">
        <v>52.7</v>
      </c>
      <c r="K3245" t="s">
        <v>24</v>
      </c>
      <c r="L3245" t="s">
        <v>15</v>
      </c>
    </row>
    <row r="3246" spans="1:12" x14ac:dyDescent="0.3">
      <c r="A3246">
        <v>15803</v>
      </c>
      <c r="B3246" t="s">
        <v>13</v>
      </c>
      <c r="C3246">
        <v>45</v>
      </c>
      <c r="D3246" t="s">
        <v>15</v>
      </c>
      <c r="E3246" t="s">
        <v>15</v>
      </c>
      <c r="F3246" t="s">
        <v>16</v>
      </c>
      <c r="G3246" t="s">
        <v>17</v>
      </c>
      <c r="H3246" t="s">
        <v>23</v>
      </c>
      <c r="I3246">
        <v>73.87</v>
      </c>
      <c r="J3246">
        <v>25.6</v>
      </c>
      <c r="K3246" t="s">
        <v>27</v>
      </c>
      <c r="L3246" t="s">
        <v>15</v>
      </c>
    </row>
    <row r="3247" spans="1:12" x14ac:dyDescent="0.3">
      <c r="A3247">
        <v>71597</v>
      </c>
      <c r="B3247" t="s">
        <v>13</v>
      </c>
      <c r="C3247">
        <v>79</v>
      </c>
      <c r="D3247" t="s">
        <v>16</v>
      </c>
      <c r="E3247" t="s">
        <v>15</v>
      </c>
      <c r="F3247" t="s">
        <v>16</v>
      </c>
      <c r="G3247" t="s">
        <v>17</v>
      </c>
      <c r="H3247" t="s">
        <v>23</v>
      </c>
      <c r="I3247">
        <v>64.44</v>
      </c>
      <c r="J3247">
        <v>26.9</v>
      </c>
      <c r="K3247" t="s">
        <v>24</v>
      </c>
      <c r="L3247" t="s">
        <v>15</v>
      </c>
    </row>
    <row r="3248" spans="1:12" x14ac:dyDescent="0.3">
      <c r="A3248">
        <v>22804</v>
      </c>
      <c r="B3248" t="s">
        <v>13</v>
      </c>
      <c r="C3248">
        <v>25</v>
      </c>
      <c r="D3248" t="s">
        <v>15</v>
      </c>
      <c r="E3248" t="s">
        <v>15</v>
      </c>
      <c r="F3248" t="s">
        <v>15</v>
      </c>
      <c r="G3248" t="s">
        <v>17</v>
      </c>
      <c r="H3248" t="s">
        <v>23</v>
      </c>
      <c r="I3248">
        <v>111.65</v>
      </c>
      <c r="J3248">
        <v>35.200000000000003</v>
      </c>
      <c r="K3248" t="s">
        <v>24</v>
      </c>
      <c r="L3248" t="s">
        <v>15</v>
      </c>
    </row>
    <row r="3249" spans="1:12" x14ac:dyDescent="0.3">
      <c r="A3249">
        <v>64498</v>
      </c>
      <c r="B3249" t="s">
        <v>13</v>
      </c>
      <c r="C3249">
        <v>53</v>
      </c>
      <c r="D3249" t="s">
        <v>15</v>
      </c>
      <c r="E3249" t="s">
        <v>15</v>
      </c>
      <c r="F3249" t="s">
        <v>16</v>
      </c>
      <c r="G3249" t="s">
        <v>17</v>
      </c>
      <c r="H3249" t="s">
        <v>23</v>
      </c>
      <c r="I3249">
        <v>90.65</v>
      </c>
      <c r="J3249">
        <v>22.1</v>
      </c>
      <c r="K3249" t="s">
        <v>24</v>
      </c>
      <c r="L3249" t="s">
        <v>15</v>
      </c>
    </row>
    <row r="3250" spans="1:12" x14ac:dyDescent="0.3">
      <c r="A3250">
        <v>41182</v>
      </c>
      <c r="B3250" t="s">
        <v>13</v>
      </c>
      <c r="C3250">
        <v>35</v>
      </c>
      <c r="D3250" t="s">
        <v>16</v>
      </c>
      <c r="E3250" t="s">
        <v>15</v>
      </c>
      <c r="F3250" t="s">
        <v>16</v>
      </c>
      <c r="G3250" t="s">
        <v>17</v>
      </c>
      <c r="H3250" t="s">
        <v>22</v>
      </c>
      <c r="I3250">
        <v>94.2</v>
      </c>
      <c r="J3250">
        <v>34.4</v>
      </c>
      <c r="K3250" t="s">
        <v>26</v>
      </c>
      <c r="L3250" t="s">
        <v>15</v>
      </c>
    </row>
    <row r="3251" spans="1:12" x14ac:dyDescent="0.3">
      <c r="A3251">
        <v>56606</v>
      </c>
      <c r="B3251" t="s">
        <v>13</v>
      </c>
      <c r="C3251">
        <v>78</v>
      </c>
      <c r="D3251" t="s">
        <v>15</v>
      </c>
      <c r="E3251" t="s">
        <v>15</v>
      </c>
      <c r="F3251" t="s">
        <v>16</v>
      </c>
      <c r="G3251" t="s">
        <v>18</v>
      </c>
      <c r="H3251" t="s">
        <v>22</v>
      </c>
      <c r="I3251">
        <v>56.95</v>
      </c>
      <c r="J3251">
        <v>26</v>
      </c>
      <c r="K3251" t="s">
        <v>27</v>
      </c>
      <c r="L3251" t="s">
        <v>15</v>
      </c>
    </row>
    <row r="3252" spans="1:12" x14ac:dyDescent="0.3">
      <c r="A3252">
        <v>36958</v>
      </c>
      <c r="B3252" t="s">
        <v>13</v>
      </c>
      <c r="C3252">
        <v>32</v>
      </c>
      <c r="D3252" t="s">
        <v>15</v>
      </c>
      <c r="E3252" t="s">
        <v>15</v>
      </c>
      <c r="F3252" t="s">
        <v>16</v>
      </c>
      <c r="G3252" t="s">
        <v>17</v>
      </c>
      <c r="H3252" t="s">
        <v>23</v>
      </c>
      <c r="I3252">
        <v>92.37</v>
      </c>
      <c r="J3252">
        <v>26.9</v>
      </c>
      <c r="K3252" t="s">
        <v>25</v>
      </c>
      <c r="L3252" t="s">
        <v>15</v>
      </c>
    </row>
    <row r="3253" spans="1:12" x14ac:dyDescent="0.3">
      <c r="A3253">
        <v>14877</v>
      </c>
      <c r="B3253" t="s">
        <v>12</v>
      </c>
      <c r="C3253">
        <v>0.56000000000000005</v>
      </c>
      <c r="D3253" t="s">
        <v>15</v>
      </c>
      <c r="E3253" t="s">
        <v>15</v>
      </c>
      <c r="F3253" t="s">
        <v>15</v>
      </c>
      <c r="G3253" t="s">
        <v>20</v>
      </c>
      <c r="H3253" t="s">
        <v>23</v>
      </c>
      <c r="I3253">
        <v>127.23</v>
      </c>
      <c r="J3253">
        <v>20.100000000000001</v>
      </c>
      <c r="K3253" t="s">
        <v>27</v>
      </c>
      <c r="L3253" t="s">
        <v>15</v>
      </c>
    </row>
    <row r="3254" spans="1:12" x14ac:dyDescent="0.3">
      <c r="A3254">
        <v>65988</v>
      </c>
      <c r="B3254" t="s">
        <v>13</v>
      </c>
      <c r="C3254">
        <v>26</v>
      </c>
      <c r="D3254" t="s">
        <v>15</v>
      </c>
      <c r="E3254" t="s">
        <v>15</v>
      </c>
      <c r="F3254" t="s">
        <v>15</v>
      </c>
      <c r="G3254" t="s">
        <v>17</v>
      </c>
      <c r="H3254" t="s">
        <v>23</v>
      </c>
      <c r="I3254">
        <v>191.78</v>
      </c>
      <c r="J3254">
        <v>24.7</v>
      </c>
      <c r="K3254" t="s">
        <v>27</v>
      </c>
      <c r="L3254" t="s">
        <v>15</v>
      </c>
    </row>
    <row r="3255" spans="1:12" x14ac:dyDescent="0.3">
      <c r="A3255">
        <v>50001</v>
      </c>
      <c r="B3255" t="s">
        <v>13</v>
      </c>
      <c r="C3255">
        <v>34</v>
      </c>
      <c r="D3255" t="s">
        <v>15</v>
      </c>
      <c r="E3255" t="s">
        <v>15</v>
      </c>
      <c r="F3255" t="s">
        <v>16</v>
      </c>
      <c r="G3255" t="s">
        <v>19</v>
      </c>
      <c r="H3255" t="s">
        <v>23</v>
      </c>
      <c r="I3255">
        <v>86.36</v>
      </c>
      <c r="J3255">
        <v>32.1</v>
      </c>
      <c r="K3255" t="s">
        <v>26</v>
      </c>
      <c r="L3255" t="s">
        <v>15</v>
      </c>
    </row>
    <row r="3256" spans="1:12" x14ac:dyDescent="0.3">
      <c r="A3256">
        <v>27034</v>
      </c>
      <c r="B3256" t="s">
        <v>13</v>
      </c>
      <c r="C3256">
        <v>65</v>
      </c>
      <c r="D3256" t="s">
        <v>15</v>
      </c>
      <c r="E3256" t="s">
        <v>15</v>
      </c>
      <c r="F3256" t="s">
        <v>16</v>
      </c>
      <c r="G3256" t="s">
        <v>19</v>
      </c>
      <c r="H3256" t="s">
        <v>22</v>
      </c>
      <c r="I3256">
        <v>82.72</v>
      </c>
      <c r="J3256">
        <v>29.8</v>
      </c>
      <c r="K3256" t="s">
        <v>26</v>
      </c>
      <c r="L3256" t="s">
        <v>15</v>
      </c>
    </row>
    <row r="3257" spans="1:12" x14ac:dyDescent="0.3">
      <c r="A3257">
        <v>8950</v>
      </c>
      <c r="B3257" t="s">
        <v>13</v>
      </c>
      <c r="C3257">
        <v>15</v>
      </c>
      <c r="D3257" t="s">
        <v>15</v>
      </c>
      <c r="E3257" t="s">
        <v>15</v>
      </c>
      <c r="F3257" t="s">
        <v>15</v>
      </c>
      <c r="G3257" t="s">
        <v>17</v>
      </c>
      <c r="H3257" t="s">
        <v>22</v>
      </c>
      <c r="I3257">
        <v>113.57</v>
      </c>
      <c r="J3257">
        <v>27.5</v>
      </c>
      <c r="K3257" t="s">
        <v>24</v>
      </c>
      <c r="L3257" t="s">
        <v>15</v>
      </c>
    </row>
    <row r="3258" spans="1:12" x14ac:dyDescent="0.3">
      <c r="A3258">
        <v>31850</v>
      </c>
      <c r="B3258" t="s">
        <v>13</v>
      </c>
      <c r="C3258">
        <v>17</v>
      </c>
      <c r="D3258" t="s">
        <v>15</v>
      </c>
      <c r="E3258" t="s">
        <v>15</v>
      </c>
      <c r="F3258" t="s">
        <v>15</v>
      </c>
      <c r="G3258" t="s">
        <v>17</v>
      </c>
      <c r="H3258" t="s">
        <v>22</v>
      </c>
      <c r="I3258">
        <v>89.58</v>
      </c>
      <c r="J3258">
        <v>22.8</v>
      </c>
      <c r="K3258" t="s">
        <v>27</v>
      </c>
      <c r="L3258" t="s">
        <v>15</v>
      </c>
    </row>
    <row r="3259" spans="1:12" x14ac:dyDescent="0.3">
      <c r="A3259">
        <v>14288</v>
      </c>
      <c r="B3259" t="s">
        <v>13</v>
      </c>
      <c r="C3259">
        <v>71</v>
      </c>
      <c r="D3259" t="s">
        <v>15</v>
      </c>
      <c r="E3259" t="s">
        <v>15</v>
      </c>
      <c r="F3259" t="s">
        <v>16</v>
      </c>
      <c r="G3259" t="s">
        <v>17</v>
      </c>
      <c r="H3259" t="s">
        <v>23</v>
      </c>
      <c r="I3259">
        <v>91.85</v>
      </c>
      <c r="J3259">
        <v>27.6</v>
      </c>
      <c r="K3259" t="s">
        <v>24</v>
      </c>
      <c r="L3259" t="s">
        <v>15</v>
      </c>
    </row>
    <row r="3260" spans="1:12" x14ac:dyDescent="0.3">
      <c r="A3260">
        <v>3180</v>
      </c>
      <c r="B3260" t="s">
        <v>13</v>
      </c>
      <c r="C3260">
        <v>42</v>
      </c>
      <c r="D3260" t="s">
        <v>15</v>
      </c>
      <c r="E3260" t="s">
        <v>15</v>
      </c>
      <c r="F3260" t="s">
        <v>16</v>
      </c>
      <c r="G3260" t="s">
        <v>19</v>
      </c>
      <c r="H3260" t="s">
        <v>22</v>
      </c>
      <c r="I3260">
        <v>88.89</v>
      </c>
      <c r="J3260">
        <v>33</v>
      </c>
      <c r="K3260" t="s">
        <v>25</v>
      </c>
      <c r="L3260" t="s">
        <v>15</v>
      </c>
    </row>
    <row r="3261" spans="1:12" x14ac:dyDescent="0.3">
      <c r="A3261">
        <v>13899</v>
      </c>
      <c r="B3261" t="s">
        <v>12</v>
      </c>
      <c r="C3261">
        <v>30</v>
      </c>
      <c r="D3261" t="s">
        <v>15</v>
      </c>
      <c r="E3261" t="s">
        <v>15</v>
      </c>
      <c r="F3261" t="s">
        <v>16</v>
      </c>
      <c r="G3261" t="s">
        <v>17</v>
      </c>
      <c r="H3261" t="s">
        <v>22</v>
      </c>
      <c r="I3261">
        <v>79.55</v>
      </c>
      <c r="J3261">
        <v>33.700000000000003</v>
      </c>
      <c r="K3261" t="s">
        <v>25</v>
      </c>
      <c r="L3261" t="s">
        <v>15</v>
      </c>
    </row>
    <row r="3262" spans="1:12" x14ac:dyDescent="0.3">
      <c r="A3262">
        <v>23730</v>
      </c>
      <c r="B3262" t="s">
        <v>13</v>
      </c>
      <c r="C3262">
        <v>75</v>
      </c>
      <c r="D3262" t="s">
        <v>15</v>
      </c>
      <c r="E3262" t="s">
        <v>15</v>
      </c>
      <c r="F3262" t="s">
        <v>16</v>
      </c>
      <c r="G3262" t="s">
        <v>18</v>
      </c>
      <c r="H3262" t="s">
        <v>22</v>
      </c>
      <c r="I3262">
        <v>108.62</v>
      </c>
      <c r="J3262">
        <v>25.1</v>
      </c>
      <c r="K3262" t="s">
        <v>27</v>
      </c>
      <c r="L3262" t="s">
        <v>15</v>
      </c>
    </row>
    <row r="3263" spans="1:12" x14ac:dyDescent="0.3">
      <c r="A3263">
        <v>6011</v>
      </c>
      <c r="B3263" t="s">
        <v>12</v>
      </c>
      <c r="C3263">
        <v>9</v>
      </c>
      <c r="D3263" t="s">
        <v>15</v>
      </c>
      <c r="E3263" t="s">
        <v>15</v>
      </c>
      <c r="F3263" t="s">
        <v>15</v>
      </c>
      <c r="G3263" t="s">
        <v>20</v>
      </c>
      <c r="H3263" t="s">
        <v>22</v>
      </c>
      <c r="I3263">
        <v>78.239999999999995</v>
      </c>
      <c r="J3263">
        <v>15.3</v>
      </c>
      <c r="K3263" t="s">
        <v>27</v>
      </c>
      <c r="L3263" t="s">
        <v>15</v>
      </c>
    </row>
    <row r="3264" spans="1:12" x14ac:dyDescent="0.3">
      <c r="A3264">
        <v>14376</v>
      </c>
      <c r="B3264" t="s">
        <v>12</v>
      </c>
      <c r="C3264">
        <v>47</v>
      </c>
      <c r="D3264" t="s">
        <v>15</v>
      </c>
      <c r="E3264" t="s">
        <v>15</v>
      </c>
      <c r="F3264" t="s">
        <v>16</v>
      </c>
      <c r="G3264" t="s">
        <v>17</v>
      </c>
      <c r="H3264" t="s">
        <v>23</v>
      </c>
      <c r="I3264">
        <v>88.49</v>
      </c>
      <c r="J3264">
        <v>22.2</v>
      </c>
      <c r="K3264" t="s">
        <v>26</v>
      </c>
      <c r="L3264" t="s">
        <v>15</v>
      </c>
    </row>
    <row r="3265" spans="1:12" x14ac:dyDescent="0.3">
      <c r="A3265">
        <v>22052</v>
      </c>
      <c r="B3265" t="s">
        <v>13</v>
      </c>
      <c r="C3265">
        <v>75</v>
      </c>
      <c r="D3265" t="s">
        <v>16</v>
      </c>
      <c r="E3265" t="s">
        <v>15</v>
      </c>
      <c r="F3265" t="s">
        <v>15</v>
      </c>
      <c r="G3265" t="s">
        <v>18</v>
      </c>
      <c r="H3265" t="s">
        <v>23</v>
      </c>
      <c r="I3265">
        <v>91.85</v>
      </c>
      <c r="J3265">
        <v>21.4</v>
      </c>
      <c r="K3265" t="s">
        <v>24</v>
      </c>
      <c r="L3265" t="s">
        <v>15</v>
      </c>
    </row>
    <row r="3266" spans="1:12" x14ac:dyDescent="0.3">
      <c r="A3266">
        <v>24836</v>
      </c>
      <c r="B3266" t="s">
        <v>13</v>
      </c>
      <c r="C3266">
        <v>61</v>
      </c>
      <c r="D3266" t="s">
        <v>15</v>
      </c>
      <c r="E3266" t="s">
        <v>15</v>
      </c>
      <c r="F3266" t="s">
        <v>16</v>
      </c>
      <c r="G3266" t="s">
        <v>17</v>
      </c>
      <c r="H3266" t="s">
        <v>23</v>
      </c>
      <c r="I3266">
        <v>72.010000000000005</v>
      </c>
      <c r="J3266">
        <v>26</v>
      </c>
      <c r="K3266" t="s">
        <v>24</v>
      </c>
      <c r="L3266" t="s">
        <v>15</v>
      </c>
    </row>
    <row r="3267" spans="1:12" x14ac:dyDescent="0.3">
      <c r="A3267">
        <v>11861</v>
      </c>
      <c r="B3267" t="s">
        <v>12</v>
      </c>
      <c r="C3267">
        <v>61</v>
      </c>
      <c r="D3267" t="s">
        <v>15</v>
      </c>
      <c r="E3267" t="s">
        <v>15</v>
      </c>
      <c r="F3267" t="s">
        <v>16</v>
      </c>
      <c r="G3267" t="s">
        <v>18</v>
      </c>
      <c r="H3267" t="s">
        <v>23</v>
      </c>
      <c r="I3267">
        <v>81.96</v>
      </c>
      <c r="J3267">
        <v>29.9</v>
      </c>
      <c r="K3267" t="s">
        <v>25</v>
      </c>
      <c r="L3267" t="s">
        <v>15</v>
      </c>
    </row>
    <row r="3268" spans="1:12" x14ac:dyDescent="0.3">
      <c r="A3268">
        <v>25613</v>
      </c>
      <c r="B3268" t="s">
        <v>13</v>
      </c>
      <c r="C3268">
        <v>27</v>
      </c>
      <c r="D3268" t="s">
        <v>15</v>
      </c>
      <c r="E3268" t="s">
        <v>15</v>
      </c>
      <c r="F3268" t="s">
        <v>16</v>
      </c>
      <c r="G3268" t="s">
        <v>17</v>
      </c>
      <c r="H3268" t="s">
        <v>22</v>
      </c>
      <c r="I3268">
        <v>70.56</v>
      </c>
      <c r="J3268">
        <v>28.6</v>
      </c>
      <c r="K3268" t="s">
        <v>26</v>
      </c>
      <c r="L3268" t="s">
        <v>15</v>
      </c>
    </row>
    <row r="3269" spans="1:12" x14ac:dyDescent="0.3">
      <c r="A3269">
        <v>71496</v>
      </c>
      <c r="B3269" t="s">
        <v>13</v>
      </c>
      <c r="C3269">
        <v>55</v>
      </c>
      <c r="D3269" t="s">
        <v>15</v>
      </c>
      <c r="E3269" t="s">
        <v>15</v>
      </c>
      <c r="F3269" t="s">
        <v>16</v>
      </c>
      <c r="G3269" t="s">
        <v>17</v>
      </c>
      <c r="H3269" t="s">
        <v>22</v>
      </c>
      <c r="I3269">
        <v>71.02</v>
      </c>
      <c r="J3269">
        <v>21.2</v>
      </c>
      <c r="K3269" t="s">
        <v>25</v>
      </c>
      <c r="L3269" t="s">
        <v>15</v>
      </c>
    </row>
    <row r="3270" spans="1:12" x14ac:dyDescent="0.3">
      <c r="A3270">
        <v>24074</v>
      </c>
      <c r="B3270" t="s">
        <v>13</v>
      </c>
      <c r="C3270">
        <v>2</v>
      </c>
      <c r="D3270" t="s">
        <v>15</v>
      </c>
      <c r="E3270" t="s">
        <v>15</v>
      </c>
      <c r="F3270" t="s">
        <v>15</v>
      </c>
      <c r="G3270" t="s">
        <v>20</v>
      </c>
      <c r="H3270" t="s">
        <v>23</v>
      </c>
      <c r="I3270">
        <v>99.75</v>
      </c>
      <c r="J3270">
        <v>16</v>
      </c>
      <c r="K3270" t="s">
        <v>27</v>
      </c>
      <c r="L3270" t="s">
        <v>15</v>
      </c>
    </row>
    <row r="3271" spans="1:12" x14ac:dyDescent="0.3">
      <c r="A3271">
        <v>44937</v>
      </c>
      <c r="B3271" t="s">
        <v>13</v>
      </c>
      <c r="C3271">
        <v>51</v>
      </c>
      <c r="D3271" t="s">
        <v>15</v>
      </c>
      <c r="E3271" t="s">
        <v>15</v>
      </c>
      <c r="F3271" t="s">
        <v>16</v>
      </c>
      <c r="G3271" t="s">
        <v>19</v>
      </c>
      <c r="H3271" t="s">
        <v>22</v>
      </c>
      <c r="I3271">
        <v>127.2</v>
      </c>
      <c r="J3271">
        <v>22.7</v>
      </c>
      <c r="K3271" t="s">
        <v>25</v>
      </c>
      <c r="L3271" t="s">
        <v>15</v>
      </c>
    </row>
    <row r="3272" spans="1:12" x14ac:dyDescent="0.3">
      <c r="A3272">
        <v>72082</v>
      </c>
      <c r="B3272" t="s">
        <v>13</v>
      </c>
      <c r="C3272">
        <v>45</v>
      </c>
      <c r="D3272" t="s">
        <v>15</v>
      </c>
      <c r="E3272" t="s">
        <v>15</v>
      </c>
      <c r="F3272" t="s">
        <v>16</v>
      </c>
      <c r="G3272" t="s">
        <v>18</v>
      </c>
      <c r="H3272" t="s">
        <v>23</v>
      </c>
      <c r="I3272">
        <v>69.760000000000005</v>
      </c>
      <c r="J3272">
        <v>25.3</v>
      </c>
      <c r="K3272" t="s">
        <v>26</v>
      </c>
      <c r="L3272" t="s">
        <v>15</v>
      </c>
    </row>
    <row r="3273" spans="1:12" x14ac:dyDescent="0.3">
      <c r="A3273">
        <v>53271</v>
      </c>
      <c r="B3273" t="s">
        <v>12</v>
      </c>
      <c r="C3273">
        <v>36</v>
      </c>
      <c r="D3273" t="s">
        <v>15</v>
      </c>
      <c r="E3273" t="s">
        <v>15</v>
      </c>
      <c r="F3273" t="s">
        <v>16</v>
      </c>
      <c r="G3273" t="s">
        <v>17</v>
      </c>
      <c r="H3273" t="s">
        <v>23</v>
      </c>
      <c r="I3273">
        <v>74.63</v>
      </c>
      <c r="J3273">
        <v>31.6</v>
      </c>
      <c r="K3273" t="s">
        <v>24</v>
      </c>
      <c r="L3273" t="s">
        <v>15</v>
      </c>
    </row>
    <row r="3274" spans="1:12" x14ac:dyDescent="0.3">
      <c r="A3274">
        <v>34077</v>
      </c>
      <c r="B3274" t="s">
        <v>12</v>
      </c>
      <c r="C3274">
        <v>46</v>
      </c>
      <c r="D3274" t="s">
        <v>15</v>
      </c>
      <c r="E3274" t="s">
        <v>15</v>
      </c>
      <c r="F3274" t="s">
        <v>16</v>
      </c>
      <c r="G3274" t="s">
        <v>19</v>
      </c>
      <c r="H3274" t="s">
        <v>23</v>
      </c>
      <c r="I3274">
        <v>102.27</v>
      </c>
      <c r="J3274">
        <v>38.9</v>
      </c>
      <c r="K3274" t="s">
        <v>24</v>
      </c>
      <c r="L3274" t="s">
        <v>15</v>
      </c>
    </row>
    <row r="3275" spans="1:12" x14ac:dyDescent="0.3">
      <c r="A3275">
        <v>42330</v>
      </c>
      <c r="B3275" t="s">
        <v>13</v>
      </c>
      <c r="C3275">
        <v>48</v>
      </c>
      <c r="D3275" t="s">
        <v>15</v>
      </c>
      <c r="E3275" t="s">
        <v>15</v>
      </c>
      <c r="F3275" t="s">
        <v>16</v>
      </c>
      <c r="G3275" t="s">
        <v>17</v>
      </c>
      <c r="H3275" t="s">
        <v>23</v>
      </c>
      <c r="I3275">
        <v>73.56</v>
      </c>
      <c r="J3275">
        <v>27.1</v>
      </c>
      <c r="K3275" t="s">
        <v>26</v>
      </c>
      <c r="L3275" t="s">
        <v>15</v>
      </c>
    </row>
    <row r="3276" spans="1:12" x14ac:dyDescent="0.3">
      <c r="A3276">
        <v>69487</v>
      </c>
      <c r="B3276" t="s">
        <v>13</v>
      </c>
      <c r="C3276">
        <v>79</v>
      </c>
      <c r="D3276" t="s">
        <v>15</v>
      </c>
      <c r="E3276" t="s">
        <v>15</v>
      </c>
      <c r="F3276" t="s">
        <v>16</v>
      </c>
      <c r="G3276" t="s">
        <v>18</v>
      </c>
      <c r="H3276" t="s">
        <v>22</v>
      </c>
      <c r="I3276">
        <v>57.77</v>
      </c>
      <c r="J3276">
        <v>24.1</v>
      </c>
      <c r="K3276" t="s">
        <v>24</v>
      </c>
      <c r="L3276" t="s">
        <v>15</v>
      </c>
    </row>
    <row r="3277" spans="1:12" x14ac:dyDescent="0.3">
      <c r="A3277">
        <v>70973</v>
      </c>
      <c r="B3277" t="s">
        <v>13</v>
      </c>
      <c r="C3277">
        <v>50</v>
      </c>
      <c r="D3277" t="s">
        <v>15</v>
      </c>
      <c r="E3277" t="s">
        <v>15</v>
      </c>
      <c r="F3277" t="s">
        <v>16</v>
      </c>
      <c r="G3277" t="s">
        <v>19</v>
      </c>
      <c r="H3277" t="s">
        <v>22</v>
      </c>
      <c r="I3277">
        <v>151.25</v>
      </c>
      <c r="J3277">
        <v>31.5</v>
      </c>
      <c r="K3277" t="s">
        <v>25</v>
      </c>
      <c r="L3277" t="s">
        <v>15</v>
      </c>
    </row>
    <row r="3278" spans="1:12" x14ac:dyDescent="0.3">
      <c r="A3278">
        <v>44986</v>
      </c>
      <c r="B3278" t="s">
        <v>13</v>
      </c>
      <c r="C3278">
        <v>79</v>
      </c>
      <c r="D3278" t="s">
        <v>15</v>
      </c>
      <c r="E3278" t="s">
        <v>15</v>
      </c>
      <c r="F3278" t="s">
        <v>16</v>
      </c>
      <c r="G3278" t="s">
        <v>18</v>
      </c>
      <c r="H3278" t="s">
        <v>22</v>
      </c>
      <c r="I3278">
        <v>78.319999999999993</v>
      </c>
      <c r="J3278">
        <v>32</v>
      </c>
      <c r="K3278" t="s">
        <v>27</v>
      </c>
      <c r="L3278" t="s">
        <v>15</v>
      </c>
    </row>
    <row r="3279" spans="1:12" x14ac:dyDescent="0.3">
      <c r="A3279">
        <v>2633</v>
      </c>
      <c r="B3279" t="s">
        <v>12</v>
      </c>
      <c r="C3279">
        <v>32</v>
      </c>
      <c r="D3279" t="s">
        <v>15</v>
      </c>
      <c r="E3279" t="s">
        <v>15</v>
      </c>
      <c r="F3279" t="s">
        <v>16</v>
      </c>
      <c r="G3279" t="s">
        <v>17</v>
      </c>
      <c r="H3279" t="s">
        <v>23</v>
      </c>
      <c r="I3279">
        <v>71.5</v>
      </c>
      <c r="J3279">
        <v>31.8</v>
      </c>
      <c r="K3279" t="s">
        <v>25</v>
      </c>
      <c r="L3279" t="s">
        <v>15</v>
      </c>
    </row>
    <row r="3280" spans="1:12" x14ac:dyDescent="0.3">
      <c r="A3280">
        <v>21834</v>
      </c>
      <c r="B3280" t="s">
        <v>13</v>
      </c>
      <c r="C3280">
        <v>36</v>
      </c>
      <c r="D3280" t="s">
        <v>15</v>
      </c>
      <c r="E3280" t="s">
        <v>15</v>
      </c>
      <c r="F3280" t="s">
        <v>16</v>
      </c>
      <c r="G3280" t="s">
        <v>17</v>
      </c>
      <c r="H3280" t="s">
        <v>22</v>
      </c>
      <c r="I3280">
        <v>84.7</v>
      </c>
      <c r="J3280">
        <v>34</v>
      </c>
      <c r="K3280" t="s">
        <v>25</v>
      </c>
      <c r="L3280" t="s">
        <v>15</v>
      </c>
    </row>
    <row r="3281" spans="1:12" x14ac:dyDescent="0.3">
      <c r="A3281">
        <v>49196</v>
      </c>
      <c r="B3281" t="s">
        <v>13</v>
      </c>
      <c r="C3281">
        <v>27</v>
      </c>
      <c r="D3281" t="s">
        <v>15</v>
      </c>
      <c r="E3281" t="s">
        <v>15</v>
      </c>
      <c r="F3281" t="s">
        <v>16</v>
      </c>
      <c r="G3281" t="s">
        <v>17</v>
      </c>
      <c r="H3281" t="s">
        <v>22</v>
      </c>
      <c r="I3281">
        <v>127.28</v>
      </c>
      <c r="J3281">
        <v>23.4</v>
      </c>
      <c r="K3281" t="s">
        <v>27</v>
      </c>
      <c r="L3281" t="s">
        <v>15</v>
      </c>
    </row>
    <row r="3282" spans="1:12" x14ac:dyDescent="0.3">
      <c r="A3282">
        <v>22939</v>
      </c>
      <c r="B3282" t="s">
        <v>13</v>
      </c>
      <c r="C3282">
        <v>22</v>
      </c>
      <c r="D3282" t="s">
        <v>15</v>
      </c>
      <c r="E3282" t="s">
        <v>15</v>
      </c>
      <c r="F3282" t="s">
        <v>15</v>
      </c>
      <c r="G3282" t="s">
        <v>17</v>
      </c>
      <c r="H3282" t="s">
        <v>23</v>
      </c>
      <c r="I3282">
        <v>80.72</v>
      </c>
      <c r="J3282">
        <v>29.3</v>
      </c>
      <c r="K3282" t="s">
        <v>27</v>
      </c>
      <c r="L3282" t="s">
        <v>15</v>
      </c>
    </row>
    <row r="3283" spans="1:12" x14ac:dyDescent="0.3">
      <c r="A3283">
        <v>55400</v>
      </c>
      <c r="B3283" t="s">
        <v>13</v>
      </c>
      <c r="C3283">
        <v>5</v>
      </c>
      <c r="D3283" t="s">
        <v>15</v>
      </c>
      <c r="E3283" t="s">
        <v>15</v>
      </c>
      <c r="F3283" t="s">
        <v>15</v>
      </c>
      <c r="G3283" t="s">
        <v>20</v>
      </c>
      <c r="H3283" t="s">
        <v>23</v>
      </c>
      <c r="I3283">
        <v>73.92</v>
      </c>
      <c r="J3283">
        <v>17.2</v>
      </c>
      <c r="K3283" t="s">
        <v>27</v>
      </c>
      <c r="L3283" t="s">
        <v>15</v>
      </c>
    </row>
    <row r="3284" spans="1:12" x14ac:dyDescent="0.3">
      <c r="A3284">
        <v>30870</v>
      </c>
      <c r="B3284" t="s">
        <v>12</v>
      </c>
      <c r="C3284">
        <v>9</v>
      </c>
      <c r="D3284" t="s">
        <v>15</v>
      </c>
      <c r="E3284" t="s">
        <v>15</v>
      </c>
      <c r="F3284" t="s">
        <v>15</v>
      </c>
      <c r="G3284" t="s">
        <v>20</v>
      </c>
      <c r="H3284" t="s">
        <v>22</v>
      </c>
      <c r="I3284">
        <v>93.24</v>
      </c>
      <c r="J3284">
        <v>31.9</v>
      </c>
      <c r="K3284" t="s">
        <v>27</v>
      </c>
      <c r="L3284" t="s">
        <v>15</v>
      </c>
    </row>
    <row r="3285" spans="1:12" x14ac:dyDescent="0.3">
      <c r="A3285">
        <v>247</v>
      </c>
      <c r="B3285" t="s">
        <v>12</v>
      </c>
      <c r="C3285">
        <v>31</v>
      </c>
      <c r="D3285" t="s">
        <v>15</v>
      </c>
      <c r="E3285" t="s">
        <v>15</v>
      </c>
      <c r="F3285" t="s">
        <v>15</v>
      </c>
      <c r="G3285" t="s">
        <v>17</v>
      </c>
      <c r="H3285" t="s">
        <v>22</v>
      </c>
      <c r="I3285">
        <v>72.599999999999994</v>
      </c>
      <c r="J3285">
        <v>31.6</v>
      </c>
      <c r="K3285" t="s">
        <v>25</v>
      </c>
      <c r="L3285" t="s">
        <v>15</v>
      </c>
    </row>
    <row r="3286" spans="1:12" x14ac:dyDescent="0.3">
      <c r="A3286">
        <v>7979</v>
      </c>
      <c r="B3286" t="s">
        <v>13</v>
      </c>
      <c r="C3286">
        <v>26</v>
      </c>
      <c r="D3286" t="s">
        <v>15</v>
      </c>
      <c r="E3286" t="s">
        <v>15</v>
      </c>
      <c r="F3286" t="s">
        <v>15</v>
      </c>
      <c r="G3286" t="s">
        <v>17</v>
      </c>
      <c r="H3286" t="s">
        <v>23</v>
      </c>
      <c r="I3286">
        <v>69.77</v>
      </c>
      <c r="J3286">
        <v>23.2</v>
      </c>
      <c r="K3286" t="s">
        <v>25</v>
      </c>
      <c r="L3286" t="s">
        <v>15</v>
      </c>
    </row>
    <row r="3287" spans="1:12" x14ac:dyDescent="0.3">
      <c r="A3287">
        <v>56189</v>
      </c>
      <c r="B3287" t="s">
        <v>12</v>
      </c>
      <c r="C3287">
        <v>43</v>
      </c>
      <c r="D3287" t="s">
        <v>15</v>
      </c>
      <c r="E3287" t="s">
        <v>15</v>
      </c>
      <c r="F3287" t="s">
        <v>15</v>
      </c>
      <c r="G3287" t="s">
        <v>19</v>
      </c>
      <c r="H3287" t="s">
        <v>22</v>
      </c>
      <c r="I3287">
        <v>84.43</v>
      </c>
      <c r="J3287">
        <v>30</v>
      </c>
      <c r="K3287" t="s">
        <v>26</v>
      </c>
      <c r="L3287" t="s">
        <v>15</v>
      </c>
    </row>
    <row r="3288" spans="1:12" x14ac:dyDescent="0.3">
      <c r="A3288">
        <v>3984</v>
      </c>
      <c r="B3288" t="s">
        <v>13</v>
      </c>
      <c r="C3288">
        <v>33</v>
      </c>
      <c r="D3288" t="s">
        <v>15</v>
      </c>
      <c r="E3288" t="s">
        <v>15</v>
      </c>
      <c r="F3288" t="s">
        <v>16</v>
      </c>
      <c r="G3288" t="s">
        <v>17</v>
      </c>
      <c r="H3288" t="s">
        <v>23</v>
      </c>
      <c r="I3288">
        <v>84.13</v>
      </c>
      <c r="J3288">
        <v>26.3</v>
      </c>
      <c r="K3288" t="s">
        <v>25</v>
      </c>
      <c r="L3288" t="s">
        <v>15</v>
      </c>
    </row>
    <row r="3289" spans="1:12" x14ac:dyDescent="0.3">
      <c r="A3289">
        <v>49753</v>
      </c>
      <c r="B3289" t="s">
        <v>12</v>
      </c>
      <c r="C3289">
        <v>34</v>
      </c>
      <c r="D3289" t="s">
        <v>15</v>
      </c>
      <c r="E3289" t="s">
        <v>15</v>
      </c>
      <c r="F3289" t="s">
        <v>15</v>
      </c>
      <c r="G3289" t="s">
        <v>18</v>
      </c>
      <c r="H3289" t="s">
        <v>23</v>
      </c>
      <c r="I3289">
        <v>81.540000000000006</v>
      </c>
      <c r="J3289">
        <v>31.8</v>
      </c>
      <c r="K3289" t="s">
        <v>24</v>
      </c>
      <c r="L3289" t="s">
        <v>15</v>
      </c>
    </row>
    <row r="3290" spans="1:12" x14ac:dyDescent="0.3">
      <c r="A3290">
        <v>71719</v>
      </c>
      <c r="B3290" t="s">
        <v>12</v>
      </c>
      <c r="C3290">
        <v>66</v>
      </c>
      <c r="D3290" t="s">
        <v>15</v>
      </c>
      <c r="E3290" t="s">
        <v>15</v>
      </c>
      <c r="F3290" t="s">
        <v>16</v>
      </c>
      <c r="G3290" t="s">
        <v>19</v>
      </c>
      <c r="H3290" t="s">
        <v>23</v>
      </c>
      <c r="I3290">
        <v>57.17</v>
      </c>
      <c r="J3290">
        <v>25.5</v>
      </c>
      <c r="K3290" t="s">
        <v>24</v>
      </c>
      <c r="L3290" t="s">
        <v>15</v>
      </c>
    </row>
    <row r="3291" spans="1:12" x14ac:dyDescent="0.3">
      <c r="A3291">
        <v>11313</v>
      </c>
      <c r="B3291" t="s">
        <v>13</v>
      </c>
      <c r="C3291">
        <v>44</v>
      </c>
      <c r="D3291" t="s">
        <v>15</v>
      </c>
      <c r="E3291" t="s">
        <v>15</v>
      </c>
      <c r="F3291" t="s">
        <v>16</v>
      </c>
      <c r="G3291" t="s">
        <v>17</v>
      </c>
      <c r="H3291" t="s">
        <v>23</v>
      </c>
      <c r="I3291">
        <v>86.15</v>
      </c>
      <c r="J3291">
        <v>21.3</v>
      </c>
      <c r="K3291" t="s">
        <v>25</v>
      </c>
      <c r="L3291" t="s">
        <v>15</v>
      </c>
    </row>
    <row r="3292" spans="1:12" x14ac:dyDescent="0.3">
      <c r="A3292">
        <v>38070</v>
      </c>
      <c r="B3292" t="s">
        <v>13</v>
      </c>
      <c r="C3292">
        <v>56</v>
      </c>
      <c r="D3292" t="s">
        <v>15</v>
      </c>
      <c r="E3292" t="s">
        <v>15</v>
      </c>
      <c r="F3292" t="s">
        <v>16</v>
      </c>
      <c r="G3292" t="s">
        <v>17</v>
      </c>
      <c r="H3292" t="s">
        <v>23</v>
      </c>
      <c r="I3292">
        <v>163.02000000000001</v>
      </c>
      <c r="J3292">
        <v>29.6</v>
      </c>
      <c r="K3292" t="s">
        <v>25</v>
      </c>
      <c r="L3292" t="s">
        <v>15</v>
      </c>
    </row>
    <row r="3293" spans="1:12" x14ac:dyDescent="0.3">
      <c r="A3293">
        <v>50455</v>
      </c>
      <c r="B3293" t="s">
        <v>13</v>
      </c>
      <c r="C3293">
        <v>67</v>
      </c>
      <c r="D3293" t="s">
        <v>15</v>
      </c>
      <c r="E3293" t="s">
        <v>15</v>
      </c>
      <c r="F3293" t="s">
        <v>16</v>
      </c>
      <c r="G3293" t="s">
        <v>18</v>
      </c>
      <c r="H3293" t="s">
        <v>22</v>
      </c>
      <c r="I3293">
        <v>110.41</v>
      </c>
      <c r="J3293">
        <v>28.7</v>
      </c>
      <c r="K3293" t="s">
        <v>25</v>
      </c>
      <c r="L3293" t="s">
        <v>15</v>
      </c>
    </row>
    <row r="3294" spans="1:12" x14ac:dyDescent="0.3">
      <c r="A3294">
        <v>31766</v>
      </c>
      <c r="B3294" t="s">
        <v>12</v>
      </c>
      <c r="C3294">
        <v>18</v>
      </c>
      <c r="D3294" t="s">
        <v>15</v>
      </c>
      <c r="E3294" t="s">
        <v>15</v>
      </c>
      <c r="F3294" t="s">
        <v>15</v>
      </c>
      <c r="G3294" t="s">
        <v>17</v>
      </c>
      <c r="H3294" t="s">
        <v>23</v>
      </c>
      <c r="I3294">
        <v>102.58</v>
      </c>
      <c r="J3294">
        <v>30.8</v>
      </c>
      <c r="K3294" t="s">
        <v>25</v>
      </c>
      <c r="L3294" t="s">
        <v>15</v>
      </c>
    </row>
    <row r="3295" spans="1:12" x14ac:dyDescent="0.3">
      <c r="A3295">
        <v>24245</v>
      </c>
      <c r="B3295" t="s">
        <v>12</v>
      </c>
      <c r="C3295">
        <v>55</v>
      </c>
      <c r="D3295" t="s">
        <v>15</v>
      </c>
      <c r="E3295" t="s">
        <v>15</v>
      </c>
      <c r="F3295" t="s">
        <v>16</v>
      </c>
      <c r="G3295" t="s">
        <v>17</v>
      </c>
      <c r="H3295" t="s">
        <v>22</v>
      </c>
      <c r="I3295">
        <v>90.97</v>
      </c>
      <c r="J3295">
        <v>32.1</v>
      </c>
      <c r="K3295" t="s">
        <v>27</v>
      </c>
      <c r="L3295" t="s">
        <v>15</v>
      </c>
    </row>
    <row r="3296" spans="1:12" x14ac:dyDescent="0.3">
      <c r="A3296">
        <v>50726</v>
      </c>
      <c r="B3296" t="s">
        <v>12</v>
      </c>
      <c r="C3296">
        <v>61</v>
      </c>
      <c r="D3296" t="s">
        <v>15</v>
      </c>
      <c r="E3296" t="s">
        <v>15</v>
      </c>
      <c r="F3296" t="s">
        <v>16</v>
      </c>
      <c r="G3296" t="s">
        <v>17</v>
      </c>
      <c r="H3296" t="s">
        <v>23</v>
      </c>
      <c r="I3296">
        <v>140.96</v>
      </c>
      <c r="J3296">
        <v>34</v>
      </c>
      <c r="K3296" t="s">
        <v>26</v>
      </c>
      <c r="L3296" t="s">
        <v>15</v>
      </c>
    </row>
    <row r="3297" spans="1:12" x14ac:dyDescent="0.3">
      <c r="A3297">
        <v>29955</v>
      </c>
      <c r="B3297" t="s">
        <v>12</v>
      </c>
      <c r="C3297">
        <v>0.08</v>
      </c>
      <c r="D3297" t="s">
        <v>15</v>
      </c>
      <c r="E3297" t="s">
        <v>15</v>
      </c>
      <c r="F3297" t="s">
        <v>15</v>
      </c>
      <c r="G3297" t="s">
        <v>20</v>
      </c>
      <c r="H3297" t="s">
        <v>23</v>
      </c>
      <c r="I3297">
        <v>70.33</v>
      </c>
      <c r="J3297">
        <v>16.899999999999999</v>
      </c>
      <c r="K3297" t="s">
        <v>27</v>
      </c>
      <c r="L3297" t="s">
        <v>15</v>
      </c>
    </row>
    <row r="3298" spans="1:12" x14ac:dyDescent="0.3">
      <c r="A3298">
        <v>64742</v>
      </c>
      <c r="B3298" t="s">
        <v>12</v>
      </c>
      <c r="C3298">
        <v>48</v>
      </c>
      <c r="D3298" t="s">
        <v>15</v>
      </c>
      <c r="E3298" t="s">
        <v>15</v>
      </c>
      <c r="F3298" t="s">
        <v>15</v>
      </c>
      <c r="G3298" t="s">
        <v>18</v>
      </c>
      <c r="H3298" t="s">
        <v>23</v>
      </c>
      <c r="I3298">
        <v>64.180000000000007</v>
      </c>
      <c r="J3298">
        <v>32.1</v>
      </c>
      <c r="K3298" t="s">
        <v>25</v>
      </c>
      <c r="L3298" t="s">
        <v>15</v>
      </c>
    </row>
    <row r="3299" spans="1:12" x14ac:dyDescent="0.3">
      <c r="A3299">
        <v>48518</v>
      </c>
      <c r="B3299" t="s">
        <v>12</v>
      </c>
      <c r="C3299">
        <v>44</v>
      </c>
      <c r="D3299" t="s">
        <v>15</v>
      </c>
      <c r="E3299" t="s">
        <v>15</v>
      </c>
      <c r="F3299" t="s">
        <v>16</v>
      </c>
      <c r="G3299" t="s">
        <v>18</v>
      </c>
      <c r="H3299" t="s">
        <v>23</v>
      </c>
      <c r="I3299">
        <v>127.57</v>
      </c>
      <c r="J3299">
        <v>22.6</v>
      </c>
      <c r="K3299" t="s">
        <v>25</v>
      </c>
      <c r="L3299" t="s">
        <v>15</v>
      </c>
    </row>
    <row r="3300" spans="1:12" x14ac:dyDescent="0.3">
      <c r="A3300">
        <v>42999</v>
      </c>
      <c r="B3300" t="s">
        <v>13</v>
      </c>
      <c r="C3300">
        <v>68</v>
      </c>
      <c r="D3300" t="s">
        <v>15</v>
      </c>
      <c r="E3300" t="s">
        <v>15</v>
      </c>
      <c r="F3300" t="s">
        <v>16</v>
      </c>
      <c r="G3300" t="s">
        <v>17</v>
      </c>
      <c r="H3300" t="s">
        <v>22</v>
      </c>
      <c r="I3300">
        <v>109.23</v>
      </c>
      <c r="J3300">
        <v>31.3</v>
      </c>
      <c r="K3300" t="s">
        <v>25</v>
      </c>
      <c r="L3300" t="s">
        <v>15</v>
      </c>
    </row>
    <row r="3301" spans="1:12" x14ac:dyDescent="0.3">
      <c r="A3301">
        <v>71447</v>
      </c>
      <c r="B3301" t="s">
        <v>12</v>
      </c>
      <c r="C3301">
        <v>52</v>
      </c>
      <c r="D3301" t="s">
        <v>15</v>
      </c>
      <c r="E3301" t="s">
        <v>16</v>
      </c>
      <c r="F3301" t="s">
        <v>16</v>
      </c>
      <c r="G3301" t="s">
        <v>17</v>
      </c>
      <c r="H3301" t="s">
        <v>22</v>
      </c>
      <c r="I3301">
        <v>124.49</v>
      </c>
      <c r="J3301">
        <v>29</v>
      </c>
      <c r="K3301" t="s">
        <v>25</v>
      </c>
      <c r="L3301" t="s">
        <v>15</v>
      </c>
    </row>
    <row r="3302" spans="1:12" x14ac:dyDescent="0.3">
      <c r="A3302">
        <v>61437</v>
      </c>
      <c r="B3302" t="s">
        <v>12</v>
      </c>
      <c r="C3302">
        <v>15</v>
      </c>
      <c r="D3302" t="s">
        <v>15</v>
      </c>
      <c r="E3302" t="s">
        <v>15</v>
      </c>
      <c r="F3302" t="s">
        <v>15</v>
      </c>
      <c r="G3302" t="s">
        <v>19</v>
      </c>
      <c r="H3302" t="s">
        <v>23</v>
      </c>
      <c r="I3302">
        <v>142.82</v>
      </c>
      <c r="J3302">
        <v>27.6</v>
      </c>
      <c r="K3302" t="s">
        <v>25</v>
      </c>
      <c r="L3302" t="s">
        <v>15</v>
      </c>
    </row>
    <row r="3303" spans="1:12" x14ac:dyDescent="0.3">
      <c r="A3303">
        <v>50428</v>
      </c>
      <c r="B3303" t="s">
        <v>12</v>
      </c>
      <c r="C3303">
        <v>2</v>
      </c>
      <c r="D3303" t="s">
        <v>15</v>
      </c>
      <c r="E3303" t="s">
        <v>15</v>
      </c>
      <c r="F3303" t="s">
        <v>15</v>
      </c>
      <c r="G3303" t="s">
        <v>20</v>
      </c>
      <c r="H3303" t="s">
        <v>23</v>
      </c>
      <c r="I3303">
        <v>75.69</v>
      </c>
      <c r="J3303">
        <v>17.7</v>
      </c>
      <c r="K3303" t="s">
        <v>27</v>
      </c>
      <c r="L3303" t="s">
        <v>15</v>
      </c>
    </row>
    <row r="3304" spans="1:12" x14ac:dyDescent="0.3">
      <c r="A3304">
        <v>8816</v>
      </c>
      <c r="B3304" t="s">
        <v>12</v>
      </c>
      <c r="C3304">
        <v>60</v>
      </c>
      <c r="D3304" t="s">
        <v>15</v>
      </c>
      <c r="E3304" t="s">
        <v>15</v>
      </c>
      <c r="F3304" t="s">
        <v>16</v>
      </c>
      <c r="G3304" t="s">
        <v>17</v>
      </c>
      <c r="H3304" t="s">
        <v>22</v>
      </c>
      <c r="I3304">
        <v>74.08</v>
      </c>
      <c r="J3304">
        <v>35.9</v>
      </c>
      <c r="K3304" t="s">
        <v>27</v>
      </c>
      <c r="L3304" t="s">
        <v>15</v>
      </c>
    </row>
    <row r="3305" spans="1:12" x14ac:dyDescent="0.3">
      <c r="A3305">
        <v>49556</v>
      </c>
      <c r="B3305" t="s">
        <v>13</v>
      </c>
      <c r="C3305">
        <v>37</v>
      </c>
      <c r="D3305" t="s">
        <v>15</v>
      </c>
      <c r="E3305" t="s">
        <v>15</v>
      </c>
      <c r="F3305" t="s">
        <v>16</v>
      </c>
      <c r="G3305" t="s">
        <v>19</v>
      </c>
      <c r="H3305" t="s">
        <v>22</v>
      </c>
      <c r="I3305">
        <v>75.98</v>
      </c>
      <c r="J3305">
        <v>33.799999999999997</v>
      </c>
      <c r="K3305" t="s">
        <v>27</v>
      </c>
      <c r="L3305" t="s">
        <v>15</v>
      </c>
    </row>
    <row r="3306" spans="1:12" x14ac:dyDescent="0.3">
      <c r="A3306">
        <v>67654</v>
      </c>
      <c r="B3306" t="s">
        <v>13</v>
      </c>
      <c r="C3306">
        <v>5</v>
      </c>
      <c r="D3306" t="s">
        <v>15</v>
      </c>
      <c r="E3306" t="s">
        <v>15</v>
      </c>
      <c r="F3306" t="s">
        <v>15</v>
      </c>
      <c r="G3306" t="s">
        <v>20</v>
      </c>
      <c r="H3306" t="s">
        <v>23</v>
      </c>
      <c r="I3306">
        <v>57.8</v>
      </c>
      <c r="J3306">
        <v>17.600000000000001</v>
      </c>
      <c r="K3306" t="s">
        <v>27</v>
      </c>
      <c r="L3306" t="s">
        <v>15</v>
      </c>
    </row>
    <row r="3307" spans="1:12" x14ac:dyDescent="0.3">
      <c r="A3307">
        <v>21989</v>
      </c>
      <c r="B3307" t="s">
        <v>13</v>
      </c>
      <c r="C3307">
        <v>25</v>
      </c>
      <c r="D3307" t="s">
        <v>15</v>
      </c>
      <c r="E3307" t="s">
        <v>15</v>
      </c>
      <c r="F3307" t="s">
        <v>15</v>
      </c>
      <c r="G3307" t="s">
        <v>17</v>
      </c>
      <c r="H3307" t="s">
        <v>22</v>
      </c>
      <c r="I3307">
        <v>76.44</v>
      </c>
      <c r="J3307">
        <v>48.3</v>
      </c>
      <c r="K3307" t="s">
        <v>27</v>
      </c>
      <c r="L3307" t="s">
        <v>15</v>
      </c>
    </row>
    <row r="3308" spans="1:12" x14ac:dyDescent="0.3">
      <c r="A3308">
        <v>46434</v>
      </c>
      <c r="B3308" t="s">
        <v>12</v>
      </c>
      <c r="C3308">
        <v>52</v>
      </c>
      <c r="D3308" t="s">
        <v>16</v>
      </c>
      <c r="E3308" t="s">
        <v>15</v>
      </c>
      <c r="F3308" t="s">
        <v>16</v>
      </c>
      <c r="G3308" t="s">
        <v>19</v>
      </c>
      <c r="H3308" t="s">
        <v>22</v>
      </c>
      <c r="I3308">
        <v>214.43</v>
      </c>
      <c r="J3308">
        <v>39.9</v>
      </c>
      <c r="K3308" t="s">
        <v>26</v>
      </c>
      <c r="L3308" t="s">
        <v>15</v>
      </c>
    </row>
    <row r="3309" spans="1:12" x14ac:dyDescent="0.3">
      <c r="A3309">
        <v>3205</v>
      </c>
      <c r="B3309" t="s">
        <v>13</v>
      </c>
      <c r="C3309">
        <v>79</v>
      </c>
      <c r="D3309" t="s">
        <v>15</v>
      </c>
      <c r="E3309" t="s">
        <v>15</v>
      </c>
      <c r="F3309" t="s">
        <v>16</v>
      </c>
      <c r="G3309" t="s">
        <v>18</v>
      </c>
      <c r="H3309" t="s">
        <v>22</v>
      </c>
      <c r="I3309">
        <v>79.03</v>
      </c>
      <c r="J3309">
        <v>11.3</v>
      </c>
      <c r="K3309" t="s">
        <v>27</v>
      </c>
      <c r="L3309" t="s">
        <v>15</v>
      </c>
    </row>
    <row r="3310" spans="1:12" x14ac:dyDescent="0.3">
      <c r="A3310">
        <v>68692</v>
      </c>
      <c r="B3310" t="s">
        <v>12</v>
      </c>
      <c r="C3310">
        <v>61</v>
      </c>
      <c r="D3310" t="s">
        <v>16</v>
      </c>
      <c r="E3310" t="s">
        <v>15</v>
      </c>
      <c r="F3310" t="s">
        <v>16</v>
      </c>
      <c r="G3310" t="s">
        <v>17</v>
      </c>
      <c r="H3310" t="s">
        <v>22</v>
      </c>
      <c r="I3310">
        <v>66.459999999999994</v>
      </c>
      <c r="J3310">
        <v>31.5</v>
      </c>
      <c r="K3310" t="s">
        <v>24</v>
      </c>
      <c r="L3310" t="s">
        <v>15</v>
      </c>
    </row>
    <row r="3311" spans="1:12" x14ac:dyDescent="0.3">
      <c r="A3311">
        <v>44531</v>
      </c>
      <c r="B3311" t="s">
        <v>12</v>
      </c>
      <c r="C3311">
        <v>36</v>
      </c>
      <c r="D3311" t="s">
        <v>15</v>
      </c>
      <c r="E3311" t="s">
        <v>15</v>
      </c>
      <c r="F3311" t="s">
        <v>16</v>
      </c>
      <c r="G3311" t="s">
        <v>17</v>
      </c>
      <c r="H3311" t="s">
        <v>22</v>
      </c>
      <c r="I3311">
        <v>56.42</v>
      </c>
      <c r="J3311">
        <v>29.6</v>
      </c>
      <c r="K3311" t="s">
        <v>25</v>
      </c>
      <c r="L3311" t="s">
        <v>15</v>
      </c>
    </row>
    <row r="3312" spans="1:12" x14ac:dyDescent="0.3">
      <c r="A3312">
        <v>70392</v>
      </c>
      <c r="B3312" t="s">
        <v>12</v>
      </c>
      <c r="C3312">
        <v>34</v>
      </c>
      <c r="D3312" t="s">
        <v>15</v>
      </c>
      <c r="E3312" t="s">
        <v>15</v>
      </c>
      <c r="F3312" t="s">
        <v>16</v>
      </c>
      <c r="G3312" t="s">
        <v>17</v>
      </c>
      <c r="H3312" t="s">
        <v>23</v>
      </c>
      <c r="I3312">
        <v>112.72</v>
      </c>
      <c r="J3312">
        <v>19.399999999999999</v>
      </c>
      <c r="K3312" t="s">
        <v>27</v>
      </c>
      <c r="L3312" t="s">
        <v>15</v>
      </c>
    </row>
    <row r="3313" spans="1:12" x14ac:dyDescent="0.3">
      <c r="A3313">
        <v>37025</v>
      </c>
      <c r="B3313" t="s">
        <v>13</v>
      </c>
      <c r="C3313">
        <v>2</v>
      </c>
      <c r="D3313" t="s">
        <v>15</v>
      </c>
      <c r="E3313" t="s">
        <v>15</v>
      </c>
      <c r="F3313" t="s">
        <v>15</v>
      </c>
      <c r="G3313" t="s">
        <v>20</v>
      </c>
      <c r="H3313" t="s">
        <v>22</v>
      </c>
      <c r="I3313">
        <v>114.02</v>
      </c>
      <c r="J3313">
        <v>18.100000000000001</v>
      </c>
      <c r="K3313" t="s">
        <v>27</v>
      </c>
      <c r="L3313" t="s">
        <v>15</v>
      </c>
    </row>
    <row r="3314" spans="1:12" x14ac:dyDescent="0.3">
      <c r="A3314">
        <v>68965</v>
      </c>
      <c r="B3314" t="s">
        <v>12</v>
      </c>
      <c r="C3314">
        <v>43</v>
      </c>
      <c r="D3314" t="s">
        <v>15</v>
      </c>
      <c r="E3314" t="s">
        <v>15</v>
      </c>
      <c r="F3314" t="s">
        <v>16</v>
      </c>
      <c r="G3314" t="s">
        <v>17</v>
      </c>
      <c r="H3314" t="s">
        <v>22</v>
      </c>
      <c r="I3314">
        <v>72.33</v>
      </c>
      <c r="J3314">
        <v>36.200000000000003</v>
      </c>
      <c r="K3314" t="s">
        <v>26</v>
      </c>
      <c r="L3314" t="s">
        <v>15</v>
      </c>
    </row>
    <row r="3315" spans="1:12" x14ac:dyDescent="0.3">
      <c r="A3315">
        <v>53843</v>
      </c>
      <c r="B3315" t="s">
        <v>13</v>
      </c>
      <c r="C3315">
        <v>1.48</v>
      </c>
      <c r="D3315" t="s">
        <v>15</v>
      </c>
      <c r="E3315" t="s">
        <v>15</v>
      </c>
      <c r="F3315" t="s">
        <v>15</v>
      </c>
      <c r="G3315" t="s">
        <v>20</v>
      </c>
      <c r="H3315" t="s">
        <v>23</v>
      </c>
      <c r="I3315">
        <v>55.59</v>
      </c>
      <c r="J3315">
        <v>17.899999999999999</v>
      </c>
      <c r="K3315" t="s">
        <v>27</v>
      </c>
      <c r="L3315" t="s">
        <v>15</v>
      </c>
    </row>
    <row r="3316" spans="1:12" x14ac:dyDescent="0.3">
      <c r="A3316">
        <v>5236</v>
      </c>
      <c r="B3316" t="s">
        <v>13</v>
      </c>
      <c r="C3316">
        <v>49</v>
      </c>
      <c r="D3316" t="s">
        <v>15</v>
      </c>
      <c r="E3316" t="s">
        <v>15</v>
      </c>
      <c r="F3316" t="s">
        <v>16</v>
      </c>
      <c r="G3316" t="s">
        <v>17</v>
      </c>
      <c r="H3316" t="s">
        <v>23</v>
      </c>
      <c r="I3316">
        <v>73.48</v>
      </c>
      <c r="J3316">
        <v>33</v>
      </c>
      <c r="K3316" t="s">
        <v>25</v>
      </c>
      <c r="L3316" t="s">
        <v>15</v>
      </c>
    </row>
    <row r="3317" spans="1:12" x14ac:dyDescent="0.3">
      <c r="A3317">
        <v>32110</v>
      </c>
      <c r="B3317" t="s">
        <v>13</v>
      </c>
      <c r="C3317">
        <v>2</v>
      </c>
      <c r="D3317" t="s">
        <v>15</v>
      </c>
      <c r="E3317" t="s">
        <v>15</v>
      </c>
      <c r="F3317" t="s">
        <v>15</v>
      </c>
      <c r="G3317" t="s">
        <v>20</v>
      </c>
      <c r="H3317" t="s">
        <v>22</v>
      </c>
      <c r="I3317">
        <v>105.05</v>
      </c>
      <c r="J3317">
        <v>20.399999999999999</v>
      </c>
      <c r="K3317" t="s">
        <v>27</v>
      </c>
      <c r="L3317" t="s">
        <v>15</v>
      </c>
    </row>
    <row r="3318" spans="1:12" x14ac:dyDescent="0.3">
      <c r="A3318">
        <v>17893</v>
      </c>
      <c r="B3318" t="s">
        <v>13</v>
      </c>
      <c r="C3318">
        <v>82</v>
      </c>
      <c r="D3318" t="s">
        <v>15</v>
      </c>
      <c r="E3318" t="s">
        <v>15</v>
      </c>
      <c r="F3318" t="s">
        <v>16</v>
      </c>
      <c r="G3318" t="s">
        <v>18</v>
      </c>
      <c r="H3318" t="s">
        <v>22</v>
      </c>
      <c r="I3318">
        <v>84.78</v>
      </c>
      <c r="J3318">
        <v>33.6</v>
      </c>
      <c r="K3318" t="s">
        <v>24</v>
      </c>
      <c r="L3318" t="s">
        <v>15</v>
      </c>
    </row>
    <row r="3319" spans="1:12" x14ac:dyDescent="0.3">
      <c r="A3319">
        <v>65794</v>
      </c>
      <c r="B3319" t="s">
        <v>13</v>
      </c>
      <c r="C3319">
        <v>81</v>
      </c>
      <c r="D3319" t="s">
        <v>16</v>
      </c>
      <c r="E3319" t="s">
        <v>15</v>
      </c>
      <c r="F3319" t="s">
        <v>16</v>
      </c>
      <c r="G3319" t="s">
        <v>17</v>
      </c>
      <c r="H3319" t="s">
        <v>23</v>
      </c>
      <c r="I3319">
        <v>164.77</v>
      </c>
      <c r="J3319">
        <v>34.5</v>
      </c>
      <c r="K3319" t="s">
        <v>25</v>
      </c>
      <c r="L3319" t="s">
        <v>15</v>
      </c>
    </row>
    <row r="3320" spans="1:12" x14ac:dyDescent="0.3">
      <c r="A3320">
        <v>65955</v>
      </c>
      <c r="B3320" t="s">
        <v>12</v>
      </c>
      <c r="C3320">
        <v>81</v>
      </c>
      <c r="D3320" t="s">
        <v>16</v>
      </c>
      <c r="E3320" t="s">
        <v>16</v>
      </c>
      <c r="F3320" t="s">
        <v>15</v>
      </c>
      <c r="G3320" t="s">
        <v>17</v>
      </c>
      <c r="H3320" t="s">
        <v>23</v>
      </c>
      <c r="I3320">
        <v>220.64</v>
      </c>
      <c r="J3320">
        <v>30</v>
      </c>
      <c r="K3320" t="s">
        <v>25</v>
      </c>
      <c r="L3320" t="s">
        <v>15</v>
      </c>
    </row>
    <row r="3321" spans="1:12" x14ac:dyDescent="0.3">
      <c r="A3321">
        <v>53924</v>
      </c>
      <c r="B3321" t="s">
        <v>13</v>
      </c>
      <c r="C3321">
        <v>1.08</v>
      </c>
      <c r="D3321" t="s">
        <v>15</v>
      </c>
      <c r="E3321" t="s">
        <v>15</v>
      </c>
      <c r="F3321" t="s">
        <v>15</v>
      </c>
      <c r="G3321" t="s">
        <v>20</v>
      </c>
      <c r="H3321" t="s">
        <v>22</v>
      </c>
      <c r="I3321">
        <v>159.38999999999999</v>
      </c>
      <c r="J3321">
        <v>12.8</v>
      </c>
      <c r="K3321" t="s">
        <v>27</v>
      </c>
      <c r="L3321" t="s">
        <v>15</v>
      </c>
    </row>
    <row r="3322" spans="1:12" x14ac:dyDescent="0.3">
      <c r="A3322">
        <v>70674</v>
      </c>
      <c r="B3322" t="s">
        <v>12</v>
      </c>
      <c r="C3322">
        <v>60</v>
      </c>
      <c r="D3322" t="s">
        <v>15</v>
      </c>
      <c r="E3322" t="s">
        <v>15</v>
      </c>
      <c r="F3322" t="s">
        <v>16</v>
      </c>
      <c r="G3322" t="s">
        <v>18</v>
      </c>
      <c r="H3322" t="s">
        <v>22</v>
      </c>
      <c r="I3322">
        <v>69.53</v>
      </c>
      <c r="J3322">
        <v>26.2</v>
      </c>
      <c r="K3322" t="s">
        <v>25</v>
      </c>
      <c r="L3322" t="s">
        <v>15</v>
      </c>
    </row>
    <row r="3323" spans="1:12" x14ac:dyDescent="0.3">
      <c r="A3323">
        <v>56410</v>
      </c>
      <c r="B3323" t="s">
        <v>12</v>
      </c>
      <c r="C3323">
        <v>1.88</v>
      </c>
      <c r="D3323" t="s">
        <v>15</v>
      </c>
      <c r="E3323" t="s">
        <v>15</v>
      </c>
      <c r="F3323" t="s">
        <v>15</v>
      </c>
      <c r="G3323" t="s">
        <v>20</v>
      </c>
      <c r="H3323" t="s">
        <v>22</v>
      </c>
      <c r="I3323">
        <v>81.42</v>
      </c>
      <c r="J3323">
        <v>13.5</v>
      </c>
      <c r="K3323" t="s">
        <v>27</v>
      </c>
      <c r="L3323" t="s">
        <v>15</v>
      </c>
    </row>
    <row r="3324" spans="1:12" x14ac:dyDescent="0.3">
      <c r="A3324">
        <v>9955</v>
      </c>
      <c r="B3324" t="s">
        <v>13</v>
      </c>
      <c r="C3324">
        <v>58</v>
      </c>
      <c r="D3324" t="s">
        <v>15</v>
      </c>
      <c r="E3324" t="s">
        <v>15</v>
      </c>
      <c r="F3324" t="s">
        <v>15</v>
      </c>
      <c r="G3324" t="s">
        <v>17</v>
      </c>
      <c r="H3324" t="s">
        <v>22</v>
      </c>
      <c r="I3324">
        <v>83.93</v>
      </c>
      <c r="J3324">
        <v>25.6</v>
      </c>
      <c r="K3324" t="s">
        <v>24</v>
      </c>
      <c r="L3324" t="s">
        <v>15</v>
      </c>
    </row>
    <row r="3325" spans="1:12" x14ac:dyDescent="0.3">
      <c r="A3325">
        <v>8410</v>
      </c>
      <c r="B3325" t="s">
        <v>13</v>
      </c>
      <c r="C3325">
        <v>8</v>
      </c>
      <c r="D3325" t="s">
        <v>15</v>
      </c>
      <c r="E3325" t="s">
        <v>15</v>
      </c>
      <c r="F3325" t="s">
        <v>15</v>
      </c>
      <c r="G3325" t="s">
        <v>20</v>
      </c>
      <c r="H3325" t="s">
        <v>23</v>
      </c>
      <c r="I3325">
        <v>98.9</v>
      </c>
      <c r="J3325">
        <v>18.8</v>
      </c>
      <c r="K3325" t="s">
        <v>27</v>
      </c>
      <c r="L3325" t="s">
        <v>15</v>
      </c>
    </row>
    <row r="3326" spans="1:12" x14ac:dyDescent="0.3">
      <c r="A3326">
        <v>46854</v>
      </c>
      <c r="B3326" t="s">
        <v>13</v>
      </c>
      <c r="C3326">
        <v>9</v>
      </c>
      <c r="D3326" t="s">
        <v>15</v>
      </c>
      <c r="E3326" t="s">
        <v>15</v>
      </c>
      <c r="F3326" t="s">
        <v>15</v>
      </c>
      <c r="G3326" t="s">
        <v>20</v>
      </c>
      <c r="H3326" t="s">
        <v>22</v>
      </c>
      <c r="I3326">
        <v>82.64</v>
      </c>
      <c r="J3326">
        <v>14.5</v>
      </c>
      <c r="K3326" t="s">
        <v>27</v>
      </c>
      <c r="L3326" t="s">
        <v>15</v>
      </c>
    </row>
    <row r="3327" spans="1:12" x14ac:dyDescent="0.3">
      <c r="A3327">
        <v>8168</v>
      </c>
      <c r="B3327" t="s">
        <v>13</v>
      </c>
      <c r="C3327">
        <v>34</v>
      </c>
      <c r="D3327" t="s">
        <v>15</v>
      </c>
      <c r="E3327" t="s">
        <v>15</v>
      </c>
      <c r="F3327" t="s">
        <v>16</v>
      </c>
      <c r="G3327" t="s">
        <v>17</v>
      </c>
      <c r="H3327" t="s">
        <v>23</v>
      </c>
      <c r="I3327">
        <v>112.54</v>
      </c>
      <c r="J3327">
        <v>23.4</v>
      </c>
      <c r="K3327" t="s">
        <v>24</v>
      </c>
      <c r="L3327" t="s">
        <v>15</v>
      </c>
    </row>
    <row r="3328" spans="1:12" x14ac:dyDescent="0.3">
      <c r="A3328">
        <v>30405</v>
      </c>
      <c r="B3328" t="s">
        <v>13</v>
      </c>
      <c r="C3328">
        <v>23</v>
      </c>
      <c r="D3328" t="s">
        <v>15</v>
      </c>
      <c r="E3328" t="s">
        <v>15</v>
      </c>
      <c r="F3328" t="s">
        <v>15</v>
      </c>
      <c r="G3328" t="s">
        <v>17</v>
      </c>
      <c r="H3328" t="s">
        <v>23</v>
      </c>
      <c r="I3328">
        <v>75.25</v>
      </c>
      <c r="J3328">
        <v>39.700000000000003</v>
      </c>
      <c r="K3328" t="s">
        <v>24</v>
      </c>
      <c r="L3328" t="s">
        <v>15</v>
      </c>
    </row>
    <row r="3329" spans="1:12" x14ac:dyDescent="0.3">
      <c r="A3329">
        <v>1301</v>
      </c>
      <c r="B3329" t="s">
        <v>13</v>
      </c>
      <c r="C3329">
        <v>74</v>
      </c>
      <c r="D3329" t="s">
        <v>15</v>
      </c>
      <c r="E3329" t="s">
        <v>15</v>
      </c>
      <c r="F3329" t="s">
        <v>15</v>
      </c>
      <c r="G3329" t="s">
        <v>18</v>
      </c>
      <c r="H3329" t="s">
        <v>22</v>
      </c>
      <c r="I3329">
        <v>204.77</v>
      </c>
      <c r="J3329">
        <v>40.799999999999997</v>
      </c>
      <c r="K3329" t="s">
        <v>25</v>
      </c>
      <c r="L3329" t="s">
        <v>15</v>
      </c>
    </row>
    <row r="3330" spans="1:12" x14ac:dyDescent="0.3">
      <c r="A3330">
        <v>42348</v>
      </c>
      <c r="B3330" t="s">
        <v>12</v>
      </c>
      <c r="C3330">
        <v>72</v>
      </c>
      <c r="D3330" t="s">
        <v>15</v>
      </c>
      <c r="E3330" t="s">
        <v>16</v>
      </c>
      <c r="F3330" t="s">
        <v>16</v>
      </c>
      <c r="G3330" t="s">
        <v>18</v>
      </c>
      <c r="H3330" t="s">
        <v>22</v>
      </c>
      <c r="I3330">
        <v>63.86</v>
      </c>
      <c r="J3330">
        <v>29.5</v>
      </c>
      <c r="K3330" t="s">
        <v>26</v>
      </c>
      <c r="L3330" t="s">
        <v>15</v>
      </c>
    </row>
    <row r="3331" spans="1:12" x14ac:dyDescent="0.3">
      <c r="A3331">
        <v>38560</v>
      </c>
      <c r="B3331" t="s">
        <v>12</v>
      </c>
      <c r="C3331">
        <v>47</v>
      </c>
      <c r="D3331" t="s">
        <v>15</v>
      </c>
      <c r="E3331" t="s">
        <v>15</v>
      </c>
      <c r="F3331" t="s">
        <v>16</v>
      </c>
      <c r="G3331" t="s">
        <v>17</v>
      </c>
      <c r="H3331" t="s">
        <v>23</v>
      </c>
      <c r="I3331">
        <v>72.2</v>
      </c>
      <c r="J3331">
        <v>33</v>
      </c>
      <c r="K3331" t="s">
        <v>27</v>
      </c>
      <c r="L3331" t="s">
        <v>15</v>
      </c>
    </row>
    <row r="3332" spans="1:12" x14ac:dyDescent="0.3">
      <c r="A3332">
        <v>48129</v>
      </c>
      <c r="B3332" t="s">
        <v>13</v>
      </c>
      <c r="C3332">
        <v>56</v>
      </c>
      <c r="D3332" t="s">
        <v>15</v>
      </c>
      <c r="E3332" t="s">
        <v>15</v>
      </c>
      <c r="F3332" t="s">
        <v>16</v>
      </c>
      <c r="G3332" t="s">
        <v>17</v>
      </c>
      <c r="H3332" t="s">
        <v>22</v>
      </c>
      <c r="I3332">
        <v>80.08</v>
      </c>
      <c r="J3332">
        <v>25.6</v>
      </c>
      <c r="K3332" t="s">
        <v>25</v>
      </c>
      <c r="L3332" t="s">
        <v>15</v>
      </c>
    </row>
    <row r="3333" spans="1:12" x14ac:dyDescent="0.3">
      <c r="A3333">
        <v>10511</v>
      </c>
      <c r="B3333" t="s">
        <v>12</v>
      </c>
      <c r="C3333">
        <v>5</v>
      </c>
      <c r="D3333" t="s">
        <v>15</v>
      </c>
      <c r="E3333" t="s">
        <v>15</v>
      </c>
      <c r="F3333" t="s">
        <v>15</v>
      </c>
      <c r="G3333" t="s">
        <v>20</v>
      </c>
      <c r="H3333" t="s">
        <v>22</v>
      </c>
      <c r="I3333">
        <v>101.61</v>
      </c>
      <c r="J3333">
        <v>33.1</v>
      </c>
      <c r="K3333" t="s">
        <v>27</v>
      </c>
      <c r="L3333" t="s">
        <v>15</v>
      </c>
    </row>
    <row r="3334" spans="1:12" x14ac:dyDescent="0.3">
      <c r="A3334">
        <v>42481</v>
      </c>
      <c r="B3334" t="s">
        <v>12</v>
      </c>
      <c r="C3334">
        <v>27</v>
      </c>
      <c r="D3334" t="s">
        <v>15</v>
      </c>
      <c r="E3334" t="s">
        <v>15</v>
      </c>
      <c r="F3334" t="s">
        <v>16</v>
      </c>
      <c r="G3334" t="s">
        <v>17</v>
      </c>
      <c r="H3334" t="s">
        <v>22</v>
      </c>
      <c r="I3334">
        <v>114.32</v>
      </c>
      <c r="J3334">
        <v>28.1</v>
      </c>
      <c r="K3334" t="s">
        <v>27</v>
      </c>
      <c r="L3334" t="s">
        <v>15</v>
      </c>
    </row>
    <row r="3335" spans="1:12" x14ac:dyDescent="0.3">
      <c r="A3335">
        <v>59872</v>
      </c>
      <c r="B3335" t="s">
        <v>13</v>
      </c>
      <c r="C3335">
        <v>38</v>
      </c>
      <c r="D3335" t="s">
        <v>15</v>
      </c>
      <c r="E3335" t="s">
        <v>15</v>
      </c>
      <c r="F3335" t="s">
        <v>16</v>
      </c>
      <c r="G3335" t="s">
        <v>17</v>
      </c>
      <c r="H3335" t="s">
        <v>23</v>
      </c>
      <c r="I3335">
        <v>80.819999999999993</v>
      </c>
      <c r="J3335">
        <v>49.3</v>
      </c>
      <c r="K3335" t="s">
        <v>25</v>
      </c>
      <c r="L3335" t="s">
        <v>15</v>
      </c>
    </row>
    <row r="3336" spans="1:12" x14ac:dyDescent="0.3">
      <c r="A3336">
        <v>56282</v>
      </c>
      <c r="B3336" t="s">
        <v>12</v>
      </c>
      <c r="C3336">
        <v>13</v>
      </c>
      <c r="D3336" t="s">
        <v>15</v>
      </c>
      <c r="E3336" t="s">
        <v>15</v>
      </c>
      <c r="F3336" t="s">
        <v>15</v>
      </c>
      <c r="G3336" t="s">
        <v>17</v>
      </c>
      <c r="H3336" t="s">
        <v>23</v>
      </c>
      <c r="I3336">
        <v>90.6</v>
      </c>
      <c r="J3336">
        <v>16.899999999999999</v>
      </c>
      <c r="K3336" t="s">
        <v>25</v>
      </c>
      <c r="L3336" t="s">
        <v>15</v>
      </c>
    </row>
    <row r="3337" spans="1:12" x14ac:dyDescent="0.3">
      <c r="A3337">
        <v>6540</v>
      </c>
      <c r="B3337" t="s">
        <v>13</v>
      </c>
      <c r="C3337">
        <v>41</v>
      </c>
      <c r="D3337" t="s">
        <v>15</v>
      </c>
      <c r="E3337" t="s">
        <v>15</v>
      </c>
      <c r="F3337" t="s">
        <v>16</v>
      </c>
      <c r="G3337" t="s">
        <v>17</v>
      </c>
      <c r="H3337" t="s">
        <v>23</v>
      </c>
      <c r="I3337">
        <v>93.67</v>
      </c>
      <c r="J3337">
        <v>35.9</v>
      </c>
      <c r="K3337" t="s">
        <v>27</v>
      </c>
      <c r="L3337" t="s">
        <v>15</v>
      </c>
    </row>
    <row r="3338" spans="1:12" x14ac:dyDescent="0.3">
      <c r="A3338">
        <v>31378</v>
      </c>
      <c r="B3338" t="s">
        <v>13</v>
      </c>
      <c r="C3338">
        <v>50</v>
      </c>
      <c r="D3338" t="s">
        <v>15</v>
      </c>
      <c r="E3338" t="s">
        <v>15</v>
      </c>
      <c r="F3338" t="s">
        <v>16</v>
      </c>
      <c r="G3338" t="s">
        <v>18</v>
      </c>
      <c r="H3338" t="s">
        <v>23</v>
      </c>
      <c r="I3338">
        <v>87.15</v>
      </c>
      <c r="J3338">
        <v>32.1</v>
      </c>
      <c r="K3338" t="s">
        <v>25</v>
      </c>
      <c r="L3338" t="s">
        <v>15</v>
      </c>
    </row>
    <row r="3339" spans="1:12" x14ac:dyDescent="0.3">
      <c r="A3339">
        <v>32317</v>
      </c>
      <c r="B3339" t="s">
        <v>13</v>
      </c>
      <c r="C3339">
        <v>41</v>
      </c>
      <c r="D3339" t="s">
        <v>15</v>
      </c>
      <c r="E3339" t="s">
        <v>15</v>
      </c>
      <c r="F3339" t="s">
        <v>16</v>
      </c>
      <c r="G3339" t="s">
        <v>17</v>
      </c>
      <c r="H3339" t="s">
        <v>22</v>
      </c>
      <c r="I3339">
        <v>80.72</v>
      </c>
      <c r="J3339">
        <v>34.1</v>
      </c>
      <c r="K3339" t="s">
        <v>26</v>
      </c>
      <c r="L3339" t="s">
        <v>15</v>
      </c>
    </row>
    <row r="3340" spans="1:12" x14ac:dyDescent="0.3">
      <c r="A3340">
        <v>9948</v>
      </c>
      <c r="B3340" t="s">
        <v>12</v>
      </c>
      <c r="C3340">
        <v>6</v>
      </c>
      <c r="D3340" t="s">
        <v>15</v>
      </c>
      <c r="E3340" t="s">
        <v>15</v>
      </c>
      <c r="F3340" t="s">
        <v>15</v>
      </c>
      <c r="G3340" t="s">
        <v>20</v>
      </c>
      <c r="H3340" t="s">
        <v>22</v>
      </c>
      <c r="I3340">
        <v>83.16</v>
      </c>
      <c r="J3340">
        <v>15.1</v>
      </c>
      <c r="K3340" t="s">
        <v>27</v>
      </c>
      <c r="L3340" t="s">
        <v>15</v>
      </c>
    </row>
    <row r="3341" spans="1:12" x14ac:dyDescent="0.3">
      <c r="A3341">
        <v>35182</v>
      </c>
      <c r="B3341" t="s">
        <v>13</v>
      </c>
      <c r="C3341">
        <v>62</v>
      </c>
      <c r="D3341" t="s">
        <v>15</v>
      </c>
      <c r="E3341" t="s">
        <v>15</v>
      </c>
      <c r="F3341" t="s">
        <v>16</v>
      </c>
      <c r="G3341" t="s">
        <v>19</v>
      </c>
      <c r="H3341" t="s">
        <v>23</v>
      </c>
      <c r="I3341">
        <v>98.14</v>
      </c>
      <c r="J3341">
        <v>42</v>
      </c>
      <c r="K3341" t="s">
        <v>27</v>
      </c>
      <c r="L3341" t="s">
        <v>15</v>
      </c>
    </row>
    <row r="3342" spans="1:12" x14ac:dyDescent="0.3">
      <c r="A3342">
        <v>5655</v>
      </c>
      <c r="B3342" t="s">
        <v>12</v>
      </c>
      <c r="C3342">
        <v>4</v>
      </c>
      <c r="D3342" t="s">
        <v>15</v>
      </c>
      <c r="E3342" t="s">
        <v>15</v>
      </c>
      <c r="F3342" t="s">
        <v>15</v>
      </c>
      <c r="G3342" t="s">
        <v>20</v>
      </c>
      <c r="H3342" t="s">
        <v>22</v>
      </c>
      <c r="I3342">
        <v>83.13</v>
      </c>
      <c r="J3342">
        <v>16.8</v>
      </c>
      <c r="K3342" t="s">
        <v>27</v>
      </c>
      <c r="L3342" t="s">
        <v>15</v>
      </c>
    </row>
    <row r="3343" spans="1:12" x14ac:dyDescent="0.3">
      <c r="A3343">
        <v>51762</v>
      </c>
      <c r="B3343" t="s">
        <v>13</v>
      </c>
      <c r="C3343">
        <v>59</v>
      </c>
      <c r="D3343" t="s">
        <v>15</v>
      </c>
      <c r="E3343" t="s">
        <v>15</v>
      </c>
      <c r="F3343" t="s">
        <v>16</v>
      </c>
      <c r="G3343" t="s">
        <v>17</v>
      </c>
      <c r="H3343" t="s">
        <v>23</v>
      </c>
      <c r="I3343">
        <v>134.24</v>
      </c>
      <c r="J3343">
        <v>28.8</v>
      </c>
      <c r="K3343" t="s">
        <v>27</v>
      </c>
      <c r="L3343" t="s">
        <v>15</v>
      </c>
    </row>
    <row r="3344" spans="1:12" x14ac:dyDescent="0.3">
      <c r="A3344">
        <v>68193</v>
      </c>
      <c r="B3344" t="s">
        <v>12</v>
      </c>
      <c r="C3344">
        <v>63</v>
      </c>
      <c r="D3344" t="s">
        <v>15</v>
      </c>
      <c r="E3344" t="s">
        <v>15</v>
      </c>
      <c r="F3344" t="s">
        <v>16</v>
      </c>
      <c r="G3344" t="s">
        <v>18</v>
      </c>
      <c r="H3344" t="s">
        <v>22</v>
      </c>
      <c r="I3344">
        <v>248.37</v>
      </c>
      <c r="J3344">
        <v>32.200000000000003</v>
      </c>
      <c r="K3344" t="s">
        <v>26</v>
      </c>
      <c r="L3344" t="s">
        <v>15</v>
      </c>
    </row>
    <row r="3345" spans="1:12" x14ac:dyDescent="0.3">
      <c r="A3345">
        <v>49459</v>
      </c>
      <c r="B3345" t="s">
        <v>12</v>
      </c>
      <c r="C3345">
        <v>9</v>
      </c>
      <c r="D3345" t="s">
        <v>15</v>
      </c>
      <c r="E3345" t="s">
        <v>15</v>
      </c>
      <c r="F3345" t="s">
        <v>15</v>
      </c>
      <c r="G3345" t="s">
        <v>20</v>
      </c>
      <c r="H3345" t="s">
        <v>23</v>
      </c>
      <c r="I3345">
        <v>61.75</v>
      </c>
      <c r="J3345">
        <v>16.2</v>
      </c>
      <c r="K3345" t="s">
        <v>27</v>
      </c>
      <c r="L3345" t="s">
        <v>15</v>
      </c>
    </row>
    <row r="3346" spans="1:12" x14ac:dyDescent="0.3">
      <c r="A3346">
        <v>54776</v>
      </c>
      <c r="B3346" t="s">
        <v>12</v>
      </c>
      <c r="C3346">
        <v>41</v>
      </c>
      <c r="D3346" t="s">
        <v>15</v>
      </c>
      <c r="E3346" t="s">
        <v>15</v>
      </c>
      <c r="F3346" t="s">
        <v>15</v>
      </c>
      <c r="G3346" t="s">
        <v>17</v>
      </c>
      <c r="H3346" t="s">
        <v>22</v>
      </c>
      <c r="I3346">
        <v>70.55</v>
      </c>
      <c r="J3346">
        <v>44.2</v>
      </c>
      <c r="K3346" t="s">
        <v>27</v>
      </c>
      <c r="L3346" t="s">
        <v>15</v>
      </c>
    </row>
    <row r="3347" spans="1:12" x14ac:dyDescent="0.3">
      <c r="A3347">
        <v>45701</v>
      </c>
      <c r="B3347" t="s">
        <v>13</v>
      </c>
      <c r="C3347">
        <v>72</v>
      </c>
      <c r="D3347" t="s">
        <v>15</v>
      </c>
      <c r="E3347" t="s">
        <v>16</v>
      </c>
      <c r="F3347" t="s">
        <v>15</v>
      </c>
      <c r="G3347" t="s">
        <v>18</v>
      </c>
      <c r="H3347" t="s">
        <v>23</v>
      </c>
      <c r="I3347">
        <v>124.38</v>
      </c>
      <c r="J3347">
        <v>23.4</v>
      </c>
      <c r="K3347" t="s">
        <v>24</v>
      </c>
      <c r="L3347" t="s">
        <v>15</v>
      </c>
    </row>
    <row r="3348" spans="1:12" x14ac:dyDescent="0.3">
      <c r="A3348">
        <v>7953</v>
      </c>
      <c r="B3348" t="s">
        <v>13</v>
      </c>
      <c r="C3348">
        <v>45</v>
      </c>
      <c r="D3348" t="s">
        <v>15</v>
      </c>
      <c r="E3348" t="s">
        <v>15</v>
      </c>
      <c r="F3348" t="s">
        <v>16</v>
      </c>
      <c r="G3348" t="s">
        <v>17</v>
      </c>
      <c r="H3348" t="s">
        <v>23</v>
      </c>
      <c r="I3348">
        <v>92.21</v>
      </c>
      <c r="J3348">
        <v>31</v>
      </c>
      <c r="K3348" t="s">
        <v>25</v>
      </c>
      <c r="L3348" t="s">
        <v>15</v>
      </c>
    </row>
    <row r="3349" spans="1:12" x14ac:dyDescent="0.3">
      <c r="A3349">
        <v>65508</v>
      </c>
      <c r="B3349" t="s">
        <v>12</v>
      </c>
      <c r="C3349">
        <v>80</v>
      </c>
      <c r="D3349" t="s">
        <v>15</v>
      </c>
      <c r="E3349" t="s">
        <v>15</v>
      </c>
      <c r="F3349" t="s">
        <v>16</v>
      </c>
      <c r="G3349" t="s">
        <v>19</v>
      </c>
      <c r="H3349" t="s">
        <v>22</v>
      </c>
      <c r="I3349">
        <v>148.72</v>
      </c>
      <c r="J3349">
        <v>28.7</v>
      </c>
      <c r="K3349" t="s">
        <v>25</v>
      </c>
      <c r="L3349" t="s">
        <v>15</v>
      </c>
    </row>
    <row r="3350" spans="1:12" x14ac:dyDescent="0.3">
      <c r="A3350">
        <v>68539</v>
      </c>
      <c r="B3350" t="s">
        <v>13</v>
      </c>
      <c r="C3350">
        <v>19</v>
      </c>
      <c r="D3350" t="s">
        <v>15</v>
      </c>
      <c r="E3350" t="s">
        <v>15</v>
      </c>
      <c r="F3350" t="s">
        <v>15</v>
      </c>
      <c r="G3350" t="s">
        <v>17</v>
      </c>
      <c r="H3350" t="s">
        <v>22</v>
      </c>
      <c r="I3350">
        <v>79.25</v>
      </c>
      <c r="J3350">
        <v>23.6</v>
      </c>
      <c r="K3350" t="s">
        <v>27</v>
      </c>
      <c r="L3350" t="s">
        <v>15</v>
      </c>
    </row>
    <row r="3351" spans="1:12" x14ac:dyDescent="0.3">
      <c r="A3351">
        <v>12022</v>
      </c>
      <c r="B3351" t="s">
        <v>12</v>
      </c>
      <c r="C3351">
        <v>37</v>
      </c>
      <c r="D3351" t="s">
        <v>15</v>
      </c>
      <c r="E3351" t="s">
        <v>15</v>
      </c>
      <c r="F3351" t="s">
        <v>16</v>
      </c>
      <c r="G3351" t="s">
        <v>19</v>
      </c>
      <c r="H3351" t="s">
        <v>22</v>
      </c>
      <c r="I3351">
        <v>82.09</v>
      </c>
      <c r="J3351">
        <v>35.700000000000003</v>
      </c>
      <c r="K3351" t="s">
        <v>26</v>
      </c>
      <c r="L3351" t="s">
        <v>15</v>
      </c>
    </row>
    <row r="3352" spans="1:12" x14ac:dyDescent="0.3">
      <c r="A3352">
        <v>3348</v>
      </c>
      <c r="B3352" t="s">
        <v>13</v>
      </c>
      <c r="C3352">
        <v>58</v>
      </c>
      <c r="D3352" t="s">
        <v>16</v>
      </c>
      <c r="E3352" t="s">
        <v>15</v>
      </c>
      <c r="F3352" t="s">
        <v>16</v>
      </c>
      <c r="G3352" t="s">
        <v>17</v>
      </c>
      <c r="H3352" t="s">
        <v>22</v>
      </c>
      <c r="I3352">
        <v>194.53</v>
      </c>
      <c r="J3352">
        <v>39.5</v>
      </c>
      <c r="K3352" t="s">
        <v>25</v>
      </c>
      <c r="L3352" t="s">
        <v>15</v>
      </c>
    </row>
    <row r="3353" spans="1:12" x14ac:dyDescent="0.3">
      <c r="A3353">
        <v>58466</v>
      </c>
      <c r="B3353" t="s">
        <v>12</v>
      </c>
      <c r="C3353">
        <v>77</v>
      </c>
      <c r="D3353" t="s">
        <v>15</v>
      </c>
      <c r="E3353" t="s">
        <v>15</v>
      </c>
      <c r="F3353" t="s">
        <v>16</v>
      </c>
      <c r="G3353" t="s">
        <v>17</v>
      </c>
      <c r="H3353" t="s">
        <v>23</v>
      </c>
      <c r="I3353">
        <v>98.84</v>
      </c>
      <c r="J3353">
        <v>27.3</v>
      </c>
      <c r="K3353" t="s">
        <v>27</v>
      </c>
      <c r="L3353" t="s">
        <v>15</v>
      </c>
    </row>
    <row r="3354" spans="1:12" x14ac:dyDescent="0.3">
      <c r="A3354">
        <v>50434</v>
      </c>
      <c r="B3354" t="s">
        <v>12</v>
      </c>
      <c r="C3354">
        <v>38</v>
      </c>
      <c r="D3354" t="s">
        <v>15</v>
      </c>
      <c r="E3354" t="s">
        <v>15</v>
      </c>
      <c r="F3354" t="s">
        <v>16</v>
      </c>
      <c r="G3354" t="s">
        <v>19</v>
      </c>
      <c r="H3354" t="s">
        <v>23</v>
      </c>
      <c r="I3354">
        <v>135.74</v>
      </c>
      <c r="J3354">
        <v>31.3</v>
      </c>
      <c r="K3354" t="s">
        <v>24</v>
      </c>
      <c r="L3354" t="s">
        <v>15</v>
      </c>
    </row>
    <row r="3355" spans="1:12" x14ac:dyDescent="0.3">
      <c r="A3355">
        <v>49974</v>
      </c>
      <c r="B3355" t="s">
        <v>12</v>
      </c>
      <c r="C3355">
        <v>49</v>
      </c>
      <c r="D3355" t="s">
        <v>15</v>
      </c>
      <c r="E3355" t="s">
        <v>15</v>
      </c>
      <c r="F3355" t="s">
        <v>16</v>
      </c>
      <c r="G3355" t="s">
        <v>17</v>
      </c>
      <c r="H3355" t="s">
        <v>23</v>
      </c>
      <c r="I3355">
        <v>66.55</v>
      </c>
      <c r="J3355">
        <v>33.4</v>
      </c>
      <c r="K3355" t="s">
        <v>27</v>
      </c>
      <c r="L3355" t="s">
        <v>15</v>
      </c>
    </row>
    <row r="3356" spans="1:12" x14ac:dyDescent="0.3">
      <c r="A3356">
        <v>54574</v>
      </c>
      <c r="B3356" t="s">
        <v>13</v>
      </c>
      <c r="C3356">
        <v>20</v>
      </c>
      <c r="D3356" t="s">
        <v>15</v>
      </c>
      <c r="E3356" t="s">
        <v>15</v>
      </c>
      <c r="F3356" t="s">
        <v>15</v>
      </c>
      <c r="G3356" t="s">
        <v>17</v>
      </c>
      <c r="H3356" t="s">
        <v>22</v>
      </c>
      <c r="I3356">
        <v>115.69</v>
      </c>
      <c r="J3356">
        <v>29.2</v>
      </c>
      <c r="K3356" t="s">
        <v>25</v>
      </c>
      <c r="L3356" t="s">
        <v>15</v>
      </c>
    </row>
    <row r="3357" spans="1:12" x14ac:dyDescent="0.3">
      <c r="A3357">
        <v>39342</v>
      </c>
      <c r="B3357" t="s">
        <v>12</v>
      </c>
      <c r="C3357">
        <v>23</v>
      </c>
      <c r="D3357" t="s">
        <v>15</v>
      </c>
      <c r="E3357" t="s">
        <v>15</v>
      </c>
      <c r="F3357" t="s">
        <v>15</v>
      </c>
      <c r="G3357" t="s">
        <v>17</v>
      </c>
      <c r="H3357" t="s">
        <v>23</v>
      </c>
      <c r="I3357">
        <v>67.760000000000005</v>
      </c>
      <c r="J3357">
        <v>26</v>
      </c>
      <c r="K3357" t="s">
        <v>25</v>
      </c>
      <c r="L3357" t="s">
        <v>15</v>
      </c>
    </row>
    <row r="3358" spans="1:12" x14ac:dyDescent="0.3">
      <c r="A3358">
        <v>2972</v>
      </c>
      <c r="B3358" t="s">
        <v>12</v>
      </c>
      <c r="C3358">
        <v>55</v>
      </c>
      <c r="D3358" t="s">
        <v>15</v>
      </c>
      <c r="E3358" t="s">
        <v>15</v>
      </c>
      <c r="F3358" t="s">
        <v>15</v>
      </c>
      <c r="G3358" t="s">
        <v>19</v>
      </c>
      <c r="H3358" t="s">
        <v>23</v>
      </c>
      <c r="I3358">
        <v>88.65</v>
      </c>
      <c r="J3358">
        <v>18.100000000000001</v>
      </c>
      <c r="K3358" t="s">
        <v>24</v>
      </c>
      <c r="L3358" t="s">
        <v>15</v>
      </c>
    </row>
    <row r="3359" spans="1:12" x14ac:dyDescent="0.3">
      <c r="A3359">
        <v>32717</v>
      </c>
      <c r="B3359" t="s">
        <v>12</v>
      </c>
      <c r="C3359">
        <v>16</v>
      </c>
      <c r="D3359" t="s">
        <v>15</v>
      </c>
      <c r="E3359" t="s">
        <v>15</v>
      </c>
      <c r="F3359" t="s">
        <v>15</v>
      </c>
      <c r="G3359" t="s">
        <v>20</v>
      </c>
      <c r="H3359" t="s">
        <v>23</v>
      </c>
      <c r="I3359">
        <v>106.11</v>
      </c>
      <c r="J3359">
        <v>22.4</v>
      </c>
      <c r="K3359" t="s">
        <v>27</v>
      </c>
      <c r="L3359" t="s">
        <v>15</v>
      </c>
    </row>
    <row r="3360" spans="1:12" x14ac:dyDescent="0.3">
      <c r="A3360">
        <v>14063</v>
      </c>
      <c r="B3360" t="s">
        <v>12</v>
      </c>
      <c r="C3360">
        <v>81</v>
      </c>
      <c r="D3360" t="s">
        <v>15</v>
      </c>
      <c r="E3360" t="s">
        <v>16</v>
      </c>
      <c r="F3360" t="s">
        <v>15</v>
      </c>
      <c r="G3360" t="s">
        <v>18</v>
      </c>
      <c r="H3360" t="s">
        <v>23</v>
      </c>
      <c r="I3360">
        <v>95.49</v>
      </c>
      <c r="J3360">
        <v>29.4</v>
      </c>
      <c r="K3360" t="s">
        <v>27</v>
      </c>
      <c r="L3360" t="s">
        <v>15</v>
      </c>
    </row>
    <row r="3361" spans="1:12" x14ac:dyDescent="0.3">
      <c r="A3361">
        <v>71724</v>
      </c>
      <c r="B3361" t="s">
        <v>13</v>
      </c>
      <c r="C3361">
        <v>23</v>
      </c>
      <c r="D3361" t="s">
        <v>15</v>
      </c>
      <c r="E3361" t="s">
        <v>15</v>
      </c>
      <c r="F3361" t="s">
        <v>15</v>
      </c>
      <c r="G3361" t="s">
        <v>17</v>
      </c>
      <c r="H3361" t="s">
        <v>22</v>
      </c>
      <c r="I3361">
        <v>59.07</v>
      </c>
      <c r="J3361">
        <v>21.6</v>
      </c>
      <c r="K3361" t="s">
        <v>25</v>
      </c>
      <c r="L3361" t="s">
        <v>15</v>
      </c>
    </row>
    <row r="3362" spans="1:12" x14ac:dyDescent="0.3">
      <c r="A3362">
        <v>4753</v>
      </c>
      <c r="B3362" t="s">
        <v>12</v>
      </c>
      <c r="C3362">
        <v>82</v>
      </c>
      <c r="D3362" t="s">
        <v>15</v>
      </c>
      <c r="E3362" t="s">
        <v>16</v>
      </c>
      <c r="F3362" t="s">
        <v>16</v>
      </c>
      <c r="G3362" t="s">
        <v>18</v>
      </c>
      <c r="H3362" t="s">
        <v>22</v>
      </c>
      <c r="I3362">
        <v>228.92</v>
      </c>
      <c r="J3362">
        <v>27.9</v>
      </c>
      <c r="K3362" t="s">
        <v>24</v>
      </c>
      <c r="L3362" t="s">
        <v>15</v>
      </c>
    </row>
    <row r="3363" spans="1:12" x14ac:dyDescent="0.3">
      <c r="A3363">
        <v>62076</v>
      </c>
      <c r="B3363" t="s">
        <v>12</v>
      </c>
      <c r="C3363">
        <v>48</v>
      </c>
      <c r="D3363" t="s">
        <v>15</v>
      </c>
      <c r="E3363" t="s">
        <v>15</v>
      </c>
      <c r="F3363" t="s">
        <v>16</v>
      </c>
      <c r="G3363" t="s">
        <v>17</v>
      </c>
      <c r="H3363" t="s">
        <v>23</v>
      </c>
      <c r="I3363">
        <v>62.89</v>
      </c>
      <c r="J3363">
        <v>29.6</v>
      </c>
      <c r="K3363" t="s">
        <v>27</v>
      </c>
      <c r="L3363" t="s">
        <v>15</v>
      </c>
    </row>
    <row r="3364" spans="1:12" x14ac:dyDescent="0.3">
      <c r="A3364">
        <v>6665</v>
      </c>
      <c r="B3364" t="s">
        <v>12</v>
      </c>
      <c r="C3364">
        <v>56</v>
      </c>
      <c r="D3364" t="s">
        <v>15</v>
      </c>
      <c r="E3364" t="s">
        <v>15</v>
      </c>
      <c r="F3364" t="s">
        <v>16</v>
      </c>
      <c r="G3364" t="s">
        <v>17</v>
      </c>
      <c r="H3364" t="s">
        <v>23</v>
      </c>
      <c r="I3364">
        <v>96.84</v>
      </c>
      <c r="J3364">
        <v>30.2</v>
      </c>
      <c r="K3364" t="s">
        <v>27</v>
      </c>
      <c r="L3364" t="s">
        <v>15</v>
      </c>
    </row>
    <row r="3365" spans="1:12" x14ac:dyDescent="0.3">
      <c r="A3365">
        <v>51385</v>
      </c>
      <c r="B3365" t="s">
        <v>12</v>
      </c>
      <c r="C3365">
        <v>61</v>
      </c>
      <c r="D3365" t="s">
        <v>15</v>
      </c>
      <c r="E3365" t="s">
        <v>15</v>
      </c>
      <c r="F3365" t="s">
        <v>16</v>
      </c>
      <c r="G3365" t="s">
        <v>17</v>
      </c>
      <c r="H3365" t="s">
        <v>23</v>
      </c>
      <c r="I3365">
        <v>81.25</v>
      </c>
      <c r="J3365">
        <v>43.4</v>
      </c>
      <c r="K3365" t="s">
        <v>26</v>
      </c>
      <c r="L3365" t="s">
        <v>15</v>
      </c>
    </row>
    <row r="3366" spans="1:12" x14ac:dyDescent="0.3">
      <c r="A3366">
        <v>66973</v>
      </c>
      <c r="B3366" t="s">
        <v>12</v>
      </c>
      <c r="C3366">
        <v>43</v>
      </c>
      <c r="D3366" t="s">
        <v>15</v>
      </c>
      <c r="E3366" t="s">
        <v>15</v>
      </c>
      <c r="F3366" t="s">
        <v>16</v>
      </c>
      <c r="G3366" t="s">
        <v>17</v>
      </c>
      <c r="H3366" t="s">
        <v>22</v>
      </c>
      <c r="I3366">
        <v>92.71</v>
      </c>
      <c r="J3366">
        <v>30.5</v>
      </c>
      <c r="K3366" t="s">
        <v>24</v>
      </c>
      <c r="L3366" t="s">
        <v>15</v>
      </c>
    </row>
    <row r="3367" spans="1:12" x14ac:dyDescent="0.3">
      <c r="A3367">
        <v>59671</v>
      </c>
      <c r="B3367" t="s">
        <v>13</v>
      </c>
      <c r="C3367">
        <v>39</v>
      </c>
      <c r="D3367" t="s">
        <v>15</v>
      </c>
      <c r="E3367" t="s">
        <v>15</v>
      </c>
      <c r="F3367" t="s">
        <v>15</v>
      </c>
      <c r="G3367" t="s">
        <v>17</v>
      </c>
      <c r="H3367" t="s">
        <v>23</v>
      </c>
      <c r="I3367">
        <v>85.59</v>
      </c>
      <c r="J3367">
        <v>33.200000000000003</v>
      </c>
      <c r="K3367" t="s">
        <v>27</v>
      </c>
      <c r="L3367" t="s">
        <v>15</v>
      </c>
    </row>
    <row r="3368" spans="1:12" x14ac:dyDescent="0.3">
      <c r="A3368">
        <v>3946</v>
      </c>
      <c r="B3368" t="s">
        <v>13</v>
      </c>
      <c r="C3368">
        <v>22</v>
      </c>
      <c r="D3368" t="s">
        <v>15</v>
      </c>
      <c r="E3368" t="s">
        <v>15</v>
      </c>
      <c r="F3368" t="s">
        <v>16</v>
      </c>
      <c r="G3368" t="s">
        <v>17</v>
      </c>
      <c r="H3368" t="s">
        <v>22</v>
      </c>
      <c r="I3368">
        <v>89.06</v>
      </c>
      <c r="J3368">
        <v>27.7</v>
      </c>
      <c r="K3368" t="s">
        <v>25</v>
      </c>
      <c r="L3368" t="s">
        <v>15</v>
      </c>
    </row>
    <row r="3369" spans="1:12" x14ac:dyDescent="0.3">
      <c r="A3369">
        <v>17623</v>
      </c>
      <c r="B3369" t="s">
        <v>12</v>
      </c>
      <c r="C3369">
        <v>41</v>
      </c>
      <c r="D3369" t="s">
        <v>15</v>
      </c>
      <c r="E3369" t="s">
        <v>15</v>
      </c>
      <c r="F3369" t="s">
        <v>15</v>
      </c>
      <c r="G3369" t="s">
        <v>18</v>
      </c>
      <c r="H3369" t="s">
        <v>22</v>
      </c>
      <c r="I3369">
        <v>87.44</v>
      </c>
      <c r="J3369">
        <v>33.5</v>
      </c>
      <c r="K3369" t="s">
        <v>27</v>
      </c>
      <c r="L3369" t="s">
        <v>15</v>
      </c>
    </row>
    <row r="3370" spans="1:12" x14ac:dyDescent="0.3">
      <c r="A3370">
        <v>50644</v>
      </c>
      <c r="B3370" t="s">
        <v>12</v>
      </c>
      <c r="C3370">
        <v>37</v>
      </c>
      <c r="D3370" t="s">
        <v>15</v>
      </c>
      <c r="E3370" t="s">
        <v>15</v>
      </c>
      <c r="F3370" t="s">
        <v>16</v>
      </c>
      <c r="G3370" t="s">
        <v>17</v>
      </c>
      <c r="H3370" t="s">
        <v>22</v>
      </c>
      <c r="I3370">
        <v>64.069999999999993</v>
      </c>
      <c r="J3370">
        <v>28</v>
      </c>
      <c r="K3370" t="s">
        <v>27</v>
      </c>
      <c r="L3370" t="s">
        <v>15</v>
      </c>
    </row>
    <row r="3371" spans="1:12" x14ac:dyDescent="0.3">
      <c r="A3371">
        <v>54294</v>
      </c>
      <c r="B3371" t="s">
        <v>13</v>
      </c>
      <c r="C3371">
        <v>65</v>
      </c>
      <c r="D3371" t="s">
        <v>15</v>
      </c>
      <c r="E3371" t="s">
        <v>15</v>
      </c>
      <c r="F3371" t="s">
        <v>16</v>
      </c>
      <c r="G3371" t="s">
        <v>19</v>
      </c>
      <c r="H3371" t="s">
        <v>22</v>
      </c>
      <c r="I3371">
        <v>79.39</v>
      </c>
      <c r="J3371">
        <v>31.5</v>
      </c>
      <c r="K3371" t="s">
        <v>24</v>
      </c>
      <c r="L3371" t="s">
        <v>15</v>
      </c>
    </row>
    <row r="3372" spans="1:12" x14ac:dyDescent="0.3">
      <c r="A3372">
        <v>46767</v>
      </c>
      <c r="B3372" t="s">
        <v>13</v>
      </c>
      <c r="C3372">
        <v>8</v>
      </c>
      <c r="D3372" t="s">
        <v>15</v>
      </c>
      <c r="E3372" t="s">
        <v>15</v>
      </c>
      <c r="F3372" t="s">
        <v>15</v>
      </c>
      <c r="G3372" t="s">
        <v>20</v>
      </c>
      <c r="H3372" t="s">
        <v>23</v>
      </c>
      <c r="I3372">
        <v>67.84</v>
      </c>
      <c r="J3372">
        <v>24</v>
      </c>
      <c r="K3372" t="s">
        <v>27</v>
      </c>
      <c r="L3372" t="s">
        <v>15</v>
      </c>
    </row>
    <row r="3373" spans="1:12" x14ac:dyDescent="0.3">
      <c r="A3373">
        <v>12911</v>
      </c>
      <c r="B3373" t="s">
        <v>13</v>
      </c>
      <c r="C3373">
        <v>51</v>
      </c>
      <c r="D3373" t="s">
        <v>15</v>
      </c>
      <c r="E3373" t="s">
        <v>15</v>
      </c>
      <c r="F3373" t="s">
        <v>16</v>
      </c>
      <c r="G3373" t="s">
        <v>17</v>
      </c>
      <c r="H3373" t="s">
        <v>23</v>
      </c>
      <c r="I3373">
        <v>81.73</v>
      </c>
      <c r="J3373">
        <v>27.4</v>
      </c>
      <c r="K3373" t="s">
        <v>25</v>
      </c>
      <c r="L3373" t="s">
        <v>15</v>
      </c>
    </row>
    <row r="3374" spans="1:12" x14ac:dyDescent="0.3">
      <c r="A3374">
        <v>16109</v>
      </c>
      <c r="B3374" t="s">
        <v>12</v>
      </c>
      <c r="C3374">
        <v>63</v>
      </c>
      <c r="D3374" t="s">
        <v>15</v>
      </c>
      <c r="E3374" t="s">
        <v>15</v>
      </c>
      <c r="F3374" t="s">
        <v>16</v>
      </c>
      <c r="G3374" t="s">
        <v>17</v>
      </c>
      <c r="H3374" t="s">
        <v>22</v>
      </c>
      <c r="I3374">
        <v>105.52</v>
      </c>
      <c r="J3374">
        <v>37.9</v>
      </c>
      <c r="K3374" t="s">
        <v>24</v>
      </c>
      <c r="L3374" t="s">
        <v>15</v>
      </c>
    </row>
    <row r="3375" spans="1:12" x14ac:dyDescent="0.3">
      <c r="A3375">
        <v>47499</v>
      </c>
      <c r="B3375" t="s">
        <v>13</v>
      </c>
      <c r="C3375">
        <v>48</v>
      </c>
      <c r="D3375" t="s">
        <v>15</v>
      </c>
      <c r="E3375" t="s">
        <v>15</v>
      </c>
      <c r="F3375" t="s">
        <v>16</v>
      </c>
      <c r="G3375" t="s">
        <v>19</v>
      </c>
      <c r="H3375" t="s">
        <v>23</v>
      </c>
      <c r="I3375">
        <v>77.55</v>
      </c>
      <c r="J3375">
        <v>26.2</v>
      </c>
      <c r="K3375" t="s">
        <v>27</v>
      </c>
      <c r="L3375" t="s">
        <v>15</v>
      </c>
    </row>
    <row r="3376" spans="1:12" x14ac:dyDescent="0.3">
      <c r="A3376">
        <v>8790</v>
      </c>
      <c r="B3376" t="s">
        <v>13</v>
      </c>
      <c r="C3376">
        <v>17</v>
      </c>
      <c r="D3376" t="s">
        <v>15</v>
      </c>
      <c r="E3376" t="s">
        <v>15</v>
      </c>
      <c r="F3376" t="s">
        <v>15</v>
      </c>
      <c r="G3376" t="s">
        <v>17</v>
      </c>
      <c r="H3376" t="s">
        <v>22</v>
      </c>
      <c r="I3376">
        <v>127.42</v>
      </c>
      <c r="J3376">
        <v>22.4</v>
      </c>
      <c r="K3376" t="s">
        <v>27</v>
      </c>
      <c r="L3376" t="s">
        <v>15</v>
      </c>
    </row>
    <row r="3377" spans="1:12" x14ac:dyDescent="0.3">
      <c r="A3377">
        <v>11259</v>
      </c>
      <c r="B3377" t="s">
        <v>13</v>
      </c>
      <c r="C3377">
        <v>53</v>
      </c>
      <c r="D3377" t="s">
        <v>15</v>
      </c>
      <c r="E3377" t="s">
        <v>15</v>
      </c>
      <c r="F3377" t="s">
        <v>16</v>
      </c>
      <c r="G3377" t="s">
        <v>17</v>
      </c>
      <c r="H3377" t="s">
        <v>22</v>
      </c>
      <c r="I3377">
        <v>227.68</v>
      </c>
      <c r="K3377" t="s">
        <v>25</v>
      </c>
      <c r="L3377" t="s">
        <v>15</v>
      </c>
    </row>
    <row r="3378" spans="1:12" x14ac:dyDescent="0.3">
      <c r="A3378">
        <v>12003</v>
      </c>
      <c r="B3378" t="s">
        <v>13</v>
      </c>
      <c r="C3378">
        <v>75</v>
      </c>
      <c r="D3378" t="s">
        <v>15</v>
      </c>
      <c r="E3378" t="s">
        <v>15</v>
      </c>
      <c r="F3378" t="s">
        <v>16</v>
      </c>
      <c r="G3378" t="s">
        <v>17</v>
      </c>
      <c r="H3378" t="s">
        <v>23</v>
      </c>
      <c r="I3378">
        <v>226.73</v>
      </c>
      <c r="J3378">
        <v>43.7</v>
      </c>
      <c r="K3378" t="s">
        <v>25</v>
      </c>
      <c r="L3378" t="s">
        <v>15</v>
      </c>
    </row>
    <row r="3379" spans="1:12" x14ac:dyDescent="0.3">
      <c r="A3379">
        <v>71099</v>
      </c>
      <c r="B3379" t="s">
        <v>13</v>
      </c>
      <c r="C3379">
        <v>51</v>
      </c>
      <c r="D3379" t="s">
        <v>15</v>
      </c>
      <c r="E3379" t="s">
        <v>15</v>
      </c>
      <c r="F3379" t="s">
        <v>16</v>
      </c>
      <c r="G3379" t="s">
        <v>18</v>
      </c>
      <c r="H3379" t="s">
        <v>22</v>
      </c>
      <c r="I3379">
        <v>89.74</v>
      </c>
      <c r="J3379">
        <v>28.4</v>
      </c>
      <c r="K3379" t="s">
        <v>25</v>
      </c>
      <c r="L3379" t="s">
        <v>15</v>
      </c>
    </row>
    <row r="3380" spans="1:12" x14ac:dyDescent="0.3">
      <c r="A3380">
        <v>62090</v>
      </c>
      <c r="B3380" t="s">
        <v>12</v>
      </c>
      <c r="C3380">
        <v>51</v>
      </c>
      <c r="D3380" t="s">
        <v>15</v>
      </c>
      <c r="E3380" t="s">
        <v>15</v>
      </c>
      <c r="F3380" t="s">
        <v>15</v>
      </c>
      <c r="G3380" t="s">
        <v>18</v>
      </c>
      <c r="H3380" t="s">
        <v>23</v>
      </c>
      <c r="I3380">
        <v>219.17</v>
      </c>
      <c r="J3380">
        <v>29.8</v>
      </c>
      <c r="K3380" t="s">
        <v>25</v>
      </c>
      <c r="L3380" t="s">
        <v>15</v>
      </c>
    </row>
    <row r="3381" spans="1:12" x14ac:dyDescent="0.3">
      <c r="A3381">
        <v>10138</v>
      </c>
      <c r="B3381" t="s">
        <v>13</v>
      </c>
      <c r="C3381">
        <v>41</v>
      </c>
      <c r="D3381" t="s">
        <v>15</v>
      </c>
      <c r="E3381" t="s">
        <v>15</v>
      </c>
      <c r="F3381" t="s">
        <v>16</v>
      </c>
      <c r="G3381" t="s">
        <v>17</v>
      </c>
      <c r="H3381" t="s">
        <v>22</v>
      </c>
      <c r="I3381">
        <v>74.849999999999994</v>
      </c>
      <c r="J3381">
        <v>24.8</v>
      </c>
      <c r="K3381" t="s">
        <v>24</v>
      </c>
      <c r="L3381" t="s">
        <v>15</v>
      </c>
    </row>
    <row r="3382" spans="1:12" x14ac:dyDescent="0.3">
      <c r="A3382">
        <v>71424</v>
      </c>
      <c r="B3382" t="s">
        <v>13</v>
      </c>
      <c r="C3382">
        <v>75</v>
      </c>
      <c r="D3382" t="s">
        <v>16</v>
      </c>
      <c r="E3382" t="s">
        <v>15</v>
      </c>
      <c r="F3382" t="s">
        <v>16</v>
      </c>
      <c r="G3382" t="s">
        <v>18</v>
      </c>
      <c r="H3382" t="s">
        <v>22</v>
      </c>
      <c r="I3382">
        <v>55.96</v>
      </c>
      <c r="J3382">
        <v>34.799999999999997</v>
      </c>
      <c r="K3382" t="s">
        <v>25</v>
      </c>
      <c r="L3382" t="s">
        <v>15</v>
      </c>
    </row>
    <row r="3383" spans="1:12" x14ac:dyDescent="0.3">
      <c r="A3383">
        <v>44759</v>
      </c>
      <c r="B3383" t="s">
        <v>12</v>
      </c>
      <c r="C3383">
        <v>57</v>
      </c>
      <c r="D3383" t="s">
        <v>15</v>
      </c>
      <c r="E3383" t="s">
        <v>15</v>
      </c>
      <c r="F3383" t="s">
        <v>16</v>
      </c>
      <c r="G3383" t="s">
        <v>17</v>
      </c>
      <c r="H3383" t="s">
        <v>22</v>
      </c>
      <c r="I3383">
        <v>215.92</v>
      </c>
      <c r="J3383">
        <v>27.4</v>
      </c>
      <c r="K3383" t="s">
        <v>26</v>
      </c>
      <c r="L3383" t="s">
        <v>15</v>
      </c>
    </row>
    <row r="3384" spans="1:12" x14ac:dyDescent="0.3">
      <c r="A3384">
        <v>21953</v>
      </c>
      <c r="B3384" t="s">
        <v>13</v>
      </c>
      <c r="C3384">
        <v>33</v>
      </c>
      <c r="D3384" t="s">
        <v>15</v>
      </c>
      <c r="E3384" t="s">
        <v>15</v>
      </c>
      <c r="F3384" t="s">
        <v>15</v>
      </c>
      <c r="G3384" t="s">
        <v>17</v>
      </c>
      <c r="H3384" t="s">
        <v>22</v>
      </c>
      <c r="I3384">
        <v>84.4</v>
      </c>
      <c r="K3384" t="s">
        <v>26</v>
      </c>
      <c r="L3384" t="s">
        <v>15</v>
      </c>
    </row>
    <row r="3385" spans="1:12" x14ac:dyDescent="0.3">
      <c r="A3385">
        <v>52234</v>
      </c>
      <c r="B3385" t="s">
        <v>13</v>
      </c>
      <c r="C3385">
        <v>72</v>
      </c>
      <c r="D3385" t="s">
        <v>15</v>
      </c>
      <c r="E3385" t="s">
        <v>15</v>
      </c>
      <c r="F3385" t="s">
        <v>16</v>
      </c>
      <c r="G3385" t="s">
        <v>19</v>
      </c>
      <c r="H3385" t="s">
        <v>22</v>
      </c>
      <c r="I3385">
        <v>104.05</v>
      </c>
      <c r="J3385">
        <v>33.5</v>
      </c>
      <c r="K3385" t="s">
        <v>25</v>
      </c>
      <c r="L3385" t="s">
        <v>15</v>
      </c>
    </row>
    <row r="3386" spans="1:12" x14ac:dyDescent="0.3">
      <c r="A3386">
        <v>46461</v>
      </c>
      <c r="B3386" t="s">
        <v>13</v>
      </c>
      <c r="C3386">
        <v>52</v>
      </c>
      <c r="D3386" t="s">
        <v>15</v>
      </c>
      <c r="E3386" t="s">
        <v>15</v>
      </c>
      <c r="F3386" t="s">
        <v>16</v>
      </c>
      <c r="G3386" t="s">
        <v>17</v>
      </c>
      <c r="H3386" t="s">
        <v>22</v>
      </c>
      <c r="I3386">
        <v>62.54</v>
      </c>
      <c r="J3386">
        <v>35</v>
      </c>
      <c r="K3386" t="s">
        <v>26</v>
      </c>
      <c r="L3386" t="s">
        <v>15</v>
      </c>
    </row>
    <row r="3387" spans="1:12" x14ac:dyDescent="0.3">
      <c r="A3387">
        <v>6973</v>
      </c>
      <c r="B3387" t="s">
        <v>12</v>
      </c>
      <c r="C3387">
        <v>11</v>
      </c>
      <c r="D3387" t="s">
        <v>15</v>
      </c>
      <c r="E3387" t="s">
        <v>15</v>
      </c>
      <c r="F3387" t="s">
        <v>15</v>
      </c>
      <c r="G3387" t="s">
        <v>20</v>
      </c>
      <c r="H3387" t="s">
        <v>23</v>
      </c>
      <c r="I3387">
        <v>87.54</v>
      </c>
      <c r="J3387">
        <v>24.4</v>
      </c>
      <c r="K3387" t="s">
        <v>27</v>
      </c>
      <c r="L3387" t="s">
        <v>15</v>
      </c>
    </row>
    <row r="3388" spans="1:12" x14ac:dyDescent="0.3">
      <c r="A3388">
        <v>5068</v>
      </c>
      <c r="B3388" t="s">
        <v>13</v>
      </c>
      <c r="C3388">
        <v>28</v>
      </c>
      <c r="D3388" t="s">
        <v>15</v>
      </c>
      <c r="E3388" t="s">
        <v>15</v>
      </c>
      <c r="F3388" t="s">
        <v>15</v>
      </c>
      <c r="G3388" t="s">
        <v>17</v>
      </c>
      <c r="H3388" t="s">
        <v>22</v>
      </c>
      <c r="I3388">
        <v>76.81</v>
      </c>
      <c r="J3388">
        <v>28.3</v>
      </c>
      <c r="K3388" t="s">
        <v>26</v>
      </c>
      <c r="L3388" t="s">
        <v>15</v>
      </c>
    </row>
    <row r="3389" spans="1:12" x14ac:dyDescent="0.3">
      <c r="A3389">
        <v>65277</v>
      </c>
      <c r="B3389" t="s">
        <v>13</v>
      </c>
      <c r="C3389">
        <v>78</v>
      </c>
      <c r="D3389" t="s">
        <v>16</v>
      </c>
      <c r="E3389" t="s">
        <v>15</v>
      </c>
      <c r="F3389" t="s">
        <v>15</v>
      </c>
      <c r="G3389" t="s">
        <v>18</v>
      </c>
      <c r="H3389" t="s">
        <v>23</v>
      </c>
      <c r="I3389">
        <v>198.12</v>
      </c>
      <c r="J3389">
        <v>29.1</v>
      </c>
      <c r="K3389" t="s">
        <v>25</v>
      </c>
      <c r="L3389" t="s">
        <v>15</v>
      </c>
    </row>
    <row r="3390" spans="1:12" x14ac:dyDescent="0.3">
      <c r="A3390">
        <v>52679</v>
      </c>
      <c r="B3390" t="s">
        <v>13</v>
      </c>
      <c r="C3390">
        <v>82</v>
      </c>
      <c r="D3390" t="s">
        <v>15</v>
      </c>
      <c r="E3390" t="s">
        <v>15</v>
      </c>
      <c r="F3390" t="s">
        <v>16</v>
      </c>
      <c r="G3390" t="s">
        <v>18</v>
      </c>
      <c r="H3390" t="s">
        <v>23</v>
      </c>
      <c r="I3390">
        <v>78</v>
      </c>
      <c r="J3390">
        <v>31.3</v>
      </c>
      <c r="K3390" t="s">
        <v>24</v>
      </c>
      <c r="L3390" t="s">
        <v>15</v>
      </c>
    </row>
    <row r="3391" spans="1:12" x14ac:dyDescent="0.3">
      <c r="A3391">
        <v>36728</v>
      </c>
      <c r="B3391" t="s">
        <v>12</v>
      </c>
      <c r="C3391">
        <v>74</v>
      </c>
      <c r="D3391" t="s">
        <v>15</v>
      </c>
      <c r="E3391" t="s">
        <v>15</v>
      </c>
      <c r="F3391" t="s">
        <v>16</v>
      </c>
      <c r="G3391" t="s">
        <v>17</v>
      </c>
      <c r="H3391" t="s">
        <v>22</v>
      </c>
      <c r="I3391">
        <v>79.44</v>
      </c>
      <c r="J3391">
        <v>32.799999999999997</v>
      </c>
      <c r="K3391" t="s">
        <v>25</v>
      </c>
      <c r="L3391" t="s">
        <v>15</v>
      </c>
    </row>
    <row r="3392" spans="1:12" x14ac:dyDescent="0.3">
      <c r="A3392">
        <v>46797</v>
      </c>
      <c r="B3392" t="s">
        <v>13</v>
      </c>
      <c r="C3392">
        <v>31</v>
      </c>
      <c r="D3392" t="s">
        <v>15</v>
      </c>
      <c r="E3392" t="s">
        <v>15</v>
      </c>
      <c r="F3392" t="s">
        <v>16</v>
      </c>
      <c r="G3392" t="s">
        <v>17</v>
      </c>
      <c r="H3392" t="s">
        <v>23</v>
      </c>
      <c r="I3392">
        <v>75.819999999999993</v>
      </c>
      <c r="J3392">
        <v>29.1</v>
      </c>
      <c r="K3392" t="s">
        <v>25</v>
      </c>
      <c r="L3392" t="s">
        <v>15</v>
      </c>
    </row>
    <row r="3393" spans="1:12" x14ac:dyDescent="0.3">
      <c r="A3393">
        <v>63898</v>
      </c>
      <c r="B3393" t="s">
        <v>13</v>
      </c>
      <c r="C3393">
        <v>53</v>
      </c>
      <c r="D3393" t="s">
        <v>16</v>
      </c>
      <c r="E3393" t="s">
        <v>15</v>
      </c>
      <c r="F3393" t="s">
        <v>16</v>
      </c>
      <c r="G3393" t="s">
        <v>17</v>
      </c>
      <c r="H3393" t="s">
        <v>22</v>
      </c>
      <c r="I3393">
        <v>240.86</v>
      </c>
      <c r="J3393">
        <v>31.9</v>
      </c>
      <c r="K3393" t="s">
        <v>25</v>
      </c>
      <c r="L3393" t="s">
        <v>15</v>
      </c>
    </row>
    <row r="3394" spans="1:12" x14ac:dyDescent="0.3">
      <c r="A3394">
        <v>11371</v>
      </c>
      <c r="B3394" t="s">
        <v>12</v>
      </c>
      <c r="C3394">
        <v>0.24</v>
      </c>
      <c r="D3394" t="s">
        <v>15</v>
      </c>
      <c r="E3394" t="s">
        <v>15</v>
      </c>
      <c r="F3394" t="s">
        <v>15</v>
      </c>
      <c r="G3394" t="s">
        <v>20</v>
      </c>
      <c r="H3394" t="s">
        <v>22</v>
      </c>
      <c r="I3394">
        <v>89.28</v>
      </c>
      <c r="J3394">
        <v>14.2</v>
      </c>
      <c r="K3394" t="s">
        <v>27</v>
      </c>
      <c r="L3394" t="s">
        <v>15</v>
      </c>
    </row>
    <row r="3395" spans="1:12" x14ac:dyDescent="0.3">
      <c r="A3395">
        <v>13155</v>
      </c>
      <c r="B3395" t="s">
        <v>13</v>
      </c>
      <c r="C3395">
        <v>67</v>
      </c>
      <c r="D3395" t="s">
        <v>16</v>
      </c>
      <c r="E3395" t="s">
        <v>15</v>
      </c>
      <c r="F3395" t="s">
        <v>16</v>
      </c>
      <c r="G3395" t="s">
        <v>19</v>
      </c>
      <c r="H3395" t="s">
        <v>23</v>
      </c>
      <c r="I3395">
        <v>263.56</v>
      </c>
      <c r="J3395">
        <v>26.3</v>
      </c>
      <c r="K3395" t="s">
        <v>25</v>
      </c>
      <c r="L3395" t="s">
        <v>15</v>
      </c>
    </row>
    <row r="3396" spans="1:12" x14ac:dyDescent="0.3">
      <c r="A3396">
        <v>27125</v>
      </c>
      <c r="B3396" t="s">
        <v>13</v>
      </c>
      <c r="C3396">
        <v>17</v>
      </c>
      <c r="D3396" t="s">
        <v>15</v>
      </c>
      <c r="E3396" t="s">
        <v>15</v>
      </c>
      <c r="F3396" t="s">
        <v>15</v>
      </c>
      <c r="G3396" t="s">
        <v>17</v>
      </c>
      <c r="H3396" t="s">
        <v>22</v>
      </c>
      <c r="I3396">
        <v>81.13</v>
      </c>
      <c r="J3396">
        <v>22.8</v>
      </c>
      <c r="K3396" t="s">
        <v>25</v>
      </c>
      <c r="L3396" t="s">
        <v>15</v>
      </c>
    </row>
    <row r="3397" spans="1:12" x14ac:dyDescent="0.3">
      <c r="A3397">
        <v>15383</v>
      </c>
      <c r="B3397" t="s">
        <v>13</v>
      </c>
      <c r="C3397">
        <v>29</v>
      </c>
      <c r="D3397" t="s">
        <v>15</v>
      </c>
      <c r="E3397" t="s">
        <v>15</v>
      </c>
      <c r="F3397" t="s">
        <v>16</v>
      </c>
      <c r="G3397" t="s">
        <v>17</v>
      </c>
      <c r="H3397" t="s">
        <v>22</v>
      </c>
      <c r="I3397">
        <v>118.44</v>
      </c>
      <c r="J3397">
        <v>24.8</v>
      </c>
      <c r="K3397" t="s">
        <v>25</v>
      </c>
      <c r="L3397" t="s">
        <v>15</v>
      </c>
    </row>
    <row r="3398" spans="1:12" x14ac:dyDescent="0.3">
      <c r="A3398">
        <v>19828</v>
      </c>
      <c r="B3398" t="s">
        <v>13</v>
      </c>
      <c r="C3398">
        <v>56</v>
      </c>
      <c r="D3398" t="s">
        <v>16</v>
      </c>
      <c r="E3398" t="s">
        <v>15</v>
      </c>
      <c r="F3398" t="s">
        <v>16</v>
      </c>
      <c r="G3398" t="s">
        <v>17</v>
      </c>
      <c r="H3398" t="s">
        <v>23</v>
      </c>
      <c r="I3398">
        <v>97.37</v>
      </c>
      <c r="J3398">
        <v>34.1</v>
      </c>
      <c r="K3398" t="s">
        <v>26</v>
      </c>
      <c r="L3398" t="s">
        <v>15</v>
      </c>
    </row>
    <row r="3399" spans="1:12" x14ac:dyDescent="0.3">
      <c r="A3399">
        <v>6289</v>
      </c>
      <c r="B3399" t="s">
        <v>13</v>
      </c>
      <c r="C3399">
        <v>15</v>
      </c>
      <c r="D3399" t="s">
        <v>15</v>
      </c>
      <c r="E3399" t="s">
        <v>15</v>
      </c>
      <c r="F3399" t="s">
        <v>15</v>
      </c>
      <c r="G3399" t="s">
        <v>20</v>
      </c>
      <c r="H3399" t="s">
        <v>22</v>
      </c>
      <c r="I3399">
        <v>80.510000000000005</v>
      </c>
      <c r="J3399">
        <v>21.5</v>
      </c>
      <c r="K3399" t="s">
        <v>27</v>
      </c>
      <c r="L3399" t="s">
        <v>15</v>
      </c>
    </row>
    <row r="3400" spans="1:12" x14ac:dyDescent="0.3">
      <c r="A3400">
        <v>44243</v>
      </c>
      <c r="B3400" t="s">
        <v>13</v>
      </c>
      <c r="C3400">
        <v>29</v>
      </c>
      <c r="D3400" t="s">
        <v>15</v>
      </c>
      <c r="E3400" t="s">
        <v>15</v>
      </c>
      <c r="F3400" t="s">
        <v>15</v>
      </c>
      <c r="G3400" t="s">
        <v>17</v>
      </c>
      <c r="H3400" t="s">
        <v>23</v>
      </c>
      <c r="I3400">
        <v>78.88</v>
      </c>
      <c r="J3400">
        <v>26.1</v>
      </c>
      <c r="K3400" t="s">
        <v>25</v>
      </c>
      <c r="L3400" t="s">
        <v>15</v>
      </c>
    </row>
    <row r="3401" spans="1:12" x14ac:dyDescent="0.3">
      <c r="A3401">
        <v>40167</v>
      </c>
      <c r="B3401" t="s">
        <v>13</v>
      </c>
      <c r="C3401">
        <v>79</v>
      </c>
      <c r="D3401" t="s">
        <v>16</v>
      </c>
      <c r="E3401" t="s">
        <v>16</v>
      </c>
      <c r="F3401" t="s">
        <v>16</v>
      </c>
      <c r="G3401" t="s">
        <v>19</v>
      </c>
      <c r="H3401" t="s">
        <v>23</v>
      </c>
      <c r="I3401">
        <v>83.61</v>
      </c>
      <c r="J3401">
        <v>21.4</v>
      </c>
      <c r="K3401" t="s">
        <v>26</v>
      </c>
      <c r="L3401" t="s">
        <v>15</v>
      </c>
    </row>
    <row r="3402" spans="1:12" x14ac:dyDescent="0.3">
      <c r="A3402">
        <v>38078</v>
      </c>
      <c r="B3402" t="s">
        <v>13</v>
      </c>
      <c r="C3402">
        <v>82</v>
      </c>
      <c r="D3402" t="s">
        <v>16</v>
      </c>
      <c r="E3402" t="s">
        <v>16</v>
      </c>
      <c r="F3402" t="s">
        <v>16</v>
      </c>
      <c r="G3402" t="s">
        <v>17</v>
      </c>
      <c r="H3402" t="s">
        <v>22</v>
      </c>
      <c r="I3402">
        <v>73.19</v>
      </c>
      <c r="J3402">
        <v>33.5</v>
      </c>
      <c r="K3402" t="s">
        <v>25</v>
      </c>
      <c r="L3402" t="s">
        <v>15</v>
      </c>
    </row>
    <row r="3403" spans="1:12" x14ac:dyDescent="0.3">
      <c r="A3403">
        <v>34257</v>
      </c>
      <c r="B3403" t="s">
        <v>12</v>
      </c>
      <c r="C3403">
        <v>17</v>
      </c>
      <c r="D3403" t="s">
        <v>15</v>
      </c>
      <c r="E3403" t="s">
        <v>15</v>
      </c>
      <c r="F3403" t="s">
        <v>15</v>
      </c>
      <c r="G3403" t="s">
        <v>19</v>
      </c>
      <c r="H3403" t="s">
        <v>22</v>
      </c>
      <c r="I3403">
        <v>68.91</v>
      </c>
      <c r="J3403">
        <v>23</v>
      </c>
      <c r="K3403" t="s">
        <v>27</v>
      </c>
      <c r="L3403" t="s">
        <v>15</v>
      </c>
    </row>
    <row r="3404" spans="1:12" x14ac:dyDescent="0.3">
      <c r="A3404">
        <v>21653</v>
      </c>
      <c r="B3404" t="s">
        <v>12</v>
      </c>
      <c r="C3404">
        <v>8</v>
      </c>
      <c r="D3404" t="s">
        <v>15</v>
      </c>
      <c r="E3404" t="s">
        <v>15</v>
      </c>
      <c r="F3404" t="s">
        <v>15</v>
      </c>
      <c r="G3404" t="s">
        <v>20</v>
      </c>
      <c r="H3404" t="s">
        <v>23</v>
      </c>
      <c r="I3404">
        <v>104.3</v>
      </c>
      <c r="J3404">
        <v>18.5</v>
      </c>
      <c r="K3404" t="s">
        <v>27</v>
      </c>
      <c r="L3404" t="s">
        <v>15</v>
      </c>
    </row>
    <row r="3405" spans="1:12" x14ac:dyDescent="0.3">
      <c r="A3405">
        <v>63764</v>
      </c>
      <c r="B3405" t="s">
        <v>12</v>
      </c>
      <c r="C3405">
        <v>23</v>
      </c>
      <c r="D3405" t="s">
        <v>15</v>
      </c>
      <c r="E3405" t="s">
        <v>15</v>
      </c>
      <c r="F3405" t="s">
        <v>15</v>
      </c>
      <c r="G3405" t="s">
        <v>17</v>
      </c>
      <c r="H3405" t="s">
        <v>22</v>
      </c>
      <c r="I3405">
        <v>87.87</v>
      </c>
      <c r="J3405">
        <v>23.4</v>
      </c>
      <c r="K3405" t="s">
        <v>25</v>
      </c>
      <c r="L3405" t="s">
        <v>15</v>
      </c>
    </row>
    <row r="3406" spans="1:12" x14ac:dyDescent="0.3">
      <c r="A3406">
        <v>22194</v>
      </c>
      <c r="B3406" t="s">
        <v>13</v>
      </c>
      <c r="C3406">
        <v>36</v>
      </c>
      <c r="D3406" t="s">
        <v>15</v>
      </c>
      <c r="E3406" t="s">
        <v>15</v>
      </c>
      <c r="F3406" t="s">
        <v>16</v>
      </c>
      <c r="G3406" t="s">
        <v>17</v>
      </c>
      <c r="H3406" t="s">
        <v>22</v>
      </c>
      <c r="I3406">
        <v>96.7</v>
      </c>
      <c r="J3406">
        <v>31.4</v>
      </c>
      <c r="K3406" t="s">
        <v>27</v>
      </c>
      <c r="L3406" t="s">
        <v>15</v>
      </c>
    </row>
    <row r="3407" spans="1:12" x14ac:dyDescent="0.3">
      <c r="A3407">
        <v>16010</v>
      </c>
      <c r="B3407" t="s">
        <v>12</v>
      </c>
      <c r="C3407">
        <v>47</v>
      </c>
      <c r="D3407" t="s">
        <v>15</v>
      </c>
      <c r="E3407" t="s">
        <v>15</v>
      </c>
      <c r="F3407" t="s">
        <v>16</v>
      </c>
      <c r="G3407" t="s">
        <v>17</v>
      </c>
      <c r="H3407" t="s">
        <v>23</v>
      </c>
      <c r="I3407">
        <v>91.05</v>
      </c>
      <c r="J3407">
        <v>31.1</v>
      </c>
      <c r="K3407" t="s">
        <v>24</v>
      </c>
      <c r="L3407" t="s">
        <v>15</v>
      </c>
    </row>
    <row r="3408" spans="1:12" x14ac:dyDescent="0.3">
      <c r="A3408">
        <v>5074</v>
      </c>
      <c r="B3408" t="s">
        <v>12</v>
      </c>
      <c r="C3408">
        <v>24</v>
      </c>
      <c r="D3408" t="s">
        <v>15</v>
      </c>
      <c r="E3408" t="s">
        <v>15</v>
      </c>
      <c r="F3408" t="s">
        <v>15</v>
      </c>
      <c r="G3408" t="s">
        <v>17</v>
      </c>
      <c r="H3408" t="s">
        <v>23</v>
      </c>
      <c r="I3408">
        <v>200.14</v>
      </c>
      <c r="J3408">
        <v>37.700000000000003</v>
      </c>
      <c r="K3408" t="s">
        <v>26</v>
      </c>
      <c r="L3408" t="s">
        <v>15</v>
      </c>
    </row>
    <row r="3409" spans="1:12" x14ac:dyDescent="0.3">
      <c r="A3409">
        <v>10243</v>
      </c>
      <c r="B3409" t="s">
        <v>13</v>
      </c>
      <c r="C3409">
        <v>60</v>
      </c>
      <c r="D3409" t="s">
        <v>15</v>
      </c>
      <c r="E3409" t="s">
        <v>15</v>
      </c>
      <c r="F3409" t="s">
        <v>16</v>
      </c>
      <c r="G3409" t="s">
        <v>19</v>
      </c>
      <c r="H3409" t="s">
        <v>22</v>
      </c>
      <c r="I3409">
        <v>73.040000000000006</v>
      </c>
      <c r="J3409">
        <v>25.3</v>
      </c>
      <c r="K3409" t="s">
        <v>25</v>
      </c>
      <c r="L3409" t="s">
        <v>15</v>
      </c>
    </row>
    <row r="3410" spans="1:12" x14ac:dyDescent="0.3">
      <c r="A3410">
        <v>52588</v>
      </c>
      <c r="B3410" t="s">
        <v>13</v>
      </c>
      <c r="C3410">
        <v>63</v>
      </c>
      <c r="D3410" t="s">
        <v>15</v>
      </c>
      <c r="E3410" t="s">
        <v>15</v>
      </c>
      <c r="F3410" t="s">
        <v>16</v>
      </c>
      <c r="G3410" t="s">
        <v>17</v>
      </c>
      <c r="H3410" t="s">
        <v>23</v>
      </c>
      <c r="I3410">
        <v>85.81</v>
      </c>
      <c r="J3410">
        <v>35.6</v>
      </c>
      <c r="K3410" t="s">
        <v>25</v>
      </c>
      <c r="L3410" t="s">
        <v>15</v>
      </c>
    </row>
    <row r="3411" spans="1:12" x14ac:dyDescent="0.3">
      <c r="A3411">
        <v>56996</v>
      </c>
      <c r="B3411" t="s">
        <v>12</v>
      </c>
      <c r="C3411">
        <v>44</v>
      </c>
      <c r="D3411" t="s">
        <v>15</v>
      </c>
      <c r="E3411" t="s">
        <v>15</v>
      </c>
      <c r="F3411" t="s">
        <v>16</v>
      </c>
      <c r="G3411" t="s">
        <v>17</v>
      </c>
      <c r="H3411" t="s">
        <v>22</v>
      </c>
      <c r="I3411">
        <v>65.41</v>
      </c>
      <c r="J3411">
        <v>24.8</v>
      </c>
      <c r="K3411" t="s">
        <v>26</v>
      </c>
      <c r="L3411" t="s">
        <v>15</v>
      </c>
    </row>
    <row r="3412" spans="1:12" x14ac:dyDescent="0.3">
      <c r="A3412">
        <v>28315</v>
      </c>
      <c r="B3412" t="s">
        <v>12</v>
      </c>
      <c r="C3412">
        <v>38</v>
      </c>
      <c r="D3412" t="s">
        <v>15</v>
      </c>
      <c r="E3412" t="s">
        <v>15</v>
      </c>
      <c r="F3412" t="s">
        <v>16</v>
      </c>
      <c r="G3412" t="s">
        <v>17</v>
      </c>
      <c r="H3412" t="s">
        <v>23</v>
      </c>
      <c r="I3412">
        <v>108.68</v>
      </c>
      <c r="J3412">
        <v>32.700000000000003</v>
      </c>
      <c r="K3412" t="s">
        <v>25</v>
      </c>
      <c r="L3412" t="s">
        <v>15</v>
      </c>
    </row>
    <row r="3413" spans="1:12" x14ac:dyDescent="0.3">
      <c r="A3413">
        <v>15104</v>
      </c>
      <c r="B3413" t="s">
        <v>13</v>
      </c>
      <c r="C3413">
        <v>26</v>
      </c>
      <c r="D3413" t="s">
        <v>15</v>
      </c>
      <c r="E3413" t="s">
        <v>15</v>
      </c>
      <c r="F3413" t="s">
        <v>16</v>
      </c>
      <c r="G3413" t="s">
        <v>17</v>
      </c>
      <c r="H3413" t="s">
        <v>23</v>
      </c>
      <c r="I3413">
        <v>88.79</v>
      </c>
      <c r="J3413">
        <v>24.9</v>
      </c>
      <c r="K3413" t="s">
        <v>25</v>
      </c>
      <c r="L3413" t="s">
        <v>15</v>
      </c>
    </row>
    <row r="3414" spans="1:12" x14ac:dyDescent="0.3">
      <c r="A3414">
        <v>26604</v>
      </c>
      <c r="B3414" t="s">
        <v>13</v>
      </c>
      <c r="C3414">
        <v>18</v>
      </c>
      <c r="D3414" t="s">
        <v>15</v>
      </c>
      <c r="E3414" t="s">
        <v>15</v>
      </c>
      <c r="F3414" t="s">
        <v>15</v>
      </c>
      <c r="G3414" t="s">
        <v>17</v>
      </c>
      <c r="H3414" t="s">
        <v>23</v>
      </c>
      <c r="I3414">
        <v>107.82</v>
      </c>
      <c r="J3414">
        <v>26</v>
      </c>
      <c r="K3414" t="s">
        <v>25</v>
      </c>
      <c r="L3414" t="s">
        <v>15</v>
      </c>
    </row>
    <row r="3415" spans="1:12" x14ac:dyDescent="0.3">
      <c r="A3415">
        <v>27916</v>
      </c>
      <c r="B3415" t="s">
        <v>12</v>
      </c>
      <c r="C3415">
        <v>18</v>
      </c>
      <c r="D3415" t="s">
        <v>15</v>
      </c>
      <c r="E3415" t="s">
        <v>15</v>
      </c>
      <c r="F3415" t="s">
        <v>15</v>
      </c>
      <c r="G3415" t="s">
        <v>17</v>
      </c>
      <c r="H3415" t="s">
        <v>22</v>
      </c>
      <c r="I3415">
        <v>97.39</v>
      </c>
      <c r="J3415">
        <v>22.8</v>
      </c>
      <c r="K3415" t="s">
        <v>25</v>
      </c>
      <c r="L3415" t="s">
        <v>15</v>
      </c>
    </row>
    <row r="3416" spans="1:12" x14ac:dyDescent="0.3">
      <c r="A3416">
        <v>60249</v>
      </c>
      <c r="B3416" t="s">
        <v>12</v>
      </c>
      <c r="C3416">
        <v>13</v>
      </c>
      <c r="D3416" t="s">
        <v>15</v>
      </c>
      <c r="E3416" t="s">
        <v>15</v>
      </c>
      <c r="F3416" t="s">
        <v>15</v>
      </c>
      <c r="G3416" t="s">
        <v>17</v>
      </c>
      <c r="H3416" t="s">
        <v>22</v>
      </c>
      <c r="I3416">
        <v>141.09</v>
      </c>
      <c r="J3416">
        <v>24</v>
      </c>
      <c r="K3416" t="s">
        <v>27</v>
      </c>
      <c r="L3416" t="s">
        <v>15</v>
      </c>
    </row>
    <row r="3417" spans="1:12" x14ac:dyDescent="0.3">
      <c r="A3417">
        <v>45787</v>
      </c>
      <c r="B3417" t="s">
        <v>12</v>
      </c>
      <c r="C3417">
        <v>13</v>
      </c>
      <c r="D3417" t="s">
        <v>15</v>
      </c>
      <c r="E3417" t="s">
        <v>15</v>
      </c>
      <c r="F3417" t="s">
        <v>15</v>
      </c>
      <c r="G3417" t="s">
        <v>20</v>
      </c>
      <c r="H3417" t="s">
        <v>22</v>
      </c>
      <c r="I3417">
        <v>122.38</v>
      </c>
      <c r="J3417">
        <v>20.3</v>
      </c>
      <c r="K3417" t="s">
        <v>27</v>
      </c>
      <c r="L3417" t="s">
        <v>15</v>
      </c>
    </row>
    <row r="3418" spans="1:12" x14ac:dyDescent="0.3">
      <c r="A3418">
        <v>65526</v>
      </c>
      <c r="B3418" t="s">
        <v>13</v>
      </c>
      <c r="C3418">
        <v>47</v>
      </c>
      <c r="D3418" t="s">
        <v>15</v>
      </c>
      <c r="E3418" t="s">
        <v>15</v>
      </c>
      <c r="F3418" t="s">
        <v>16</v>
      </c>
      <c r="G3418" t="s">
        <v>17</v>
      </c>
      <c r="H3418" t="s">
        <v>22</v>
      </c>
      <c r="I3418">
        <v>77.91</v>
      </c>
      <c r="J3418">
        <v>30.3</v>
      </c>
      <c r="K3418" t="s">
        <v>24</v>
      </c>
      <c r="L3418" t="s">
        <v>15</v>
      </c>
    </row>
    <row r="3419" spans="1:12" x14ac:dyDescent="0.3">
      <c r="A3419">
        <v>72354</v>
      </c>
      <c r="B3419" t="s">
        <v>13</v>
      </c>
      <c r="C3419">
        <v>80</v>
      </c>
      <c r="D3419" t="s">
        <v>16</v>
      </c>
      <c r="E3419" t="s">
        <v>15</v>
      </c>
      <c r="F3419" t="s">
        <v>16</v>
      </c>
      <c r="G3419" t="s">
        <v>18</v>
      </c>
      <c r="H3419" t="s">
        <v>23</v>
      </c>
      <c r="I3419">
        <v>103.6</v>
      </c>
      <c r="J3419">
        <v>23.7</v>
      </c>
      <c r="K3419" t="s">
        <v>25</v>
      </c>
      <c r="L3419" t="s">
        <v>15</v>
      </c>
    </row>
    <row r="3420" spans="1:12" x14ac:dyDescent="0.3">
      <c r="A3420">
        <v>38938</v>
      </c>
      <c r="B3420" t="s">
        <v>13</v>
      </c>
      <c r="C3420">
        <v>24</v>
      </c>
      <c r="D3420" t="s">
        <v>15</v>
      </c>
      <c r="E3420" t="s">
        <v>15</v>
      </c>
      <c r="F3420" t="s">
        <v>15</v>
      </c>
      <c r="G3420" t="s">
        <v>17</v>
      </c>
      <c r="H3420" t="s">
        <v>23</v>
      </c>
      <c r="I3420">
        <v>159.69999999999999</v>
      </c>
      <c r="J3420">
        <v>25.7</v>
      </c>
      <c r="K3420" t="s">
        <v>27</v>
      </c>
      <c r="L3420" t="s">
        <v>15</v>
      </c>
    </row>
    <row r="3421" spans="1:12" x14ac:dyDescent="0.3">
      <c r="A3421">
        <v>39017</v>
      </c>
      <c r="B3421" t="s">
        <v>13</v>
      </c>
      <c r="C3421">
        <v>72</v>
      </c>
      <c r="D3421" t="s">
        <v>15</v>
      </c>
      <c r="E3421" t="s">
        <v>15</v>
      </c>
      <c r="F3421" t="s">
        <v>16</v>
      </c>
      <c r="G3421" t="s">
        <v>19</v>
      </c>
      <c r="H3421" t="s">
        <v>23</v>
      </c>
      <c r="I3421">
        <v>118.22</v>
      </c>
      <c r="J3421">
        <v>21.9</v>
      </c>
      <c r="K3421" t="s">
        <v>24</v>
      </c>
      <c r="L3421" t="s">
        <v>15</v>
      </c>
    </row>
    <row r="3422" spans="1:12" x14ac:dyDescent="0.3">
      <c r="A3422">
        <v>13219</v>
      </c>
      <c r="B3422" t="s">
        <v>12</v>
      </c>
      <c r="C3422">
        <v>5</v>
      </c>
      <c r="D3422" t="s">
        <v>15</v>
      </c>
      <c r="E3422" t="s">
        <v>15</v>
      </c>
      <c r="F3422" t="s">
        <v>15</v>
      </c>
      <c r="G3422" t="s">
        <v>20</v>
      </c>
      <c r="H3422" t="s">
        <v>22</v>
      </c>
      <c r="I3422">
        <v>84.5</v>
      </c>
      <c r="J3422">
        <v>15.8</v>
      </c>
      <c r="K3422" t="s">
        <v>27</v>
      </c>
      <c r="L3422" t="s">
        <v>15</v>
      </c>
    </row>
    <row r="3423" spans="1:12" x14ac:dyDescent="0.3">
      <c r="A3423">
        <v>3003</v>
      </c>
      <c r="B3423" t="s">
        <v>13</v>
      </c>
      <c r="C3423">
        <v>51</v>
      </c>
      <c r="D3423" t="s">
        <v>15</v>
      </c>
      <c r="E3423" t="s">
        <v>15</v>
      </c>
      <c r="F3423" t="s">
        <v>16</v>
      </c>
      <c r="G3423" t="s">
        <v>19</v>
      </c>
      <c r="H3423" t="s">
        <v>23</v>
      </c>
      <c r="I3423">
        <v>85.59</v>
      </c>
      <c r="J3423">
        <v>30.5</v>
      </c>
      <c r="K3423" t="s">
        <v>25</v>
      </c>
      <c r="L3423" t="s">
        <v>15</v>
      </c>
    </row>
    <row r="3424" spans="1:12" x14ac:dyDescent="0.3">
      <c r="A3424">
        <v>34543</v>
      </c>
      <c r="B3424" t="s">
        <v>13</v>
      </c>
      <c r="C3424">
        <v>82</v>
      </c>
      <c r="D3424" t="s">
        <v>15</v>
      </c>
      <c r="E3424" t="s">
        <v>15</v>
      </c>
      <c r="F3424" t="s">
        <v>16</v>
      </c>
      <c r="G3424" t="s">
        <v>18</v>
      </c>
      <c r="H3424" t="s">
        <v>23</v>
      </c>
      <c r="I3424">
        <v>84.42</v>
      </c>
      <c r="J3424">
        <v>25.7</v>
      </c>
      <c r="K3424" t="s">
        <v>27</v>
      </c>
      <c r="L3424" t="s">
        <v>15</v>
      </c>
    </row>
    <row r="3425" spans="1:12" x14ac:dyDescent="0.3">
      <c r="A3425">
        <v>21762</v>
      </c>
      <c r="B3425" t="s">
        <v>12</v>
      </c>
      <c r="C3425">
        <v>5</v>
      </c>
      <c r="D3425" t="s">
        <v>15</v>
      </c>
      <c r="E3425" t="s">
        <v>15</v>
      </c>
      <c r="F3425" t="s">
        <v>15</v>
      </c>
      <c r="G3425" t="s">
        <v>20</v>
      </c>
      <c r="H3425" t="s">
        <v>23</v>
      </c>
      <c r="I3425">
        <v>100.98</v>
      </c>
      <c r="J3425">
        <v>19</v>
      </c>
      <c r="K3425" t="s">
        <v>27</v>
      </c>
      <c r="L3425" t="s">
        <v>15</v>
      </c>
    </row>
    <row r="3426" spans="1:12" x14ac:dyDescent="0.3">
      <c r="A3426">
        <v>22003</v>
      </c>
      <c r="B3426" t="s">
        <v>12</v>
      </c>
      <c r="C3426">
        <v>66</v>
      </c>
      <c r="D3426" t="s">
        <v>15</v>
      </c>
      <c r="E3426" t="s">
        <v>15</v>
      </c>
      <c r="F3426" t="s">
        <v>16</v>
      </c>
      <c r="G3426" t="s">
        <v>17</v>
      </c>
      <c r="H3426" t="s">
        <v>23</v>
      </c>
      <c r="I3426">
        <v>81.11</v>
      </c>
      <c r="J3426">
        <v>28.8</v>
      </c>
      <c r="K3426" t="s">
        <v>24</v>
      </c>
      <c r="L3426" t="s">
        <v>15</v>
      </c>
    </row>
    <row r="3427" spans="1:12" x14ac:dyDescent="0.3">
      <c r="A3427">
        <v>6731</v>
      </c>
      <c r="B3427" t="s">
        <v>13</v>
      </c>
      <c r="C3427">
        <v>53</v>
      </c>
      <c r="D3427" t="s">
        <v>15</v>
      </c>
      <c r="E3427" t="s">
        <v>15</v>
      </c>
      <c r="F3427" t="s">
        <v>15</v>
      </c>
      <c r="G3427" t="s">
        <v>17</v>
      </c>
      <c r="H3427" t="s">
        <v>23</v>
      </c>
      <c r="I3427">
        <v>235.45</v>
      </c>
      <c r="K3427" t="s">
        <v>24</v>
      </c>
      <c r="L3427" t="s">
        <v>15</v>
      </c>
    </row>
    <row r="3428" spans="1:12" x14ac:dyDescent="0.3">
      <c r="A3428">
        <v>19032</v>
      </c>
      <c r="B3428" t="s">
        <v>13</v>
      </c>
      <c r="C3428">
        <v>15</v>
      </c>
      <c r="D3428" t="s">
        <v>15</v>
      </c>
      <c r="E3428" t="s">
        <v>15</v>
      </c>
      <c r="F3428" t="s">
        <v>15</v>
      </c>
      <c r="G3428" t="s">
        <v>17</v>
      </c>
      <c r="H3428" t="s">
        <v>23</v>
      </c>
      <c r="I3428">
        <v>79.2</v>
      </c>
      <c r="J3428">
        <v>22.4</v>
      </c>
      <c r="K3428" t="s">
        <v>25</v>
      </c>
      <c r="L3428" t="s">
        <v>15</v>
      </c>
    </row>
    <row r="3429" spans="1:12" x14ac:dyDescent="0.3">
      <c r="A3429">
        <v>55370</v>
      </c>
      <c r="B3429" t="s">
        <v>13</v>
      </c>
      <c r="C3429">
        <v>53</v>
      </c>
      <c r="D3429" t="s">
        <v>15</v>
      </c>
      <c r="E3429" t="s">
        <v>15</v>
      </c>
      <c r="F3429" t="s">
        <v>16</v>
      </c>
      <c r="G3429" t="s">
        <v>17</v>
      </c>
      <c r="H3429" t="s">
        <v>22</v>
      </c>
      <c r="I3429">
        <v>207.71</v>
      </c>
      <c r="J3429">
        <v>32.4</v>
      </c>
      <c r="K3429" t="s">
        <v>27</v>
      </c>
      <c r="L3429" t="s">
        <v>15</v>
      </c>
    </row>
    <row r="3430" spans="1:12" x14ac:dyDescent="0.3">
      <c r="A3430">
        <v>57288</v>
      </c>
      <c r="B3430" t="s">
        <v>13</v>
      </c>
      <c r="C3430">
        <v>78</v>
      </c>
      <c r="D3430" t="s">
        <v>15</v>
      </c>
      <c r="E3430" t="s">
        <v>15</v>
      </c>
      <c r="F3430" t="s">
        <v>16</v>
      </c>
      <c r="G3430" t="s">
        <v>17</v>
      </c>
      <c r="H3430" t="s">
        <v>23</v>
      </c>
      <c r="I3430">
        <v>99.84</v>
      </c>
      <c r="J3430">
        <v>36.6</v>
      </c>
      <c r="K3430" t="s">
        <v>25</v>
      </c>
      <c r="L3430" t="s">
        <v>15</v>
      </c>
    </row>
    <row r="3431" spans="1:12" x14ac:dyDescent="0.3">
      <c r="A3431">
        <v>31925</v>
      </c>
      <c r="B3431" t="s">
        <v>13</v>
      </c>
      <c r="C3431">
        <v>62</v>
      </c>
      <c r="D3431" t="s">
        <v>15</v>
      </c>
      <c r="E3431" t="s">
        <v>15</v>
      </c>
      <c r="F3431" t="s">
        <v>16</v>
      </c>
      <c r="G3431" t="s">
        <v>17</v>
      </c>
      <c r="H3431" t="s">
        <v>23</v>
      </c>
      <c r="I3431">
        <v>98.05</v>
      </c>
      <c r="J3431">
        <v>27.9</v>
      </c>
      <c r="K3431" t="s">
        <v>25</v>
      </c>
      <c r="L3431" t="s">
        <v>15</v>
      </c>
    </row>
    <row r="3432" spans="1:12" x14ac:dyDescent="0.3">
      <c r="A3432">
        <v>8264</v>
      </c>
      <c r="B3432" t="s">
        <v>12</v>
      </c>
      <c r="C3432">
        <v>41</v>
      </c>
      <c r="D3432" t="s">
        <v>15</v>
      </c>
      <c r="E3432" t="s">
        <v>15</v>
      </c>
      <c r="F3432" t="s">
        <v>16</v>
      </c>
      <c r="G3432" t="s">
        <v>18</v>
      </c>
      <c r="H3432" t="s">
        <v>23</v>
      </c>
      <c r="I3432">
        <v>105.9</v>
      </c>
      <c r="J3432">
        <v>27.7</v>
      </c>
      <c r="K3432" t="s">
        <v>27</v>
      </c>
      <c r="L3432" t="s">
        <v>15</v>
      </c>
    </row>
    <row r="3433" spans="1:12" x14ac:dyDescent="0.3">
      <c r="A3433">
        <v>448</v>
      </c>
      <c r="B3433" t="s">
        <v>13</v>
      </c>
      <c r="C3433">
        <v>49</v>
      </c>
      <c r="D3433" t="s">
        <v>15</v>
      </c>
      <c r="E3433" t="s">
        <v>15</v>
      </c>
      <c r="F3433" t="s">
        <v>16</v>
      </c>
      <c r="G3433" t="s">
        <v>17</v>
      </c>
      <c r="H3433" t="s">
        <v>23</v>
      </c>
      <c r="I3433">
        <v>107.55</v>
      </c>
      <c r="K3433" t="s">
        <v>27</v>
      </c>
      <c r="L3433" t="s">
        <v>15</v>
      </c>
    </row>
    <row r="3434" spans="1:12" x14ac:dyDescent="0.3">
      <c r="A3434">
        <v>38783</v>
      </c>
      <c r="B3434" t="s">
        <v>13</v>
      </c>
      <c r="C3434">
        <v>41</v>
      </c>
      <c r="D3434" t="s">
        <v>15</v>
      </c>
      <c r="E3434" t="s">
        <v>15</v>
      </c>
      <c r="F3434" t="s">
        <v>16</v>
      </c>
      <c r="G3434" t="s">
        <v>18</v>
      </c>
      <c r="H3434" t="s">
        <v>22</v>
      </c>
      <c r="I3434">
        <v>146.21</v>
      </c>
      <c r="J3434">
        <v>34.299999999999997</v>
      </c>
      <c r="K3434" t="s">
        <v>27</v>
      </c>
      <c r="L3434" t="s">
        <v>15</v>
      </c>
    </row>
    <row r="3435" spans="1:12" x14ac:dyDescent="0.3">
      <c r="A3435">
        <v>45961</v>
      </c>
      <c r="B3435" t="s">
        <v>13</v>
      </c>
      <c r="C3435">
        <v>78</v>
      </c>
      <c r="D3435" t="s">
        <v>15</v>
      </c>
      <c r="E3435" t="s">
        <v>15</v>
      </c>
      <c r="F3435" t="s">
        <v>16</v>
      </c>
      <c r="G3435" t="s">
        <v>17</v>
      </c>
      <c r="H3435" t="s">
        <v>22</v>
      </c>
      <c r="I3435">
        <v>79.94</v>
      </c>
      <c r="J3435">
        <v>26.7</v>
      </c>
      <c r="K3435" t="s">
        <v>25</v>
      </c>
      <c r="L3435" t="s">
        <v>15</v>
      </c>
    </row>
    <row r="3436" spans="1:12" x14ac:dyDescent="0.3">
      <c r="A3436">
        <v>27518</v>
      </c>
      <c r="B3436" t="s">
        <v>12</v>
      </c>
      <c r="C3436">
        <v>14</v>
      </c>
      <c r="D3436" t="s">
        <v>15</v>
      </c>
      <c r="E3436" t="s">
        <v>15</v>
      </c>
      <c r="F3436" t="s">
        <v>15</v>
      </c>
      <c r="G3436" t="s">
        <v>18</v>
      </c>
      <c r="H3436" t="s">
        <v>23</v>
      </c>
      <c r="I3436">
        <v>72.28</v>
      </c>
      <c r="J3436">
        <v>19</v>
      </c>
      <c r="K3436" t="s">
        <v>27</v>
      </c>
      <c r="L3436" t="s">
        <v>15</v>
      </c>
    </row>
    <row r="3437" spans="1:12" x14ac:dyDescent="0.3">
      <c r="A3437">
        <v>51106</v>
      </c>
      <c r="B3437" t="s">
        <v>13</v>
      </c>
      <c r="C3437">
        <v>1.48</v>
      </c>
      <c r="D3437" t="s">
        <v>15</v>
      </c>
      <c r="E3437" t="s">
        <v>15</v>
      </c>
      <c r="F3437" t="s">
        <v>15</v>
      </c>
      <c r="G3437" t="s">
        <v>20</v>
      </c>
      <c r="H3437" t="s">
        <v>23</v>
      </c>
      <c r="I3437">
        <v>123.1</v>
      </c>
      <c r="J3437">
        <v>20.6</v>
      </c>
      <c r="K3437" t="s">
        <v>27</v>
      </c>
      <c r="L3437" t="s">
        <v>15</v>
      </c>
    </row>
    <row r="3438" spans="1:12" x14ac:dyDescent="0.3">
      <c r="A3438">
        <v>42251</v>
      </c>
      <c r="B3438" t="s">
        <v>12</v>
      </c>
      <c r="C3438">
        <v>71</v>
      </c>
      <c r="D3438" t="s">
        <v>16</v>
      </c>
      <c r="E3438" t="s">
        <v>16</v>
      </c>
      <c r="F3438" t="s">
        <v>16</v>
      </c>
      <c r="G3438" t="s">
        <v>18</v>
      </c>
      <c r="H3438" t="s">
        <v>23</v>
      </c>
      <c r="I3438">
        <v>67.06</v>
      </c>
      <c r="J3438">
        <v>26.7</v>
      </c>
      <c r="K3438" t="s">
        <v>26</v>
      </c>
      <c r="L3438" t="s">
        <v>15</v>
      </c>
    </row>
    <row r="3439" spans="1:12" x14ac:dyDescent="0.3">
      <c r="A3439">
        <v>33115</v>
      </c>
      <c r="B3439" t="s">
        <v>12</v>
      </c>
      <c r="C3439">
        <v>32</v>
      </c>
      <c r="D3439" t="s">
        <v>15</v>
      </c>
      <c r="E3439" t="s">
        <v>15</v>
      </c>
      <c r="F3439" t="s">
        <v>16</v>
      </c>
      <c r="G3439" t="s">
        <v>17</v>
      </c>
      <c r="H3439" t="s">
        <v>23</v>
      </c>
      <c r="I3439">
        <v>82.68</v>
      </c>
      <c r="J3439">
        <v>29.2</v>
      </c>
      <c r="K3439" t="s">
        <v>25</v>
      </c>
      <c r="L3439" t="s">
        <v>15</v>
      </c>
    </row>
    <row r="3440" spans="1:12" x14ac:dyDescent="0.3">
      <c r="A3440">
        <v>31701</v>
      </c>
      <c r="B3440" t="s">
        <v>12</v>
      </c>
      <c r="C3440">
        <v>16</v>
      </c>
      <c r="D3440" t="s">
        <v>15</v>
      </c>
      <c r="E3440" t="s">
        <v>15</v>
      </c>
      <c r="F3440" t="s">
        <v>15</v>
      </c>
      <c r="G3440" t="s">
        <v>17</v>
      </c>
      <c r="H3440" t="s">
        <v>23</v>
      </c>
      <c r="I3440">
        <v>125.89</v>
      </c>
      <c r="J3440">
        <v>21.3</v>
      </c>
      <c r="K3440" t="s">
        <v>25</v>
      </c>
      <c r="L3440" t="s">
        <v>15</v>
      </c>
    </row>
    <row r="3441" spans="1:12" x14ac:dyDescent="0.3">
      <c r="A3441">
        <v>21661</v>
      </c>
      <c r="B3441" t="s">
        <v>13</v>
      </c>
      <c r="C3441">
        <v>68</v>
      </c>
      <c r="D3441" t="s">
        <v>15</v>
      </c>
      <c r="E3441" t="s">
        <v>15</v>
      </c>
      <c r="F3441" t="s">
        <v>16</v>
      </c>
      <c r="G3441" t="s">
        <v>19</v>
      </c>
      <c r="H3441" t="s">
        <v>22</v>
      </c>
      <c r="I3441">
        <v>228.05</v>
      </c>
      <c r="J3441">
        <v>51.9</v>
      </c>
      <c r="K3441" t="s">
        <v>27</v>
      </c>
      <c r="L3441" t="s">
        <v>15</v>
      </c>
    </row>
    <row r="3442" spans="1:12" x14ac:dyDescent="0.3">
      <c r="A3442">
        <v>18837</v>
      </c>
      <c r="B3442" t="s">
        <v>12</v>
      </c>
      <c r="C3442">
        <v>0.56000000000000005</v>
      </c>
      <c r="D3442" t="s">
        <v>15</v>
      </c>
      <c r="E3442" t="s">
        <v>15</v>
      </c>
      <c r="F3442" t="s">
        <v>15</v>
      </c>
      <c r="G3442" t="s">
        <v>20</v>
      </c>
      <c r="H3442" t="s">
        <v>22</v>
      </c>
      <c r="I3442">
        <v>98.23</v>
      </c>
      <c r="J3442">
        <v>14.1</v>
      </c>
      <c r="K3442" t="s">
        <v>27</v>
      </c>
      <c r="L3442" t="s">
        <v>15</v>
      </c>
    </row>
    <row r="3443" spans="1:12" x14ac:dyDescent="0.3">
      <c r="A3443">
        <v>57777</v>
      </c>
      <c r="B3443" t="s">
        <v>13</v>
      </c>
      <c r="C3443">
        <v>59</v>
      </c>
      <c r="D3443" t="s">
        <v>15</v>
      </c>
      <c r="E3443" t="s">
        <v>15</v>
      </c>
      <c r="F3443" t="s">
        <v>16</v>
      </c>
      <c r="G3443" t="s">
        <v>18</v>
      </c>
      <c r="H3443" t="s">
        <v>22</v>
      </c>
      <c r="I3443">
        <v>90.06</v>
      </c>
      <c r="J3443">
        <v>28.9</v>
      </c>
      <c r="K3443" t="s">
        <v>26</v>
      </c>
      <c r="L3443" t="s">
        <v>15</v>
      </c>
    </row>
    <row r="3444" spans="1:12" x14ac:dyDescent="0.3">
      <c r="A3444">
        <v>62610</v>
      </c>
      <c r="B3444" t="s">
        <v>12</v>
      </c>
      <c r="C3444">
        <v>32</v>
      </c>
      <c r="D3444" t="s">
        <v>15</v>
      </c>
      <c r="E3444" t="s">
        <v>15</v>
      </c>
      <c r="F3444" t="s">
        <v>16</v>
      </c>
      <c r="G3444" t="s">
        <v>17</v>
      </c>
      <c r="H3444" t="s">
        <v>22</v>
      </c>
      <c r="I3444">
        <v>119.9</v>
      </c>
      <c r="J3444">
        <v>30.9</v>
      </c>
      <c r="K3444" t="s">
        <v>26</v>
      </c>
      <c r="L3444" t="s">
        <v>15</v>
      </c>
    </row>
    <row r="3445" spans="1:12" x14ac:dyDescent="0.3">
      <c r="A3445">
        <v>2730</v>
      </c>
      <c r="B3445" t="s">
        <v>12</v>
      </c>
      <c r="C3445">
        <v>58</v>
      </c>
      <c r="D3445" t="s">
        <v>15</v>
      </c>
      <c r="E3445" t="s">
        <v>15</v>
      </c>
      <c r="F3445" t="s">
        <v>16</v>
      </c>
      <c r="G3445" t="s">
        <v>17</v>
      </c>
      <c r="H3445" t="s">
        <v>22</v>
      </c>
      <c r="I3445">
        <v>94.53</v>
      </c>
      <c r="J3445">
        <v>36.1</v>
      </c>
      <c r="K3445" t="s">
        <v>25</v>
      </c>
      <c r="L3445" t="s">
        <v>15</v>
      </c>
    </row>
    <row r="3446" spans="1:12" x14ac:dyDescent="0.3">
      <c r="A3446">
        <v>51116</v>
      </c>
      <c r="B3446" t="s">
        <v>13</v>
      </c>
      <c r="C3446">
        <v>40</v>
      </c>
      <c r="D3446" t="s">
        <v>15</v>
      </c>
      <c r="E3446" t="s">
        <v>15</v>
      </c>
      <c r="F3446" t="s">
        <v>16</v>
      </c>
      <c r="G3446" t="s">
        <v>18</v>
      </c>
      <c r="H3446" t="s">
        <v>22</v>
      </c>
      <c r="I3446">
        <v>64.66</v>
      </c>
      <c r="J3446">
        <v>25</v>
      </c>
      <c r="K3446" t="s">
        <v>24</v>
      </c>
      <c r="L3446" t="s">
        <v>15</v>
      </c>
    </row>
    <row r="3447" spans="1:12" x14ac:dyDescent="0.3">
      <c r="A3447">
        <v>22607</v>
      </c>
      <c r="B3447" t="s">
        <v>13</v>
      </c>
      <c r="C3447">
        <v>41</v>
      </c>
      <c r="D3447" t="s">
        <v>15</v>
      </c>
      <c r="E3447" t="s">
        <v>15</v>
      </c>
      <c r="F3447" t="s">
        <v>16</v>
      </c>
      <c r="G3447" t="s">
        <v>17</v>
      </c>
      <c r="H3447" t="s">
        <v>22</v>
      </c>
      <c r="I3447">
        <v>103.79</v>
      </c>
      <c r="J3447">
        <v>28.6</v>
      </c>
      <c r="K3447" t="s">
        <v>25</v>
      </c>
      <c r="L3447" t="s">
        <v>15</v>
      </c>
    </row>
    <row r="3448" spans="1:12" x14ac:dyDescent="0.3">
      <c r="A3448">
        <v>11595</v>
      </c>
      <c r="B3448" t="s">
        <v>13</v>
      </c>
      <c r="C3448">
        <v>21</v>
      </c>
      <c r="D3448" t="s">
        <v>15</v>
      </c>
      <c r="E3448" t="s">
        <v>15</v>
      </c>
      <c r="F3448" t="s">
        <v>15</v>
      </c>
      <c r="G3448" t="s">
        <v>17</v>
      </c>
      <c r="H3448" t="s">
        <v>22</v>
      </c>
      <c r="I3448">
        <v>88.51</v>
      </c>
      <c r="J3448">
        <v>20.5</v>
      </c>
      <c r="K3448" t="s">
        <v>25</v>
      </c>
      <c r="L3448" t="s">
        <v>15</v>
      </c>
    </row>
    <row r="3449" spans="1:12" x14ac:dyDescent="0.3">
      <c r="A3449">
        <v>24355</v>
      </c>
      <c r="B3449" t="s">
        <v>13</v>
      </c>
      <c r="C3449">
        <v>1.88</v>
      </c>
      <c r="D3449" t="s">
        <v>15</v>
      </c>
      <c r="E3449" t="s">
        <v>15</v>
      </c>
      <c r="F3449" t="s">
        <v>15</v>
      </c>
      <c r="G3449" t="s">
        <v>20</v>
      </c>
      <c r="H3449" t="s">
        <v>23</v>
      </c>
      <c r="I3449">
        <v>97.26</v>
      </c>
      <c r="J3449">
        <v>16.7</v>
      </c>
      <c r="K3449" t="s">
        <v>27</v>
      </c>
      <c r="L3449" t="s">
        <v>15</v>
      </c>
    </row>
    <row r="3450" spans="1:12" x14ac:dyDescent="0.3">
      <c r="A3450">
        <v>32563</v>
      </c>
      <c r="B3450" t="s">
        <v>12</v>
      </c>
      <c r="C3450">
        <v>55</v>
      </c>
      <c r="D3450" t="s">
        <v>15</v>
      </c>
      <c r="E3450" t="s">
        <v>15</v>
      </c>
      <c r="F3450" t="s">
        <v>16</v>
      </c>
      <c r="G3450" t="s">
        <v>19</v>
      </c>
      <c r="H3450" t="s">
        <v>22</v>
      </c>
      <c r="I3450">
        <v>92.59</v>
      </c>
      <c r="J3450">
        <v>36.6</v>
      </c>
      <c r="K3450" t="s">
        <v>25</v>
      </c>
      <c r="L3450" t="s">
        <v>15</v>
      </c>
    </row>
    <row r="3451" spans="1:12" x14ac:dyDescent="0.3">
      <c r="A3451">
        <v>18266</v>
      </c>
      <c r="B3451" t="s">
        <v>13</v>
      </c>
      <c r="C3451">
        <v>67</v>
      </c>
      <c r="D3451" t="s">
        <v>15</v>
      </c>
      <c r="E3451" t="s">
        <v>15</v>
      </c>
      <c r="F3451" t="s">
        <v>16</v>
      </c>
      <c r="G3451" t="s">
        <v>17</v>
      </c>
      <c r="H3451" t="s">
        <v>23</v>
      </c>
      <c r="I3451">
        <v>102.89</v>
      </c>
      <c r="J3451">
        <v>26.4</v>
      </c>
      <c r="K3451" t="s">
        <v>25</v>
      </c>
      <c r="L3451" t="s">
        <v>15</v>
      </c>
    </row>
    <row r="3452" spans="1:12" x14ac:dyDescent="0.3">
      <c r="A3452">
        <v>60088</v>
      </c>
      <c r="B3452" t="s">
        <v>12</v>
      </c>
      <c r="C3452">
        <v>49</v>
      </c>
      <c r="D3452" t="s">
        <v>16</v>
      </c>
      <c r="E3452" t="s">
        <v>15</v>
      </c>
      <c r="F3452" t="s">
        <v>16</v>
      </c>
      <c r="G3452" t="s">
        <v>18</v>
      </c>
      <c r="H3452" t="s">
        <v>23</v>
      </c>
      <c r="I3452">
        <v>92.26</v>
      </c>
      <c r="J3452">
        <v>33.1</v>
      </c>
      <c r="K3452" t="s">
        <v>24</v>
      </c>
      <c r="L3452" t="s">
        <v>15</v>
      </c>
    </row>
    <row r="3453" spans="1:12" x14ac:dyDescent="0.3">
      <c r="A3453">
        <v>14912</v>
      </c>
      <c r="B3453" t="s">
        <v>13</v>
      </c>
      <c r="C3453">
        <v>42</v>
      </c>
      <c r="D3453" t="s">
        <v>15</v>
      </c>
      <c r="E3453" t="s">
        <v>15</v>
      </c>
      <c r="F3453" t="s">
        <v>16</v>
      </c>
      <c r="G3453" t="s">
        <v>17</v>
      </c>
      <c r="H3453" t="s">
        <v>23</v>
      </c>
      <c r="I3453">
        <v>80</v>
      </c>
      <c r="J3453">
        <v>27.5</v>
      </c>
      <c r="K3453" t="s">
        <v>25</v>
      </c>
      <c r="L3453" t="s">
        <v>15</v>
      </c>
    </row>
    <row r="3454" spans="1:12" x14ac:dyDescent="0.3">
      <c r="A3454">
        <v>49939</v>
      </c>
      <c r="B3454" t="s">
        <v>13</v>
      </c>
      <c r="C3454">
        <v>54</v>
      </c>
      <c r="D3454" t="s">
        <v>15</v>
      </c>
      <c r="E3454" t="s">
        <v>15</v>
      </c>
      <c r="F3454" t="s">
        <v>16</v>
      </c>
      <c r="G3454" t="s">
        <v>18</v>
      </c>
      <c r="H3454" t="s">
        <v>22</v>
      </c>
      <c r="I3454">
        <v>56.75</v>
      </c>
      <c r="J3454">
        <v>26.9</v>
      </c>
      <c r="K3454" t="s">
        <v>25</v>
      </c>
      <c r="L3454" t="s">
        <v>15</v>
      </c>
    </row>
    <row r="3455" spans="1:12" x14ac:dyDescent="0.3">
      <c r="A3455">
        <v>64534</v>
      </c>
      <c r="B3455" t="s">
        <v>13</v>
      </c>
      <c r="C3455">
        <v>25</v>
      </c>
      <c r="D3455" t="s">
        <v>15</v>
      </c>
      <c r="E3455" t="s">
        <v>15</v>
      </c>
      <c r="F3455" t="s">
        <v>16</v>
      </c>
      <c r="G3455" t="s">
        <v>17</v>
      </c>
      <c r="H3455" t="s">
        <v>22</v>
      </c>
      <c r="I3455">
        <v>104.66</v>
      </c>
      <c r="J3455">
        <v>23.9</v>
      </c>
      <c r="K3455" t="s">
        <v>25</v>
      </c>
      <c r="L3455" t="s">
        <v>15</v>
      </c>
    </row>
    <row r="3456" spans="1:12" x14ac:dyDescent="0.3">
      <c r="A3456">
        <v>62914</v>
      </c>
      <c r="B3456" t="s">
        <v>12</v>
      </c>
      <c r="C3456">
        <v>62</v>
      </c>
      <c r="D3456" t="s">
        <v>15</v>
      </c>
      <c r="E3456" t="s">
        <v>15</v>
      </c>
      <c r="F3456" t="s">
        <v>16</v>
      </c>
      <c r="G3456" t="s">
        <v>17</v>
      </c>
      <c r="H3456" t="s">
        <v>23</v>
      </c>
      <c r="I3456">
        <v>60.39</v>
      </c>
      <c r="J3456">
        <v>26.9</v>
      </c>
      <c r="K3456" t="s">
        <v>27</v>
      </c>
      <c r="L3456" t="s">
        <v>15</v>
      </c>
    </row>
    <row r="3457" spans="1:12" x14ac:dyDescent="0.3">
      <c r="A3457">
        <v>4297</v>
      </c>
      <c r="B3457" t="s">
        <v>12</v>
      </c>
      <c r="C3457">
        <v>75</v>
      </c>
      <c r="D3457" t="s">
        <v>15</v>
      </c>
      <c r="E3457" t="s">
        <v>15</v>
      </c>
      <c r="F3457" t="s">
        <v>16</v>
      </c>
      <c r="G3457" t="s">
        <v>19</v>
      </c>
      <c r="H3457" t="s">
        <v>22</v>
      </c>
      <c r="I3457">
        <v>223.14</v>
      </c>
      <c r="J3457">
        <v>27.8</v>
      </c>
      <c r="K3457" t="s">
        <v>25</v>
      </c>
      <c r="L3457" t="s">
        <v>15</v>
      </c>
    </row>
    <row r="3458" spans="1:12" x14ac:dyDescent="0.3">
      <c r="A3458">
        <v>20399</v>
      </c>
      <c r="B3458" t="s">
        <v>13</v>
      </c>
      <c r="C3458">
        <v>72</v>
      </c>
      <c r="D3458" t="s">
        <v>16</v>
      </c>
      <c r="E3458" t="s">
        <v>15</v>
      </c>
      <c r="F3458" t="s">
        <v>16</v>
      </c>
      <c r="G3458" t="s">
        <v>17</v>
      </c>
      <c r="H3458" t="s">
        <v>22</v>
      </c>
      <c r="I3458">
        <v>105.51</v>
      </c>
      <c r="J3458">
        <v>32.700000000000003</v>
      </c>
      <c r="K3458" t="s">
        <v>25</v>
      </c>
      <c r="L3458" t="s">
        <v>15</v>
      </c>
    </row>
    <row r="3459" spans="1:12" x14ac:dyDescent="0.3">
      <c r="A3459">
        <v>1112</v>
      </c>
      <c r="B3459" t="s">
        <v>13</v>
      </c>
      <c r="C3459">
        <v>14</v>
      </c>
      <c r="D3459" t="s">
        <v>15</v>
      </c>
      <c r="E3459" t="s">
        <v>15</v>
      </c>
      <c r="F3459" t="s">
        <v>15</v>
      </c>
      <c r="G3459" t="s">
        <v>17</v>
      </c>
      <c r="H3459" t="s">
        <v>22</v>
      </c>
      <c r="I3459">
        <v>83.42</v>
      </c>
      <c r="J3459">
        <v>28.7</v>
      </c>
      <c r="K3459" t="s">
        <v>25</v>
      </c>
      <c r="L3459" t="s">
        <v>15</v>
      </c>
    </row>
    <row r="3460" spans="1:12" x14ac:dyDescent="0.3">
      <c r="A3460">
        <v>13276</v>
      </c>
      <c r="B3460" t="s">
        <v>13</v>
      </c>
      <c r="C3460">
        <v>38</v>
      </c>
      <c r="D3460" t="s">
        <v>15</v>
      </c>
      <c r="E3460" t="s">
        <v>15</v>
      </c>
      <c r="F3460" t="s">
        <v>16</v>
      </c>
      <c r="G3460" t="s">
        <v>17</v>
      </c>
      <c r="H3460" t="s">
        <v>22</v>
      </c>
      <c r="I3460">
        <v>71.06</v>
      </c>
      <c r="J3460">
        <v>22.6</v>
      </c>
      <c r="K3460" t="s">
        <v>27</v>
      </c>
      <c r="L3460" t="s">
        <v>15</v>
      </c>
    </row>
    <row r="3461" spans="1:12" x14ac:dyDescent="0.3">
      <c r="A3461">
        <v>1260</v>
      </c>
      <c r="B3461" t="s">
        <v>12</v>
      </c>
      <c r="C3461">
        <v>59</v>
      </c>
      <c r="D3461" t="s">
        <v>15</v>
      </c>
      <c r="E3461" t="s">
        <v>15</v>
      </c>
      <c r="F3461" t="s">
        <v>16</v>
      </c>
      <c r="G3461" t="s">
        <v>19</v>
      </c>
      <c r="H3461" t="s">
        <v>22</v>
      </c>
      <c r="I3461">
        <v>101.24</v>
      </c>
      <c r="J3461">
        <v>26.5</v>
      </c>
      <c r="K3461" t="s">
        <v>25</v>
      </c>
      <c r="L3461" t="s">
        <v>15</v>
      </c>
    </row>
    <row r="3462" spans="1:12" x14ac:dyDescent="0.3">
      <c r="A3462">
        <v>40509</v>
      </c>
      <c r="B3462" t="s">
        <v>13</v>
      </c>
      <c r="C3462">
        <v>23</v>
      </c>
      <c r="D3462" t="s">
        <v>15</v>
      </c>
      <c r="E3462" t="s">
        <v>15</v>
      </c>
      <c r="F3462" t="s">
        <v>15</v>
      </c>
      <c r="G3462" t="s">
        <v>17</v>
      </c>
      <c r="H3462" t="s">
        <v>22</v>
      </c>
      <c r="I3462">
        <v>91.19</v>
      </c>
      <c r="J3462">
        <v>28.3</v>
      </c>
      <c r="K3462" t="s">
        <v>25</v>
      </c>
      <c r="L3462" t="s">
        <v>15</v>
      </c>
    </row>
    <row r="3463" spans="1:12" x14ac:dyDescent="0.3">
      <c r="A3463">
        <v>15241</v>
      </c>
      <c r="B3463" t="s">
        <v>13</v>
      </c>
      <c r="C3463">
        <v>63</v>
      </c>
      <c r="D3463" t="s">
        <v>16</v>
      </c>
      <c r="E3463" t="s">
        <v>16</v>
      </c>
      <c r="F3463" t="s">
        <v>15</v>
      </c>
      <c r="G3463" t="s">
        <v>19</v>
      </c>
      <c r="H3463" t="s">
        <v>22</v>
      </c>
      <c r="I3463">
        <v>174.43</v>
      </c>
      <c r="J3463">
        <v>24.3</v>
      </c>
      <c r="K3463" t="s">
        <v>25</v>
      </c>
      <c r="L3463" t="s">
        <v>15</v>
      </c>
    </row>
    <row r="3464" spans="1:12" x14ac:dyDescent="0.3">
      <c r="A3464">
        <v>31344</v>
      </c>
      <c r="B3464" t="s">
        <v>12</v>
      </c>
      <c r="C3464">
        <v>82</v>
      </c>
      <c r="D3464" t="s">
        <v>15</v>
      </c>
      <c r="E3464" t="s">
        <v>15</v>
      </c>
      <c r="F3464" t="s">
        <v>16</v>
      </c>
      <c r="G3464" t="s">
        <v>18</v>
      </c>
      <c r="H3464" t="s">
        <v>22</v>
      </c>
      <c r="I3464">
        <v>214.51</v>
      </c>
      <c r="J3464">
        <v>24</v>
      </c>
      <c r="K3464" t="s">
        <v>24</v>
      </c>
      <c r="L3464" t="s">
        <v>15</v>
      </c>
    </row>
    <row r="3465" spans="1:12" x14ac:dyDescent="0.3">
      <c r="A3465">
        <v>55169</v>
      </c>
      <c r="B3465" t="s">
        <v>12</v>
      </c>
      <c r="C3465">
        <v>34</v>
      </c>
      <c r="D3465" t="s">
        <v>15</v>
      </c>
      <c r="E3465" t="s">
        <v>15</v>
      </c>
      <c r="F3465" t="s">
        <v>16</v>
      </c>
      <c r="G3465" t="s">
        <v>17</v>
      </c>
      <c r="H3465" t="s">
        <v>23</v>
      </c>
      <c r="I3465">
        <v>72.64</v>
      </c>
      <c r="J3465">
        <v>32.4</v>
      </c>
      <c r="K3465" t="s">
        <v>25</v>
      </c>
      <c r="L3465" t="s">
        <v>15</v>
      </c>
    </row>
    <row r="3466" spans="1:12" x14ac:dyDescent="0.3">
      <c r="A3466">
        <v>55740</v>
      </c>
      <c r="B3466" t="s">
        <v>13</v>
      </c>
      <c r="C3466">
        <v>8</v>
      </c>
      <c r="D3466" t="s">
        <v>15</v>
      </c>
      <c r="E3466" t="s">
        <v>15</v>
      </c>
      <c r="F3466" t="s">
        <v>15</v>
      </c>
      <c r="G3466" t="s">
        <v>20</v>
      </c>
      <c r="H3466" t="s">
        <v>22</v>
      </c>
      <c r="I3466">
        <v>62.69</v>
      </c>
      <c r="J3466">
        <v>28.7</v>
      </c>
      <c r="K3466" t="s">
        <v>27</v>
      </c>
      <c r="L3466" t="s">
        <v>15</v>
      </c>
    </row>
    <row r="3467" spans="1:12" x14ac:dyDescent="0.3">
      <c r="A3467">
        <v>62513</v>
      </c>
      <c r="B3467" t="s">
        <v>13</v>
      </c>
      <c r="C3467">
        <v>28</v>
      </c>
      <c r="D3467" t="s">
        <v>15</v>
      </c>
      <c r="E3467" t="s">
        <v>15</v>
      </c>
      <c r="F3467" t="s">
        <v>16</v>
      </c>
      <c r="G3467" t="s">
        <v>17</v>
      </c>
      <c r="H3467" t="s">
        <v>23</v>
      </c>
      <c r="I3467">
        <v>141.16</v>
      </c>
      <c r="J3467">
        <v>36.700000000000003</v>
      </c>
      <c r="K3467" t="s">
        <v>25</v>
      </c>
      <c r="L3467" t="s">
        <v>15</v>
      </c>
    </row>
    <row r="3468" spans="1:12" x14ac:dyDescent="0.3">
      <c r="A3468">
        <v>18040</v>
      </c>
      <c r="B3468" t="s">
        <v>13</v>
      </c>
      <c r="C3468">
        <v>49</v>
      </c>
      <c r="D3468" t="s">
        <v>15</v>
      </c>
      <c r="E3468" t="s">
        <v>15</v>
      </c>
      <c r="F3468" t="s">
        <v>16</v>
      </c>
      <c r="G3468" t="s">
        <v>19</v>
      </c>
      <c r="H3468" t="s">
        <v>23</v>
      </c>
      <c r="I3468">
        <v>89.61</v>
      </c>
      <c r="J3468">
        <v>27.7</v>
      </c>
      <c r="K3468" t="s">
        <v>25</v>
      </c>
      <c r="L3468" t="s">
        <v>15</v>
      </c>
    </row>
    <row r="3469" spans="1:12" x14ac:dyDescent="0.3">
      <c r="A3469">
        <v>10374</v>
      </c>
      <c r="B3469" t="s">
        <v>13</v>
      </c>
      <c r="C3469">
        <v>24</v>
      </c>
      <c r="D3469" t="s">
        <v>15</v>
      </c>
      <c r="E3469" t="s">
        <v>15</v>
      </c>
      <c r="F3469" t="s">
        <v>16</v>
      </c>
      <c r="G3469" t="s">
        <v>17</v>
      </c>
      <c r="H3469" t="s">
        <v>23</v>
      </c>
      <c r="I3469">
        <v>76.42</v>
      </c>
      <c r="J3469">
        <v>24.8</v>
      </c>
      <c r="K3469" t="s">
        <v>26</v>
      </c>
      <c r="L3469" t="s">
        <v>15</v>
      </c>
    </row>
    <row r="3470" spans="1:12" x14ac:dyDescent="0.3">
      <c r="A3470">
        <v>37209</v>
      </c>
      <c r="B3470" t="s">
        <v>12</v>
      </c>
      <c r="C3470">
        <v>17</v>
      </c>
      <c r="D3470" t="s">
        <v>15</v>
      </c>
      <c r="E3470" t="s">
        <v>15</v>
      </c>
      <c r="F3470" t="s">
        <v>15</v>
      </c>
      <c r="G3470" t="s">
        <v>21</v>
      </c>
      <c r="H3470" t="s">
        <v>23</v>
      </c>
      <c r="I3470">
        <v>124.38</v>
      </c>
      <c r="J3470">
        <v>31.2</v>
      </c>
      <c r="K3470" t="s">
        <v>25</v>
      </c>
      <c r="L3470" t="s">
        <v>15</v>
      </c>
    </row>
    <row r="3471" spans="1:12" x14ac:dyDescent="0.3">
      <c r="A3471">
        <v>62306</v>
      </c>
      <c r="B3471" t="s">
        <v>13</v>
      </c>
      <c r="C3471">
        <v>69</v>
      </c>
      <c r="D3471" t="s">
        <v>16</v>
      </c>
      <c r="E3471" t="s">
        <v>15</v>
      </c>
      <c r="F3471" t="s">
        <v>16</v>
      </c>
      <c r="G3471" t="s">
        <v>18</v>
      </c>
      <c r="H3471" t="s">
        <v>22</v>
      </c>
      <c r="I3471">
        <v>111.81</v>
      </c>
      <c r="J3471">
        <v>26.1</v>
      </c>
      <c r="K3471" t="s">
        <v>24</v>
      </c>
      <c r="L3471" t="s">
        <v>15</v>
      </c>
    </row>
    <row r="3472" spans="1:12" x14ac:dyDescent="0.3">
      <c r="A3472">
        <v>54101</v>
      </c>
      <c r="B3472" t="s">
        <v>13</v>
      </c>
      <c r="C3472">
        <v>58</v>
      </c>
      <c r="D3472" t="s">
        <v>15</v>
      </c>
      <c r="E3472" t="s">
        <v>15</v>
      </c>
      <c r="F3472" t="s">
        <v>16</v>
      </c>
      <c r="G3472" t="s">
        <v>18</v>
      </c>
      <c r="H3472" t="s">
        <v>23</v>
      </c>
      <c r="I3472">
        <v>57.57</v>
      </c>
      <c r="J3472">
        <v>26.8</v>
      </c>
      <c r="K3472" t="s">
        <v>27</v>
      </c>
      <c r="L3472" t="s">
        <v>15</v>
      </c>
    </row>
    <row r="3473" spans="1:12" x14ac:dyDescent="0.3">
      <c r="A3473">
        <v>12259</v>
      </c>
      <c r="B3473" t="s">
        <v>12</v>
      </c>
      <c r="C3473">
        <v>50</v>
      </c>
      <c r="D3473" t="s">
        <v>15</v>
      </c>
      <c r="E3473" t="s">
        <v>15</v>
      </c>
      <c r="F3473" t="s">
        <v>16</v>
      </c>
      <c r="G3473" t="s">
        <v>17</v>
      </c>
      <c r="H3473" t="s">
        <v>22</v>
      </c>
      <c r="I3473">
        <v>77.819999999999993</v>
      </c>
      <c r="J3473">
        <v>26.7</v>
      </c>
      <c r="K3473" t="s">
        <v>24</v>
      </c>
      <c r="L3473" t="s">
        <v>15</v>
      </c>
    </row>
    <row r="3474" spans="1:12" x14ac:dyDescent="0.3">
      <c r="A3474">
        <v>37634</v>
      </c>
      <c r="B3474" t="s">
        <v>12</v>
      </c>
      <c r="C3474">
        <v>5</v>
      </c>
      <c r="D3474" t="s">
        <v>15</v>
      </c>
      <c r="E3474" t="s">
        <v>15</v>
      </c>
      <c r="F3474" t="s">
        <v>15</v>
      </c>
      <c r="G3474" t="s">
        <v>20</v>
      </c>
      <c r="H3474" t="s">
        <v>22</v>
      </c>
      <c r="I3474">
        <v>60.09</v>
      </c>
      <c r="J3474">
        <v>19.600000000000001</v>
      </c>
      <c r="K3474" t="s">
        <v>27</v>
      </c>
      <c r="L3474" t="s">
        <v>15</v>
      </c>
    </row>
    <row r="3475" spans="1:12" x14ac:dyDescent="0.3">
      <c r="A3475">
        <v>22548</v>
      </c>
      <c r="B3475" t="s">
        <v>13</v>
      </c>
      <c r="C3475">
        <v>34</v>
      </c>
      <c r="D3475" t="s">
        <v>15</v>
      </c>
      <c r="E3475" t="s">
        <v>15</v>
      </c>
      <c r="F3475" t="s">
        <v>16</v>
      </c>
      <c r="G3475" t="s">
        <v>17</v>
      </c>
      <c r="H3475" t="s">
        <v>22</v>
      </c>
      <c r="I3475">
        <v>91.02</v>
      </c>
      <c r="J3475">
        <v>25.8</v>
      </c>
      <c r="K3475" t="s">
        <v>25</v>
      </c>
      <c r="L3475" t="s">
        <v>15</v>
      </c>
    </row>
    <row r="3476" spans="1:12" x14ac:dyDescent="0.3">
      <c r="A3476">
        <v>65407</v>
      </c>
      <c r="B3476" t="s">
        <v>13</v>
      </c>
      <c r="C3476">
        <v>64</v>
      </c>
      <c r="D3476" t="s">
        <v>15</v>
      </c>
      <c r="E3476" t="s">
        <v>15</v>
      </c>
      <c r="F3476" t="s">
        <v>16</v>
      </c>
      <c r="G3476" t="s">
        <v>18</v>
      </c>
      <c r="H3476" t="s">
        <v>23</v>
      </c>
      <c r="I3476">
        <v>65.459999999999994</v>
      </c>
      <c r="J3476">
        <v>32.5</v>
      </c>
      <c r="K3476" t="s">
        <v>24</v>
      </c>
      <c r="L3476" t="s">
        <v>15</v>
      </c>
    </row>
    <row r="3477" spans="1:12" x14ac:dyDescent="0.3">
      <c r="A3477">
        <v>50723</v>
      </c>
      <c r="B3477" t="s">
        <v>12</v>
      </c>
      <c r="C3477">
        <v>47</v>
      </c>
      <c r="D3477" t="s">
        <v>15</v>
      </c>
      <c r="E3477" t="s">
        <v>15</v>
      </c>
      <c r="F3477" t="s">
        <v>16</v>
      </c>
      <c r="G3477" t="s">
        <v>17</v>
      </c>
      <c r="H3477" t="s">
        <v>23</v>
      </c>
      <c r="I3477">
        <v>131.19</v>
      </c>
      <c r="J3477">
        <v>28.3</v>
      </c>
      <c r="K3477" t="s">
        <v>26</v>
      </c>
      <c r="L3477" t="s">
        <v>15</v>
      </c>
    </row>
    <row r="3478" spans="1:12" x14ac:dyDescent="0.3">
      <c r="A3478">
        <v>20890</v>
      </c>
      <c r="B3478" t="s">
        <v>13</v>
      </c>
      <c r="C3478">
        <v>61</v>
      </c>
      <c r="D3478" t="s">
        <v>15</v>
      </c>
      <c r="E3478" t="s">
        <v>15</v>
      </c>
      <c r="F3478" t="s">
        <v>16</v>
      </c>
      <c r="G3478" t="s">
        <v>17</v>
      </c>
      <c r="H3478" t="s">
        <v>23</v>
      </c>
      <c r="I3478">
        <v>79.89</v>
      </c>
      <c r="J3478">
        <v>24.5</v>
      </c>
      <c r="K3478" t="s">
        <v>26</v>
      </c>
      <c r="L3478" t="s">
        <v>15</v>
      </c>
    </row>
    <row r="3479" spans="1:12" x14ac:dyDescent="0.3">
      <c r="A3479">
        <v>52472</v>
      </c>
      <c r="B3479" t="s">
        <v>12</v>
      </c>
      <c r="C3479">
        <v>14</v>
      </c>
      <c r="D3479" t="s">
        <v>15</v>
      </c>
      <c r="E3479" t="s">
        <v>15</v>
      </c>
      <c r="F3479" t="s">
        <v>15</v>
      </c>
      <c r="G3479" t="s">
        <v>20</v>
      </c>
      <c r="H3479" t="s">
        <v>22</v>
      </c>
      <c r="I3479">
        <v>74.540000000000006</v>
      </c>
      <c r="J3479">
        <v>25.2</v>
      </c>
      <c r="K3479" t="s">
        <v>27</v>
      </c>
      <c r="L3479" t="s">
        <v>15</v>
      </c>
    </row>
    <row r="3480" spans="1:12" x14ac:dyDescent="0.3">
      <c r="A3480">
        <v>42859</v>
      </c>
      <c r="B3480" t="s">
        <v>13</v>
      </c>
      <c r="C3480">
        <v>57</v>
      </c>
      <c r="D3480" t="s">
        <v>15</v>
      </c>
      <c r="E3480" t="s">
        <v>15</v>
      </c>
      <c r="F3480" t="s">
        <v>16</v>
      </c>
      <c r="G3480" t="s">
        <v>17</v>
      </c>
      <c r="H3480" t="s">
        <v>22</v>
      </c>
      <c r="I3480">
        <v>231.31</v>
      </c>
      <c r="J3480">
        <v>32.299999999999997</v>
      </c>
      <c r="K3480" t="s">
        <v>25</v>
      </c>
      <c r="L3480" t="s">
        <v>15</v>
      </c>
    </row>
    <row r="3481" spans="1:12" x14ac:dyDescent="0.3">
      <c r="A3481">
        <v>3167</v>
      </c>
      <c r="B3481" t="s">
        <v>12</v>
      </c>
      <c r="C3481">
        <v>53</v>
      </c>
      <c r="D3481" t="s">
        <v>15</v>
      </c>
      <c r="E3481" t="s">
        <v>16</v>
      </c>
      <c r="F3481" t="s">
        <v>16</v>
      </c>
      <c r="G3481" t="s">
        <v>17</v>
      </c>
      <c r="H3481" t="s">
        <v>22</v>
      </c>
      <c r="I3481">
        <v>91.57</v>
      </c>
      <c r="J3481">
        <v>30.1</v>
      </c>
      <c r="K3481" t="s">
        <v>24</v>
      </c>
      <c r="L3481" t="s">
        <v>15</v>
      </c>
    </row>
    <row r="3482" spans="1:12" x14ac:dyDescent="0.3">
      <c r="A3482">
        <v>56469</v>
      </c>
      <c r="B3482" t="s">
        <v>12</v>
      </c>
      <c r="C3482">
        <v>67</v>
      </c>
      <c r="D3482" t="s">
        <v>15</v>
      </c>
      <c r="E3482" t="s">
        <v>15</v>
      </c>
      <c r="F3482" t="s">
        <v>16</v>
      </c>
      <c r="G3482" t="s">
        <v>17</v>
      </c>
      <c r="H3482" t="s">
        <v>22</v>
      </c>
      <c r="I3482">
        <v>238.78</v>
      </c>
      <c r="J3482">
        <v>35.700000000000003</v>
      </c>
      <c r="K3482" t="s">
        <v>24</v>
      </c>
      <c r="L3482" t="s">
        <v>15</v>
      </c>
    </row>
    <row r="3483" spans="1:12" x14ac:dyDescent="0.3">
      <c r="A3483">
        <v>23851</v>
      </c>
      <c r="B3483" t="s">
        <v>13</v>
      </c>
      <c r="C3483">
        <v>57</v>
      </c>
      <c r="D3483" t="s">
        <v>15</v>
      </c>
      <c r="E3483" t="s">
        <v>15</v>
      </c>
      <c r="F3483" t="s">
        <v>15</v>
      </c>
      <c r="G3483" t="s">
        <v>17</v>
      </c>
      <c r="H3483" t="s">
        <v>23</v>
      </c>
      <c r="I3483">
        <v>87.18</v>
      </c>
      <c r="J3483">
        <v>20</v>
      </c>
      <c r="K3483" t="s">
        <v>24</v>
      </c>
      <c r="L3483" t="s">
        <v>15</v>
      </c>
    </row>
    <row r="3484" spans="1:12" x14ac:dyDescent="0.3">
      <c r="A3484">
        <v>30571</v>
      </c>
      <c r="B3484" t="s">
        <v>13</v>
      </c>
      <c r="C3484">
        <v>38</v>
      </c>
      <c r="D3484" t="s">
        <v>15</v>
      </c>
      <c r="E3484" t="s">
        <v>15</v>
      </c>
      <c r="F3484" t="s">
        <v>16</v>
      </c>
      <c r="G3484" t="s">
        <v>19</v>
      </c>
      <c r="H3484" t="s">
        <v>23</v>
      </c>
      <c r="I3484">
        <v>78.94</v>
      </c>
      <c r="J3484">
        <v>23.5</v>
      </c>
      <c r="K3484" t="s">
        <v>27</v>
      </c>
      <c r="L3484" t="s">
        <v>15</v>
      </c>
    </row>
    <row r="3485" spans="1:12" x14ac:dyDescent="0.3">
      <c r="A3485">
        <v>67786</v>
      </c>
      <c r="B3485" t="s">
        <v>13</v>
      </c>
      <c r="C3485">
        <v>13</v>
      </c>
      <c r="D3485" t="s">
        <v>15</v>
      </c>
      <c r="E3485" t="s">
        <v>15</v>
      </c>
      <c r="F3485" t="s">
        <v>15</v>
      </c>
      <c r="G3485" t="s">
        <v>20</v>
      </c>
      <c r="H3485" t="s">
        <v>23</v>
      </c>
      <c r="I3485">
        <v>69.010000000000005</v>
      </c>
      <c r="J3485">
        <v>23.4</v>
      </c>
      <c r="K3485" t="s">
        <v>27</v>
      </c>
      <c r="L3485" t="s">
        <v>15</v>
      </c>
    </row>
    <row r="3486" spans="1:12" x14ac:dyDescent="0.3">
      <c r="A3486">
        <v>41404</v>
      </c>
      <c r="B3486" t="s">
        <v>13</v>
      </c>
      <c r="C3486">
        <v>37</v>
      </c>
      <c r="D3486" t="s">
        <v>15</v>
      </c>
      <c r="E3486" t="s">
        <v>15</v>
      </c>
      <c r="F3486" t="s">
        <v>16</v>
      </c>
      <c r="G3486" t="s">
        <v>17</v>
      </c>
      <c r="H3486" t="s">
        <v>23</v>
      </c>
      <c r="I3486">
        <v>110.28</v>
      </c>
      <c r="J3486">
        <v>22.3</v>
      </c>
      <c r="K3486" t="s">
        <v>25</v>
      </c>
      <c r="L3486" t="s">
        <v>15</v>
      </c>
    </row>
    <row r="3487" spans="1:12" x14ac:dyDescent="0.3">
      <c r="A3487">
        <v>33960</v>
      </c>
      <c r="B3487" t="s">
        <v>12</v>
      </c>
      <c r="C3487">
        <v>39</v>
      </c>
      <c r="D3487" t="s">
        <v>16</v>
      </c>
      <c r="E3487" t="s">
        <v>15</v>
      </c>
      <c r="F3487" t="s">
        <v>16</v>
      </c>
      <c r="G3487" t="s">
        <v>18</v>
      </c>
      <c r="H3487" t="s">
        <v>22</v>
      </c>
      <c r="I3487">
        <v>71.66</v>
      </c>
      <c r="J3487">
        <v>28.7</v>
      </c>
      <c r="K3487" t="s">
        <v>25</v>
      </c>
      <c r="L3487" t="s">
        <v>15</v>
      </c>
    </row>
    <row r="3488" spans="1:12" x14ac:dyDescent="0.3">
      <c r="A3488">
        <v>70833</v>
      </c>
      <c r="B3488" t="s">
        <v>13</v>
      </c>
      <c r="C3488">
        <v>13</v>
      </c>
      <c r="D3488" t="s">
        <v>15</v>
      </c>
      <c r="E3488" t="s">
        <v>15</v>
      </c>
      <c r="F3488" t="s">
        <v>15</v>
      </c>
      <c r="G3488" t="s">
        <v>17</v>
      </c>
      <c r="H3488" t="s">
        <v>22</v>
      </c>
      <c r="I3488">
        <v>62.57</v>
      </c>
      <c r="J3488">
        <v>20.9</v>
      </c>
      <c r="K3488" t="s">
        <v>27</v>
      </c>
      <c r="L3488" t="s">
        <v>15</v>
      </c>
    </row>
    <row r="3489" spans="1:12" x14ac:dyDescent="0.3">
      <c r="A3489">
        <v>65731</v>
      </c>
      <c r="B3489" t="s">
        <v>12</v>
      </c>
      <c r="C3489">
        <v>57</v>
      </c>
      <c r="D3489" t="s">
        <v>15</v>
      </c>
      <c r="E3489" t="s">
        <v>15</v>
      </c>
      <c r="F3489" t="s">
        <v>16</v>
      </c>
      <c r="G3489" t="s">
        <v>18</v>
      </c>
      <c r="H3489" t="s">
        <v>22</v>
      </c>
      <c r="I3489">
        <v>83.64</v>
      </c>
      <c r="J3489">
        <v>29.4</v>
      </c>
      <c r="K3489" t="s">
        <v>26</v>
      </c>
      <c r="L3489" t="s">
        <v>15</v>
      </c>
    </row>
    <row r="3490" spans="1:12" x14ac:dyDescent="0.3">
      <c r="A3490">
        <v>57968</v>
      </c>
      <c r="B3490" t="s">
        <v>13</v>
      </c>
      <c r="C3490">
        <v>11</v>
      </c>
      <c r="D3490" t="s">
        <v>15</v>
      </c>
      <c r="E3490" t="s">
        <v>15</v>
      </c>
      <c r="F3490" t="s">
        <v>15</v>
      </c>
      <c r="G3490" t="s">
        <v>20</v>
      </c>
      <c r="H3490" t="s">
        <v>22</v>
      </c>
      <c r="I3490">
        <v>107.18</v>
      </c>
      <c r="J3490">
        <v>27.6</v>
      </c>
      <c r="K3490" t="s">
        <v>27</v>
      </c>
      <c r="L3490" t="s">
        <v>15</v>
      </c>
    </row>
    <row r="3491" spans="1:12" x14ac:dyDescent="0.3">
      <c r="A3491">
        <v>57539</v>
      </c>
      <c r="B3491" t="s">
        <v>13</v>
      </c>
      <c r="C3491">
        <v>68</v>
      </c>
      <c r="D3491" t="s">
        <v>15</v>
      </c>
      <c r="E3491" t="s">
        <v>15</v>
      </c>
      <c r="F3491" t="s">
        <v>16</v>
      </c>
      <c r="G3491" t="s">
        <v>17</v>
      </c>
      <c r="H3491" t="s">
        <v>23</v>
      </c>
      <c r="I3491">
        <v>233.59</v>
      </c>
      <c r="J3491">
        <v>43.9</v>
      </c>
      <c r="K3491" t="s">
        <v>25</v>
      </c>
      <c r="L3491" t="s">
        <v>15</v>
      </c>
    </row>
    <row r="3492" spans="1:12" x14ac:dyDescent="0.3">
      <c r="A3492">
        <v>17745</v>
      </c>
      <c r="B3492" t="s">
        <v>12</v>
      </c>
      <c r="C3492">
        <v>79</v>
      </c>
      <c r="D3492" t="s">
        <v>16</v>
      </c>
      <c r="E3492" t="s">
        <v>15</v>
      </c>
      <c r="F3492" t="s">
        <v>16</v>
      </c>
      <c r="G3492" t="s">
        <v>18</v>
      </c>
      <c r="H3492" t="s">
        <v>22</v>
      </c>
      <c r="I3492">
        <v>84.88</v>
      </c>
      <c r="J3492">
        <v>28.7</v>
      </c>
      <c r="K3492" t="s">
        <v>24</v>
      </c>
      <c r="L3492" t="s">
        <v>15</v>
      </c>
    </row>
    <row r="3493" spans="1:12" x14ac:dyDescent="0.3">
      <c r="A3493">
        <v>33252</v>
      </c>
      <c r="B3493" t="s">
        <v>13</v>
      </c>
      <c r="C3493">
        <v>24</v>
      </c>
      <c r="D3493" t="s">
        <v>15</v>
      </c>
      <c r="E3493" t="s">
        <v>15</v>
      </c>
      <c r="F3493" t="s">
        <v>15</v>
      </c>
      <c r="G3493" t="s">
        <v>17</v>
      </c>
      <c r="H3493" t="s">
        <v>23</v>
      </c>
      <c r="I3493">
        <v>97.95</v>
      </c>
      <c r="J3493">
        <v>34.700000000000003</v>
      </c>
      <c r="K3493" t="s">
        <v>27</v>
      </c>
      <c r="L3493" t="s">
        <v>15</v>
      </c>
    </row>
    <row r="3494" spans="1:12" x14ac:dyDescent="0.3">
      <c r="A3494">
        <v>69789</v>
      </c>
      <c r="B3494" t="s">
        <v>13</v>
      </c>
      <c r="C3494">
        <v>44</v>
      </c>
      <c r="D3494" t="s">
        <v>15</v>
      </c>
      <c r="E3494" t="s">
        <v>15</v>
      </c>
      <c r="F3494" t="s">
        <v>16</v>
      </c>
      <c r="G3494" t="s">
        <v>17</v>
      </c>
      <c r="H3494" t="s">
        <v>23</v>
      </c>
      <c r="I3494">
        <v>58.19</v>
      </c>
      <c r="J3494">
        <v>37.1</v>
      </c>
      <c r="K3494" t="s">
        <v>27</v>
      </c>
      <c r="L3494" t="s">
        <v>15</v>
      </c>
    </row>
    <row r="3495" spans="1:12" x14ac:dyDescent="0.3">
      <c r="A3495">
        <v>40076</v>
      </c>
      <c r="B3495" t="s">
        <v>13</v>
      </c>
      <c r="C3495">
        <v>46</v>
      </c>
      <c r="D3495" t="s">
        <v>15</v>
      </c>
      <c r="E3495" t="s">
        <v>15</v>
      </c>
      <c r="F3495" t="s">
        <v>16</v>
      </c>
      <c r="G3495" t="s">
        <v>17</v>
      </c>
      <c r="H3495" t="s">
        <v>23</v>
      </c>
      <c r="I3495">
        <v>70.11</v>
      </c>
      <c r="J3495">
        <v>24.2</v>
      </c>
      <c r="K3495" t="s">
        <v>25</v>
      </c>
      <c r="L3495" t="s">
        <v>15</v>
      </c>
    </row>
    <row r="3496" spans="1:12" x14ac:dyDescent="0.3">
      <c r="A3496">
        <v>10323</v>
      </c>
      <c r="B3496" t="s">
        <v>13</v>
      </c>
      <c r="C3496">
        <v>66</v>
      </c>
      <c r="D3496" t="s">
        <v>15</v>
      </c>
      <c r="E3496" t="s">
        <v>15</v>
      </c>
      <c r="F3496" t="s">
        <v>16</v>
      </c>
      <c r="G3496" t="s">
        <v>17</v>
      </c>
      <c r="H3496" t="s">
        <v>22</v>
      </c>
      <c r="I3496">
        <v>112.77</v>
      </c>
      <c r="J3496">
        <v>22.7</v>
      </c>
      <c r="K3496" t="s">
        <v>26</v>
      </c>
      <c r="L3496" t="s">
        <v>15</v>
      </c>
    </row>
    <row r="3497" spans="1:12" x14ac:dyDescent="0.3">
      <c r="A3497">
        <v>23514</v>
      </c>
      <c r="B3497" t="s">
        <v>13</v>
      </c>
      <c r="C3497">
        <v>61</v>
      </c>
      <c r="D3497" t="s">
        <v>15</v>
      </c>
      <c r="E3497" t="s">
        <v>15</v>
      </c>
      <c r="F3497" t="s">
        <v>16</v>
      </c>
      <c r="G3497" t="s">
        <v>18</v>
      </c>
      <c r="H3497" t="s">
        <v>22</v>
      </c>
      <c r="I3497">
        <v>75.459999999999994</v>
      </c>
      <c r="J3497">
        <v>29.3</v>
      </c>
      <c r="K3497" t="s">
        <v>24</v>
      </c>
      <c r="L3497" t="s">
        <v>15</v>
      </c>
    </row>
    <row r="3498" spans="1:12" x14ac:dyDescent="0.3">
      <c r="A3498">
        <v>37395</v>
      </c>
      <c r="B3498" t="s">
        <v>13</v>
      </c>
      <c r="C3498">
        <v>16</v>
      </c>
      <c r="D3498" t="s">
        <v>15</v>
      </c>
      <c r="E3498" t="s">
        <v>15</v>
      </c>
      <c r="F3498" t="s">
        <v>15</v>
      </c>
      <c r="G3498" t="s">
        <v>17</v>
      </c>
      <c r="H3498" t="s">
        <v>22</v>
      </c>
      <c r="I3498">
        <v>63.63</v>
      </c>
      <c r="J3498">
        <v>20</v>
      </c>
      <c r="K3498" t="s">
        <v>26</v>
      </c>
      <c r="L3498" t="s">
        <v>15</v>
      </c>
    </row>
    <row r="3499" spans="1:12" x14ac:dyDescent="0.3">
      <c r="A3499">
        <v>8240</v>
      </c>
      <c r="B3499" t="s">
        <v>13</v>
      </c>
      <c r="C3499">
        <v>37</v>
      </c>
      <c r="D3499" t="s">
        <v>15</v>
      </c>
      <c r="E3499" t="s">
        <v>15</v>
      </c>
      <c r="F3499" t="s">
        <v>16</v>
      </c>
      <c r="G3499" t="s">
        <v>17</v>
      </c>
      <c r="H3499" t="s">
        <v>22</v>
      </c>
      <c r="I3499">
        <v>100.22</v>
      </c>
      <c r="J3499">
        <v>22.7</v>
      </c>
      <c r="K3499" t="s">
        <v>26</v>
      </c>
      <c r="L3499" t="s">
        <v>15</v>
      </c>
    </row>
    <row r="3500" spans="1:12" x14ac:dyDescent="0.3">
      <c r="A3500">
        <v>9620</v>
      </c>
      <c r="B3500" t="s">
        <v>13</v>
      </c>
      <c r="C3500">
        <v>43</v>
      </c>
      <c r="D3500" t="s">
        <v>15</v>
      </c>
      <c r="E3500" t="s">
        <v>15</v>
      </c>
      <c r="F3500" t="s">
        <v>16</v>
      </c>
      <c r="G3500" t="s">
        <v>19</v>
      </c>
      <c r="H3500" t="s">
        <v>23</v>
      </c>
      <c r="I3500">
        <v>81.77</v>
      </c>
      <c r="J3500">
        <v>25.4</v>
      </c>
      <c r="K3500" t="s">
        <v>25</v>
      </c>
      <c r="L3500" t="s">
        <v>15</v>
      </c>
    </row>
    <row r="3501" spans="1:12" x14ac:dyDescent="0.3">
      <c r="A3501">
        <v>7092</v>
      </c>
      <c r="B3501" t="s">
        <v>13</v>
      </c>
      <c r="C3501">
        <v>27</v>
      </c>
      <c r="D3501" t="s">
        <v>15</v>
      </c>
      <c r="E3501" t="s">
        <v>15</v>
      </c>
      <c r="F3501" t="s">
        <v>16</v>
      </c>
      <c r="G3501" t="s">
        <v>17</v>
      </c>
      <c r="H3501" t="s">
        <v>23</v>
      </c>
      <c r="I3501">
        <v>94.25</v>
      </c>
      <c r="J3501">
        <v>37.6</v>
      </c>
      <c r="K3501" t="s">
        <v>25</v>
      </c>
      <c r="L3501" t="s">
        <v>15</v>
      </c>
    </row>
    <row r="3502" spans="1:12" x14ac:dyDescent="0.3">
      <c r="A3502">
        <v>50216</v>
      </c>
      <c r="B3502" t="s">
        <v>12</v>
      </c>
      <c r="C3502">
        <v>44</v>
      </c>
      <c r="D3502" t="s">
        <v>16</v>
      </c>
      <c r="E3502" t="s">
        <v>15</v>
      </c>
      <c r="F3502" t="s">
        <v>16</v>
      </c>
      <c r="G3502" t="s">
        <v>18</v>
      </c>
      <c r="H3502" t="s">
        <v>23</v>
      </c>
      <c r="I3502">
        <v>188.13</v>
      </c>
      <c r="J3502">
        <v>44.7</v>
      </c>
      <c r="K3502" t="s">
        <v>24</v>
      </c>
      <c r="L3502" t="s">
        <v>15</v>
      </c>
    </row>
    <row r="3503" spans="1:12" x14ac:dyDescent="0.3">
      <c r="A3503">
        <v>59506</v>
      </c>
      <c r="B3503" t="s">
        <v>12</v>
      </c>
      <c r="C3503">
        <v>14</v>
      </c>
      <c r="D3503" t="s">
        <v>15</v>
      </c>
      <c r="E3503" t="s">
        <v>15</v>
      </c>
      <c r="F3503" t="s">
        <v>15</v>
      </c>
      <c r="G3503" t="s">
        <v>17</v>
      </c>
      <c r="H3503" t="s">
        <v>23</v>
      </c>
      <c r="I3503">
        <v>164.7</v>
      </c>
      <c r="J3503">
        <v>26.3</v>
      </c>
      <c r="K3503" t="s">
        <v>27</v>
      </c>
      <c r="L3503" t="s">
        <v>15</v>
      </c>
    </row>
    <row r="3504" spans="1:12" x14ac:dyDescent="0.3">
      <c r="A3504">
        <v>43397</v>
      </c>
      <c r="B3504" t="s">
        <v>12</v>
      </c>
      <c r="C3504">
        <v>81</v>
      </c>
      <c r="D3504" t="s">
        <v>15</v>
      </c>
      <c r="E3504" t="s">
        <v>16</v>
      </c>
      <c r="F3504" t="s">
        <v>16</v>
      </c>
      <c r="G3504" t="s">
        <v>18</v>
      </c>
      <c r="H3504" t="s">
        <v>23</v>
      </c>
      <c r="I3504">
        <v>68.27</v>
      </c>
      <c r="J3504">
        <v>25</v>
      </c>
      <c r="K3504" t="s">
        <v>27</v>
      </c>
      <c r="L3504" t="s">
        <v>15</v>
      </c>
    </row>
    <row r="3505" spans="1:12" x14ac:dyDescent="0.3">
      <c r="A3505">
        <v>62384</v>
      </c>
      <c r="B3505" t="s">
        <v>12</v>
      </c>
      <c r="C3505">
        <v>52</v>
      </c>
      <c r="D3505" t="s">
        <v>15</v>
      </c>
      <c r="E3505" t="s">
        <v>16</v>
      </c>
      <c r="F3505" t="s">
        <v>15</v>
      </c>
      <c r="G3505" t="s">
        <v>18</v>
      </c>
      <c r="H3505" t="s">
        <v>23</v>
      </c>
      <c r="I3505">
        <v>79.81</v>
      </c>
      <c r="K3505" t="s">
        <v>24</v>
      </c>
      <c r="L3505" t="s">
        <v>15</v>
      </c>
    </row>
    <row r="3506" spans="1:12" x14ac:dyDescent="0.3">
      <c r="A3506">
        <v>10651</v>
      </c>
      <c r="B3506" t="s">
        <v>12</v>
      </c>
      <c r="C3506">
        <v>54</v>
      </c>
      <c r="D3506" t="s">
        <v>16</v>
      </c>
      <c r="E3506" t="s">
        <v>15</v>
      </c>
      <c r="F3506" t="s">
        <v>16</v>
      </c>
      <c r="G3506" t="s">
        <v>19</v>
      </c>
      <c r="H3506" t="s">
        <v>23</v>
      </c>
      <c r="I3506">
        <v>100.12</v>
      </c>
      <c r="J3506">
        <v>32.299999999999997</v>
      </c>
      <c r="K3506" t="s">
        <v>24</v>
      </c>
      <c r="L3506" t="s">
        <v>15</v>
      </c>
    </row>
    <row r="3507" spans="1:12" x14ac:dyDescent="0.3">
      <c r="A3507">
        <v>69750</v>
      </c>
      <c r="B3507" t="s">
        <v>13</v>
      </c>
      <c r="C3507">
        <v>77</v>
      </c>
      <c r="D3507" t="s">
        <v>15</v>
      </c>
      <c r="E3507" t="s">
        <v>15</v>
      </c>
      <c r="F3507" t="s">
        <v>16</v>
      </c>
      <c r="G3507" t="s">
        <v>18</v>
      </c>
      <c r="H3507" t="s">
        <v>22</v>
      </c>
      <c r="I3507">
        <v>151.22999999999999</v>
      </c>
      <c r="J3507">
        <v>24.9</v>
      </c>
      <c r="K3507" t="s">
        <v>25</v>
      </c>
      <c r="L3507" t="s">
        <v>15</v>
      </c>
    </row>
    <row r="3508" spans="1:12" x14ac:dyDescent="0.3">
      <c r="A3508">
        <v>55455</v>
      </c>
      <c r="B3508" t="s">
        <v>12</v>
      </c>
      <c r="C3508">
        <v>27</v>
      </c>
      <c r="D3508" t="s">
        <v>15</v>
      </c>
      <c r="E3508" t="s">
        <v>15</v>
      </c>
      <c r="F3508" t="s">
        <v>15</v>
      </c>
      <c r="G3508" t="s">
        <v>17</v>
      </c>
      <c r="H3508" t="s">
        <v>23</v>
      </c>
      <c r="I3508">
        <v>112.41</v>
      </c>
      <c r="J3508">
        <v>33.700000000000003</v>
      </c>
      <c r="K3508" t="s">
        <v>25</v>
      </c>
      <c r="L3508" t="s">
        <v>15</v>
      </c>
    </row>
    <row r="3509" spans="1:12" x14ac:dyDescent="0.3">
      <c r="A3509">
        <v>34230</v>
      </c>
      <c r="B3509" t="s">
        <v>13</v>
      </c>
      <c r="C3509">
        <v>35</v>
      </c>
      <c r="D3509" t="s">
        <v>15</v>
      </c>
      <c r="E3509" t="s">
        <v>15</v>
      </c>
      <c r="F3509" t="s">
        <v>16</v>
      </c>
      <c r="G3509" t="s">
        <v>18</v>
      </c>
      <c r="H3509" t="s">
        <v>22</v>
      </c>
      <c r="I3509">
        <v>205.97</v>
      </c>
      <c r="J3509">
        <v>26.6</v>
      </c>
      <c r="K3509" t="s">
        <v>24</v>
      </c>
      <c r="L3509" t="s">
        <v>15</v>
      </c>
    </row>
    <row r="3510" spans="1:12" x14ac:dyDescent="0.3">
      <c r="A3510">
        <v>65154</v>
      </c>
      <c r="B3510" t="s">
        <v>13</v>
      </c>
      <c r="C3510">
        <v>30</v>
      </c>
      <c r="D3510" t="s">
        <v>15</v>
      </c>
      <c r="E3510" t="s">
        <v>15</v>
      </c>
      <c r="F3510" t="s">
        <v>16</v>
      </c>
      <c r="G3510" t="s">
        <v>17</v>
      </c>
      <c r="H3510" t="s">
        <v>22</v>
      </c>
      <c r="I3510">
        <v>112.19</v>
      </c>
      <c r="J3510">
        <v>53.4</v>
      </c>
      <c r="K3510" t="s">
        <v>25</v>
      </c>
      <c r="L3510" t="s">
        <v>15</v>
      </c>
    </row>
    <row r="3511" spans="1:12" x14ac:dyDescent="0.3">
      <c r="A3511">
        <v>36298</v>
      </c>
      <c r="B3511" t="s">
        <v>13</v>
      </c>
      <c r="C3511">
        <v>48</v>
      </c>
      <c r="D3511" t="s">
        <v>15</v>
      </c>
      <c r="E3511" t="s">
        <v>15</v>
      </c>
      <c r="F3511" t="s">
        <v>16</v>
      </c>
      <c r="G3511" t="s">
        <v>18</v>
      </c>
      <c r="H3511" t="s">
        <v>23</v>
      </c>
      <c r="I3511">
        <v>71.930000000000007</v>
      </c>
      <c r="J3511">
        <v>41.7</v>
      </c>
      <c r="K3511" t="s">
        <v>25</v>
      </c>
      <c r="L3511" t="s">
        <v>15</v>
      </c>
    </row>
    <row r="3512" spans="1:12" x14ac:dyDescent="0.3">
      <c r="A3512">
        <v>13171</v>
      </c>
      <c r="B3512" t="s">
        <v>13</v>
      </c>
      <c r="C3512">
        <v>15</v>
      </c>
      <c r="D3512" t="s">
        <v>15</v>
      </c>
      <c r="E3512" t="s">
        <v>15</v>
      </c>
      <c r="F3512" t="s">
        <v>15</v>
      </c>
      <c r="G3512" t="s">
        <v>20</v>
      </c>
      <c r="H3512" t="s">
        <v>22</v>
      </c>
      <c r="I3512">
        <v>190.89</v>
      </c>
      <c r="J3512">
        <v>22</v>
      </c>
      <c r="K3512" t="s">
        <v>25</v>
      </c>
      <c r="L3512" t="s">
        <v>15</v>
      </c>
    </row>
    <row r="3513" spans="1:12" x14ac:dyDescent="0.3">
      <c r="A3513">
        <v>62983</v>
      </c>
      <c r="B3513" t="s">
        <v>13</v>
      </c>
      <c r="C3513">
        <v>26</v>
      </c>
      <c r="D3513" t="s">
        <v>15</v>
      </c>
      <c r="E3513" t="s">
        <v>15</v>
      </c>
      <c r="F3513" t="s">
        <v>16</v>
      </c>
      <c r="G3513" t="s">
        <v>17</v>
      </c>
      <c r="H3513" t="s">
        <v>22</v>
      </c>
      <c r="I3513">
        <v>138.02000000000001</v>
      </c>
      <c r="J3513">
        <v>20.3</v>
      </c>
      <c r="K3513" t="s">
        <v>26</v>
      </c>
      <c r="L3513" t="s">
        <v>15</v>
      </c>
    </row>
    <row r="3514" spans="1:12" x14ac:dyDescent="0.3">
      <c r="A3514">
        <v>44834</v>
      </c>
      <c r="B3514" t="s">
        <v>13</v>
      </c>
      <c r="C3514">
        <v>38</v>
      </c>
      <c r="D3514" t="s">
        <v>15</v>
      </c>
      <c r="E3514" t="s">
        <v>15</v>
      </c>
      <c r="F3514" t="s">
        <v>16</v>
      </c>
      <c r="G3514" t="s">
        <v>17</v>
      </c>
      <c r="H3514" t="s">
        <v>23</v>
      </c>
      <c r="I3514">
        <v>66.16</v>
      </c>
      <c r="J3514">
        <v>42.7</v>
      </c>
      <c r="K3514" t="s">
        <v>27</v>
      </c>
      <c r="L3514" t="s">
        <v>15</v>
      </c>
    </row>
    <row r="3515" spans="1:12" x14ac:dyDescent="0.3">
      <c r="A3515">
        <v>67411</v>
      </c>
      <c r="B3515" t="s">
        <v>12</v>
      </c>
      <c r="C3515">
        <v>29</v>
      </c>
      <c r="D3515" t="s">
        <v>15</v>
      </c>
      <c r="E3515" t="s">
        <v>15</v>
      </c>
      <c r="F3515" t="s">
        <v>15</v>
      </c>
      <c r="G3515" t="s">
        <v>17</v>
      </c>
      <c r="H3515" t="s">
        <v>23</v>
      </c>
      <c r="I3515">
        <v>105.73</v>
      </c>
      <c r="J3515">
        <v>28.2</v>
      </c>
      <c r="K3515" t="s">
        <v>26</v>
      </c>
      <c r="L3515" t="s">
        <v>15</v>
      </c>
    </row>
    <row r="3516" spans="1:12" x14ac:dyDescent="0.3">
      <c r="A3516">
        <v>5455</v>
      </c>
      <c r="B3516" t="s">
        <v>12</v>
      </c>
      <c r="C3516">
        <v>49</v>
      </c>
      <c r="D3516" t="s">
        <v>15</v>
      </c>
      <c r="E3516" t="s">
        <v>15</v>
      </c>
      <c r="F3516" t="s">
        <v>16</v>
      </c>
      <c r="G3516" t="s">
        <v>17</v>
      </c>
      <c r="H3516" t="s">
        <v>23</v>
      </c>
      <c r="I3516">
        <v>78.34</v>
      </c>
      <c r="J3516">
        <v>32.5</v>
      </c>
      <c r="K3516" t="s">
        <v>27</v>
      </c>
      <c r="L3516" t="s">
        <v>15</v>
      </c>
    </row>
    <row r="3517" spans="1:12" x14ac:dyDescent="0.3">
      <c r="A3517">
        <v>49267</v>
      </c>
      <c r="B3517" t="s">
        <v>13</v>
      </c>
      <c r="C3517">
        <v>55</v>
      </c>
      <c r="D3517" t="s">
        <v>15</v>
      </c>
      <c r="E3517" t="s">
        <v>15</v>
      </c>
      <c r="F3517" t="s">
        <v>16</v>
      </c>
      <c r="G3517" t="s">
        <v>17</v>
      </c>
      <c r="H3517" t="s">
        <v>22</v>
      </c>
      <c r="I3517">
        <v>102.1</v>
      </c>
      <c r="J3517">
        <v>22.5</v>
      </c>
      <c r="K3517" t="s">
        <v>24</v>
      </c>
      <c r="L3517" t="s">
        <v>15</v>
      </c>
    </row>
    <row r="3518" spans="1:12" x14ac:dyDescent="0.3">
      <c r="A3518">
        <v>60464</v>
      </c>
      <c r="B3518" t="s">
        <v>12</v>
      </c>
      <c r="C3518">
        <v>52</v>
      </c>
      <c r="D3518" t="s">
        <v>15</v>
      </c>
      <c r="E3518" t="s">
        <v>15</v>
      </c>
      <c r="F3518" t="s">
        <v>16</v>
      </c>
      <c r="G3518" t="s">
        <v>17</v>
      </c>
      <c r="H3518" t="s">
        <v>22</v>
      </c>
      <c r="I3518">
        <v>97.37</v>
      </c>
      <c r="J3518">
        <v>26.5</v>
      </c>
      <c r="K3518" t="s">
        <v>26</v>
      </c>
      <c r="L3518" t="s">
        <v>15</v>
      </c>
    </row>
    <row r="3519" spans="1:12" x14ac:dyDescent="0.3">
      <c r="A3519">
        <v>56286</v>
      </c>
      <c r="B3519" t="s">
        <v>12</v>
      </c>
      <c r="C3519">
        <v>49</v>
      </c>
      <c r="D3519" t="s">
        <v>15</v>
      </c>
      <c r="E3519" t="s">
        <v>15</v>
      </c>
      <c r="F3519" t="s">
        <v>16</v>
      </c>
      <c r="G3519" t="s">
        <v>17</v>
      </c>
      <c r="H3519" t="s">
        <v>22</v>
      </c>
      <c r="I3519">
        <v>193.87</v>
      </c>
      <c r="J3519">
        <v>41</v>
      </c>
      <c r="K3519" t="s">
        <v>27</v>
      </c>
      <c r="L3519" t="s">
        <v>15</v>
      </c>
    </row>
    <row r="3520" spans="1:12" x14ac:dyDescent="0.3">
      <c r="A3520">
        <v>5223</v>
      </c>
      <c r="B3520" t="s">
        <v>13</v>
      </c>
      <c r="C3520">
        <v>21</v>
      </c>
      <c r="D3520" t="s">
        <v>15</v>
      </c>
      <c r="E3520" t="s">
        <v>15</v>
      </c>
      <c r="F3520" t="s">
        <v>15</v>
      </c>
      <c r="G3520" t="s">
        <v>17</v>
      </c>
      <c r="H3520" t="s">
        <v>23</v>
      </c>
      <c r="I3520">
        <v>78.319999999999993</v>
      </c>
      <c r="J3520">
        <v>27</v>
      </c>
      <c r="K3520" t="s">
        <v>27</v>
      </c>
      <c r="L3520" t="s">
        <v>15</v>
      </c>
    </row>
    <row r="3521" spans="1:12" x14ac:dyDescent="0.3">
      <c r="A3521">
        <v>53302</v>
      </c>
      <c r="B3521" t="s">
        <v>13</v>
      </c>
      <c r="C3521">
        <v>24</v>
      </c>
      <c r="D3521" t="s">
        <v>15</v>
      </c>
      <c r="E3521" t="s">
        <v>15</v>
      </c>
      <c r="F3521" t="s">
        <v>16</v>
      </c>
      <c r="G3521" t="s">
        <v>17</v>
      </c>
      <c r="H3521" t="s">
        <v>23</v>
      </c>
      <c r="I3521">
        <v>130</v>
      </c>
      <c r="J3521">
        <v>25.9</v>
      </c>
      <c r="K3521" t="s">
        <v>24</v>
      </c>
      <c r="L3521" t="s">
        <v>15</v>
      </c>
    </row>
    <row r="3522" spans="1:12" x14ac:dyDescent="0.3">
      <c r="A3522">
        <v>59309</v>
      </c>
      <c r="B3522" t="s">
        <v>12</v>
      </c>
      <c r="C3522">
        <v>18</v>
      </c>
      <c r="D3522" t="s">
        <v>15</v>
      </c>
      <c r="E3522" t="s">
        <v>15</v>
      </c>
      <c r="F3522" t="s">
        <v>15</v>
      </c>
      <c r="G3522" t="s">
        <v>18</v>
      </c>
      <c r="H3522" t="s">
        <v>22</v>
      </c>
      <c r="I3522">
        <v>74</v>
      </c>
      <c r="J3522">
        <v>23.7</v>
      </c>
      <c r="K3522" t="s">
        <v>27</v>
      </c>
      <c r="L3522" t="s">
        <v>15</v>
      </c>
    </row>
    <row r="3523" spans="1:12" x14ac:dyDescent="0.3">
      <c r="A3523">
        <v>69824</v>
      </c>
      <c r="B3523" t="s">
        <v>12</v>
      </c>
      <c r="C3523">
        <v>52</v>
      </c>
      <c r="D3523" t="s">
        <v>15</v>
      </c>
      <c r="E3523" t="s">
        <v>15</v>
      </c>
      <c r="F3523" t="s">
        <v>16</v>
      </c>
      <c r="G3523" t="s">
        <v>17</v>
      </c>
      <c r="H3523" t="s">
        <v>23</v>
      </c>
      <c r="I3523">
        <v>111.04</v>
      </c>
      <c r="J3523">
        <v>30</v>
      </c>
      <c r="K3523" t="s">
        <v>25</v>
      </c>
      <c r="L3523" t="s">
        <v>15</v>
      </c>
    </row>
    <row r="3524" spans="1:12" x14ac:dyDescent="0.3">
      <c r="A3524">
        <v>13173</v>
      </c>
      <c r="B3524" t="s">
        <v>12</v>
      </c>
      <c r="C3524">
        <v>70</v>
      </c>
      <c r="D3524" t="s">
        <v>16</v>
      </c>
      <c r="E3524" t="s">
        <v>15</v>
      </c>
      <c r="F3524" t="s">
        <v>16</v>
      </c>
      <c r="G3524" t="s">
        <v>17</v>
      </c>
      <c r="H3524" t="s">
        <v>22</v>
      </c>
      <c r="I3524">
        <v>214.77</v>
      </c>
      <c r="J3524">
        <v>15</v>
      </c>
      <c r="K3524" t="s">
        <v>24</v>
      </c>
      <c r="L3524" t="s">
        <v>15</v>
      </c>
    </row>
    <row r="3525" spans="1:12" x14ac:dyDescent="0.3">
      <c r="A3525">
        <v>52579</v>
      </c>
      <c r="B3525" t="s">
        <v>13</v>
      </c>
      <c r="C3525">
        <v>51</v>
      </c>
      <c r="D3525" t="s">
        <v>15</v>
      </c>
      <c r="E3525" t="s">
        <v>15</v>
      </c>
      <c r="F3525" t="s">
        <v>16</v>
      </c>
      <c r="G3525" t="s">
        <v>18</v>
      </c>
      <c r="H3525" t="s">
        <v>23</v>
      </c>
      <c r="I3525">
        <v>97.25</v>
      </c>
      <c r="J3525">
        <v>21.5</v>
      </c>
      <c r="K3525" t="s">
        <v>25</v>
      </c>
      <c r="L3525" t="s">
        <v>15</v>
      </c>
    </row>
    <row r="3526" spans="1:12" x14ac:dyDescent="0.3">
      <c r="A3526">
        <v>59451</v>
      </c>
      <c r="B3526" t="s">
        <v>12</v>
      </c>
      <c r="C3526">
        <v>58</v>
      </c>
      <c r="D3526" t="s">
        <v>15</v>
      </c>
      <c r="E3526" t="s">
        <v>15</v>
      </c>
      <c r="F3526" t="s">
        <v>16</v>
      </c>
      <c r="G3526" t="s">
        <v>17</v>
      </c>
      <c r="H3526" t="s">
        <v>22</v>
      </c>
      <c r="I3526">
        <v>79.95</v>
      </c>
      <c r="J3526">
        <v>25.9</v>
      </c>
      <c r="K3526" t="s">
        <v>25</v>
      </c>
      <c r="L3526" t="s">
        <v>15</v>
      </c>
    </row>
    <row r="3527" spans="1:12" x14ac:dyDescent="0.3">
      <c r="A3527">
        <v>56875</v>
      </c>
      <c r="B3527" t="s">
        <v>13</v>
      </c>
      <c r="C3527">
        <v>46</v>
      </c>
      <c r="D3527" t="s">
        <v>15</v>
      </c>
      <c r="E3527" t="s">
        <v>15</v>
      </c>
      <c r="F3527" t="s">
        <v>16</v>
      </c>
      <c r="G3527" t="s">
        <v>19</v>
      </c>
      <c r="H3527" t="s">
        <v>22</v>
      </c>
      <c r="I3527">
        <v>162.24</v>
      </c>
      <c r="J3527">
        <v>24.3</v>
      </c>
      <c r="K3527" t="s">
        <v>26</v>
      </c>
      <c r="L3527" t="s">
        <v>15</v>
      </c>
    </row>
    <row r="3528" spans="1:12" x14ac:dyDescent="0.3">
      <c r="A3528">
        <v>16774</v>
      </c>
      <c r="B3528" t="s">
        <v>13</v>
      </c>
      <c r="C3528">
        <v>79</v>
      </c>
      <c r="D3528" t="s">
        <v>15</v>
      </c>
      <c r="E3528" t="s">
        <v>15</v>
      </c>
      <c r="F3528" t="s">
        <v>15</v>
      </c>
      <c r="G3528" t="s">
        <v>18</v>
      </c>
      <c r="H3528" t="s">
        <v>22</v>
      </c>
      <c r="I3528">
        <v>74.36</v>
      </c>
      <c r="J3528">
        <v>39.200000000000003</v>
      </c>
      <c r="K3528" t="s">
        <v>27</v>
      </c>
      <c r="L3528" t="s">
        <v>15</v>
      </c>
    </row>
    <row r="3529" spans="1:12" x14ac:dyDescent="0.3">
      <c r="A3529">
        <v>61672</v>
      </c>
      <c r="B3529" t="s">
        <v>13</v>
      </c>
      <c r="C3529">
        <v>11</v>
      </c>
      <c r="D3529" t="s">
        <v>15</v>
      </c>
      <c r="E3529" t="s">
        <v>15</v>
      </c>
      <c r="F3529" t="s">
        <v>15</v>
      </c>
      <c r="G3529" t="s">
        <v>20</v>
      </c>
      <c r="H3529" t="s">
        <v>22</v>
      </c>
      <c r="I3529">
        <v>69.680000000000007</v>
      </c>
      <c r="J3529">
        <v>14.4</v>
      </c>
      <c r="K3529" t="s">
        <v>27</v>
      </c>
      <c r="L3529" t="s">
        <v>15</v>
      </c>
    </row>
    <row r="3530" spans="1:12" x14ac:dyDescent="0.3">
      <c r="A3530">
        <v>25811</v>
      </c>
      <c r="B3530" t="s">
        <v>13</v>
      </c>
      <c r="C3530">
        <v>61</v>
      </c>
      <c r="D3530" t="s">
        <v>15</v>
      </c>
      <c r="E3530" t="s">
        <v>15</v>
      </c>
      <c r="F3530" t="s">
        <v>16</v>
      </c>
      <c r="G3530" t="s">
        <v>17</v>
      </c>
      <c r="H3530" t="s">
        <v>22</v>
      </c>
      <c r="I3530">
        <v>98.35</v>
      </c>
      <c r="J3530">
        <v>26.6</v>
      </c>
      <c r="K3530" t="s">
        <v>25</v>
      </c>
      <c r="L3530" t="s">
        <v>15</v>
      </c>
    </row>
    <row r="3531" spans="1:12" x14ac:dyDescent="0.3">
      <c r="A3531">
        <v>7780</v>
      </c>
      <c r="B3531" t="s">
        <v>12</v>
      </c>
      <c r="C3531">
        <v>51</v>
      </c>
      <c r="D3531" t="s">
        <v>15</v>
      </c>
      <c r="E3531" t="s">
        <v>15</v>
      </c>
      <c r="F3531" t="s">
        <v>16</v>
      </c>
      <c r="G3531" t="s">
        <v>18</v>
      </c>
      <c r="H3531" t="s">
        <v>22</v>
      </c>
      <c r="I3531">
        <v>75.73</v>
      </c>
      <c r="J3531">
        <v>30.7</v>
      </c>
      <c r="K3531" t="s">
        <v>25</v>
      </c>
      <c r="L3531" t="s">
        <v>15</v>
      </c>
    </row>
    <row r="3532" spans="1:12" x14ac:dyDescent="0.3">
      <c r="A3532">
        <v>58149</v>
      </c>
      <c r="B3532" t="s">
        <v>13</v>
      </c>
      <c r="C3532">
        <v>21</v>
      </c>
      <c r="D3532" t="s">
        <v>15</v>
      </c>
      <c r="E3532" t="s">
        <v>15</v>
      </c>
      <c r="F3532" t="s">
        <v>15</v>
      </c>
      <c r="G3532" t="s">
        <v>17</v>
      </c>
      <c r="H3532" t="s">
        <v>23</v>
      </c>
      <c r="I3532">
        <v>85.86</v>
      </c>
      <c r="J3532">
        <v>35.4</v>
      </c>
      <c r="K3532" t="s">
        <v>27</v>
      </c>
      <c r="L3532" t="s">
        <v>15</v>
      </c>
    </row>
    <row r="3533" spans="1:12" x14ac:dyDescent="0.3">
      <c r="A3533">
        <v>38742</v>
      </c>
      <c r="B3533" t="s">
        <v>13</v>
      </c>
      <c r="C3533">
        <v>71</v>
      </c>
      <c r="D3533" t="s">
        <v>15</v>
      </c>
      <c r="E3533" t="s">
        <v>15</v>
      </c>
      <c r="F3533" t="s">
        <v>16</v>
      </c>
      <c r="G3533" t="s">
        <v>17</v>
      </c>
      <c r="H3533" t="s">
        <v>22</v>
      </c>
      <c r="I3533">
        <v>80.34</v>
      </c>
      <c r="J3533">
        <v>29.2</v>
      </c>
      <c r="K3533" t="s">
        <v>25</v>
      </c>
      <c r="L3533" t="s">
        <v>15</v>
      </c>
    </row>
    <row r="3534" spans="1:12" x14ac:dyDescent="0.3">
      <c r="A3534">
        <v>29613</v>
      </c>
      <c r="B3534" t="s">
        <v>13</v>
      </c>
      <c r="C3534">
        <v>13</v>
      </c>
      <c r="D3534" t="s">
        <v>15</v>
      </c>
      <c r="E3534" t="s">
        <v>15</v>
      </c>
      <c r="F3534" t="s">
        <v>15</v>
      </c>
      <c r="G3534" t="s">
        <v>17</v>
      </c>
      <c r="H3534" t="s">
        <v>23</v>
      </c>
      <c r="I3534">
        <v>73.760000000000005</v>
      </c>
      <c r="J3534">
        <v>26.7</v>
      </c>
      <c r="K3534" t="s">
        <v>27</v>
      </c>
      <c r="L3534" t="s">
        <v>15</v>
      </c>
    </row>
    <row r="3535" spans="1:12" x14ac:dyDescent="0.3">
      <c r="A3535">
        <v>20655</v>
      </c>
      <c r="B3535" t="s">
        <v>12</v>
      </c>
      <c r="C3535">
        <v>16</v>
      </c>
      <c r="D3535" t="s">
        <v>15</v>
      </c>
      <c r="E3535" t="s">
        <v>15</v>
      </c>
      <c r="F3535" t="s">
        <v>15</v>
      </c>
      <c r="G3535" t="s">
        <v>17</v>
      </c>
      <c r="H3535" t="s">
        <v>23</v>
      </c>
      <c r="I3535">
        <v>94.96</v>
      </c>
      <c r="J3535">
        <v>21.5</v>
      </c>
      <c r="K3535" t="s">
        <v>25</v>
      </c>
      <c r="L3535" t="s">
        <v>15</v>
      </c>
    </row>
    <row r="3536" spans="1:12" x14ac:dyDescent="0.3">
      <c r="A3536">
        <v>53897</v>
      </c>
      <c r="B3536" t="s">
        <v>13</v>
      </c>
      <c r="C3536">
        <v>61</v>
      </c>
      <c r="D3536" t="s">
        <v>15</v>
      </c>
      <c r="E3536" t="s">
        <v>15</v>
      </c>
      <c r="F3536" t="s">
        <v>16</v>
      </c>
      <c r="G3536" t="s">
        <v>17</v>
      </c>
      <c r="H3536" t="s">
        <v>22</v>
      </c>
      <c r="I3536">
        <v>108.18</v>
      </c>
      <c r="J3536">
        <v>19.100000000000001</v>
      </c>
      <c r="K3536" t="s">
        <v>25</v>
      </c>
      <c r="L3536" t="s">
        <v>15</v>
      </c>
    </row>
    <row r="3537" spans="1:12" x14ac:dyDescent="0.3">
      <c r="A3537">
        <v>29792</v>
      </c>
      <c r="B3537" t="s">
        <v>13</v>
      </c>
      <c r="C3537">
        <v>49</v>
      </c>
      <c r="D3537" t="s">
        <v>15</v>
      </c>
      <c r="E3537" t="s">
        <v>15</v>
      </c>
      <c r="F3537" t="s">
        <v>16</v>
      </c>
      <c r="G3537" t="s">
        <v>17</v>
      </c>
      <c r="H3537" t="s">
        <v>23</v>
      </c>
      <c r="I3537">
        <v>85.23</v>
      </c>
      <c r="J3537">
        <v>25.4</v>
      </c>
      <c r="K3537" t="s">
        <v>27</v>
      </c>
      <c r="L3537" t="s">
        <v>15</v>
      </c>
    </row>
    <row r="3538" spans="1:12" x14ac:dyDescent="0.3">
      <c r="A3538">
        <v>15990</v>
      </c>
      <c r="B3538" t="s">
        <v>12</v>
      </c>
      <c r="C3538">
        <v>65</v>
      </c>
      <c r="D3538" t="s">
        <v>16</v>
      </c>
      <c r="E3538" t="s">
        <v>15</v>
      </c>
      <c r="F3538" t="s">
        <v>16</v>
      </c>
      <c r="G3538" t="s">
        <v>19</v>
      </c>
      <c r="H3538" t="s">
        <v>23</v>
      </c>
      <c r="I3538">
        <v>189.88</v>
      </c>
      <c r="J3538">
        <v>34</v>
      </c>
      <c r="K3538" t="s">
        <v>25</v>
      </c>
      <c r="L3538" t="s">
        <v>15</v>
      </c>
    </row>
    <row r="3539" spans="1:12" x14ac:dyDescent="0.3">
      <c r="A3539">
        <v>45112</v>
      </c>
      <c r="B3539" t="s">
        <v>12</v>
      </c>
      <c r="C3539">
        <v>40</v>
      </c>
      <c r="D3539" t="s">
        <v>15</v>
      </c>
      <c r="E3539" t="s">
        <v>15</v>
      </c>
      <c r="F3539" t="s">
        <v>15</v>
      </c>
      <c r="G3539" t="s">
        <v>19</v>
      </c>
      <c r="H3539" t="s">
        <v>22</v>
      </c>
      <c r="I3539">
        <v>197.11</v>
      </c>
      <c r="J3539">
        <v>23.9</v>
      </c>
      <c r="K3539" t="s">
        <v>25</v>
      </c>
      <c r="L3539" t="s">
        <v>15</v>
      </c>
    </row>
    <row r="3540" spans="1:12" x14ac:dyDescent="0.3">
      <c r="A3540">
        <v>28385</v>
      </c>
      <c r="B3540" t="s">
        <v>13</v>
      </c>
      <c r="C3540">
        <v>44</v>
      </c>
      <c r="D3540" t="s">
        <v>15</v>
      </c>
      <c r="E3540" t="s">
        <v>15</v>
      </c>
      <c r="F3540" t="s">
        <v>16</v>
      </c>
      <c r="G3540" t="s">
        <v>17</v>
      </c>
      <c r="H3540" t="s">
        <v>23</v>
      </c>
      <c r="I3540">
        <v>100.08</v>
      </c>
      <c r="J3540">
        <v>20.9</v>
      </c>
      <c r="K3540" t="s">
        <v>26</v>
      </c>
      <c r="L3540" t="s">
        <v>15</v>
      </c>
    </row>
    <row r="3541" spans="1:12" x14ac:dyDescent="0.3">
      <c r="A3541">
        <v>63423</v>
      </c>
      <c r="B3541" t="s">
        <v>12</v>
      </c>
      <c r="C3541">
        <v>11</v>
      </c>
      <c r="D3541" t="s">
        <v>15</v>
      </c>
      <c r="E3541" t="s">
        <v>15</v>
      </c>
      <c r="F3541" t="s">
        <v>15</v>
      </c>
      <c r="G3541" t="s">
        <v>20</v>
      </c>
      <c r="H3541" t="s">
        <v>23</v>
      </c>
      <c r="I3541">
        <v>68.62</v>
      </c>
      <c r="J3541">
        <v>18.2</v>
      </c>
      <c r="K3541" t="s">
        <v>27</v>
      </c>
      <c r="L3541" t="s">
        <v>15</v>
      </c>
    </row>
    <row r="3542" spans="1:12" x14ac:dyDescent="0.3">
      <c r="A3542">
        <v>187</v>
      </c>
      <c r="B3542" t="s">
        <v>13</v>
      </c>
      <c r="C3542">
        <v>20</v>
      </c>
      <c r="D3542" t="s">
        <v>15</v>
      </c>
      <c r="E3542" t="s">
        <v>15</v>
      </c>
      <c r="F3542" t="s">
        <v>15</v>
      </c>
      <c r="G3542" t="s">
        <v>17</v>
      </c>
      <c r="H3542" t="s">
        <v>23</v>
      </c>
      <c r="I3542">
        <v>84.07</v>
      </c>
      <c r="J3542">
        <v>27.6</v>
      </c>
      <c r="K3542" t="s">
        <v>26</v>
      </c>
      <c r="L3542" t="s">
        <v>15</v>
      </c>
    </row>
    <row r="3543" spans="1:12" x14ac:dyDescent="0.3">
      <c r="A3543">
        <v>18891</v>
      </c>
      <c r="B3543" t="s">
        <v>12</v>
      </c>
      <c r="C3543">
        <v>24</v>
      </c>
      <c r="D3543" t="s">
        <v>15</v>
      </c>
      <c r="E3543" t="s">
        <v>15</v>
      </c>
      <c r="F3543" t="s">
        <v>15</v>
      </c>
      <c r="G3543" t="s">
        <v>19</v>
      </c>
      <c r="H3543" t="s">
        <v>23</v>
      </c>
      <c r="I3543">
        <v>99.65</v>
      </c>
      <c r="J3543">
        <v>50.3</v>
      </c>
      <c r="K3543" t="s">
        <v>25</v>
      </c>
      <c r="L3543" t="s">
        <v>15</v>
      </c>
    </row>
    <row r="3544" spans="1:12" x14ac:dyDescent="0.3">
      <c r="A3544">
        <v>34657</v>
      </c>
      <c r="B3544" t="s">
        <v>13</v>
      </c>
      <c r="C3544">
        <v>44</v>
      </c>
      <c r="D3544" t="s">
        <v>15</v>
      </c>
      <c r="E3544" t="s">
        <v>15</v>
      </c>
      <c r="F3544" t="s">
        <v>16</v>
      </c>
      <c r="G3544" t="s">
        <v>18</v>
      </c>
      <c r="H3544" t="s">
        <v>22</v>
      </c>
      <c r="I3544">
        <v>82.33</v>
      </c>
      <c r="J3544">
        <v>24.5</v>
      </c>
      <c r="K3544" t="s">
        <v>25</v>
      </c>
      <c r="L3544" t="s">
        <v>15</v>
      </c>
    </row>
    <row r="3545" spans="1:12" x14ac:dyDescent="0.3">
      <c r="A3545">
        <v>40546</v>
      </c>
      <c r="B3545" t="s">
        <v>12</v>
      </c>
      <c r="C3545">
        <v>5</v>
      </c>
      <c r="D3545" t="s">
        <v>15</v>
      </c>
      <c r="E3545" t="s">
        <v>15</v>
      </c>
      <c r="F3545" t="s">
        <v>15</v>
      </c>
      <c r="G3545" t="s">
        <v>20</v>
      </c>
      <c r="H3545" t="s">
        <v>22</v>
      </c>
      <c r="I3545">
        <v>94.49</v>
      </c>
      <c r="J3545">
        <v>16.600000000000001</v>
      </c>
      <c r="K3545" t="s">
        <v>27</v>
      </c>
      <c r="L3545" t="s">
        <v>15</v>
      </c>
    </row>
    <row r="3546" spans="1:12" x14ac:dyDescent="0.3">
      <c r="A3546">
        <v>56755</v>
      </c>
      <c r="B3546" t="s">
        <v>12</v>
      </c>
      <c r="C3546">
        <v>41</v>
      </c>
      <c r="D3546" t="s">
        <v>15</v>
      </c>
      <c r="E3546" t="s">
        <v>15</v>
      </c>
      <c r="F3546" t="s">
        <v>16</v>
      </c>
      <c r="G3546" t="s">
        <v>17</v>
      </c>
      <c r="H3546" t="s">
        <v>23</v>
      </c>
      <c r="I3546">
        <v>108.71</v>
      </c>
      <c r="J3546">
        <v>24</v>
      </c>
      <c r="K3546" t="s">
        <v>25</v>
      </c>
      <c r="L3546" t="s">
        <v>15</v>
      </c>
    </row>
    <row r="3547" spans="1:12" x14ac:dyDescent="0.3">
      <c r="A3547">
        <v>71097</v>
      </c>
      <c r="B3547" t="s">
        <v>13</v>
      </c>
      <c r="C3547">
        <v>23</v>
      </c>
      <c r="D3547" t="s">
        <v>15</v>
      </c>
      <c r="E3547" t="s">
        <v>15</v>
      </c>
      <c r="F3547" t="s">
        <v>15</v>
      </c>
      <c r="G3547" t="s">
        <v>17</v>
      </c>
      <c r="H3547" t="s">
        <v>22</v>
      </c>
      <c r="I3547">
        <v>64.94</v>
      </c>
      <c r="J3547">
        <v>18.8</v>
      </c>
      <c r="K3547" t="s">
        <v>25</v>
      </c>
      <c r="L3547" t="s">
        <v>15</v>
      </c>
    </row>
    <row r="3548" spans="1:12" x14ac:dyDescent="0.3">
      <c r="A3548">
        <v>21025</v>
      </c>
      <c r="B3548" t="s">
        <v>13</v>
      </c>
      <c r="C3548">
        <v>7</v>
      </c>
      <c r="D3548" t="s">
        <v>15</v>
      </c>
      <c r="E3548" t="s">
        <v>15</v>
      </c>
      <c r="F3548" t="s">
        <v>15</v>
      </c>
      <c r="G3548" t="s">
        <v>20</v>
      </c>
      <c r="H3548" t="s">
        <v>22</v>
      </c>
      <c r="I3548">
        <v>98.22</v>
      </c>
      <c r="J3548">
        <v>34</v>
      </c>
      <c r="K3548" t="s">
        <v>27</v>
      </c>
      <c r="L3548" t="s">
        <v>15</v>
      </c>
    </row>
    <row r="3549" spans="1:12" x14ac:dyDescent="0.3">
      <c r="A3549">
        <v>69020</v>
      </c>
      <c r="B3549" t="s">
        <v>13</v>
      </c>
      <c r="C3549">
        <v>74</v>
      </c>
      <c r="D3549" t="s">
        <v>15</v>
      </c>
      <c r="E3549" t="s">
        <v>15</v>
      </c>
      <c r="F3549" t="s">
        <v>16</v>
      </c>
      <c r="G3549" t="s">
        <v>17</v>
      </c>
      <c r="H3549" t="s">
        <v>22</v>
      </c>
      <c r="I3549">
        <v>83.5</v>
      </c>
      <c r="J3549">
        <v>25.8</v>
      </c>
      <c r="K3549" t="s">
        <v>25</v>
      </c>
      <c r="L3549" t="s">
        <v>15</v>
      </c>
    </row>
    <row r="3550" spans="1:12" x14ac:dyDescent="0.3">
      <c r="A3550">
        <v>48883</v>
      </c>
      <c r="B3550" t="s">
        <v>12</v>
      </c>
      <c r="C3550">
        <v>61</v>
      </c>
      <c r="D3550" t="s">
        <v>15</v>
      </c>
      <c r="E3550" t="s">
        <v>15</v>
      </c>
      <c r="F3550" t="s">
        <v>16</v>
      </c>
      <c r="G3550" t="s">
        <v>19</v>
      </c>
      <c r="H3550" t="s">
        <v>23</v>
      </c>
      <c r="I3550">
        <v>192.47</v>
      </c>
      <c r="J3550">
        <v>30.3</v>
      </c>
      <c r="K3550" t="s">
        <v>25</v>
      </c>
      <c r="L3550" t="s">
        <v>15</v>
      </c>
    </row>
    <row r="3551" spans="1:12" x14ac:dyDescent="0.3">
      <c r="A3551">
        <v>71297</v>
      </c>
      <c r="B3551" t="s">
        <v>13</v>
      </c>
      <c r="C3551">
        <v>80</v>
      </c>
      <c r="D3551" t="s">
        <v>16</v>
      </c>
      <c r="E3551" t="s">
        <v>15</v>
      </c>
      <c r="F3551" t="s">
        <v>16</v>
      </c>
      <c r="G3551" t="s">
        <v>17</v>
      </c>
      <c r="H3551" t="s">
        <v>22</v>
      </c>
      <c r="I3551">
        <v>125.89</v>
      </c>
      <c r="J3551">
        <v>28.9</v>
      </c>
      <c r="K3551" t="s">
        <v>26</v>
      </c>
      <c r="L3551" t="s">
        <v>15</v>
      </c>
    </row>
    <row r="3552" spans="1:12" x14ac:dyDescent="0.3">
      <c r="A3552">
        <v>52216</v>
      </c>
      <c r="B3552" t="s">
        <v>13</v>
      </c>
      <c r="C3552">
        <v>35</v>
      </c>
      <c r="D3552" t="s">
        <v>15</v>
      </c>
      <c r="E3552" t="s">
        <v>15</v>
      </c>
      <c r="F3552" t="s">
        <v>16</v>
      </c>
      <c r="G3552" t="s">
        <v>17</v>
      </c>
      <c r="H3552" t="s">
        <v>22</v>
      </c>
      <c r="I3552">
        <v>87.72</v>
      </c>
      <c r="J3552">
        <v>21.3</v>
      </c>
      <c r="K3552" t="s">
        <v>25</v>
      </c>
      <c r="L3552" t="s">
        <v>15</v>
      </c>
    </row>
    <row r="3553" spans="1:12" x14ac:dyDescent="0.3">
      <c r="A3553">
        <v>20421</v>
      </c>
      <c r="B3553" t="s">
        <v>13</v>
      </c>
      <c r="C3553">
        <v>43</v>
      </c>
      <c r="D3553" t="s">
        <v>15</v>
      </c>
      <c r="E3553" t="s">
        <v>15</v>
      </c>
      <c r="F3553" t="s">
        <v>16</v>
      </c>
      <c r="G3553" t="s">
        <v>17</v>
      </c>
      <c r="H3553" t="s">
        <v>23</v>
      </c>
      <c r="I3553">
        <v>68.94</v>
      </c>
      <c r="J3553">
        <v>26.8</v>
      </c>
      <c r="K3553" t="s">
        <v>25</v>
      </c>
      <c r="L3553" t="s">
        <v>15</v>
      </c>
    </row>
    <row r="3554" spans="1:12" x14ac:dyDescent="0.3">
      <c r="A3554">
        <v>36896</v>
      </c>
      <c r="B3554" t="s">
        <v>12</v>
      </c>
      <c r="C3554">
        <v>25</v>
      </c>
      <c r="D3554" t="s">
        <v>15</v>
      </c>
      <c r="E3554" t="s">
        <v>15</v>
      </c>
      <c r="F3554" t="s">
        <v>16</v>
      </c>
      <c r="G3554" t="s">
        <v>17</v>
      </c>
      <c r="H3554" t="s">
        <v>23</v>
      </c>
      <c r="I3554">
        <v>66.510000000000005</v>
      </c>
      <c r="J3554">
        <v>29.2</v>
      </c>
      <c r="K3554" t="s">
        <v>27</v>
      </c>
      <c r="L3554" t="s">
        <v>15</v>
      </c>
    </row>
    <row r="3555" spans="1:12" x14ac:dyDescent="0.3">
      <c r="A3555">
        <v>23535</v>
      </c>
      <c r="B3555" t="s">
        <v>12</v>
      </c>
      <c r="C3555">
        <v>72</v>
      </c>
      <c r="D3555" t="s">
        <v>15</v>
      </c>
      <c r="E3555" t="s">
        <v>16</v>
      </c>
      <c r="F3555" t="s">
        <v>16</v>
      </c>
      <c r="G3555" t="s">
        <v>18</v>
      </c>
      <c r="H3555" t="s">
        <v>22</v>
      </c>
      <c r="I3555">
        <v>85.82</v>
      </c>
      <c r="J3555">
        <v>25</v>
      </c>
      <c r="K3555" t="s">
        <v>24</v>
      </c>
      <c r="L3555" t="s">
        <v>15</v>
      </c>
    </row>
    <row r="3556" spans="1:12" x14ac:dyDescent="0.3">
      <c r="A3556">
        <v>1323</v>
      </c>
      <c r="B3556" t="s">
        <v>13</v>
      </c>
      <c r="C3556">
        <v>45</v>
      </c>
      <c r="D3556" t="s">
        <v>15</v>
      </c>
      <c r="E3556" t="s">
        <v>15</v>
      </c>
      <c r="F3556" t="s">
        <v>16</v>
      </c>
      <c r="G3556" t="s">
        <v>17</v>
      </c>
      <c r="H3556" t="s">
        <v>23</v>
      </c>
      <c r="I3556">
        <v>87.47</v>
      </c>
      <c r="J3556">
        <v>21.5</v>
      </c>
      <c r="K3556" t="s">
        <v>25</v>
      </c>
      <c r="L3556" t="s">
        <v>15</v>
      </c>
    </row>
    <row r="3557" spans="1:12" x14ac:dyDescent="0.3">
      <c r="A3557">
        <v>47309</v>
      </c>
      <c r="B3557" t="s">
        <v>12</v>
      </c>
      <c r="C3557">
        <v>9</v>
      </c>
      <c r="D3557" t="s">
        <v>15</v>
      </c>
      <c r="E3557" t="s">
        <v>15</v>
      </c>
      <c r="F3557" t="s">
        <v>15</v>
      </c>
      <c r="G3557" t="s">
        <v>20</v>
      </c>
      <c r="H3557" t="s">
        <v>22</v>
      </c>
      <c r="I3557">
        <v>87.74</v>
      </c>
      <c r="J3557">
        <v>17.100000000000001</v>
      </c>
      <c r="K3557" t="s">
        <v>27</v>
      </c>
      <c r="L3557" t="s">
        <v>15</v>
      </c>
    </row>
    <row r="3558" spans="1:12" x14ac:dyDescent="0.3">
      <c r="A3558">
        <v>34161</v>
      </c>
      <c r="B3558" t="s">
        <v>12</v>
      </c>
      <c r="C3558">
        <v>33</v>
      </c>
      <c r="D3558" t="s">
        <v>16</v>
      </c>
      <c r="E3558" t="s">
        <v>15</v>
      </c>
      <c r="F3558" t="s">
        <v>16</v>
      </c>
      <c r="G3558" t="s">
        <v>17</v>
      </c>
      <c r="H3558" t="s">
        <v>23</v>
      </c>
      <c r="I3558">
        <v>85.12</v>
      </c>
      <c r="J3558">
        <v>32.5</v>
      </c>
      <c r="K3558" t="s">
        <v>25</v>
      </c>
      <c r="L3558" t="s">
        <v>15</v>
      </c>
    </row>
    <row r="3559" spans="1:12" x14ac:dyDescent="0.3">
      <c r="A3559">
        <v>57405</v>
      </c>
      <c r="B3559" t="s">
        <v>12</v>
      </c>
      <c r="C3559">
        <v>53</v>
      </c>
      <c r="D3559" t="s">
        <v>15</v>
      </c>
      <c r="E3559" t="s">
        <v>15</v>
      </c>
      <c r="F3559" t="s">
        <v>16</v>
      </c>
      <c r="G3559" t="s">
        <v>18</v>
      </c>
      <c r="H3559" t="s">
        <v>22</v>
      </c>
      <c r="I3559">
        <v>103.37</v>
      </c>
      <c r="J3559">
        <v>26.9</v>
      </c>
      <c r="K3559" t="s">
        <v>24</v>
      </c>
      <c r="L3559" t="s">
        <v>15</v>
      </c>
    </row>
    <row r="3560" spans="1:12" x14ac:dyDescent="0.3">
      <c r="A3560">
        <v>15824</v>
      </c>
      <c r="B3560" t="s">
        <v>13</v>
      </c>
      <c r="C3560">
        <v>67</v>
      </c>
      <c r="D3560" t="s">
        <v>15</v>
      </c>
      <c r="E3560" t="s">
        <v>15</v>
      </c>
      <c r="F3560" t="s">
        <v>16</v>
      </c>
      <c r="G3560" t="s">
        <v>17</v>
      </c>
      <c r="H3560" t="s">
        <v>23</v>
      </c>
      <c r="I3560">
        <v>81.680000000000007</v>
      </c>
      <c r="J3560">
        <v>30.4</v>
      </c>
      <c r="K3560" t="s">
        <v>25</v>
      </c>
      <c r="L3560" t="s">
        <v>15</v>
      </c>
    </row>
    <row r="3561" spans="1:12" x14ac:dyDescent="0.3">
      <c r="A3561">
        <v>32103</v>
      </c>
      <c r="B3561" t="s">
        <v>12</v>
      </c>
      <c r="C3561">
        <v>59</v>
      </c>
      <c r="D3561" t="s">
        <v>15</v>
      </c>
      <c r="E3561" t="s">
        <v>15</v>
      </c>
      <c r="F3561" t="s">
        <v>16</v>
      </c>
      <c r="G3561" t="s">
        <v>18</v>
      </c>
      <c r="H3561" t="s">
        <v>22</v>
      </c>
      <c r="I3561">
        <v>76.510000000000005</v>
      </c>
      <c r="J3561">
        <v>29.8</v>
      </c>
      <c r="K3561" t="s">
        <v>25</v>
      </c>
      <c r="L3561" t="s">
        <v>15</v>
      </c>
    </row>
    <row r="3562" spans="1:12" x14ac:dyDescent="0.3">
      <c r="A3562">
        <v>18205</v>
      </c>
      <c r="B3562" t="s">
        <v>13</v>
      </c>
      <c r="C3562">
        <v>1.32</v>
      </c>
      <c r="D3562" t="s">
        <v>15</v>
      </c>
      <c r="E3562" t="s">
        <v>15</v>
      </c>
      <c r="F3562" t="s">
        <v>15</v>
      </c>
      <c r="G3562" t="s">
        <v>20</v>
      </c>
      <c r="H3562" t="s">
        <v>23</v>
      </c>
      <c r="I3562">
        <v>110.17</v>
      </c>
      <c r="J3562">
        <v>20.3</v>
      </c>
      <c r="K3562" t="s">
        <v>27</v>
      </c>
      <c r="L3562" t="s">
        <v>15</v>
      </c>
    </row>
    <row r="3563" spans="1:12" x14ac:dyDescent="0.3">
      <c r="A3563">
        <v>71420</v>
      </c>
      <c r="B3563" t="s">
        <v>12</v>
      </c>
      <c r="C3563">
        <v>27</v>
      </c>
      <c r="D3563" t="s">
        <v>15</v>
      </c>
      <c r="E3563" t="s">
        <v>15</v>
      </c>
      <c r="F3563" t="s">
        <v>15</v>
      </c>
      <c r="G3563" t="s">
        <v>19</v>
      </c>
      <c r="H3563" t="s">
        <v>23</v>
      </c>
      <c r="I3563">
        <v>65.12</v>
      </c>
      <c r="J3563">
        <v>41.1</v>
      </c>
      <c r="K3563" t="s">
        <v>26</v>
      </c>
      <c r="L3563" t="s">
        <v>15</v>
      </c>
    </row>
    <row r="3564" spans="1:12" x14ac:dyDescent="0.3">
      <c r="A3564">
        <v>298</v>
      </c>
      <c r="B3564" t="s">
        <v>13</v>
      </c>
      <c r="C3564">
        <v>41</v>
      </c>
      <c r="D3564" t="s">
        <v>15</v>
      </c>
      <c r="E3564" t="s">
        <v>15</v>
      </c>
      <c r="F3564" t="s">
        <v>16</v>
      </c>
      <c r="G3564" t="s">
        <v>18</v>
      </c>
      <c r="H3564" t="s">
        <v>23</v>
      </c>
      <c r="I3564">
        <v>76.66</v>
      </c>
      <c r="K3564" t="s">
        <v>27</v>
      </c>
      <c r="L3564" t="s">
        <v>15</v>
      </c>
    </row>
    <row r="3565" spans="1:12" x14ac:dyDescent="0.3">
      <c r="A3565">
        <v>15136</v>
      </c>
      <c r="B3565" t="s">
        <v>12</v>
      </c>
      <c r="C3565">
        <v>64</v>
      </c>
      <c r="D3565" t="s">
        <v>15</v>
      </c>
      <c r="E3565" t="s">
        <v>16</v>
      </c>
      <c r="F3565" t="s">
        <v>16</v>
      </c>
      <c r="G3565" t="s">
        <v>17</v>
      </c>
      <c r="H3565" t="s">
        <v>23</v>
      </c>
      <c r="I3565">
        <v>109.88</v>
      </c>
      <c r="J3565">
        <v>33.9</v>
      </c>
      <c r="K3565" t="s">
        <v>27</v>
      </c>
      <c r="L3565" t="s">
        <v>15</v>
      </c>
    </row>
    <row r="3566" spans="1:12" x14ac:dyDescent="0.3">
      <c r="A3566">
        <v>9879</v>
      </c>
      <c r="B3566" t="s">
        <v>13</v>
      </c>
      <c r="C3566">
        <v>55</v>
      </c>
      <c r="D3566" t="s">
        <v>15</v>
      </c>
      <c r="E3566" t="s">
        <v>16</v>
      </c>
      <c r="F3566" t="s">
        <v>16</v>
      </c>
      <c r="G3566" t="s">
        <v>17</v>
      </c>
      <c r="H3566" t="s">
        <v>22</v>
      </c>
      <c r="I3566">
        <v>199.38</v>
      </c>
      <c r="J3566">
        <v>39</v>
      </c>
      <c r="K3566" t="s">
        <v>27</v>
      </c>
      <c r="L3566" t="s">
        <v>15</v>
      </c>
    </row>
    <row r="3567" spans="1:12" x14ac:dyDescent="0.3">
      <c r="A3567">
        <v>68302</v>
      </c>
      <c r="B3567" t="s">
        <v>13</v>
      </c>
      <c r="C3567">
        <v>40</v>
      </c>
      <c r="D3567" t="s">
        <v>15</v>
      </c>
      <c r="E3567" t="s">
        <v>15</v>
      </c>
      <c r="F3567" t="s">
        <v>16</v>
      </c>
      <c r="G3567" t="s">
        <v>17</v>
      </c>
      <c r="H3567" t="s">
        <v>22</v>
      </c>
      <c r="I3567">
        <v>65.77</v>
      </c>
      <c r="J3567">
        <v>31.2</v>
      </c>
      <c r="K3567" t="s">
        <v>25</v>
      </c>
      <c r="L3567" t="s">
        <v>15</v>
      </c>
    </row>
    <row r="3568" spans="1:12" x14ac:dyDescent="0.3">
      <c r="A3568">
        <v>65507</v>
      </c>
      <c r="B3568" t="s">
        <v>12</v>
      </c>
      <c r="C3568">
        <v>33</v>
      </c>
      <c r="D3568" t="s">
        <v>15</v>
      </c>
      <c r="E3568" t="s">
        <v>15</v>
      </c>
      <c r="F3568" t="s">
        <v>16</v>
      </c>
      <c r="G3568" t="s">
        <v>17</v>
      </c>
      <c r="H3568" t="s">
        <v>23</v>
      </c>
      <c r="I3568">
        <v>55.72</v>
      </c>
      <c r="J3568">
        <v>38.200000000000003</v>
      </c>
      <c r="K3568" t="s">
        <v>25</v>
      </c>
      <c r="L3568" t="s">
        <v>15</v>
      </c>
    </row>
    <row r="3569" spans="1:12" x14ac:dyDescent="0.3">
      <c r="A3569">
        <v>63949</v>
      </c>
      <c r="B3569" t="s">
        <v>13</v>
      </c>
      <c r="C3569">
        <v>33</v>
      </c>
      <c r="D3569" t="s">
        <v>15</v>
      </c>
      <c r="E3569" t="s">
        <v>15</v>
      </c>
      <c r="F3569" t="s">
        <v>16</v>
      </c>
      <c r="G3569" t="s">
        <v>19</v>
      </c>
      <c r="H3569" t="s">
        <v>22</v>
      </c>
      <c r="I3569">
        <v>75.67</v>
      </c>
      <c r="J3569">
        <v>44.7</v>
      </c>
      <c r="K3569" t="s">
        <v>25</v>
      </c>
      <c r="L3569" t="s">
        <v>15</v>
      </c>
    </row>
    <row r="3570" spans="1:12" x14ac:dyDescent="0.3">
      <c r="A3570">
        <v>62475</v>
      </c>
      <c r="B3570" t="s">
        <v>12</v>
      </c>
      <c r="C3570">
        <v>39</v>
      </c>
      <c r="D3570" t="s">
        <v>16</v>
      </c>
      <c r="E3570" t="s">
        <v>15</v>
      </c>
      <c r="F3570" t="s">
        <v>16</v>
      </c>
      <c r="G3570" t="s">
        <v>17</v>
      </c>
      <c r="H3570" t="s">
        <v>23</v>
      </c>
      <c r="I3570">
        <v>88.18</v>
      </c>
      <c r="J3570">
        <v>33.5</v>
      </c>
      <c r="K3570" t="s">
        <v>26</v>
      </c>
      <c r="L3570" t="s">
        <v>15</v>
      </c>
    </row>
    <row r="3571" spans="1:12" x14ac:dyDescent="0.3">
      <c r="A3571">
        <v>35648</v>
      </c>
      <c r="B3571" t="s">
        <v>13</v>
      </c>
      <c r="C3571">
        <v>74</v>
      </c>
      <c r="D3571" t="s">
        <v>15</v>
      </c>
      <c r="E3571" t="s">
        <v>15</v>
      </c>
      <c r="F3571" t="s">
        <v>16</v>
      </c>
      <c r="G3571" t="s">
        <v>18</v>
      </c>
      <c r="H3571" t="s">
        <v>23</v>
      </c>
      <c r="I3571">
        <v>95.94</v>
      </c>
      <c r="J3571">
        <v>27</v>
      </c>
      <c r="K3571" t="s">
        <v>25</v>
      </c>
      <c r="L3571" t="s">
        <v>15</v>
      </c>
    </row>
    <row r="3572" spans="1:12" x14ac:dyDescent="0.3">
      <c r="A3572">
        <v>72276</v>
      </c>
      <c r="B3572" t="s">
        <v>12</v>
      </c>
      <c r="C3572">
        <v>38</v>
      </c>
      <c r="D3572" t="s">
        <v>15</v>
      </c>
      <c r="E3572" t="s">
        <v>15</v>
      </c>
      <c r="F3572" t="s">
        <v>16</v>
      </c>
      <c r="G3572" t="s">
        <v>17</v>
      </c>
      <c r="H3572" t="s">
        <v>22</v>
      </c>
      <c r="I3572">
        <v>86.93</v>
      </c>
      <c r="J3572">
        <v>31.1</v>
      </c>
      <c r="K3572" t="s">
        <v>25</v>
      </c>
      <c r="L3572" t="s">
        <v>15</v>
      </c>
    </row>
    <row r="3573" spans="1:12" x14ac:dyDescent="0.3">
      <c r="A3573">
        <v>49661</v>
      </c>
      <c r="B3573" t="s">
        <v>12</v>
      </c>
      <c r="C3573">
        <v>53</v>
      </c>
      <c r="D3573" t="s">
        <v>15</v>
      </c>
      <c r="E3573" t="s">
        <v>15</v>
      </c>
      <c r="F3573" t="s">
        <v>16</v>
      </c>
      <c r="G3573" t="s">
        <v>19</v>
      </c>
      <c r="H3573" t="s">
        <v>22</v>
      </c>
      <c r="I3573">
        <v>85.17</v>
      </c>
      <c r="J3573">
        <v>29.2</v>
      </c>
      <c r="K3573" t="s">
        <v>25</v>
      </c>
      <c r="L3573" t="s">
        <v>15</v>
      </c>
    </row>
    <row r="3574" spans="1:12" x14ac:dyDescent="0.3">
      <c r="A3574">
        <v>31590</v>
      </c>
      <c r="B3574" t="s">
        <v>12</v>
      </c>
      <c r="C3574">
        <v>22</v>
      </c>
      <c r="D3574" t="s">
        <v>15</v>
      </c>
      <c r="E3574" t="s">
        <v>15</v>
      </c>
      <c r="F3574" t="s">
        <v>15</v>
      </c>
      <c r="G3574" t="s">
        <v>17</v>
      </c>
      <c r="H3574" t="s">
        <v>22</v>
      </c>
      <c r="I3574">
        <v>111.1</v>
      </c>
      <c r="J3574">
        <v>26.6</v>
      </c>
      <c r="K3574" t="s">
        <v>25</v>
      </c>
      <c r="L3574" t="s">
        <v>15</v>
      </c>
    </row>
    <row r="3575" spans="1:12" x14ac:dyDescent="0.3">
      <c r="A3575">
        <v>8584</v>
      </c>
      <c r="B3575" t="s">
        <v>13</v>
      </c>
      <c r="C3575">
        <v>5</v>
      </c>
      <c r="D3575" t="s">
        <v>15</v>
      </c>
      <c r="E3575" t="s">
        <v>15</v>
      </c>
      <c r="F3575" t="s">
        <v>15</v>
      </c>
      <c r="G3575" t="s">
        <v>20</v>
      </c>
      <c r="H3575" t="s">
        <v>23</v>
      </c>
      <c r="I3575">
        <v>92</v>
      </c>
      <c r="J3575">
        <v>17.899999999999999</v>
      </c>
      <c r="K3575" t="s">
        <v>27</v>
      </c>
      <c r="L3575" t="s">
        <v>15</v>
      </c>
    </row>
    <row r="3576" spans="1:12" x14ac:dyDescent="0.3">
      <c r="A3576">
        <v>7964</v>
      </c>
      <c r="B3576" t="s">
        <v>12</v>
      </c>
      <c r="C3576">
        <v>24</v>
      </c>
      <c r="D3576" t="s">
        <v>15</v>
      </c>
      <c r="E3576" t="s">
        <v>15</v>
      </c>
      <c r="F3576" t="s">
        <v>15</v>
      </c>
      <c r="G3576" t="s">
        <v>17</v>
      </c>
      <c r="H3576" t="s">
        <v>22</v>
      </c>
      <c r="I3576">
        <v>97.47</v>
      </c>
      <c r="J3576">
        <v>24.2</v>
      </c>
      <c r="K3576" t="s">
        <v>24</v>
      </c>
      <c r="L3576" t="s">
        <v>15</v>
      </c>
    </row>
    <row r="3577" spans="1:12" x14ac:dyDescent="0.3">
      <c r="A3577">
        <v>25130</v>
      </c>
      <c r="B3577" t="s">
        <v>13</v>
      </c>
      <c r="C3577">
        <v>27</v>
      </c>
      <c r="D3577" t="s">
        <v>15</v>
      </c>
      <c r="E3577" t="s">
        <v>15</v>
      </c>
      <c r="F3577" t="s">
        <v>16</v>
      </c>
      <c r="G3577" t="s">
        <v>17</v>
      </c>
      <c r="H3577" t="s">
        <v>22</v>
      </c>
      <c r="I3577">
        <v>79.209999999999994</v>
      </c>
      <c r="J3577">
        <v>19.5</v>
      </c>
      <c r="K3577" t="s">
        <v>27</v>
      </c>
      <c r="L3577" t="s">
        <v>15</v>
      </c>
    </row>
    <row r="3578" spans="1:12" x14ac:dyDescent="0.3">
      <c r="A3578">
        <v>3531</v>
      </c>
      <c r="B3578" t="s">
        <v>12</v>
      </c>
      <c r="C3578">
        <v>41</v>
      </c>
      <c r="D3578" t="s">
        <v>15</v>
      </c>
      <c r="E3578" t="s">
        <v>15</v>
      </c>
      <c r="F3578" t="s">
        <v>16</v>
      </c>
      <c r="G3578" t="s">
        <v>17</v>
      </c>
      <c r="H3578" t="s">
        <v>23</v>
      </c>
      <c r="I3578">
        <v>83.97</v>
      </c>
      <c r="J3578">
        <v>28.5</v>
      </c>
      <c r="K3578" t="s">
        <v>24</v>
      </c>
      <c r="L3578" t="s">
        <v>15</v>
      </c>
    </row>
    <row r="3579" spans="1:12" x14ac:dyDescent="0.3">
      <c r="A3579">
        <v>6529</v>
      </c>
      <c r="B3579" t="s">
        <v>13</v>
      </c>
      <c r="C3579">
        <v>20</v>
      </c>
      <c r="D3579" t="s">
        <v>15</v>
      </c>
      <c r="E3579" t="s">
        <v>15</v>
      </c>
      <c r="F3579" t="s">
        <v>15</v>
      </c>
      <c r="G3579" t="s">
        <v>17</v>
      </c>
      <c r="H3579" t="s">
        <v>22</v>
      </c>
      <c r="I3579">
        <v>98.55</v>
      </c>
      <c r="J3579">
        <v>21.3</v>
      </c>
      <c r="K3579" t="s">
        <v>25</v>
      </c>
      <c r="L3579" t="s">
        <v>15</v>
      </c>
    </row>
    <row r="3580" spans="1:12" x14ac:dyDescent="0.3">
      <c r="A3580">
        <v>22272</v>
      </c>
      <c r="B3580" t="s">
        <v>13</v>
      </c>
      <c r="C3580">
        <v>71</v>
      </c>
      <c r="D3580" t="s">
        <v>16</v>
      </c>
      <c r="E3580" t="s">
        <v>15</v>
      </c>
      <c r="F3580" t="s">
        <v>16</v>
      </c>
      <c r="G3580" t="s">
        <v>17</v>
      </c>
      <c r="H3580" t="s">
        <v>23</v>
      </c>
      <c r="I3580">
        <v>202.98</v>
      </c>
      <c r="J3580">
        <v>41.3</v>
      </c>
      <c r="K3580" t="s">
        <v>25</v>
      </c>
      <c r="L3580" t="s">
        <v>15</v>
      </c>
    </row>
    <row r="3581" spans="1:12" x14ac:dyDescent="0.3">
      <c r="A3581">
        <v>40702</v>
      </c>
      <c r="B3581" t="s">
        <v>13</v>
      </c>
      <c r="C3581">
        <v>65</v>
      </c>
      <c r="D3581" t="s">
        <v>15</v>
      </c>
      <c r="E3581" t="s">
        <v>15</v>
      </c>
      <c r="F3581" t="s">
        <v>15</v>
      </c>
      <c r="G3581" t="s">
        <v>19</v>
      </c>
      <c r="H3581" t="s">
        <v>22</v>
      </c>
      <c r="I3581">
        <v>60.7</v>
      </c>
      <c r="J3581">
        <v>31.3</v>
      </c>
      <c r="K3581" t="s">
        <v>25</v>
      </c>
      <c r="L3581" t="s">
        <v>15</v>
      </c>
    </row>
    <row r="3582" spans="1:12" x14ac:dyDescent="0.3">
      <c r="A3582">
        <v>1656</v>
      </c>
      <c r="B3582" t="s">
        <v>12</v>
      </c>
      <c r="C3582">
        <v>38</v>
      </c>
      <c r="D3582" t="s">
        <v>15</v>
      </c>
      <c r="E3582" t="s">
        <v>15</v>
      </c>
      <c r="F3582" t="s">
        <v>16</v>
      </c>
      <c r="G3582" t="s">
        <v>17</v>
      </c>
      <c r="H3582" t="s">
        <v>22</v>
      </c>
      <c r="I3582">
        <v>92.22</v>
      </c>
      <c r="J3582">
        <v>40.799999999999997</v>
      </c>
      <c r="K3582" t="s">
        <v>25</v>
      </c>
      <c r="L3582" t="s">
        <v>15</v>
      </c>
    </row>
    <row r="3583" spans="1:12" x14ac:dyDescent="0.3">
      <c r="A3583">
        <v>51988</v>
      </c>
      <c r="B3583" t="s">
        <v>13</v>
      </c>
      <c r="C3583">
        <v>25</v>
      </c>
      <c r="D3583" t="s">
        <v>15</v>
      </c>
      <c r="E3583" t="s">
        <v>15</v>
      </c>
      <c r="F3583" t="s">
        <v>16</v>
      </c>
      <c r="G3583" t="s">
        <v>17</v>
      </c>
      <c r="H3583" t="s">
        <v>23</v>
      </c>
      <c r="I3583">
        <v>79.94</v>
      </c>
      <c r="J3583">
        <v>36.6</v>
      </c>
      <c r="K3583" t="s">
        <v>27</v>
      </c>
      <c r="L3583" t="s">
        <v>15</v>
      </c>
    </row>
    <row r="3584" spans="1:12" x14ac:dyDescent="0.3">
      <c r="A3584">
        <v>48323</v>
      </c>
      <c r="B3584" t="s">
        <v>12</v>
      </c>
      <c r="C3584">
        <v>53</v>
      </c>
      <c r="D3584" t="s">
        <v>15</v>
      </c>
      <c r="E3584" t="s">
        <v>15</v>
      </c>
      <c r="F3584" t="s">
        <v>16</v>
      </c>
      <c r="G3584" t="s">
        <v>19</v>
      </c>
      <c r="H3584" t="s">
        <v>23</v>
      </c>
      <c r="I3584">
        <v>83.68</v>
      </c>
      <c r="J3584">
        <v>26.7</v>
      </c>
      <c r="K3584" t="s">
        <v>27</v>
      </c>
      <c r="L3584" t="s">
        <v>15</v>
      </c>
    </row>
    <row r="3585" spans="1:12" x14ac:dyDescent="0.3">
      <c r="A3585">
        <v>35155</v>
      </c>
      <c r="B3585" t="s">
        <v>13</v>
      </c>
      <c r="C3585">
        <v>50</v>
      </c>
      <c r="D3585" t="s">
        <v>15</v>
      </c>
      <c r="E3585" t="s">
        <v>15</v>
      </c>
      <c r="F3585" t="s">
        <v>16</v>
      </c>
      <c r="G3585" t="s">
        <v>18</v>
      </c>
      <c r="H3585" t="s">
        <v>22</v>
      </c>
      <c r="I3585">
        <v>69.92</v>
      </c>
      <c r="J3585">
        <v>18.7</v>
      </c>
      <c r="K3585" t="s">
        <v>24</v>
      </c>
      <c r="L3585" t="s">
        <v>15</v>
      </c>
    </row>
    <row r="3586" spans="1:12" x14ac:dyDescent="0.3">
      <c r="A3586">
        <v>46314</v>
      </c>
      <c r="B3586" t="s">
        <v>13</v>
      </c>
      <c r="C3586">
        <v>1.24</v>
      </c>
      <c r="D3586" t="s">
        <v>15</v>
      </c>
      <c r="E3586" t="s">
        <v>15</v>
      </c>
      <c r="F3586" t="s">
        <v>15</v>
      </c>
      <c r="G3586" t="s">
        <v>20</v>
      </c>
      <c r="H3586" t="s">
        <v>23</v>
      </c>
      <c r="I3586">
        <v>136.96</v>
      </c>
      <c r="J3586">
        <v>15.2</v>
      </c>
      <c r="K3586" t="s">
        <v>27</v>
      </c>
      <c r="L3586" t="s">
        <v>15</v>
      </c>
    </row>
    <row r="3587" spans="1:12" x14ac:dyDescent="0.3">
      <c r="A3587">
        <v>12906</v>
      </c>
      <c r="B3587" t="s">
        <v>13</v>
      </c>
      <c r="C3587">
        <v>55</v>
      </c>
      <c r="D3587" t="s">
        <v>15</v>
      </c>
      <c r="E3587" t="s">
        <v>15</v>
      </c>
      <c r="F3587" t="s">
        <v>16</v>
      </c>
      <c r="G3587" t="s">
        <v>18</v>
      </c>
      <c r="H3587" t="s">
        <v>23</v>
      </c>
      <c r="I3587">
        <v>95.32</v>
      </c>
      <c r="J3587">
        <v>26.8</v>
      </c>
      <c r="K3587" t="s">
        <v>25</v>
      </c>
      <c r="L3587" t="s">
        <v>15</v>
      </c>
    </row>
    <row r="3588" spans="1:12" x14ac:dyDescent="0.3">
      <c r="A3588">
        <v>24961</v>
      </c>
      <c r="B3588" t="s">
        <v>13</v>
      </c>
      <c r="C3588">
        <v>38</v>
      </c>
      <c r="D3588" t="s">
        <v>15</v>
      </c>
      <c r="E3588" t="s">
        <v>15</v>
      </c>
      <c r="F3588" t="s">
        <v>16</v>
      </c>
      <c r="G3588" t="s">
        <v>17</v>
      </c>
      <c r="H3588" t="s">
        <v>23</v>
      </c>
      <c r="I3588">
        <v>107.78</v>
      </c>
      <c r="J3588">
        <v>25.1</v>
      </c>
      <c r="K3588" t="s">
        <v>25</v>
      </c>
      <c r="L3588" t="s">
        <v>15</v>
      </c>
    </row>
    <row r="3589" spans="1:12" x14ac:dyDescent="0.3">
      <c r="A3589">
        <v>14000</v>
      </c>
      <c r="B3589" t="s">
        <v>13</v>
      </c>
      <c r="C3589">
        <v>72</v>
      </c>
      <c r="D3589" t="s">
        <v>16</v>
      </c>
      <c r="E3589" t="s">
        <v>16</v>
      </c>
      <c r="F3589" t="s">
        <v>16</v>
      </c>
      <c r="G3589" t="s">
        <v>17</v>
      </c>
      <c r="H3589" t="s">
        <v>22</v>
      </c>
      <c r="I3589">
        <v>198.32</v>
      </c>
      <c r="J3589">
        <v>31.3</v>
      </c>
      <c r="K3589" t="s">
        <v>24</v>
      </c>
      <c r="L3589" t="s">
        <v>15</v>
      </c>
    </row>
    <row r="3590" spans="1:12" x14ac:dyDescent="0.3">
      <c r="A3590">
        <v>23047</v>
      </c>
      <c r="B3590" t="s">
        <v>12</v>
      </c>
      <c r="C3590">
        <v>43</v>
      </c>
      <c r="D3590" t="s">
        <v>15</v>
      </c>
      <c r="E3590" t="s">
        <v>15</v>
      </c>
      <c r="F3590" t="s">
        <v>16</v>
      </c>
      <c r="G3590" t="s">
        <v>17</v>
      </c>
      <c r="H3590" t="s">
        <v>22</v>
      </c>
      <c r="I3590">
        <v>100.16</v>
      </c>
      <c r="J3590">
        <v>59.7</v>
      </c>
      <c r="K3590" t="s">
        <v>25</v>
      </c>
      <c r="L3590" t="s">
        <v>15</v>
      </c>
    </row>
    <row r="3591" spans="1:12" x14ac:dyDescent="0.3">
      <c r="A3591">
        <v>6827</v>
      </c>
      <c r="B3591" t="s">
        <v>12</v>
      </c>
      <c r="C3591">
        <v>30</v>
      </c>
      <c r="D3591" t="s">
        <v>15</v>
      </c>
      <c r="E3591" t="s">
        <v>15</v>
      </c>
      <c r="F3591" t="s">
        <v>16</v>
      </c>
      <c r="G3591" t="s">
        <v>17</v>
      </c>
      <c r="H3591" t="s">
        <v>22</v>
      </c>
      <c r="I3591">
        <v>96.02</v>
      </c>
      <c r="J3591">
        <v>29.8</v>
      </c>
      <c r="K3591" t="s">
        <v>25</v>
      </c>
      <c r="L3591" t="s">
        <v>15</v>
      </c>
    </row>
    <row r="3592" spans="1:12" x14ac:dyDescent="0.3">
      <c r="A3592">
        <v>44656</v>
      </c>
      <c r="B3592" t="s">
        <v>13</v>
      </c>
      <c r="C3592">
        <v>69</v>
      </c>
      <c r="D3592" t="s">
        <v>16</v>
      </c>
      <c r="E3592" t="s">
        <v>15</v>
      </c>
      <c r="F3592" t="s">
        <v>16</v>
      </c>
      <c r="G3592" t="s">
        <v>17</v>
      </c>
      <c r="H3592" t="s">
        <v>23</v>
      </c>
      <c r="I3592">
        <v>112.69</v>
      </c>
      <c r="J3592">
        <v>33.5</v>
      </c>
      <c r="K3592" t="s">
        <v>24</v>
      </c>
      <c r="L3592" t="s">
        <v>15</v>
      </c>
    </row>
    <row r="3593" spans="1:12" x14ac:dyDescent="0.3">
      <c r="A3593">
        <v>59801</v>
      </c>
      <c r="B3593" t="s">
        <v>13</v>
      </c>
      <c r="C3593">
        <v>61</v>
      </c>
      <c r="D3593" t="s">
        <v>15</v>
      </c>
      <c r="E3593" t="s">
        <v>15</v>
      </c>
      <c r="F3593" t="s">
        <v>16</v>
      </c>
      <c r="G3593" t="s">
        <v>17</v>
      </c>
      <c r="H3593" t="s">
        <v>22</v>
      </c>
      <c r="I3593">
        <v>60.61</v>
      </c>
      <c r="J3593">
        <v>24.5</v>
      </c>
      <c r="K3593" t="s">
        <v>25</v>
      </c>
      <c r="L3593" t="s">
        <v>15</v>
      </c>
    </row>
    <row r="3594" spans="1:12" x14ac:dyDescent="0.3">
      <c r="A3594">
        <v>51073</v>
      </c>
      <c r="B3594" t="s">
        <v>13</v>
      </c>
      <c r="C3594">
        <v>34</v>
      </c>
      <c r="D3594" t="s">
        <v>15</v>
      </c>
      <c r="E3594" t="s">
        <v>15</v>
      </c>
      <c r="F3594" t="s">
        <v>16</v>
      </c>
      <c r="G3594" t="s">
        <v>18</v>
      </c>
      <c r="H3594" t="s">
        <v>22</v>
      </c>
      <c r="I3594">
        <v>79.77</v>
      </c>
      <c r="J3594">
        <v>33.6</v>
      </c>
      <c r="K3594" t="s">
        <v>25</v>
      </c>
      <c r="L3594" t="s">
        <v>15</v>
      </c>
    </row>
    <row r="3595" spans="1:12" x14ac:dyDescent="0.3">
      <c r="A3595">
        <v>34966</v>
      </c>
      <c r="B3595" t="s">
        <v>13</v>
      </c>
      <c r="C3595">
        <v>43</v>
      </c>
      <c r="D3595" t="s">
        <v>15</v>
      </c>
      <c r="E3595" t="s">
        <v>15</v>
      </c>
      <c r="F3595" t="s">
        <v>16</v>
      </c>
      <c r="G3595" t="s">
        <v>18</v>
      </c>
      <c r="H3595" t="s">
        <v>22</v>
      </c>
      <c r="I3595">
        <v>87.41</v>
      </c>
      <c r="J3595">
        <v>39.700000000000003</v>
      </c>
      <c r="K3595" t="s">
        <v>24</v>
      </c>
      <c r="L3595" t="s">
        <v>15</v>
      </c>
    </row>
    <row r="3596" spans="1:12" x14ac:dyDescent="0.3">
      <c r="A3596">
        <v>41122</v>
      </c>
      <c r="B3596" t="s">
        <v>13</v>
      </c>
      <c r="C3596">
        <v>62</v>
      </c>
      <c r="D3596" t="s">
        <v>15</v>
      </c>
      <c r="E3596" t="s">
        <v>15</v>
      </c>
      <c r="F3596" t="s">
        <v>16</v>
      </c>
      <c r="G3596" t="s">
        <v>17</v>
      </c>
      <c r="H3596" t="s">
        <v>23</v>
      </c>
      <c r="I3596">
        <v>226.38</v>
      </c>
      <c r="J3596">
        <v>47.4</v>
      </c>
      <c r="K3596" t="s">
        <v>25</v>
      </c>
      <c r="L3596" t="s">
        <v>15</v>
      </c>
    </row>
    <row r="3597" spans="1:12" x14ac:dyDescent="0.3">
      <c r="A3597">
        <v>4449</v>
      </c>
      <c r="B3597" t="s">
        <v>12</v>
      </c>
      <c r="C3597">
        <v>48</v>
      </c>
      <c r="D3597" t="s">
        <v>15</v>
      </c>
      <c r="E3597" t="s">
        <v>15</v>
      </c>
      <c r="F3597" t="s">
        <v>16</v>
      </c>
      <c r="G3597" t="s">
        <v>19</v>
      </c>
      <c r="H3597" t="s">
        <v>23</v>
      </c>
      <c r="I3597">
        <v>124.64</v>
      </c>
      <c r="J3597">
        <v>26.4</v>
      </c>
      <c r="K3597" t="s">
        <v>26</v>
      </c>
      <c r="L3597" t="s">
        <v>15</v>
      </c>
    </row>
    <row r="3598" spans="1:12" x14ac:dyDescent="0.3">
      <c r="A3598">
        <v>54726</v>
      </c>
      <c r="B3598" t="s">
        <v>13</v>
      </c>
      <c r="C3598">
        <v>37</v>
      </c>
      <c r="D3598" t="s">
        <v>15</v>
      </c>
      <c r="E3598" t="s">
        <v>15</v>
      </c>
      <c r="F3598" t="s">
        <v>16</v>
      </c>
      <c r="G3598" t="s">
        <v>17</v>
      </c>
      <c r="H3598" t="s">
        <v>22</v>
      </c>
      <c r="I3598">
        <v>69.42</v>
      </c>
      <c r="J3598">
        <v>33</v>
      </c>
      <c r="K3598" t="s">
        <v>25</v>
      </c>
      <c r="L3598" t="s">
        <v>15</v>
      </c>
    </row>
    <row r="3599" spans="1:12" x14ac:dyDescent="0.3">
      <c r="A3599">
        <v>1772</v>
      </c>
      <c r="B3599" t="s">
        <v>13</v>
      </c>
      <c r="C3599">
        <v>64</v>
      </c>
      <c r="D3599" t="s">
        <v>15</v>
      </c>
      <c r="E3599" t="s">
        <v>15</v>
      </c>
      <c r="F3599" t="s">
        <v>16</v>
      </c>
      <c r="G3599" t="s">
        <v>19</v>
      </c>
      <c r="H3599" t="s">
        <v>22</v>
      </c>
      <c r="I3599">
        <v>77.680000000000007</v>
      </c>
      <c r="J3599">
        <v>31.4</v>
      </c>
      <c r="K3599" t="s">
        <v>25</v>
      </c>
      <c r="L3599" t="s">
        <v>15</v>
      </c>
    </row>
    <row r="3600" spans="1:12" x14ac:dyDescent="0.3">
      <c r="A3600">
        <v>4850</v>
      </c>
      <c r="B3600" t="s">
        <v>12</v>
      </c>
      <c r="C3600">
        <v>51</v>
      </c>
      <c r="D3600" t="s">
        <v>15</v>
      </c>
      <c r="E3600" t="s">
        <v>15</v>
      </c>
      <c r="F3600" t="s">
        <v>16</v>
      </c>
      <c r="G3600" t="s">
        <v>17</v>
      </c>
      <c r="H3600" t="s">
        <v>23</v>
      </c>
      <c r="I3600">
        <v>112.79</v>
      </c>
      <c r="J3600">
        <v>27.2</v>
      </c>
      <c r="K3600" t="s">
        <v>25</v>
      </c>
      <c r="L3600" t="s">
        <v>15</v>
      </c>
    </row>
    <row r="3601" spans="1:12" x14ac:dyDescent="0.3">
      <c r="A3601">
        <v>44886</v>
      </c>
      <c r="B3601" t="s">
        <v>12</v>
      </c>
      <c r="C3601">
        <v>69</v>
      </c>
      <c r="D3601" t="s">
        <v>16</v>
      </c>
      <c r="E3601" t="s">
        <v>15</v>
      </c>
      <c r="F3601" t="s">
        <v>16</v>
      </c>
      <c r="G3601" t="s">
        <v>18</v>
      </c>
      <c r="H3601" t="s">
        <v>23</v>
      </c>
      <c r="I3601">
        <v>236.79</v>
      </c>
      <c r="J3601">
        <v>35.700000000000003</v>
      </c>
      <c r="K3601" t="s">
        <v>24</v>
      </c>
      <c r="L3601" t="s">
        <v>15</v>
      </c>
    </row>
    <row r="3602" spans="1:12" x14ac:dyDescent="0.3">
      <c r="A3602">
        <v>26076</v>
      </c>
      <c r="B3602" t="s">
        <v>13</v>
      </c>
      <c r="C3602">
        <v>75</v>
      </c>
      <c r="D3602" t="s">
        <v>16</v>
      </c>
      <c r="E3602" t="s">
        <v>15</v>
      </c>
      <c r="F3602" t="s">
        <v>16</v>
      </c>
      <c r="G3602" t="s">
        <v>18</v>
      </c>
      <c r="H3602" t="s">
        <v>23</v>
      </c>
      <c r="I3602">
        <v>219.82</v>
      </c>
      <c r="J3602">
        <v>29.5</v>
      </c>
      <c r="K3602" t="s">
        <v>24</v>
      </c>
      <c r="L3602" t="s">
        <v>15</v>
      </c>
    </row>
    <row r="3603" spans="1:12" x14ac:dyDescent="0.3">
      <c r="A3603">
        <v>54962</v>
      </c>
      <c r="B3603" t="s">
        <v>13</v>
      </c>
      <c r="C3603">
        <v>27</v>
      </c>
      <c r="D3603" t="s">
        <v>15</v>
      </c>
      <c r="E3603" t="s">
        <v>15</v>
      </c>
      <c r="F3603" t="s">
        <v>15</v>
      </c>
      <c r="G3603" t="s">
        <v>17</v>
      </c>
      <c r="H3603" t="s">
        <v>22</v>
      </c>
      <c r="I3603">
        <v>82.05</v>
      </c>
      <c r="J3603">
        <v>21</v>
      </c>
      <c r="K3603" t="s">
        <v>27</v>
      </c>
      <c r="L3603" t="s">
        <v>15</v>
      </c>
    </row>
    <row r="3604" spans="1:12" x14ac:dyDescent="0.3">
      <c r="A3604">
        <v>1116</v>
      </c>
      <c r="B3604" t="s">
        <v>13</v>
      </c>
      <c r="C3604">
        <v>49</v>
      </c>
      <c r="D3604" t="s">
        <v>15</v>
      </c>
      <c r="E3604" t="s">
        <v>15</v>
      </c>
      <c r="F3604" t="s">
        <v>15</v>
      </c>
      <c r="G3604" t="s">
        <v>19</v>
      </c>
      <c r="H3604" t="s">
        <v>23</v>
      </c>
      <c r="I3604">
        <v>104.08</v>
      </c>
      <c r="J3604">
        <v>26.6</v>
      </c>
      <c r="K3604" t="s">
        <v>25</v>
      </c>
      <c r="L3604" t="s">
        <v>15</v>
      </c>
    </row>
    <row r="3605" spans="1:12" x14ac:dyDescent="0.3">
      <c r="A3605">
        <v>28247</v>
      </c>
      <c r="B3605" t="s">
        <v>12</v>
      </c>
      <c r="C3605">
        <v>82</v>
      </c>
      <c r="D3605" t="s">
        <v>15</v>
      </c>
      <c r="E3605" t="s">
        <v>15</v>
      </c>
      <c r="F3605" t="s">
        <v>15</v>
      </c>
      <c r="G3605" t="s">
        <v>18</v>
      </c>
      <c r="H3605" t="s">
        <v>22</v>
      </c>
      <c r="I3605">
        <v>101.57</v>
      </c>
      <c r="J3605">
        <v>24.3</v>
      </c>
      <c r="K3605" t="s">
        <v>26</v>
      </c>
      <c r="L3605" t="s">
        <v>15</v>
      </c>
    </row>
    <row r="3606" spans="1:12" x14ac:dyDescent="0.3">
      <c r="A3606">
        <v>39563</v>
      </c>
      <c r="B3606" t="s">
        <v>13</v>
      </c>
      <c r="C3606">
        <v>36</v>
      </c>
      <c r="D3606" t="s">
        <v>15</v>
      </c>
      <c r="E3606" t="s">
        <v>15</v>
      </c>
      <c r="F3606" t="s">
        <v>16</v>
      </c>
      <c r="G3606" t="s">
        <v>17</v>
      </c>
      <c r="H3606" t="s">
        <v>23</v>
      </c>
      <c r="I3606">
        <v>71.319999999999993</v>
      </c>
      <c r="J3606">
        <v>43.9</v>
      </c>
      <c r="K3606" t="s">
        <v>26</v>
      </c>
      <c r="L3606" t="s">
        <v>15</v>
      </c>
    </row>
    <row r="3607" spans="1:12" x14ac:dyDescent="0.3">
      <c r="A3607">
        <v>49553</v>
      </c>
      <c r="B3607" t="s">
        <v>12</v>
      </c>
      <c r="C3607">
        <v>1.88</v>
      </c>
      <c r="D3607" t="s">
        <v>15</v>
      </c>
      <c r="E3607" t="s">
        <v>15</v>
      </c>
      <c r="F3607" t="s">
        <v>15</v>
      </c>
      <c r="G3607" t="s">
        <v>20</v>
      </c>
      <c r="H3607" t="s">
        <v>23</v>
      </c>
      <c r="I3607">
        <v>143.97</v>
      </c>
      <c r="K3607" t="s">
        <v>27</v>
      </c>
      <c r="L3607" t="s">
        <v>15</v>
      </c>
    </row>
    <row r="3608" spans="1:12" x14ac:dyDescent="0.3">
      <c r="A3608">
        <v>14872</v>
      </c>
      <c r="B3608" t="s">
        <v>12</v>
      </c>
      <c r="C3608">
        <v>45</v>
      </c>
      <c r="D3608" t="s">
        <v>16</v>
      </c>
      <c r="E3608" t="s">
        <v>15</v>
      </c>
      <c r="F3608" t="s">
        <v>16</v>
      </c>
      <c r="G3608" t="s">
        <v>18</v>
      </c>
      <c r="H3608" t="s">
        <v>23</v>
      </c>
      <c r="I3608">
        <v>239.19</v>
      </c>
      <c r="J3608">
        <v>52.5</v>
      </c>
      <c r="K3608" t="s">
        <v>27</v>
      </c>
      <c r="L3608" t="s">
        <v>15</v>
      </c>
    </row>
    <row r="3609" spans="1:12" x14ac:dyDescent="0.3">
      <c r="A3609">
        <v>57598</v>
      </c>
      <c r="B3609" t="s">
        <v>13</v>
      </c>
      <c r="C3609">
        <v>64</v>
      </c>
      <c r="D3609" t="s">
        <v>15</v>
      </c>
      <c r="E3609" t="s">
        <v>15</v>
      </c>
      <c r="F3609" t="s">
        <v>16</v>
      </c>
      <c r="G3609" t="s">
        <v>17</v>
      </c>
      <c r="H3609" t="s">
        <v>23</v>
      </c>
      <c r="I3609">
        <v>78.45</v>
      </c>
      <c r="J3609">
        <v>27</v>
      </c>
      <c r="K3609" t="s">
        <v>24</v>
      </c>
      <c r="L3609" t="s">
        <v>15</v>
      </c>
    </row>
    <row r="3610" spans="1:12" x14ac:dyDescent="0.3">
      <c r="A3610">
        <v>70022</v>
      </c>
      <c r="B3610" t="s">
        <v>12</v>
      </c>
      <c r="C3610">
        <v>32</v>
      </c>
      <c r="D3610" t="s">
        <v>15</v>
      </c>
      <c r="E3610" t="s">
        <v>15</v>
      </c>
      <c r="F3610" t="s">
        <v>15</v>
      </c>
      <c r="G3610" t="s">
        <v>17</v>
      </c>
      <c r="H3610" t="s">
        <v>23</v>
      </c>
      <c r="I3610">
        <v>61.11</v>
      </c>
      <c r="J3610">
        <v>32.700000000000003</v>
      </c>
      <c r="K3610" t="s">
        <v>25</v>
      </c>
      <c r="L3610" t="s">
        <v>15</v>
      </c>
    </row>
    <row r="3611" spans="1:12" x14ac:dyDescent="0.3">
      <c r="A3611">
        <v>70365</v>
      </c>
      <c r="B3611" t="s">
        <v>13</v>
      </c>
      <c r="C3611">
        <v>15</v>
      </c>
      <c r="D3611" t="s">
        <v>15</v>
      </c>
      <c r="E3611" t="s">
        <v>15</v>
      </c>
      <c r="F3611" t="s">
        <v>15</v>
      </c>
      <c r="G3611" t="s">
        <v>17</v>
      </c>
      <c r="H3611" t="s">
        <v>22</v>
      </c>
      <c r="I3611">
        <v>87.29</v>
      </c>
      <c r="J3611">
        <v>29.4</v>
      </c>
      <c r="K3611" t="s">
        <v>27</v>
      </c>
      <c r="L3611" t="s">
        <v>15</v>
      </c>
    </row>
    <row r="3612" spans="1:12" x14ac:dyDescent="0.3">
      <c r="A3612">
        <v>57219</v>
      </c>
      <c r="B3612" t="s">
        <v>13</v>
      </c>
      <c r="C3612">
        <v>1.64</v>
      </c>
      <c r="D3612" t="s">
        <v>15</v>
      </c>
      <c r="E3612" t="s">
        <v>15</v>
      </c>
      <c r="F3612" t="s">
        <v>15</v>
      </c>
      <c r="G3612" t="s">
        <v>20</v>
      </c>
      <c r="H3612" t="s">
        <v>23</v>
      </c>
      <c r="I3612">
        <v>82.49</v>
      </c>
      <c r="J3612">
        <v>15.1</v>
      </c>
      <c r="K3612" t="s">
        <v>27</v>
      </c>
      <c r="L3612" t="s">
        <v>15</v>
      </c>
    </row>
    <row r="3613" spans="1:12" x14ac:dyDescent="0.3">
      <c r="A3613">
        <v>28344</v>
      </c>
      <c r="B3613" t="s">
        <v>12</v>
      </c>
      <c r="C3613">
        <v>34</v>
      </c>
      <c r="D3613" t="s">
        <v>15</v>
      </c>
      <c r="E3613" t="s">
        <v>15</v>
      </c>
      <c r="F3613" t="s">
        <v>16</v>
      </c>
      <c r="G3613" t="s">
        <v>17</v>
      </c>
      <c r="H3613" t="s">
        <v>22</v>
      </c>
      <c r="I3613">
        <v>83.15</v>
      </c>
      <c r="J3613">
        <v>32.1</v>
      </c>
      <c r="K3613" t="s">
        <v>27</v>
      </c>
      <c r="L3613" t="s">
        <v>15</v>
      </c>
    </row>
    <row r="3614" spans="1:12" x14ac:dyDescent="0.3">
      <c r="A3614">
        <v>50785</v>
      </c>
      <c r="B3614" t="s">
        <v>12</v>
      </c>
      <c r="C3614">
        <v>17</v>
      </c>
      <c r="D3614" t="s">
        <v>15</v>
      </c>
      <c r="E3614" t="s">
        <v>15</v>
      </c>
      <c r="F3614" t="s">
        <v>15</v>
      </c>
      <c r="G3614" t="s">
        <v>17</v>
      </c>
      <c r="H3614" t="s">
        <v>23</v>
      </c>
      <c r="I3614">
        <v>83.26</v>
      </c>
      <c r="J3614">
        <v>32.9</v>
      </c>
      <c r="K3614" t="s">
        <v>25</v>
      </c>
      <c r="L3614" t="s">
        <v>15</v>
      </c>
    </row>
    <row r="3615" spans="1:12" x14ac:dyDescent="0.3">
      <c r="A3615">
        <v>17251</v>
      </c>
      <c r="B3615" t="s">
        <v>13</v>
      </c>
      <c r="C3615">
        <v>76</v>
      </c>
      <c r="D3615" t="s">
        <v>16</v>
      </c>
      <c r="E3615" t="s">
        <v>15</v>
      </c>
      <c r="F3615" t="s">
        <v>16</v>
      </c>
      <c r="G3615" t="s">
        <v>18</v>
      </c>
      <c r="H3615" t="s">
        <v>22</v>
      </c>
      <c r="I3615">
        <v>78.7</v>
      </c>
      <c r="J3615">
        <v>27.6</v>
      </c>
      <c r="K3615" t="s">
        <v>24</v>
      </c>
      <c r="L3615" t="s">
        <v>15</v>
      </c>
    </row>
    <row r="3616" spans="1:12" x14ac:dyDescent="0.3">
      <c r="A3616">
        <v>48459</v>
      </c>
      <c r="B3616" t="s">
        <v>12</v>
      </c>
      <c r="C3616">
        <v>61</v>
      </c>
      <c r="D3616" t="s">
        <v>15</v>
      </c>
      <c r="E3616" t="s">
        <v>15</v>
      </c>
      <c r="F3616" t="s">
        <v>16</v>
      </c>
      <c r="G3616" t="s">
        <v>18</v>
      </c>
      <c r="H3616" t="s">
        <v>22</v>
      </c>
      <c r="I3616">
        <v>111.94</v>
      </c>
      <c r="J3616">
        <v>26.5</v>
      </c>
      <c r="K3616" t="s">
        <v>26</v>
      </c>
      <c r="L3616" t="s">
        <v>15</v>
      </c>
    </row>
    <row r="3617" spans="1:12" x14ac:dyDescent="0.3">
      <c r="A3617">
        <v>68843</v>
      </c>
      <c r="B3617" t="s">
        <v>12</v>
      </c>
      <c r="C3617">
        <v>30</v>
      </c>
      <c r="D3617" t="s">
        <v>15</v>
      </c>
      <c r="E3617" t="s">
        <v>15</v>
      </c>
      <c r="F3617" t="s">
        <v>16</v>
      </c>
      <c r="G3617" t="s">
        <v>17</v>
      </c>
      <c r="H3617" t="s">
        <v>23</v>
      </c>
      <c r="I3617">
        <v>104.77</v>
      </c>
      <c r="J3617">
        <v>19.2</v>
      </c>
      <c r="K3617" t="s">
        <v>26</v>
      </c>
      <c r="L3617" t="s">
        <v>15</v>
      </c>
    </row>
    <row r="3618" spans="1:12" x14ac:dyDescent="0.3">
      <c r="A3618">
        <v>27523</v>
      </c>
      <c r="B3618" t="s">
        <v>13</v>
      </c>
      <c r="C3618">
        <v>18</v>
      </c>
      <c r="D3618" t="s">
        <v>15</v>
      </c>
      <c r="E3618" t="s">
        <v>15</v>
      </c>
      <c r="F3618" t="s">
        <v>15</v>
      </c>
      <c r="G3618" t="s">
        <v>17</v>
      </c>
      <c r="H3618" t="s">
        <v>22</v>
      </c>
      <c r="I3618">
        <v>104.26</v>
      </c>
      <c r="J3618">
        <v>25.9</v>
      </c>
      <c r="K3618" t="s">
        <v>27</v>
      </c>
      <c r="L3618" t="s">
        <v>15</v>
      </c>
    </row>
    <row r="3619" spans="1:12" x14ac:dyDescent="0.3">
      <c r="A3619">
        <v>61651</v>
      </c>
      <c r="B3619" t="s">
        <v>12</v>
      </c>
      <c r="C3619">
        <v>48</v>
      </c>
      <c r="D3619" t="s">
        <v>15</v>
      </c>
      <c r="E3619" t="s">
        <v>15</v>
      </c>
      <c r="F3619" t="s">
        <v>16</v>
      </c>
      <c r="G3619" t="s">
        <v>17</v>
      </c>
      <c r="H3619" t="s">
        <v>23</v>
      </c>
      <c r="I3619">
        <v>113.84</v>
      </c>
      <c r="J3619">
        <v>21.9</v>
      </c>
      <c r="K3619" t="s">
        <v>25</v>
      </c>
      <c r="L3619" t="s">
        <v>15</v>
      </c>
    </row>
    <row r="3620" spans="1:12" x14ac:dyDescent="0.3">
      <c r="A3620">
        <v>22877</v>
      </c>
      <c r="B3620" t="s">
        <v>12</v>
      </c>
      <c r="C3620">
        <v>0.16</v>
      </c>
      <c r="D3620" t="s">
        <v>15</v>
      </c>
      <c r="E3620" t="s">
        <v>15</v>
      </c>
      <c r="F3620" t="s">
        <v>15</v>
      </c>
      <c r="G3620" t="s">
        <v>20</v>
      </c>
      <c r="H3620" t="s">
        <v>22</v>
      </c>
      <c r="I3620">
        <v>114.71</v>
      </c>
      <c r="J3620">
        <v>17.399999999999999</v>
      </c>
      <c r="K3620" t="s">
        <v>27</v>
      </c>
      <c r="L3620" t="s">
        <v>15</v>
      </c>
    </row>
    <row r="3621" spans="1:12" x14ac:dyDescent="0.3">
      <c r="A3621">
        <v>52859</v>
      </c>
      <c r="B3621" t="s">
        <v>13</v>
      </c>
      <c r="C3621">
        <v>4</v>
      </c>
      <c r="D3621" t="s">
        <v>15</v>
      </c>
      <c r="E3621" t="s">
        <v>15</v>
      </c>
      <c r="F3621" t="s">
        <v>15</v>
      </c>
      <c r="G3621" t="s">
        <v>20</v>
      </c>
      <c r="H3621" t="s">
        <v>22</v>
      </c>
      <c r="I3621">
        <v>61.54</v>
      </c>
      <c r="J3621">
        <v>13.2</v>
      </c>
      <c r="K3621" t="s">
        <v>27</v>
      </c>
      <c r="L3621" t="s">
        <v>15</v>
      </c>
    </row>
    <row r="3622" spans="1:12" x14ac:dyDescent="0.3">
      <c r="A3622">
        <v>55631</v>
      </c>
      <c r="B3622" t="s">
        <v>12</v>
      </c>
      <c r="C3622">
        <v>38</v>
      </c>
      <c r="D3622" t="s">
        <v>15</v>
      </c>
      <c r="E3622" t="s">
        <v>15</v>
      </c>
      <c r="F3622" t="s">
        <v>16</v>
      </c>
      <c r="G3622" t="s">
        <v>17</v>
      </c>
      <c r="H3622" t="s">
        <v>23</v>
      </c>
      <c r="I3622">
        <v>133.62</v>
      </c>
      <c r="J3622">
        <v>25.2</v>
      </c>
      <c r="K3622" t="s">
        <v>25</v>
      </c>
      <c r="L3622" t="s">
        <v>15</v>
      </c>
    </row>
    <row r="3623" spans="1:12" x14ac:dyDescent="0.3">
      <c r="A3623">
        <v>7003</v>
      </c>
      <c r="B3623" t="s">
        <v>13</v>
      </c>
      <c r="C3623">
        <v>27</v>
      </c>
      <c r="D3623" t="s">
        <v>15</v>
      </c>
      <c r="E3623" t="s">
        <v>15</v>
      </c>
      <c r="F3623" t="s">
        <v>16</v>
      </c>
      <c r="G3623" t="s">
        <v>17</v>
      </c>
      <c r="H3623" t="s">
        <v>23</v>
      </c>
      <c r="I3623">
        <v>111.96</v>
      </c>
      <c r="J3623">
        <v>28.2</v>
      </c>
      <c r="K3623" t="s">
        <v>25</v>
      </c>
      <c r="L3623" t="s">
        <v>15</v>
      </c>
    </row>
    <row r="3624" spans="1:12" x14ac:dyDescent="0.3">
      <c r="A3624">
        <v>68447</v>
      </c>
      <c r="B3624" t="s">
        <v>13</v>
      </c>
      <c r="C3624">
        <v>50</v>
      </c>
      <c r="D3624" t="s">
        <v>15</v>
      </c>
      <c r="E3624" t="s">
        <v>15</v>
      </c>
      <c r="F3624" t="s">
        <v>15</v>
      </c>
      <c r="G3624" t="s">
        <v>17</v>
      </c>
      <c r="H3624" t="s">
        <v>22</v>
      </c>
      <c r="I3624">
        <v>112.44</v>
      </c>
      <c r="J3624">
        <v>31.5</v>
      </c>
      <c r="K3624" t="s">
        <v>27</v>
      </c>
      <c r="L3624" t="s">
        <v>15</v>
      </c>
    </row>
    <row r="3625" spans="1:12" x14ac:dyDescent="0.3">
      <c r="A3625">
        <v>13817</v>
      </c>
      <c r="B3625" t="s">
        <v>12</v>
      </c>
      <c r="C3625">
        <v>19</v>
      </c>
      <c r="D3625" t="s">
        <v>15</v>
      </c>
      <c r="E3625" t="s">
        <v>15</v>
      </c>
      <c r="F3625" t="s">
        <v>15</v>
      </c>
      <c r="G3625" t="s">
        <v>17</v>
      </c>
      <c r="H3625" t="s">
        <v>22</v>
      </c>
      <c r="I3625">
        <v>123.61</v>
      </c>
      <c r="J3625">
        <v>25.2</v>
      </c>
      <c r="K3625" t="s">
        <v>27</v>
      </c>
      <c r="L3625" t="s">
        <v>15</v>
      </c>
    </row>
    <row r="3626" spans="1:12" x14ac:dyDescent="0.3">
      <c r="A3626">
        <v>12117</v>
      </c>
      <c r="B3626" t="s">
        <v>12</v>
      </c>
      <c r="C3626">
        <v>8</v>
      </c>
      <c r="D3626" t="s">
        <v>15</v>
      </c>
      <c r="E3626" t="s">
        <v>15</v>
      </c>
      <c r="F3626" t="s">
        <v>15</v>
      </c>
      <c r="G3626" t="s">
        <v>20</v>
      </c>
      <c r="H3626" t="s">
        <v>22</v>
      </c>
      <c r="I3626">
        <v>84.68</v>
      </c>
      <c r="J3626">
        <v>14.5</v>
      </c>
      <c r="K3626" t="s">
        <v>27</v>
      </c>
      <c r="L3626" t="s">
        <v>15</v>
      </c>
    </row>
    <row r="3627" spans="1:12" x14ac:dyDescent="0.3">
      <c r="A3627">
        <v>40210</v>
      </c>
      <c r="B3627" t="s">
        <v>12</v>
      </c>
      <c r="C3627">
        <v>78</v>
      </c>
      <c r="D3627" t="s">
        <v>15</v>
      </c>
      <c r="E3627" t="s">
        <v>16</v>
      </c>
      <c r="F3627" t="s">
        <v>16</v>
      </c>
      <c r="G3627" t="s">
        <v>18</v>
      </c>
      <c r="H3627" t="s">
        <v>23</v>
      </c>
      <c r="I3627">
        <v>206.62</v>
      </c>
      <c r="J3627">
        <v>28</v>
      </c>
      <c r="K3627" t="s">
        <v>24</v>
      </c>
      <c r="L3627" t="s">
        <v>15</v>
      </c>
    </row>
    <row r="3628" spans="1:12" x14ac:dyDescent="0.3">
      <c r="A3628">
        <v>23360</v>
      </c>
      <c r="B3628" t="s">
        <v>12</v>
      </c>
      <c r="C3628">
        <v>0.8</v>
      </c>
      <c r="D3628" t="s">
        <v>15</v>
      </c>
      <c r="E3628" t="s">
        <v>15</v>
      </c>
      <c r="F3628" t="s">
        <v>15</v>
      </c>
      <c r="G3628" t="s">
        <v>20</v>
      </c>
      <c r="H3628" t="s">
        <v>23</v>
      </c>
      <c r="I3628">
        <v>114.54</v>
      </c>
      <c r="J3628">
        <v>15.1</v>
      </c>
      <c r="K3628" t="s">
        <v>27</v>
      </c>
      <c r="L3628" t="s">
        <v>15</v>
      </c>
    </row>
    <row r="3629" spans="1:12" x14ac:dyDescent="0.3">
      <c r="A3629">
        <v>28447</v>
      </c>
      <c r="B3629" t="s">
        <v>13</v>
      </c>
      <c r="C3629">
        <v>53</v>
      </c>
      <c r="D3629" t="s">
        <v>16</v>
      </c>
      <c r="E3629" t="s">
        <v>15</v>
      </c>
      <c r="F3629" t="s">
        <v>16</v>
      </c>
      <c r="G3629" t="s">
        <v>17</v>
      </c>
      <c r="H3629" t="s">
        <v>23</v>
      </c>
      <c r="I3629">
        <v>216.88</v>
      </c>
      <c r="J3629">
        <v>31.4</v>
      </c>
      <c r="K3629" t="s">
        <v>26</v>
      </c>
      <c r="L3629" t="s">
        <v>15</v>
      </c>
    </row>
    <row r="3630" spans="1:12" x14ac:dyDescent="0.3">
      <c r="A3630">
        <v>72398</v>
      </c>
      <c r="B3630" t="s">
        <v>13</v>
      </c>
      <c r="C3630">
        <v>73</v>
      </c>
      <c r="D3630" t="s">
        <v>16</v>
      </c>
      <c r="E3630" t="s">
        <v>15</v>
      </c>
      <c r="F3630" t="s">
        <v>16</v>
      </c>
      <c r="G3630" t="s">
        <v>17</v>
      </c>
      <c r="H3630" t="s">
        <v>22</v>
      </c>
      <c r="I3630">
        <v>110.38</v>
      </c>
      <c r="J3630">
        <v>26.3</v>
      </c>
      <c r="K3630" t="s">
        <v>25</v>
      </c>
      <c r="L3630" t="s">
        <v>15</v>
      </c>
    </row>
    <row r="3631" spans="1:12" x14ac:dyDescent="0.3">
      <c r="A3631">
        <v>7859</v>
      </c>
      <c r="B3631" t="s">
        <v>12</v>
      </c>
      <c r="C3631">
        <v>34</v>
      </c>
      <c r="D3631" t="s">
        <v>15</v>
      </c>
      <c r="E3631" t="s">
        <v>15</v>
      </c>
      <c r="F3631" t="s">
        <v>16</v>
      </c>
      <c r="G3631" t="s">
        <v>17</v>
      </c>
      <c r="H3631" t="s">
        <v>22</v>
      </c>
      <c r="I3631">
        <v>99.23</v>
      </c>
      <c r="K3631" t="s">
        <v>26</v>
      </c>
      <c r="L3631" t="s">
        <v>15</v>
      </c>
    </row>
    <row r="3632" spans="1:12" x14ac:dyDescent="0.3">
      <c r="A3632">
        <v>20140</v>
      </c>
      <c r="B3632" t="s">
        <v>12</v>
      </c>
      <c r="C3632">
        <v>58</v>
      </c>
      <c r="D3632" t="s">
        <v>15</v>
      </c>
      <c r="E3632" t="s">
        <v>15</v>
      </c>
      <c r="F3632" t="s">
        <v>16</v>
      </c>
      <c r="G3632" t="s">
        <v>19</v>
      </c>
      <c r="H3632" t="s">
        <v>23</v>
      </c>
      <c r="I3632">
        <v>204.92</v>
      </c>
      <c r="J3632">
        <v>39.6</v>
      </c>
      <c r="K3632" t="s">
        <v>25</v>
      </c>
      <c r="L3632" t="s">
        <v>15</v>
      </c>
    </row>
    <row r="3633" spans="1:12" x14ac:dyDescent="0.3">
      <c r="A3633">
        <v>46903</v>
      </c>
      <c r="B3633" t="s">
        <v>13</v>
      </c>
      <c r="C3633">
        <v>62</v>
      </c>
      <c r="D3633" t="s">
        <v>15</v>
      </c>
      <c r="E3633" t="s">
        <v>15</v>
      </c>
      <c r="F3633" t="s">
        <v>16</v>
      </c>
      <c r="G3633" t="s">
        <v>17</v>
      </c>
      <c r="H3633" t="s">
        <v>22</v>
      </c>
      <c r="I3633">
        <v>56.74</v>
      </c>
      <c r="J3633">
        <v>28.9</v>
      </c>
      <c r="K3633" t="s">
        <v>25</v>
      </c>
      <c r="L3633" t="s">
        <v>15</v>
      </c>
    </row>
    <row r="3634" spans="1:12" x14ac:dyDescent="0.3">
      <c r="A3634">
        <v>61333</v>
      </c>
      <c r="B3634" t="s">
        <v>13</v>
      </c>
      <c r="C3634">
        <v>78</v>
      </c>
      <c r="D3634" t="s">
        <v>15</v>
      </c>
      <c r="E3634" t="s">
        <v>15</v>
      </c>
      <c r="F3634" t="s">
        <v>15</v>
      </c>
      <c r="G3634" t="s">
        <v>18</v>
      </c>
      <c r="H3634" t="s">
        <v>23</v>
      </c>
      <c r="I3634">
        <v>68.349999999999994</v>
      </c>
      <c r="J3634">
        <v>31.4</v>
      </c>
      <c r="K3634" t="s">
        <v>27</v>
      </c>
      <c r="L3634" t="s">
        <v>15</v>
      </c>
    </row>
    <row r="3635" spans="1:12" x14ac:dyDescent="0.3">
      <c r="A3635">
        <v>7403</v>
      </c>
      <c r="B3635" t="s">
        <v>13</v>
      </c>
      <c r="C3635">
        <v>51</v>
      </c>
      <c r="D3635" t="s">
        <v>15</v>
      </c>
      <c r="E3635" t="s">
        <v>15</v>
      </c>
      <c r="F3635" t="s">
        <v>16</v>
      </c>
      <c r="G3635" t="s">
        <v>17</v>
      </c>
      <c r="H3635" t="s">
        <v>22</v>
      </c>
      <c r="I3635">
        <v>83.52</v>
      </c>
      <c r="J3635">
        <v>34.299999999999997</v>
      </c>
      <c r="K3635" t="s">
        <v>27</v>
      </c>
      <c r="L3635" t="s">
        <v>15</v>
      </c>
    </row>
    <row r="3636" spans="1:12" x14ac:dyDescent="0.3">
      <c r="A3636">
        <v>69370</v>
      </c>
      <c r="B3636" t="s">
        <v>12</v>
      </c>
      <c r="C3636">
        <v>78</v>
      </c>
      <c r="D3636" t="s">
        <v>15</v>
      </c>
      <c r="E3636" t="s">
        <v>15</v>
      </c>
      <c r="F3636" t="s">
        <v>16</v>
      </c>
      <c r="G3636" t="s">
        <v>19</v>
      </c>
      <c r="H3636" t="s">
        <v>22</v>
      </c>
      <c r="I3636">
        <v>59.74</v>
      </c>
      <c r="J3636">
        <v>27</v>
      </c>
      <c r="K3636" t="s">
        <v>24</v>
      </c>
      <c r="L3636" t="s">
        <v>15</v>
      </c>
    </row>
    <row r="3637" spans="1:12" x14ac:dyDescent="0.3">
      <c r="A3637">
        <v>43549</v>
      </c>
      <c r="B3637" t="s">
        <v>13</v>
      </c>
      <c r="C3637">
        <v>40</v>
      </c>
      <c r="D3637" t="s">
        <v>16</v>
      </c>
      <c r="E3637" t="s">
        <v>15</v>
      </c>
      <c r="F3637" t="s">
        <v>16</v>
      </c>
      <c r="G3637" t="s">
        <v>17</v>
      </c>
      <c r="H3637" t="s">
        <v>23</v>
      </c>
      <c r="I3637">
        <v>81.59</v>
      </c>
      <c r="J3637">
        <v>27.2</v>
      </c>
      <c r="K3637" t="s">
        <v>25</v>
      </c>
      <c r="L3637" t="s">
        <v>15</v>
      </c>
    </row>
    <row r="3638" spans="1:12" x14ac:dyDescent="0.3">
      <c r="A3638">
        <v>2903</v>
      </c>
      <c r="B3638" t="s">
        <v>13</v>
      </c>
      <c r="C3638">
        <v>35</v>
      </c>
      <c r="D3638" t="s">
        <v>15</v>
      </c>
      <c r="E3638" t="s">
        <v>15</v>
      </c>
      <c r="F3638" t="s">
        <v>15</v>
      </c>
      <c r="G3638" t="s">
        <v>17</v>
      </c>
      <c r="H3638" t="s">
        <v>23</v>
      </c>
      <c r="I3638">
        <v>123.83</v>
      </c>
      <c r="J3638">
        <v>23.8</v>
      </c>
      <c r="K3638" t="s">
        <v>25</v>
      </c>
      <c r="L3638" t="s">
        <v>15</v>
      </c>
    </row>
    <row r="3639" spans="1:12" x14ac:dyDescent="0.3">
      <c r="A3639">
        <v>70268</v>
      </c>
      <c r="B3639" t="s">
        <v>12</v>
      </c>
      <c r="C3639">
        <v>82</v>
      </c>
      <c r="D3639" t="s">
        <v>15</v>
      </c>
      <c r="E3639" t="s">
        <v>15</v>
      </c>
      <c r="F3639" t="s">
        <v>16</v>
      </c>
      <c r="G3639" t="s">
        <v>17</v>
      </c>
      <c r="H3639" t="s">
        <v>22</v>
      </c>
      <c r="I3639">
        <v>226.84</v>
      </c>
      <c r="J3639">
        <v>25.3</v>
      </c>
      <c r="K3639" t="s">
        <v>24</v>
      </c>
      <c r="L3639" t="s">
        <v>15</v>
      </c>
    </row>
    <row r="3640" spans="1:12" x14ac:dyDescent="0.3">
      <c r="A3640">
        <v>11003</v>
      </c>
      <c r="B3640" t="s">
        <v>13</v>
      </c>
      <c r="C3640">
        <v>46</v>
      </c>
      <c r="D3640" t="s">
        <v>15</v>
      </c>
      <c r="E3640" t="s">
        <v>15</v>
      </c>
      <c r="F3640" t="s">
        <v>16</v>
      </c>
      <c r="G3640" t="s">
        <v>18</v>
      </c>
      <c r="H3640" t="s">
        <v>23</v>
      </c>
      <c r="I3640">
        <v>93.2</v>
      </c>
      <c r="J3640">
        <v>32.6</v>
      </c>
      <c r="K3640" t="s">
        <v>27</v>
      </c>
      <c r="L3640" t="s">
        <v>15</v>
      </c>
    </row>
    <row r="3641" spans="1:12" x14ac:dyDescent="0.3">
      <c r="A3641">
        <v>61475</v>
      </c>
      <c r="B3641" t="s">
        <v>13</v>
      </c>
      <c r="C3641">
        <v>51</v>
      </c>
      <c r="D3641" t="s">
        <v>16</v>
      </c>
      <c r="E3641" t="s">
        <v>15</v>
      </c>
      <c r="F3641" t="s">
        <v>16</v>
      </c>
      <c r="G3641" t="s">
        <v>17</v>
      </c>
      <c r="H3641" t="s">
        <v>23</v>
      </c>
      <c r="I3641">
        <v>85.84</v>
      </c>
      <c r="J3641">
        <v>31.8</v>
      </c>
      <c r="K3641" t="s">
        <v>25</v>
      </c>
      <c r="L3641" t="s">
        <v>15</v>
      </c>
    </row>
    <row r="3642" spans="1:12" x14ac:dyDescent="0.3">
      <c r="A3642">
        <v>27608</v>
      </c>
      <c r="B3642" t="s">
        <v>13</v>
      </c>
      <c r="C3642">
        <v>53</v>
      </c>
      <c r="D3642" t="s">
        <v>15</v>
      </c>
      <c r="E3642" t="s">
        <v>15</v>
      </c>
      <c r="F3642" t="s">
        <v>16</v>
      </c>
      <c r="G3642" t="s">
        <v>19</v>
      </c>
      <c r="H3642" t="s">
        <v>22</v>
      </c>
      <c r="I3642">
        <v>74.64</v>
      </c>
      <c r="J3642">
        <v>22.4</v>
      </c>
      <c r="K3642" t="s">
        <v>27</v>
      </c>
      <c r="L3642" t="s">
        <v>15</v>
      </c>
    </row>
    <row r="3643" spans="1:12" x14ac:dyDescent="0.3">
      <c r="A3643">
        <v>9923</v>
      </c>
      <c r="B3643" t="s">
        <v>12</v>
      </c>
      <c r="C3643">
        <v>55</v>
      </c>
      <c r="D3643" t="s">
        <v>15</v>
      </c>
      <c r="E3643" t="s">
        <v>16</v>
      </c>
      <c r="F3643" t="s">
        <v>16</v>
      </c>
      <c r="G3643" t="s">
        <v>17</v>
      </c>
      <c r="H3643" t="s">
        <v>22</v>
      </c>
      <c r="I3643">
        <v>80.17</v>
      </c>
      <c r="J3643">
        <v>28</v>
      </c>
      <c r="K3643" t="s">
        <v>25</v>
      </c>
      <c r="L3643" t="s">
        <v>15</v>
      </c>
    </row>
    <row r="3644" spans="1:12" x14ac:dyDescent="0.3">
      <c r="A3644">
        <v>28091</v>
      </c>
      <c r="B3644" t="s">
        <v>13</v>
      </c>
      <c r="C3644">
        <v>43</v>
      </c>
      <c r="D3644" t="s">
        <v>15</v>
      </c>
      <c r="E3644" t="s">
        <v>15</v>
      </c>
      <c r="F3644" t="s">
        <v>16</v>
      </c>
      <c r="G3644" t="s">
        <v>19</v>
      </c>
      <c r="H3644" t="s">
        <v>22</v>
      </c>
      <c r="I3644">
        <v>85.03</v>
      </c>
      <c r="J3644">
        <v>23.9</v>
      </c>
      <c r="K3644" t="s">
        <v>24</v>
      </c>
      <c r="L3644" t="s">
        <v>15</v>
      </c>
    </row>
    <row r="3645" spans="1:12" x14ac:dyDescent="0.3">
      <c r="A3645">
        <v>59749</v>
      </c>
      <c r="B3645" t="s">
        <v>12</v>
      </c>
      <c r="C3645">
        <v>81</v>
      </c>
      <c r="D3645" t="s">
        <v>15</v>
      </c>
      <c r="E3645" t="s">
        <v>15</v>
      </c>
      <c r="F3645" t="s">
        <v>16</v>
      </c>
      <c r="G3645" t="s">
        <v>17</v>
      </c>
      <c r="H3645" t="s">
        <v>22</v>
      </c>
      <c r="I3645">
        <v>234.35</v>
      </c>
      <c r="J3645">
        <v>25.3</v>
      </c>
      <c r="K3645" t="s">
        <v>24</v>
      </c>
      <c r="L3645" t="s">
        <v>15</v>
      </c>
    </row>
    <row r="3646" spans="1:12" x14ac:dyDescent="0.3">
      <c r="A3646">
        <v>8719</v>
      </c>
      <c r="B3646" t="s">
        <v>12</v>
      </c>
      <c r="C3646">
        <v>12</v>
      </c>
      <c r="D3646" t="s">
        <v>15</v>
      </c>
      <c r="E3646" t="s">
        <v>15</v>
      </c>
      <c r="F3646" t="s">
        <v>15</v>
      </c>
      <c r="G3646" t="s">
        <v>20</v>
      </c>
      <c r="H3646" t="s">
        <v>22</v>
      </c>
      <c r="I3646">
        <v>116.25</v>
      </c>
      <c r="J3646">
        <v>16.399999999999999</v>
      </c>
      <c r="K3646" t="s">
        <v>24</v>
      </c>
      <c r="L3646" t="s">
        <v>15</v>
      </c>
    </row>
    <row r="3647" spans="1:12" x14ac:dyDescent="0.3">
      <c r="A3647">
        <v>58154</v>
      </c>
      <c r="B3647" t="s">
        <v>13</v>
      </c>
      <c r="C3647">
        <v>20</v>
      </c>
      <c r="D3647" t="s">
        <v>15</v>
      </c>
      <c r="E3647" t="s">
        <v>15</v>
      </c>
      <c r="F3647" t="s">
        <v>15</v>
      </c>
      <c r="G3647" t="s">
        <v>17</v>
      </c>
      <c r="H3647" t="s">
        <v>22</v>
      </c>
      <c r="I3647">
        <v>66.55</v>
      </c>
      <c r="J3647">
        <v>26.9</v>
      </c>
      <c r="K3647" t="s">
        <v>26</v>
      </c>
      <c r="L3647" t="s">
        <v>15</v>
      </c>
    </row>
    <row r="3648" spans="1:12" x14ac:dyDescent="0.3">
      <c r="A3648">
        <v>31712</v>
      </c>
      <c r="B3648" t="s">
        <v>13</v>
      </c>
      <c r="C3648">
        <v>53</v>
      </c>
      <c r="D3648" t="s">
        <v>15</v>
      </c>
      <c r="E3648" t="s">
        <v>15</v>
      </c>
      <c r="F3648" t="s">
        <v>16</v>
      </c>
      <c r="G3648" t="s">
        <v>17</v>
      </c>
      <c r="H3648" t="s">
        <v>22</v>
      </c>
      <c r="I3648">
        <v>88.38</v>
      </c>
      <c r="J3648">
        <v>25.4</v>
      </c>
      <c r="K3648" t="s">
        <v>25</v>
      </c>
      <c r="L3648" t="s">
        <v>15</v>
      </c>
    </row>
    <row r="3649" spans="1:12" x14ac:dyDescent="0.3">
      <c r="A3649">
        <v>14249</v>
      </c>
      <c r="B3649" t="s">
        <v>13</v>
      </c>
      <c r="C3649">
        <v>1.32</v>
      </c>
      <c r="D3649" t="s">
        <v>15</v>
      </c>
      <c r="E3649" t="s">
        <v>15</v>
      </c>
      <c r="F3649" t="s">
        <v>15</v>
      </c>
      <c r="G3649" t="s">
        <v>20</v>
      </c>
      <c r="H3649" t="s">
        <v>22</v>
      </c>
      <c r="I3649">
        <v>81.05</v>
      </c>
      <c r="J3649">
        <v>18.7</v>
      </c>
      <c r="K3649" t="s">
        <v>27</v>
      </c>
      <c r="L3649" t="s">
        <v>15</v>
      </c>
    </row>
    <row r="3650" spans="1:12" x14ac:dyDescent="0.3">
      <c r="A3650">
        <v>30693</v>
      </c>
      <c r="B3650" t="s">
        <v>13</v>
      </c>
      <c r="C3650">
        <v>22</v>
      </c>
      <c r="D3650" t="s">
        <v>15</v>
      </c>
      <c r="E3650" t="s">
        <v>15</v>
      </c>
      <c r="F3650" t="s">
        <v>15</v>
      </c>
      <c r="G3650" t="s">
        <v>17</v>
      </c>
      <c r="H3650" t="s">
        <v>22</v>
      </c>
      <c r="I3650">
        <v>68.400000000000006</v>
      </c>
      <c r="J3650">
        <v>37.5</v>
      </c>
      <c r="K3650" t="s">
        <v>25</v>
      </c>
      <c r="L3650" t="s">
        <v>15</v>
      </c>
    </row>
    <row r="3651" spans="1:12" x14ac:dyDescent="0.3">
      <c r="A3651">
        <v>18866</v>
      </c>
      <c r="B3651" t="s">
        <v>13</v>
      </c>
      <c r="C3651">
        <v>75</v>
      </c>
      <c r="D3651" t="s">
        <v>15</v>
      </c>
      <c r="E3651" t="s">
        <v>15</v>
      </c>
      <c r="F3651" t="s">
        <v>16</v>
      </c>
      <c r="G3651" t="s">
        <v>18</v>
      </c>
      <c r="H3651" t="s">
        <v>22</v>
      </c>
      <c r="I3651">
        <v>96.95</v>
      </c>
      <c r="J3651">
        <v>41.4</v>
      </c>
      <c r="K3651" t="s">
        <v>25</v>
      </c>
      <c r="L3651" t="s">
        <v>15</v>
      </c>
    </row>
    <row r="3652" spans="1:12" x14ac:dyDescent="0.3">
      <c r="A3652">
        <v>36909</v>
      </c>
      <c r="B3652" t="s">
        <v>13</v>
      </c>
      <c r="C3652">
        <v>66</v>
      </c>
      <c r="D3652" t="s">
        <v>15</v>
      </c>
      <c r="E3652" t="s">
        <v>15</v>
      </c>
      <c r="F3652" t="s">
        <v>16</v>
      </c>
      <c r="G3652" t="s">
        <v>18</v>
      </c>
      <c r="H3652" t="s">
        <v>23</v>
      </c>
      <c r="I3652">
        <v>66.239999999999995</v>
      </c>
      <c r="J3652">
        <v>37.5</v>
      </c>
      <c r="K3652" t="s">
        <v>25</v>
      </c>
      <c r="L3652" t="s">
        <v>15</v>
      </c>
    </row>
    <row r="3653" spans="1:12" x14ac:dyDescent="0.3">
      <c r="A3653">
        <v>63562</v>
      </c>
      <c r="B3653" t="s">
        <v>12</v>
      </c>
      <c r="C3653">
        <v>7</v>
      </c>
      <c r="D3653" t="s">
        <v>15</v>
      </c>
      <c r="E3653" t="s">
        <v>15</v>
      </c>
      <c r="F3653" t="s">
        <v>15</v>
      </c>
      <c r="G3653" t="s">
        <v>20</v>
      </c>
      <c r="H3653" t="s">
        <v>23</v>
      </c>
      <c r="I3653">
        <v>91.81</v>
      </c>
      <c r="J3653">
        <v>15.8</v>
      </c>
      <c r="K3653" t="s">
        <v>27</v>
      </c>
      <c r="L3653" t="s">
        <v>15</v>
      </c>
    </row>
    <row r="3654" spans="1:12" x14ac:dyDescent="0.3">
      <c r="A3654">
        <v>29352</v>
      </c>
      <c r="B3654" t="s">
        <v>13</v>
      </c>
      <c r="C3654">
        <v>26</v>
      </c>
      <c r="D3654" t="s">
        <v>15</v>
      </c>
      <c r="E3654" t="s">
        <v>15</v>
      </c>
      <c r="F3654" t="s">
        <v>15</v>
      </c>
      <c r="G3654" t="s">
        <v>17</v>
      </c>
      <c r="H3654" t="s">
        <v>22</v>
      </c>
      <c r="I3654">
        <v>84.86</v>
      </c>
      <c r="J3654">
        <v>37.6</v>
      </c>
      <c r="K3654" t="s">
        <v>25</v>
      </c>
      <c r="L3654" t="s">
        <v>15</v>
      </c>
    </row>
    <row r="3655" spans="1:12" x14ac:dyDescent="0.3">
      <c r="A3655">
        <v>44024</v>
      </c>
      <c r="B3655" t="s">
        <v>13</v>
      </c>
      <c r="C3655">
        <v>14</v>
      </c>
      <c r="D3655" t="s">
        <v>15</v>
      </c>
      <c r="E3655" t="s">
        <v>15</v>
      </c>
      <c r="F3655" t="s">
        <v>15</v>
      </c>
      <c r="G3655" t="s">
        <v>17</v>
      </c>
      <c r="H3655" t="s">
        <v>23</v>
      </c>
      <c r="I3655">
        <v>118.88</v>
      </c>
      <c r="J3655">
        <v>30.5</v>
      </c>
      <c r="K3655" t="s">
        <v>25</v>
      </c>
      <c r="L3655" t="s">
        <v>15</v>
      </c>
    </row>
    <row r="3656" spans="1:12" x14ac:dyDescent="0.3">
      <c r="A3656">
        <v>24068</v>
      </c>
      <c r="B3656" t="s">
        <v>13</v>
      </c>
      <c r="C3656">
        <v>32</v>
      </c>
      <c r="D3656" t="s">
        <v>15</v>
      </c>
      <c r="E3656" t="s">
        <v>15</v>
      </c>
      <c r="F3656" t="s">
        <v>16</v>
      </c>
      <c r="G3656" t="s">
        <v>17</v>
      </c>
      <c r="H3656" t="s">
        <v>22</v>
      </c>
      <c r="I3656">
        <v>85.91</v>
      </c>
      <c r="J3656">
        <v>22.1</v>
      </c>
      <c r="K3656" t="s">
        <v>27</v>
      </c>
      <c r="L3656" t="s">
        <v>15</v>
      </c>
    </row>
    <row r="3657" spans="1:12" x14ac:dyDescent="0.3">
      <c r="A3657">
        <v>57602</v>
      </c>
      <c r="B3657" t="s">
        <v>12</v>
      </c>
      <c r="C3657">
        <v>6</v>
      </c>
      <c r="D3657" t="s">
        <v>15</v>
      </c>
      <c r="E3657" t="s">
        <v>15</v>
      </c>
      <c r="F3657" t="s">
        <v>15</v>
      </c>
      <c r="G3657" t="s">
        <v>20</v>
      </c>
      <c r="H3657" t="s">
        <v>23</v>
      </c>
      <c r="I3657">
        <v>115.4</v>
      </c>
      <c r="J3657">
        <v>19.2</v>
      </c>
      <c r="K3657" t="s">
        <v>27</v>
      </c>
      <c r="L3657" t="s">
        <v>15</v>
      </c>
    </row>
    <row r="3658" spans="1:12" x14ac:dyDescent="0.3">
      <c r="A3658">
        <v>16536</v>
      </c>
      <c r="B3658" t="s">
        <v>13</v>
      </c>
      <c r="C3658">
        <v>42</v>
      </c>
      <c r="D3658" t="s">
        <v>15</v>
      </c>
      <c r="E3658" t="s">
        <v>15</v>
      </c>
      <c r="F3658" t="s">
        <v>16</v>
      </c>
      <c r="G3658" t="s">
        <v>18</v>
      </c>
      <c r="H3658" t="s">
        <v>23</v>
      </c>
      <c r="I3658">
        <v>75.34</v>
      </c>
      <c r="J3658">
        <v>38</v>
      </c>
      <c r="K3658" t="s">
        <v>25</v>
      </c>
      <c r="L3658" t="s">
        <v>15</v>
      </c>
    </row>
    <row r="3659" spans="1:12" x14ac:dyDescent="0.3">
      <c r="A3659">
        <v>6639</v>
      </c>
      <c r="B3659" t="s">
        <v>12</v>
      </c>
      <c r="C3659">
        <v>4</v>
      </c>
      <c r="D3659" t="s">
        <v>15</v>
      </c>
      <c r="E3659" t="s">
        <v>15</v>
      </c>
      <c r="F3659" t="s">
        <v>15</v>
      </c>
      <c r="G3659" t="s">
        <v>20</v>
      </c>
      <c r="H3659" t="s">
        <v>23</v>
      </c>
      <c r="I3659">
        <v>100.19</v>
      </c>
      <c r="J3659">
        <v>18.7</v>
      </c>
      <c r="K3659" t="s">
        <v>27</v>
      </c>
      <c r="L3659" t="s">
        <v>15</v>
      </c>
    </row>
    <row r="3660" spans="1:12" x14ac:dyDescent="0.3">
      <c r="A3660">
        <v>6528</v>
      </c>
      <c r="B3660" t="s">
        <v>12</v>
      </c>
      <c r="C3660">
        <v>75</v>
      </c>
      <c r="D3660" t="s">
        <v>15</v>
      </c>
      <c r="E3660" t="s">
        <v>15</v>
      </c>
      <c r="F3660" t="s">
        <v>16</v>
      </c>
      <c r="G3660" t="s">
        <v>19</v>
      </c>
      <c r="H3660" t="s">
        <v>22</v>
      </c>
      <c r="I3660">
        <v>200.73</v>
      </c>
      <c r="J3660">
        <v>25.7</v>
      </c>
      <c r="K3660" t="s">
        <v>24</v>
      </c>
      <c r="L3660" t="s">
        <v>15</v>
      </c>
    </row>
    <row r="3661" spans="1:12" x14ac:dyDescent="0.3">
      <c r="A3661">
        <v>42594</v>
      </c>
      <c r="B3661" t="s">
        <v>12</v>
      </c>
      <c r="C3661">
        <v>80</v>
      </c>
      <c r="D3661" t="s">
        <v>16</v>
      </c>
      <c r="E3661" t="s">
        <v>15</v>
      </c>
      <c r="F3661" t="s">
        <v>16</v>
      </c>
      <c r="G3661" t="s">
        <v>19</v>
      </c>
      <c r="H3661" t="s">
        <v>22</v>
      </c>
      <c r="I3661">
        <v>114.09</v>
      </c>
      <c r="J3661">
        <v>30.1</v>
      </c>
      <c r="K3661" t="s">
        <v>25</v>
      </c>
      <c r="L3661" t="s">
        <v>15</v>
      </c>
    </row>
    <row r="3662" spans="1:12" x14ac:dyDescent="0.3">
      <c r="A3662">
        <v>59045</v>
      </c>
      <c r="B3662" t="s">
        <v>13</v>
      </c>
      <c r="C3662">
        <v>52</v>
      </c>
      <c r="D3662" t="s">
        <v>15</v>
      </c>
      <c r="E3662" t="s">
        <v>15</v>
      </c>
      <c r="F3662" t="s">
        <v>16</v>
      </c>
      <c r="G3662" t="s">
        <v>17</v>
      </c>
      <c r="H3662" t="s">
        <v>22</v>
      </c>
      <c r="I3662">
        <v>67.3</v>
      </c>
      <c r="J3662">
        <v>36.299999999999997</v>
      </c>
      <c r="K3662" t="s">
        <v>25</v>
      </c>
      <c r="L3662" t="s">
        <v>15</v>
      </c>
    </row>
    <row r="3663" spans="1:12" x14ac:dyDescent="0.3">
      <c r="A3663">
        <v>31608</v>
      </c>
      <c r="B3663" t="s">
        <v>12</v>
      </c>
      <c r="C3663">
        <v>11</v>
      </c>
      <c r="D3663" t="s">
        <v>15</v>
      </c>
      <c r="E3663" t="s">
        <v>15</v>
      </c>
      <c r="F3663" t="s">
        <v>15</v>
      </c>
      <c r="G3663" t="s">
        <v>20</v>
      </c>
      <c r="H3663" t="s">
        <v>23</v>
      </c>
      <c r="I3663">
        <v>96.91</v>
      </c>
      <c r="J3663">
        <v>20.399999999999999</v>
      </c>
      <c r="K3663" t="s">
        <v>27</v>
      </c>
      <c r="L3663" t="s">
        <v>15</v>
      </c>
    </row>
    <row r="3664" spans="1:12" x14ac:dyDescent="0.3">
      <c r="A3664">
        <v>47949</v>
      </c>
      <c r="B3664" t="s">
        <v>12</v>
      </c>
      <c r="C3664">
        <v>14</v>
      </c>
      <c r="D3664" t="s">
        <v>15</v>
      </c>
      <c r="E3664" t="s">
        <v>15</v>
      </c>
      <c r="F3664" t="s">
        <v>15</v>
      </c>
      <c r="G3664" t="s">
        <v>20</v>
      </c>
      <c r="H3664" t="s">
        <v>23</v>
      </c>
      <c r="I3664">
        <v>116.2</v>
      </c>
      <c r="J3664">
        <v>20.9</v>
      </c>
      <c r="K3664" t="s">
        <v>27</v>
      </c>
      <c r="L3664" t="s">
        <v>15</v>
      </c>
    </row>
    <row r="3665" spans="1:12" x14ac:dyDescent="0.3">
      <c r="A3665">
        <v>41362</v>
      </c>
      <c r="B3665" t="s">
        <v>13</v>
      </c>
      <c r="C3665">
        <v>74</v>
      </c>
      <c r="D3665" t="s">
        <v>15</v>
      </c>
      <c r="E3665" t="s">
        <v>15</v>
      </c>
      <c r="F3665" t="s">
        <v>16</v>
      </c>
      <c r="G3665" t="s">
        <v>18</v>
      </c>
      <c r="H3665" t="s">
        <v>23</v>
      </c>
      <c r="I3665">
        <v>72.540000000000006</v>
      </c>
      <c r="J3665">
        <v>28.4</v>
      </c>
      <c r="K3665" t="s">
        <v>25</v>
      </c>
      <c r="L3665" t="s">
        <v>15</v>
      </c>
    </row>
    <row r="3666" spans="1:12" x14ac:dyDescent="0.3">
      <c r="A3666">
        <v>18187</v>
      </c>
      <c r="B3666" t="s">
        <v>12</v>
      </c>
      <c r="C3666">
        <v>58</v>
      </c>
      <c r="D3666" t="s">
        <v>15</v>
      </c>
      <c r="E3666" t="s">
        <v>15</v>
      </c>
      <c r="F3666" t="s">
        <v>16</v>
      </c>
      <c r="G3666" t="s">
        <v>17</v>
      </c>
      <c r="H3666" t="s">
        <v>23</v>
      </c>
      <c r="I3666">
        <v>96.01</v>
      </c>
      <c r="J3666">
        <v>33.799999999999997</v>
      </c>
      <c r="K3666" t="s">
        <v>27</v>
      </c>
      <c r="L3666" t="s">
        <v>15</v>
      </c>
    </row>
    <row r="3667" spans="1:12" x14ac:dyDescent="0.3">
      <c r="A3667">
        <v>8983</v>
      </c>
      <c r="B3667" t="s">
        <v>13</v>
      </c>
      <c r="C3667">
        <v>80</v>
      </c>
      <c r="D3667" t="s">
        <v>16</v>
      </c>
      <c r="E3667" t="s">
        <v>15</v>
      </c>
      <c r="F3667" t="s">
        <v>16</v>
      </c>
      <c r="G3667" t="s">
        <v>17</v>
      </c>
      <c r="H3667" t="s">
        <v>22</v>
      </c>
      <c r="I3667">
        <v>89.16</v>
      </c>
      <c r="J3667">
        <v>24</v>
      </c>
      <c r="K3667" t="s">
        <v>25</v>
      </c>
      <c r="L3667" t="s">
        <v>15</v>
      </c>
    </row>
    <row r="3668" spans="1:12" x14ac:dyDescent="0.3">
      <c r="A3668">
        <v>20098</v>
      </c>
      <c r="B3668" t="s">
        <v>13</v>
      </c>
      <c r="C3668">
        <v>31</v>
      </c>
      <c r="D3668" t="s">
        <v>15</v>
      </c>
      <c r="E3668" t="s">
        <v>15</v>
      </c>
      <c r="F3668" t="s">
        <v>16</v>
      </c>
      <c r="G3668" t="s">
        <v>18</v>
      </c>
      <c r="H3668" t="s">
        <v>23</v>
      </c>
      <c r="I3668">
        <v>108.64</v>
      </c>
      <c r="J3668">
        <v>43.3</v>
      </c>
      <c r="K3668" t="s">
        <v>25</v>
      </c>
      <c r="L3668" t="s">
        <v>15</v>
      </c>
    </row>
    <row r="3669" spans="1:12" x14ac:dyDescent="0.3">
      <c r="A3669">
        <v>3777</v>
      </c>
      <c r="B3669" t="s">
        <v>13</v>
      </c>
      <c r="C3669">
        <v>28</v>
      </c>
      <c r="D3669" t="s">
        <v>16</v>
      </c>
      <c r="E3669" t="s">
        <v>15</v>
      </c>
      <c r="F3669" t="s">
        <v>16</v>
      </c>
      <c r="G3669" t="s">
        <v>19</v>
      </c>
      <c r="H3669" t="s">
        <v>23</v>
      </c>
      <c r="I3669">
        <v>83.66</v>
      </c>
      <c r="J3669">
        <v>36.4</v>
      </c>
      <c r="K3669" t="s">
        <v>25</v>
      </c>
      <c r="L3669" t="s">
        <v>15</v>
      </c>
    </row>
    <row r="3670" spans="1:12" x14ac:dyDescent="0.3">
      <c r="A3670">
        <v>11651</v>
      </c>
      <c r="B3670" t="s">
        <v>13</v>
      </c>
      <c r="C3670">
        <v>25</v>
      </c>
      <c r="D3670" t="s">
        <v>15</v>
      </c>
      <c r="E3670" t="s">
        <v>15</v>
      </c>
      <c r="F3670" t="s">
        <v>16</v>
      </c>
      <c r="G3670" t="s">
        <v>17</v>
      </c>
      <c r="H3670" t="s">
        <v>23</v>
      </c>
      <c r="I3670">
        <v>81.209999999999994</v>
      </c>
      <c r="J3670">
        <v>37.9</v>
      </c>
      <c r="K3670" t="s">
        <v>25</v>
      </c>
      <c r="L3670" t="s">
        <v>15</v>
      </c>
    </row>
    <row r="3671" spans="1:12" x14ac:dyDescent="0.3">
      <c r="A3671">
        <v>28527</v>
      </c>
      <c r="B3671" t="s">
        <v>12</v>
      </c>
      <c r="C3671">
        <v>71</v>
      </c>
      <c r="D3671" t="s">
        <v>15</v>
      </c>
      <c r="E3671" t="s">
        <v>15</v>
      </c>
      <c r="F3671" t="s">
        <v>15</v>
      </c>
      <c r="G3671" t="s">
        <v>17</v>
      </c>
      <c r="H3671" t="s">
        <v>22</v>
      </c>
      <c r="I3671">
        <v>86.96</v>
      </c>
      <c r="J3671">
        <v>32.6</v>
      </c>
      <c r="K3671" t="s">
        <v>25</v>
      </c>
      <c r="L3671" t="s">
        <v>15</v>
      </c>
    </row>
    <row r="3672" spans="1:12" x14ac:dyDescent="0.3">
      <c r="A3672">
        <v>63282</v>
      </c>
      <c r="B3672" t="s">
        <v>13</v>
      </c>
      <c r="C3672">
        <v>51</v>
      </c>
      <c r="D3672" t="s">
        <v>15</v>
      </c>
      <c r="E3672" t="s">
        <v>15</v>
      </c>
      <c r="F3672" t="s">
        <v>16</v>
      </c>
      <c r="G3672" t="s">
        <v>19</v>
      </c>
      <c r="H3672" t="s">
        <v>23</v>
      </c>
      <c r="I3672">
        <v>92.95</v>
      </c>
      <c r="J3672">
        <v>23.9</v>
      </c>
      <c r="K3672" t="s">
        <v>25</v>
      </c>
      <c r="L3672" t="s">
        <v>15</v>
      </c>
    </row>
    <row r="3673" spans="1:12" x14ac:dyDescent="0.3">
      <c r="A3673">
        <v>37038</v>
      </c>
      <c r="B3673" t="s">
        <v>12</v>
      </c>
      <c r="C3673">
        <v>15</v>
      </c>
      <c r="D3673" t="s">
        <v>15</v>
      </c>
      <c r="E3673" t="s">
        <v>15</v>
      </c>
      <c r="F3673" t="s">
        <v>15</v>
      </c>
      <c r="G3673" t="s">
        <v>20</v>
      </c>
      <c r="H3673" t="s">
        <v>22</v>
      </c>
      <c r="I3673">
        <v>95.86</v>
      </c>
      <c r="J3673">
        <v>18.100000000000001</v>
      </c>
      <c r="K3673" t="s">
        <v>27</v>
      </c>
      <c r="L3673" t="s">
        <v>15</v>
      </c>
    </row>
    <row r="3674" spans="1:12" x14ac:dyDescent="0.3">
      <c r="A3674">
        <v>4528</v>
      </c>
      <c r="B3674" t="s">
        <v>12</v>
      </c>
      <c r="C3674">
        <v>45</v>
      </c>
      <c r="D3674" t="s">
        <v>16</v>
      </c>
      <c r="E3674" t="s">
        <v>15</v>
      </c>
      <c r="F3674" t="s">
        <v>15</v>
      </c>
      <c r="G3674" t="s">
        <v>17</v>
      </c>
      <c r="H3674" t="s">
        <v>23</v>
      </c>
      <c r="I3674">
        <v>85.52</v>
      </c>
      <c r="J3674">
        <v>36.4</v>
      </c>
      <c r="K3674" t="s">
        <v>25</v>
      </c>
      <c r="L3674" t="s">
        <v>15</v>
      </c>
    </row>
    <row r="3675" spans="1:12" x14ac:dyDescent="0.3">
      <c r="A3675">
        <v>41665</v>
      </c>
      <c r="B3675" t="s">
        <v>12</v>
      </c>
      <c r="C3675">
        <v>53</v>
      </c>
      <c r="D3675" t="s">
        <v>15</v>
      </c>
      <c r="E3675" t="s">
        <v>15</v>
      </c>
      <c r="F3675" t="s">
        <v>16</v>
      </c>
      <c r="G3675" t="s">
        <v>19</v>
      </c>
      <c r="H3675" t="s">
        <v>23</v>
      </c>
      <c r="I3675">
        <v>159.38999999999999</v>
      </c>
      <c r="J3675">
        <v>29.2</v>
      </c>
      <c r="K3675" t="s">
        <v>25</v>
      </c>
      <c r="L3675" t="s">
        <v>15</v>
      </c>
    </row>
    <row r="3676" spans="1:12" x14ac:dyDescent="0.3">
      <c r="A3676">
        <v>26539</v>
      </c>
      <c r="B3676" t="s">
        <v>12</v>
      </c>
      <c r="C3676">
        <v>69</v>
      </c>
      <c r="D3676" t="s">
        <v>15</v>
      </c>
      <c r="E3676" t="s">
        <v>15</v>
      </c>
      <c r="F3676" t="s">
        <v>16</v>
      </c>
      <c r="G3676" t="s">
        <v>18</v>
      </c>
      <c r="H3676" t="s">
        <v>22</v>
      </c>
      <c r="I3676">
        <v>202.51</v>
      </c>
      <c r="J3676">
        <v>30.8</v>
      </c>
      <c r="K3676" t="s">
        <v>24</v>
      </c>
      <c r="L3676" t="s">
        <v>15</v>
      </c>
    </row>
    <row r="3677" spans="1:12" x14ac:dyDescent="0.3">
      <c r="A3677">
        <v>25325</v>
      </c>
      <c r="B3677" t="s">
        <v>13</v>
      </c>
      <c r="C3677">
        <v>42</v>
      </c>
      <c r="D3677" t="s">
        <v>15</v>
      </c>
      <c r="E3677" t="s">
        <v>15</v>
      </c>
      <c r="F3677" t="s">
        <v>16</v>
      </c>
      <c r="G3677" t="s">
        <v>17</v>
      </c>
      <c r="H3677" t="s">
        <v>23</v>
      </c>
      <c r="I3677">
        <v>82.24</v>
      </c>
      <c r="J3677">
        <v>23.8</v>
      </c>
      <c r="K3677" t="s">
        <v>24</v>
      </c>
      <c r="L3677" t="s">
        <v>15</v>
      </c>
    </row>
    <row r="3678" spans="1:12" x14ac:dyDescent="0.3">
      <c r="A3678">
        <v>69462</v>
      </c>
      <c r="B3678" t="s">
        <v>13</v>
      </c>
      <c r="C3678">
        <v>4</v>
      </c>
      <c r="D3678" t="s">
        <v>15</v>
      </c>
      <c r="E3678" t="s">
        <v>15</v>
      </c>
      <c r="F3678" t="s">
        <v>15</v>
      </c>
      <c r="G3678" t="s">
        <v>20</v>
      </c>
      <c r="H3678" t="s">
        <v>23</v>
      </c>
      <c r="I3678">
        <v>109.81</v>
      </c>
      <c r="J3678">
        <v>17.899999999999999</v>
      </c>
      <c r="K3678" t="s">
        <v>27</v>
      </c>
      <c r="L3678" t="s">
        <v>15</v>
      </c>
    </row>
    <row r="3679" spans="1:12" x14ac:dyDescent="0.3">
      <c r="A3679">
        <v>29816</v>
      </c>
      <c r="B3679" t="s">
        <v>12</v>
      </c>
      <c r="C3679">
        <v>64</v>
      </c>
      <c r="D3679" t="s">
        <v>16</v>
      </c>
      <c r="E3679" t="s">
        <v>15</v>
      </c>
      <c r="F3679" t="s">
        <v>16</v>
      </c>
      <c r="G3679" t="s">
        <v>17</v>
      </c>
      <c r="H3679" t="s">
        <v>23</v>
      </c>
      <c r="I3679">
        <v>91.85</v>
      </c>
      <c r="J3679">
        <v>31.8</v>
      </c>
      <c r="K3679" t="s">
        <v>24</v>
      </c>
      <c r="L3679" t="s">
        <v>15</v>
      </c>
    </row>
    <row r="3680" spans="1:12" x14ac:dyDescent="0.3">
      <c r="A3680">
        <v>47784</v>
      </c>
      <c r="B3680" t="s">
        <v>13</v>
      </c>
      <c r="C3680">
        <v>5</v>
      </c>
      <c r="D3680" t="s">
        <v>15</v>
      </c>
      <c r="E3680" t="s">
        <v>15</v>
      </c>
      <c r="F3680" t="s">
        <v>15</v>
      </c>
      <c r="G3680" t="s">
        <v>20</v>
      </c>
      <c r="H3680" t="s">
        <v>23</v>
      </c>
      <c r="I3680">
        <v>123.49</v>
      </c>
      <c r="J3680">
        <v>19.5</v>
      </c>
      <c r="K3680" t="s">
        <v>27</v>
      </c>
      <c r="L3680" t="s">
        <v>15</v>
      </c>
    </row>
    <row r="3681" spans="1:12" x14ac:dyDescent="0.3">
      <c r="A3681">
        <v>18181</v>
      </c>
      <c r="B3681" t="s">
        <v>12</v>
      </c>
      <c r="C3681">
        <v>44</v>
      </c>
      <c r="D3681" t="s">
        <v>15</v>
      </c>
      <c r="E3681" t="s">
        <v>15</v>
      </c>
      <c r="F3681" t="s">
        <v>16</v>
      </c>
      <c r="G3681" t="s">
        <v>17</v>
      </c>
      <c r="H3681" t="s">
        <v>23</v>
      </c>
      <c r="I3681">
        <v>105.49</v>
      </c>
      <c r="J3681">
        <v>31.5</v>
      </c>
      <c r="K3681" t="s">
        <v>26</v>
      </c>
      <c r="L3681" t="s">
        <v>15</v>
      </c>
    </row>
    <row r="3682" spans="1:12" x14ac:dyDescent="0.3">
      <c r="A3682">
        <v>8614</v>
      </c>
      <c r="B3682" t="s">
        <v>12</v>
      </c>
      <c r="C3682">
        <v>78</v>
      </c>
      <c r="D3682" t="s">
        <v>15</v>
      </c>
      <c r="E3682" t="s">
        <v>16</v>
      </c>
      <c r="F3682" t="s">
        <v>16</v>
      </c>
      <c r="G3682" t="s">
        <v>18</v>
      </c>
      <c r="H3682" t="s">
        <v>22</v>
      </c>
      <c r="I3682">
        <v>101.53</v>
      </c>
      <c r="J3682">
        <v>24.1</v>
      </c>
      <c r="K3682" t="s">
        <v>24</v>
      </c>
      <c r="L3682" t="s">
        <v>15</v>
      </c>
    </row>
    <row r="3683" spans="1:12" x14ac:dyDescent="0.3">
      <c r="A3683">
        <v>347</v>
      </c>
      <c r="B3683" t="s">
        <v>13</v>
      </c>
      <c r="C3683">
        <v>16</v>
      </c>
      <c r="D3683" t="s">
        <v>15</v>
      </c>
      <c r="E3683" t="s">
        <v>15</v>
      </c>
      <c r="F3683" t="s">
        <v>15</v>
      </c>
      <c r="G3683" t="s">
        <v>17</v>
      </c>
      <c r="H3683" t="s">
        <v>22</v>
      </c>
      <c r="I3683">
        <v>89.45</v>
      </c>
      <c r="K3683" t="s">
        <v>27</v>
      </c>
      <c r="L3683" t="s">
        <v>15</v>
      </c>
    </row>
    <row r="3684" spans="1:12" x14ac:dyDescent="0.3">
      <c r="A3684">
        <v>61336</v>
      </c>
      <c r="B3684" t="s">
        <v>13</v>
      </c>
      <c r="C3684">
        <v>69</v>
      </c>
      <c r="D3684" t="s">
        <v>15</v>
      </c>
      <c r="E3684" t="s">
        <v>15</v>
      </c>
      <c r="F3684" t="s">
        <v>16</v>
      </c>
      <c r="G3684" t="s">
        <v>18</v>
      </c>
      <c r="H3684" t="s">
        <v>22</v>
      </c>
      <c r="I3684">
        <v>126.04</v>
      </c>
      <c r="J3684">
        <v>35.9</v>
      </c>
      <c r="K3684" t="s">
        <v>25</v>
      </c>
      <c r="L3684" t="s">
        <v>15</v>
      </c>
    </row>
    <row r="3685" spans="1:12" x14ac:dyDescent="0.3">
      <c r="A3685">
        <v>27647</v>
      </c>
      <c r="B3685" t="s">
        <v>12</v>
      </c>
      <c r="C3685">
        <v>80</v>
      </c>
      <c r="D3685" t="s">
        <v>15</v>
      </c>
      <c r="E3685" t="s">
        <v>16</v>
      </c>
      <c r="F3685" t="s">
        <v>16</v>
      </c>
      <c r="G3685" t="s">
        <v>18</v>
      </c>
      <c r="H3685" t="s">
        <v>23</v>
      </c>
      <c r="I3685">
        <v>95.49</v>
      </c>
      <c r="J3685">
        <v>31.6</v>
      </c>
      <c r="K3685" t="s">
        <v>27</v>
      </c>
      <c r="L3685" t="s">
        <v>15</v>
      </c>
    </row>
    <row r="3686" spans="1:12" x14ac:dyDescent="0.3">
      <c r="A3686">
        <v>25676</v>
      </c>
      <c r="B3686" t="s">
        <v>13</v>
      </c>
      <c r="C3686">
        <v>7</v>
      </c>
      <c r="D3686" t="s">
        <v>15</v>
      </c>
      <c r="E3686" t="s">
        <v>15</v>
      </c>
      <c r="F3686" t="s">
        <v>15</v>
      </c>
      <c r="G3686" t="s">
        <v>20</v>
      </c>
      <c r="H3686" t="s">
        <v>23</v>
      </c>
      <c r="I3686">
        <v>89.38</v>
      </c>
      <c r="J3686">
        <v>19</v>
      </c>
      <c r="K3686" t="s">
        <v>27</v>
      </c>
      <c r="L3686" t="s">
        <v>15</v>
      </c>
    </row>
    <row r="3687" spans="1:12" x14ac:dyDescent="0.3">
      <c r="A3687">
        <v>65894</v>
      </c>
      <c r="B3687" t="s">
        <v>13</v>
      </c>
      <c r="C3687">
        <v>2</v>
      </c>
      <c r="D3687" t="s">
        <v>15</v>
      </c>
      <c r="E3687" t="s">
        <v>15</v>
      </c>
      <c r="F3687" t="s">
        <v>15</v>
      </c>
      <c r="G3687" t="s">
        <v>20</v>
      </c>
      <c r="H3687" t="s">
        <v>22</v>
      </c>
      <c r="I3687">
        <v>82.3</v>
      </c>
      <c r="J3687">
        <v>18.8</v>
      </c>
      <c r="K3687" t="s">
        <v>27</v>
      </c>
      <c r="L3687" t="s">
        <v>15</v>
      </c>
    </row>
    <row r="3688" spans="1:12" x14ac:dyDescent="0.3">
      <c r="A3688">
        <v>2291</v>
      </c>
      <c r="B3688" t="s">
        <v>13</v>
      </c>
      <c r="C3688">
        <v>80</v>
      </c>
      <c r="D3688" t="s">
        <v>16</v>
      </c>
      <c r="E3688" t="s">
        <v>15</v>
      </c>
      <c r="F3688" t="s">
        <v>16</v>
      </c>
      <c r="G3688" t="s">
        <v>18</v>
      </c>
      <c r="H3688" t="s">
        <v>22</v>
      </c>
      <c r="I3688">
        <v>218</v>
      </c>
      <c r="J3688">
        <v>33.5</v>
      </c>
      <c r="K3688" t="s">
        <v>27</v>
      </c>
      <c r="L3688" t="s">
        <v>15</v>
      </c>
    </row>
    <row r="3689" spans="1:12" x14ac:dyDescent="0.3">
      <c r="A3689">
        <v>25630</v>
      </c>
      <c r="B3689" t="s">
        <v>13</v>
      </c>
      <c r="C3689">
        <v>69</v>
      </c>
      <c r="D3689" t="s">
        <v>15</v>
      </c>
      <c r="E3689" t="s">
        <v>15</v>
      </c>
      <c r="F3689" t="s">
        <v>16</v>
      </c>
      <c r="G3689" t="s">
        <v>18</v>
      </c>
      <c r="H3689" t="s">
        <v>22</v>
      </c>
      <c r="I3689">
        <v>79.7</v>
      </c>
      <c r="J3689">
        <v>25</v>
      </c>
      <c r="K3689" t="s">
        <v>25</v>
      </c>
      <c r="L3689" t="s">
        <v>15</v>
      </c>
    </row>
    <row r="3690" spans="1:12" x14ac:dyDescent="0.3">
      <c r="A3690">
        <v>38575</v>
      </c>
      <c r="B3690" t="s">
        <v>12</v>
      </c>
      <c r="C3690">
        <v>58</v>
      </c>
      <c r="D3690" t="s">
        <v>16</v>
      </c>
      <c r="E3690" t="s">
        <v>15</v>
      </c>
      <c r="F3690" t="s">
        <v>16</v>
      </c>
      <c r="G3690" t="s">
        <v>18</v>
      </c>
      <c r="H3690" t="s">
        <v>23</v>
      </c>
      <c r="I3690">
        <v>209.15</v>
      </c>
      <c r="J3690">
        <v>52.9</v>
      </c>
      <c r="K3690" t="s">
        <v>24</v>
      </c>
      <c r="L3690" t="s">
        <v>15</v>
      </c>
    </row>
    <row r="3691" spans="1:12" x14ac:dyDescent="0.3">
      <c r="A3691">
        <v>29326</v>
      </c>
      <c r="B3691" t="s">
        <v>13</v>
      </c>
      <c r="C3691">
        <v>75</v>
      </c>
      <c r="D3691" t="s">
        <v>15</v>
      </c>
      <c r="E3691" t="s">
        <v>15</v>
      </c>
      <c r="F3691" t="s">
        <v>16</v>
      </c>
      <c r="G3691" t="s">
        <v>18</v>
      </c>
      <c r="H3691" t="s">
        <v>23</v>
      </c>
      <c r="I3691">
        <v>70.22</v>
      </c>
      <c r="J3691">
        <v>24.8</v>
      </c>
      <c r="K3691" t="s">
        <v>24</v>
      </c>
      <c r="L3691" t="s">
        <v>15</v>
      </c>
    </row>
    <row r="3692" spans="1:12" x14ac:dyDescent="0.3">
      <c r="A3692">
        <v>59292</v>
      </c>
      <c r="B3692" t="s">
        <v>13</v>
      </c>
      <c r="C3692">
        <v>60</v>
      </c>
      <c r="D3692" t="s">
        <v>15</v>
      </c>
      <c r="E3692" t="s">
        <v>15</v>
      </c>
      <c r="F3692" t="s">
        <v>16</v>
      </c>
      <c r="G3692" t="s">
        <v>18</v>
      </c>
      <c r="H3692" t="s">
        <v>23</v>
      </c>
      <c r="I3692">
        <v>83.57</v>
      </c>
      <c r="J3692">
        <v>24.5</v>
      </c>
      <c r="K3692" t="s">
        <v>25</v>
      </c>
      <c r="L3692" t="s">
        <v>15</v>
      </c>
    </row>
    <row r="3693" spans="1:12" x14ac:dyDescent="0.3">
      <c r="A3693">
        <v>52051</v>
      </c>
      <c r="B3693" t="s">
        <v>13</v>
      </c>
      <c r="C3693">
        <v>75</v>
      </c>
      <c r="D3693" t="s">
        <v>15</v>
      </c>
      <c r="E3693" t="s">
        <v>15</v>
      </c>
      <c r="F3693" t="s">
        <v>16</v>
      </c>
      <c r="G3693" t="s">
        <v>18</v>
      </c>
      <c r="H3693" t="s">
        <v>22</v>
      </c>
      <c r="I3693">
        <v>60.6</v>
      </c>
      <c r="J3693">
        <v>40.4</v>
      </c>
      <c r="K3693" t="s">
        <v>26</v>
      </c>
      <c r="L3693" t="s">
        <v>15</v>
      </c>
    </row>
    <row r="3694" spans="1:12" x14ac:dyDescent="0.3">
      <c r="A3694">
        <v>64508</v>
      </c>
      <c r="B3694" t="s">
        <v>13</v>
      </c>
      <c r="C3694">
        <v>10</v>
      </c>
      <c r="D3694" t="s">
        <v>15</v>
      </c>
      <c r="E3694" t="s">
        <v>15</v>
      </c>
      <c r="F3694" t="s">
        <v>15</v>
      </c>
      <c r="G3694" t="s">
        <v>20</v>
      </c>
      <c r="H3694" t="s">
        <v>22</v>
      </c>
      <c r="I3694">
        <v>97.24</v>
      </c>
      <c r="J3694">
        <v>20.2</v>
      </c>
      <c r="K3694" t="s">
        <v>27</v>
      </c>
      <c r="L3694" t="s">
        <v>15</v>
      </c>
    </row>
    <row r="3695" spans="1:12" x14ac:dyDescent="0.3">
      <c r="A3695">
        <v>36593</v>
      </c>
      <c r="B3695" t="s">
        <v>12</v>
      </c>
      <c r="C3695">
        <v>38</v>
      </c>
      <c r="D3695" t="s">
        <v>15</v>
      </c>
      <c r="E3695" t="s">
        <v>15</v>
      </c>
      <c r="F3695" t="s">
        <v>15</v>
      </c>
      <c r="G3695" t="s">
        <v>17</v>
      </c>
      <c r="H3695" t="s">
        <v>23</v>
      </c>
      <c r="I3695">
        <v>162.72</v>
      </c>
      <c r="J3695">
        <v>31.9</v>
      </c>
      <c r="K3695" t="s">
        <v>26</v>
      </c>
      <c r="L3695" t="s">
        <v>15</v>
      </c>
    </row>
    <row r="3696" spans="1:12" x14ac:dyDescent="0.3">
      <c r="A3696">
        <v>39834</v>
      </c>
      <c r="B3696" t="s">
        <v>12</v>
      </c>
      <c r="C3696">
        <v>28</v>
      </c>
      <c r="D3696" t="s">
        <v>15</v>
      </c>
      <c r="E3696" t="s">
        <v>15</v>
      </c>
      <c r="F3696" t="s">
        <v>15</v>
      </c>
      <c r="G3696" t="s">
        <v>17</v>
      </c>
      <c r="H3696" t="s">
        <v>22</v>
      </c>
      <c r="I3696">
        <v>73.27</v>
      </c>
      <c r="J3696">
        <v>25.4</v>
      </c>
      <c r="K3696" t="s">
        <v>26</v>
      </c>
      <c r="L3696" t="s">
        <v>15</v>
      </c>
    </row>
    <row r="3697" spans="1:12" x14ac:dyDescent="0.3">
      <c r="A3697">
        <v>54111</v>
      </c>
      <c r="B3697" t="s">
        <v>13</v>
      </c>
      <c r="C3697">
        <v>3</v>
      </c>
      <c r="D3697" t="s">
        <v>15</v>
      </c>
      <c r="E3697" t="s">
        <v>15</v>
      </c>
      <c r="F3697" t="s">
        <v>15</v>
      </c>
      <c r="G3697" t="s">
        <v>20</v>
      </c>
      <c r="H3697" t="s">
        <v>22</v>
      </c>
      <c r="I3697">
        <v>92.62</v>
      </c>
      <c r="J3697">
        <v>15.4</v>
      </c>
      <c r="K3697" t="s">
        <v>27</v>
      </c>
      <c r="L3697" t="s">
        <v>15</v>
      </c>
    </row>
    <row r="3698" spans="1:12" x14ac:dyDescent="0.3">
      <c r="A3698">
        <v>53476</v>
      </c>
      <c r="B3698" t="s">
        <v>13</v>
      </c>
      <c r="C3698">
        <v>31</v>
      </c>
      <c r="D3698" t="s">
        <v>15</v>
      </c>
      <c r="E3698" t="s">
        <v>15</v>
      </c>
      <c r="F3698" t="s">
        <v>16</v>
      </c>
      <c r="G3698" t="s">
        <v>17</v>
      </c>
      <c r="H3698" t="s">
        <v>22</v>
      </c>
      <c r="I3698">
        <v>90</v>
      </c>
      <c r="J3698">
        <v>38.6</v>
      </c>
      <c r="K3698" t="s">
        <v>25</v>
      </c>
      <c r="L3698" t="s">
        <v>15</v>
      </c>
    </row>
    <row r="3699" spans="1:12" x14ac:dyDescent="0.3">
      <c r="A3699">
        <v>479</v>
      </c>
      <c r="B3699" t="s">
        <v>13</v>
      </c>
      <c r="C3699">
        <v>59</v>
      </c>
      <c r="D3699" t="s">
        <v>16</v>
      </c>
      <c r="E3699" t="s">
        <v>15</v>
      </c>
      <c r="F3699" t="s">
        <v>16</v>
      </c>
      <c r="G3699" t="s">
        <v>17</v>
      </c>
      <c r="H3699" t="s">
        <v>23</v>
      </c>
      <c r="I3699">
        <v>78.28</v>
      </c>
      <c r="J3699">
        <v>31</v>
      </c>
      <c r="K3699" t="s">
        <v>24</v>
      </c>
      <c r="L3699" t="s">
        <v>15</v>
      </c>
    </row>
    <row r="3700" spans="1:12" x14ac:dyDescent="0.3">
      <c r="A3700">
        <v>37237</v>
      </c>
      <c r="B3700" t="s">
        <v>13</v>
      </c>
      <c r="C3700">
        <v>31</v>
      </c>
      <c r="D3700" t="s">
        <v>15</v>
      </c>
      <c r="E3700" t="s">
        <v>15</v>
      </c>
      <c r="F3700" t="s">
        <v>15</v>
      </c>
      <c r="G3700" t="s">
        <v>17</v>
      </c>
      <c r="H3700" t="s">
        <v>23</v>
      </c>
      <c r="I3700">
        <v>87.81</v>
      </c>
      <c r="J3700">
        <v>26.4</v>
      </c>
      <c r="K3700" t="s">
        <v>26</v>
      </c>
      <c r="L3700" t="s">
        <v>15</v>
      </c>
    </row>
    <row r="3701" spans="1:12" x14ac:dyDescent="0.3">
      <c r="A3701">
        <v>5496</v>
      </c>
      <c r="B3701" t="s">
        <v>13</v>
      </c>
      <c r="C3701">
        <v>45</v>
      </c>
      <c r="D3701" t="s">
        <v>15</v>
      </c>
      <c r="E3701" t="s">
        <v>15</v>
      </c>
      <c r="F3701" t="s">
        <v>16</v>
      </c>
      <c r="G3701" t="s">
        <v>17</v>
      </c>
      <c r="H3701" t="s">
        <v>22</v>
      </c>
      <c r="I3701">
        <v>202.66</v>
      </c>
      <c r="K3701" t="s">
        <v>25</v>
      </c>
      <c r="L3701" t="s">
        <v>15</v>
      </c>
    </row>
    <row r="3702" spans="1:12" x14ac:dyDescent="0.3">
      <c r="A3702">
        <v>56075</v>
      </c>
      <c r="B3702" t="s">
        <v>13</v>
      </c>
      <c r="C3702">
        <v>58</v>
      </c>
      <c r="D3702" t="s">
        <v>15</v>
      </c>
      <c r="E3702" t="s">
        <v>15</v>
      </c>
      <c r="F3702" t="s">
        <v>16</v>
      </c>
      <c r="G3702" t="s">
        <v>17</v>
      </c>
      <c r="H3702" t="s">
        <v>23</v>
      </c>
      <c r="I3702">
        <v>196.5</v>
      </c>
      <c r="J3702">
        <v>37.700000000000003</v>
      </c>
      <c r="K3702" t="s">
        <v>25</v>
      </c>
      <c r="L3702" t="s">
        <v>15</v>
      </c>
    </row>
    <row r="3703" spans="1:12" x14ac:dyDescent="0.3">
      <c r="A3703">
        <v>46130</v>
      </c>
      <c r="B3703" t="s">
        <v>13</v>
      </c>
      <c r="C3703">
        <v>57</v>
      </c>
      <c r="D3703" t="s">
        <v>15</v>
      </c>
      <c r="E3703" t="s">
        <v>15</v>
      </c>
      <c r="F3703" t="s">
        <v>16</v>
      </c>
      <c r="G3703" t="s">
        <v>18</v>
      </c>
      <c r="H3703" t="s">
        <v>22</v>
      </c>
      <c r="I3703">
        <v>142.31</v>
      </c>
      <c r="J3703">
        <v>35.200000000000003</v>
      </c>
      <c r="K3703" t="s">
        <v>26</v>
      </c>
      <c r="L3703" t="s">
        <v>15</v>
      </c>
    </row>
    <row r="3704" spans="1:12" x14ac:dyDescent="0.3">
      <c r="A3704">
        <v>7730</v>
      </c>
      <c r="B3704" t="s">
        <v>12</v>
      </c>
      <c r="C3704">
        <v>31</v>
      </c>
      <c r="D3704" t="s">
        <v>15</v>
      </c>
      <c r="E3704" t="s">
        <v>15</v>
      </c>
      <c r="F3704" t="s">
        <v>15</v>
      </c>
      <c r="G3704" t="s">
        <v>17</v>
      </c>
      <c r="H3704" t="s">
        <v>23</v>
      </c>
      <c r="I3704">
        <v>94.96</v>
      </c>
      <c r="J3704">
        <v>54.7</v>
      </c>
      <c r="K3704" t="s">
        <v>26</v>
      </c>
      <c r="L3704" t="s">
        <v>15</v>
      </c>
    </row>
    <row r="3705" spans="1:12" x14ac:dyDescent="0.3">
      <c r="A3705">
        <v>12380</v>
      </c>
      <c r="B3705" t="s">
        <v>12</v>
      </c>
      <c r="C3705">
        <v>43</v>
      </c>
      <c r="D3705" t="s">
        <v>15</v>
      </c>
      <c r="E3705" t="s">
        <v>15</v>
      </c>
      <c r="F3705" t="s">
        <v>16</v>
      </c>
      <c r="G3705" t="s">
        <v>19</v>
      </c>
      <c r="H3705" t="s">
        <v>23</v>
      </c>
      <c r="I3705">
        <v>83.78</v>
      </c>
      <c r="J3705">
        <v>21.6</v>
      </c>
      <c r="K3705" t="s">
        <v>25</v>
      </c>
      <c r="L3705" t="s">
        <v>15</v>
      </c>
    </row>
    <row r="3706" spans="1:12" x14ac:dyDescent="0.3">
      <c r="A3706">
        <v>15324</v>
      </c>
      <c r="B3706" t="s">
        <v>13</v>
      </c>
      <c r="C3706">
        <v>40</v>
      </c>
      <c r="D3706" t="s">
        <v>15</v>
      </c>
      <c r="E3706" t="s">
        <v>15</v>
      </c>
      <c r="F3706" t="s">
        <v>15</v>
      </c>
      <c r="G3706" t="s">
        <v>17</v>
      </c>
      <c r="H3706" t="s">
        <v>22</v>
      </c>
      <c r="I3706">
        <v>86.1</v>
      </c>
      <c r="J3706">
        <v>23.9</v>
      </c>
      <c r="K3706" t="s">
        <v>27</v>
      </c>
      <c r="L3706" t="s">
        <v>15</v>
      </c>
    </row>
    <row r="3707" spans="1:12" x14ac:dyDescent="0.3">
      <c r="A3707">
        <v>11658</v>
      </c>
      <c r="B3707" t="s">
        <v>12</v>
      </c>
      <c r="C3707">
        <v>1.08</v>
      </c>
      <c r="D3707" t="s">
        <v>15</v>
      </c>
      <c r="E3707" t="s">
        <v>15</v>
      </c>
      <c r="F3707" t="s">
        <v>15</v>
      </c>
      <c r="G3707" t="s">
        <v>20</v>
      </c>
      <c r="H3707" t="s">
        <v>23</v>
      </c>
      <c r="I3707">
        <v>74.5</v>
      </c>
      <c r="K3707" t="s">
        <v>27</v>
      </c>
      <c r="L3707" t="s">
        <v>15</v>
      </c>
    </row>
    <row r="3708" spans="1:12" x14ac:dyDescent="0.3">
      <c r="A3708">
        <v>22778</v>
      </c>
      <c r="B3708" t="s">
        <v>12</v>
      </c>
      <c r="C3708">
        <v>34</v>
      </c>
      <c r="D3708" t="s">
        <v>15</v>
      </c>
      <c r="E3708" t="s">
        <v>15</v>
      </c>
      <c r="F3708" t="s">
        <v>16</v>
      </c>
      <c r="G3708" t="s">
        <v>17</v>
      </c>
      <c r="H3708" t="s">
        <v>22</v>
      </c>
      <c r="I3708">
        <v>66.959999999999994</v>
      </c>
      <c r="J3708">
        <v>26.1</v>
      </c>
      <c r="K3708" t="s">
        <v>25</v>
      </c>
      <c r="L3708" t="s">
        <v>15</v>
      </c>
    </row>
    <row r="3709" spans="1:12" x14ac:dyDescent="0.3">
      <c r="A3709">
        <v>4128</v>
      </c>
      <c r="B3709" t="s">
        <v>13</v>
      </c>
      <c r="C3709">
        <v>55</v>
      </c>
      <c r="D3709" t="s">
        <v>15</v>
      </c>
      <c r="E3709" t="s">
        <v>15</v>
      </c>
      <c r="F3709" t="s">
        <v>16</v>
      </c>
      <c r="G3709" t="s">
        <v>17</v>
      </c>
      <c r="H3709" t="s">
        <v>23</v>
      </c>
      <c r="I3709">
        <v>76.7</v>
      </c>
      <c r="J3709">
        <v>39.700000000000003</v>
      </c>
      <c r="K3709" t="s">
        <v>24</v>
      </c>
      <c r="L3709" t="s">
        <v>15</v>
      </c>
    </row>
    <row r="3710" spans="1:12" x14ac:dyDescent="0.3">
      <c r="A3710">
        <v>36825</v>
      </c>
      <c r="B3710" t="s">
        <v>13</v>
      </c>
      <c r="C3710">
        <v>39</v>
      </c>
      <c r="D3710" t="s">
        <v>15</v>
      </c>
      <c r="E3710" t="s">
        <v>15</v>
      </c>
      <c r="F3710" t="s">
        <v>16</v>
      </c>
      <c r="G3710" t="s">
        <v>17</v>
      </c>
      <c r="H3710" t="s">
        <v>23</v>
      </c>
      <c r="I3710">
        <v>103.12</v>
      </c>
      <c r="J3710">
        <v>29.9</v>
      </c>
      <c r="K3710" t="s">
        <v>24</v>
      </c>
      <c r="L3710" t="s">
        <v>15</v>
      </c>
    </row>
    <row r="3711" spans="1:12" x14ac:dyDescent="0.3">
      <c r="A3711">
        <v>1454</v>
      </c>
      <c r="B3711" t="s">
        <v>13</v>
      </c>
      <c r="C3711">
        <v>42</v>
      </c>
      <c r="D3711" t="s">
        <v>15</v>
      </c>
      <c r="E3711" t="s">
        <v>15</v>
      </c>
      <c r="F3711" t="s">
        <v>15</v>
      </c>
      <c r="G3711" t="s">
        <v>17</v>
      </c>
      <c r="H3711" t="s">
        <v>22</v>
      </c>
      <c r="I3711">
        <v>84.03</v>
      </c>
      <c r="J3711">
        <v>31.4</v>
      </c>
      <c r="K3711" t="s">
        <v>25</v>
      </c>
      <c r="L3711" t="s">
        <v>15</v>
      </c>
    </row>
    <row r="3712" spans="1:12" x14ac:dyDescent="0.3">
      <c r="A3712">
        <v>12674</v>
      </c>
      <c r="B3712" t="s">
        <v>12</v>
      </c>
      <c r="C3712">
        <v>44</v>
      </c>
      <c r="D3712" t="s">
        <v>15</v>
      </c>
      <c r="E3712" t="s">
        <v>15</v>
      </c>
      <c r="F3712" t="s">
        <v>16</v>
      </c>
      <c r="G3712" t="s">
        <v>17</v>
      </c>
      <c r="H3712" t="s">
        <v>23</v>
      </c>
      <c r="I3712">
        <v>74.150000000000006</v>
      </c>
      <c r="J3712">
        <v>34.5</v>
      </c>
      <c r="K3712" t="s">
        <v>24</v>
      </c>
      <c r="L3712" t="s">
        <v>15</v>
      </c>
    </row>
    <row r="3713" spans="1:12" x14ac:dyDescent="0.3">
      <c r="A3713">
        <v>55375</v>
      </c>
      <c r="B3713" t="s">
        <v>12</v>
      </c>
      <c r="C3713">
        <v>69</v>
      </c>
      <c r="D3713" t="s">
        <v>16</v>
      </c>
      <c r="E3713" t="s">
        <v>15</v>
      </c>
      <c r="F3713" t="s">
        <v>16</v>
      </c>
      <c r="G3713" t="s">
        <v>17</v>
      </c>
      <c r="H3713" t="s">
        <v>23</v>
      </c>
      <c r="I3713">
        <v>73.290000000000006</v>
      </c>
      <c r="J3713">
        <v>29.4</v>
      </c>
      <c r="K3713" t="s">
        <v>25</v>
      </c>
      <c r="L3713" t="s">
        <v>15</v>
      </c>
    </row>
    <row r="3714" spans="1:12" x14ac:dyDescent="0.3">
      <c r="A3714">
        <v>3726</v>
      </c>
      <c r="B3714" t="s">
        <v>12</v>
      </c>
      <c r="C3714">
        <v>16</v>
      </c>
      <c r="D3714" t="s">
        <v>15</v>
      </c>
      <c r="E3714" t="s">
        <v>15</v>
      </c>
      <c r="F3714" t="s">
        <v>15</v>
      </c>
      <c r="G3714" t="s">
        <v>17</v>
      </c>
      <c r="H3714" t="s">
        <v>22</v>
      </c>
      <c r="I3714">
        <v>115.16</v>
      </c>
      <c r="J3714">
        <v>26.9</v>
      </c>
      <c r="K3714" t="s">
        <v>27</v>
      </c>
      <c r="L3714" t="s">
        <v>15</v>
      </c>
    </row>
    <row r="3715" spans="1:12" x14ac:dyDescent="0.3">
      <c r="A3715">
        <v>48652</v>
      </c>
      <c r="B3715" t="s">
        <v>13</v>
      </c>
      <c r="C3715">
        <v>8</v>
      </c>
      <c r="D3715" t="s">
        <v>15</v>
      </c>
      <c r="E3715" t="s">
        <v>15</v>
      </c>
      <c r="F3715" t="s">
        <v>15</v>
      </c>
      <c r="G3715" t="s">
        <v>20</v>
      </c>
      <c r="H3715" t="s">
        <v>22</v>
      </c>
      <c r="I3715">
        <v>83.55</v>
      </c>
      <c r="J3715">
        <v>22.4</v>
      </c>
      <c r="K3715" t="s">
        <v>27</v>
      </c>
      <c r="L3715" t="s">
        <v>15</v>
      </c>
    </row>
    <row r="3716" spans="1:12" x14ac:dyDescent="0.3">
      <c r="A3716">
        <v>68657</v>
      </c>
      <c r="B3716" t="s">
        <v>13</v>
      </c>
      <c r="C3716">
        <v>1.48</v>
      </c>
      <c r="D3716" t="s">
        <v>15</v>
      </c>
      <c r="E3716" t="s">
        <v>15</v>
      </c>
      <c r="F3716" t="s">
        <v>15</v>
      </c>
      <c r="G3716" t="s">
        <v>20</v>
      </c>
      <c r="H3716" t="s">
        <v>22</v>
      </c>
      <c r="I3716">
        <v>61.53</v>
      </c>
      <c r="J3716">
        <v>20.5</v>
      </c>
      <c r="K3716" t="s">
        <v>27</v>
      </c>
      <c r="L3716" t="s">
        <v>15</v>
      </c>
    </row>
    <row r="3717" spans="1:12" x14ac:dyDescent="0.3">
      <c r="A3717">
        <v>17337</v>
      </c>
      <c r="B3717" t="s">
        <v>13</v>
      </c>
      <c r="C3717">
        <v>1.88</v>
      </c>
      <c r="D3717" t="s">
        <v>15</v>
      </c>
      <c r="E3717" t="s">
        <v>15</v>
      </c>
      <c r="F3717" t="s">
        <v>15</v>
      </c>
      <c r="G3717" t="s">
        <v>20</v>
      </c>
      <c r="H3717" t="s">
        <v>23</v>
      </c>
      <c r="I3717">
        <v>100.74</v>
      </c>
      <c r="J3717">
        <v>18.600000000000001</v>
      </c>
      <c r="K3717" t="s">
        <v>27</v>
      </c>
      <c r="L3717" t="s">
        <v>15</v>
      </c>
    </row>
    <row r="3718" spans="1:12" x14ac:dyDescent="0.3">
      <c r="A3718">
        <v>44831</v>
      </c>
      <c r="B3718" t="s">
        <v>13</v>
      </c>
      <c r="C3718">
        <v>69</v>
      </c>
      <c r="D3718" t="s">
        <v>15</v>
      </c>
      <c r="E3718" t="s">
        <v>15</v>
      </c>
      <c r="F3718" t="s">
        <v>15</v>
      </c>
      <c r="G3718" t="s">
        <v>17</v>
      </c>
      <c r="H3718" t="s">
        <v>22</v>
      </c>
      <c r="I3718">
        <v>59.31</v>
      </c>
      <c r="J3718">
        <v>31.4</v>
      </c>
      <c r="K3718" t="s">
        <v>26</v>
      </c>
      <c r="L3718" t="s">
        <v>15</v>
      </c>
    </row>
    <row r="3719" spans="1:12" x14ac:dyDescent="0.3">
      <c r="A3719">
        <v>68420</v>
      </c>
      <c r="B3719" t="s">
        <v>13</v>
      </c>
      <c r="C3719">
        <v>13</v>
      </c>
      <c r="D3719" t="s">
        <v>15</v>
      </c>
      <c r="E3719" t="s">
        <v>15</v>
      </c>
      <c r="F3719" t="s">
        <v>15</v>
      </c>
      <c r="G3719" t="s">
        <v>20</v>
      </c>
      <c r="H3719" t="s">
        <v>22</v>
      </c>
      <c r="I3719">
        <v>63.22</v>
      </c>
      <c r="J3719">
        <v>18.5</v>
      </c>
      <c r="K3719" t="s">
        <v>24</v>
      </c>
      <c r="L3719" t="s">
        <v>15</v>
      </c>
    </row>
    <row r="3720" spans="1:12" x14ac:dyDescent="0.3">
      <c r="A3720">
        <v>39632</v>
      </c>
      <c r="B3720" t="s">
        <v>13</v>
      </c>
      <c r="C3720">
        <v>53</v>
      </c>
      <c r="D3720" t="s">
        <v>15</v>
      </c>
      <c r="E3720" t="s">
        <v>15</v>
      </c>
      <c r="F3720" t="s">
        <v>16</v>
      </c>
      <c r="G3720" t="s">
        <v>17</v>
      </c>
      <c r="H3720" t="s">
        <v>22</v>
      </c>
      <c r="I3720">
        <v>209.5</v>
      </c>
      <c r="J3720">
        <v>41.8</v>
      </c>
      <c r="K3720" t="s">
        <v>25</v>
      </c>
      <c r="L3720" t="s">
        <v>15</v>
      </c>
    </row>
    <row r="3721" spans="1:12" x14ac:dyDescent="0.3">
      <c r="A3721">
        <v>49095</v>
      </c>
      <c r="B3721" t="s">
        <v>13</v>
      </c>
      <c r="C3721">
        <v>16</v>
      </c>
      <c r="D3721" t="s">
        <v>15</v>
      </c>
      <c r="E3721" t="s">
        <v>15</v>
      </c>
      <c r="F3721" t="s">
        <v>15</v>
      </c>
      <c r="G3721" t="s">
        <v>20</v>
      </c>
      <c r="H3721" t="s">
        <v>22</v>
      </c>
      <c r="I3721">
        <v>64.510000000000005</v>
      </c>
      <c r="J3721">
        <v>21.2</v>
      </c>
      <c r="K3721" t="s">
        <v>27</v>
      </c>
      <c r="L3721" t="s">
        <v>15</v>
      </c>
    </row>
    <row r="3722" spans="1:12" x14ac:dyDescent="0.3">
      <c r="A3722">
        <v>46292</v>
      </c>
      <c r="B3722" t="s">
        <v>12</v>
      </c>
      <c r="C3722">
        <v>64</v>
      </c>
      <c r="D3722" t="s">
        <v>15</v>
      </c>
      <c r="E3722" t="s">
        <v>15</v>
      </c>
      <c r="F3722" t="s">
        <v>16</v>
      </c>
      <c r="G3722" t="s">
        <v>17</v>
      </c>
      <c r="H3722" t="s">
        <v>23</v>
      </c>
      <c r="I3722">
        <v>90.07</v>
      </c>
      <c r="J3722">
        <v>28.6</v>
      </c>
      <c r="K3722" t="s">
        <v>25</v>
      </c>
      <c r="L3722" t="s">
        <v>15</v>
      </c>
    </row>
    <row r="3723" spans="1:12" x14ac:dyDescent="0.3">
      <c r="A3723">
        <v>43492</v>
      </c>
      <c r="B3723" t="s">
        <v>13</v>
      </c>
      <c r="C3723">
        <v>7</v>
      </c>
      <c r="D3723" t="s">
        <v>15</v>
      </c>
      <c r="E3723" t="s">
        <v>15</v>
      </c>
      <c r="F3723" t="s">
        <v>15</v>
      </c>
      <c r="G3723" t="s">
        <v>20</v>
      </c>
      <c r="H3723" t="s">
        <v>22</v>
      </c>
      <c r="I3723">
        <v>113.95</v>
      </c>
      <c r="J3723">
        <v>16</v>
      </c>
      <c r="K3723" t="s">
        <v>27</v>
      </c>
      <c r="L3723" t="s">
        <v>15</v>
      </c>
    </row>
    <row r="3724" spans="1:12" x14ac:dyDescent="0.3">
      <c r="A3724">
        <v>55766</v>
      </c>
      <c r="B3724" t="s">
        <v>12</v>
      </c>
      <c r="C3724">
        <v>41</v>
      </c>
      <c r="D3724" t="s">
        <v>15</v>
      </c>
      <c r="E3724" t="s">
        <v>15</v>
      </c>
      <c r="F3724" t="s">
        <v>16</v>
      </c>
      <c r="G3724" t="s">
        <v>17</v>
      </c>
      <c r="H3724" t="s">
        <v>23</v>
      </c>
      <c r="I3724">
        <v>119.32</v>
      </c>
      <c r="J3724">
        <v>30.6</v>
      </c>
      <c r="K3724" t="s">
        <v>27</v>
      </c>
      <c r="L3724" t="s">
        <v>15</v>
      </c>
    </row>
    <row r="3725" spans="1:12" x14ac:dyDescent="0.3">
      <c r="A3725">
        <v>17740</v>
      </c>
      <c r="B3725" t="s">
        <v>12</v>
      </c>
      <c r="C3725">
        <v>65</v>
      </c>
      <c r="D3725" t="s">
        <v>15</v>
      </c>
      <c r="E3725" t="s">
        <v>15</v>
      </c>
      <c r="F3725" t="s">
        <v>16</v>
      </c>
      <c r="G3725" t="s">
        <v>17</v>
      </c>
      <c r="H3725" t="s">
        <v>23</v>
      </c>
      <c r="I3725">
        <v>99.12</v>
      </c>
      <c r="J3725">
        <v>29</v>
      </c>
      <c r="K3725" t="s">
        <v>24</v>
      </c>
      <c r="L3725" t="s">
        <v>15</v>
      </c>
    </row>
    <row r="3726" spans="1:12" x14ac:dyDescent="0.3">
      <c r="A3726">
        <v>64189</v>
      </c>
      <c r="B3726" t="s">
        <v>12</v>
      </c>
      <c r="C3726">
        <v>61</v>
      </c>
      <c r="D3726" t="s">
        <v>15</v>
      </c>
      <c r="E3726" t="s">
        <v>15</v>
      </c>
      <c r="F3726" t="s">
        <v>16</v>
      </c>
      <c r="G3726" t="s">
        <v>18</v>
      </c>
      <c r="H3726" t="s">
        <v>23</v>
      </c>
      <c r="I3726">
        <v>152.84</v>
      </c>
      <c r="J3726">
        <v>28.6</v>
      </c>
      <c r="K3726" t="s">
        <v>27</v>
      </c>
      <c r="L3726" t="s">
        <v>15</v>
      </c>
    </row>
    <row r="3727" spans="1:12" x14ac:dyDescent="0.3">
      <c r="A3727">
        <v>24202</v>
      </c>
      <c r="B3727" t="s">
        <v>12</v>
      </c>
      <c r="C3727">
        <v>63</v>
      </c>
      <c r="D3727" t="s">
        <v>15</v>
      </c>
      <c r="E3727" t="s">
        <v>15</v>
      </c>
      <c r="F3727" t="s">
        <v>16</v>
      </c>
      <c r="G3727" t="s">
        <v>17</v>
      </c>
      <c r="H3727" t="s">
        <v>23</v>
      </c>
      <c r="I3727">
        <v>78.23</v>
      </c>
      <c r="J3727">
        <v>34.799999999999997</v>
      </c>
      <c r="K3727" t="s">
        <v>25</v>
      </c>
      <c r="L3727" t="s">
        <v>15</v>
      </c>
    </row>
    <row r="3728" spans="1:12" x14ac:dyDescent="0.3">
      <c r="A3728">
        <v>32514</v>
      </c>
      <c r="B3728" t="s">
        <v>12</v>
      </c>
      <c r="C3728">
        <v>1.8</v>
      </c>
      <c r="D3728" t="s">
        <v>15</v>
      </c>
      <c r="E3728" t="s">
        <v>15</v>
      </c>
      <c r="F3728" t="s">
        <v>15</v>
      </c>
      <c r="G3728" t="s">
        <v>20</v>
      </c>
      <c r="H3728" t="s">
        <v>22</v>
      </c>
      <c r="I3728">
        <v>68.8</v>
      </c>
      <c r="K3728" t="s">
        <v>27</v>
      </c>
      <c r="L3728" t="s">
        <v>15</v>
      </c>
    </row>
    <row r="3729" spans="1:12" x14ac:dyDescent="0.3">
      <c r="A3729">
        <v>9866</v>
      </c>
      <c r="B3729" t="s">
        <v>13</v>
      </c>
      <c r="C3729">
        <v>54</v>
      </c>
      <c r="D3729" t="s">
        <v>15</v>
      </c>
      <c r="E3729" t="s">
        <v>15</v>
      </c>
      <c r="F3729" t="s">
        <v>16</v>
      </c>
      <c r="G3729" t="s">
        <v>17</v>
      </c>
      <c r="H3729" t="s">
        <v>22</v>
      </c>
      <c r="I3729">
        <v>76.05</v>
      </c>
      <c r="J3729">
        <v>42</v>
      </c>
      <c r="K3729" t="s">
        <v>27</v>
      </c>
      <c r="L3729" t="s">
        <v>15</v>
      </c>
    </row>
    <row r="3730" spans="1:12" x14ac:dyDescent="0.3">
      <c r="A3730">
        <v>54816</v>
      </c>
      <c r="B3730" t="s">
        <v>13</v>
      </c>
      <c r="C3730">
        <v>14</v>
      </c>
      <c r="D3730" t="s">
        <v>15</v>
      </c>
      <c r="E3730" t="s">
        <v>15</v>
      </c>
      <c r="F3730" t="s">
        <v>15</v>
      </c>
      <c r="G3730" t="s">
        <v>20</v>
      </c>
      <c r="H3730" t="s">
        <v>23</v>
      </c>
      <c r="I3730">
        <v>116.49</v>
      </c>
      <c r="J3730">
        <v>30.3</v>
      </c>
      <c r="K3730" t="s">
        <v>25</v>
      </c>
      <c r="L3730" t="s">
        <v>15</v>
      </c>
    </row>
    <row r="3731" spans="1:12" x14ac:dyDescent="0.3">
      <c r="A3731">
        <v>59880</v>
      </c>
      <c r="B3731" t="s">
        <v>12</v>
      </c>
      <c r="C3731">
        <v>45</v>
      </c>
      <c r="D3731" t="s">
        <v>15</v>
      </c>
      <c r="E3731" t="s">
        <v>15</v>
      </c>
      <c r="F3731" t="s">
        <v>16</v>
      </c>
      <c r="G3731" t="s">
        <v>17</v>
      </c>
      <c r="H3731" t="s">
        <v>23</v>
      </c>
      <c r="I3731">
        <v>99.91</v>
      </c>
      <c r="J3731">
        <v>30.9</v>
      </c>
      <c r="K3731" t="s">
        <v>27</v>
      </c>
      <c r="L3731" t="s">
        <v>15</v>
      </c>
    </row>
    <row r="3732" spans="1:12" x14ac:dyDescent="0.3">
      <c r="A3732">
        <v>20625</v>
      </c>
      <c r="B3732" t="s">
        <v>12</v>
      </c>
      <c r="C3732">
        <v>51</v>
      </c>
      <c r="D3732" t="s">
        <v>16</v>
      </c>
      <c r="E3732" t="s">
        <v>15</v>
      </c>
      <c r="F3732" t="s">
        <v>16</v>
      </c>
      <c r="G3732" t="s">
        <v>17</v>
      </c>
      <c r="H3732" t="s">
        <v>22</v>
      </c>
      <c r="I3732">
        <v>76.099999999999994</v>
      </c>
      <c r="J3732">
        <v>32.1</v>
      </c>
      <c r="K3732" t="s">
        <v>26</v>
      </c>
      <c r="L3732" t="s">
        <v>15</v>
      </c>
    </row>
    <row r="3733" spans="1:12" x14ac:dyDescent="0.3">
      <c r="A3733">
        <v>65969</v>
      </c>
      <c r="B3733" t="s">
        <v>12</v>
      </c>
      <c r="C3733">
        <v>8</v>
      </c>
      <c r="D3733" t="s">
        <v>15</v>
      </c>
      <c r="E3733" t="s">
        <v>15</v>
      </c>
      <c r="F3733" t="s">
        <v>15</v>
      </c>
      <c r="G3733" t="s">
        <v>20</v>
      </c>
      <c r="H3733" t="s">
        <v>23</v>
      </c>
      <c r="I3733">
        <v>121.99</v>
      </c>
      <c r="J3733">
        <v>19.600000000000001</v>
      </c>
      <c r="K3733" t="s">
        <v>27</v>
      </c>
      <c r="L3733" t="s">
        <v>15</v>
      </c>
    </row>
    <row r="3734" spans="1:12" x14ac:dyDescent="0.3">
      <c r="A3734">
        <v>56923</v>
      </c>
      <c r="B3734" t="s">
        <v>12</v>
      </c>
      <c r="C3734">
        <v>52</v>
      </c>
      <c r="D3734" t="s">
        <v>16</v>
      </c>
      <c r="E3734" t="s">
        <v>15</v>
      </c>
      <c r="F3734" t="s">
        <v>16</v>
      </c>
      <c r="G3734" t="s">
        <v>17</v>
      </c>
      <c r="H3734" t="s">
        <v>23</v>
      </c>
      <c r="I3734">
        <v>116.21</v>
      </c>
      <c r="J3734">
        <v>32.799999999999997</v>
      </c>
      <c r="K3734" t="s">
        <v>26</v>
      </c>
      <c r="L3734" t="s">
        <v>15</v>
      </c>
    </row>
    <row r="3735" spans="1:12" x14ac:dyDescent="0.3">
      <c r="A3735">
        <v>44001</v>
      </c>
      <c r="B3735" t="s">
        <v>13</v>
      </c>
      <c r="C3735">
        <v>39</v>
      </c>
      <c r="D3735" t="s">
        <v>15</v>
      </c>
      <c r="E3735" t="s">
        <v>15</v>
      </c>
      <c r="F3735" t="s">
        <v>16</v>
      </c>
      <c r="G3735" t="s">
        <v>17</v>
      </c>
      <c r="H3735" t="s">
        <v>22</v>
      </c>
      <c r="I3735">
        <v>55.28</v>
      </c>
      <c r="J3735">
        <v>31.5</v>
      </c>
      <c r="K3735" t="s">
        <v>27</v>
      </c>
      <c r="L3735" t="s">
        <v>15</v>
      </c>
    </row>
    <row r="3736" spans="1:12" x14ac:dyDescent="0.3">
      <c r="A3736">
        <v>51852</v>
      </c>
      <c r="B3736" t="s">
        <v>13</v>
      </c>
      <c r="C3736">
        <v>13</v>
      </c>
      <c r="D3736" t="s">
        <v>15</v>
      </c>
      <c r="E3736" t="s">
        <v>15</v>
      </c>
      <c r="F3736" t="s">
        <v>15</v>
      </c>
      <c r="G3736" t="s">
        <v>20</v>
      </c>
      <c r="H3736" t="s">
        <v>23</v>
      </c>
      <c r="I3736">
        <v>219.81</v>
      </c>
      <c r="K3736" t="s">
        <v>27</v>
      </c>
      <c r="L3736" t="s">
        <v>15</v>
      </c>
    </row>
    <row r="3737" spans="1:12" x14ac:dyDescent="0.3">
      <c r="A3737">
        <v>27176</v>
      </c>
      <c r="B3737" t="s">
        <v>13</v>
      </c>
      <c r="C3737">
        <v>69</v>
      </c>
      <c r="D3737" t="s">
        <v>15</v>
      </c>
      <c r="E3737" t="s">
        <v>15</v>
      </c>
      <c r="F3737" t="s">
        <v>16</v>
      </c>
      <c r="G3737" t="s">
        <v>17</v>
      </c>
      <c r="H3737" t="s">
        <v>23</v>
      </c>
      <c r="I3737">
        <v>103.73</v>
      </c>
      <c r="J3737">
        <v>34.700000000000003</v>
      </c>
      <c r="K3737" t="s">
        <v>25</v>
      </c>
      <c r="L3737" t="s">
        <v>15</v>
      </c>
    </row>
    <row r="3738" spans="1:12" x14ac:dyDescent="0.3">
      <c r="A3738">
        <v>70874</v>
      </c>
      <c r="B3738" t="s">
        <v>12</v>
      </c>
      <c r="C3738">
        <v>71</v>
      </c>
      <c r="D3738" t="s">
        <v>16</v>
      </c>
      <c r="E3738" t="s">
        <v>15</v>
      </c>
      <c r="F3738" t="s">
        <v>16</v>
      </c>
      <c r="G3738" t="s">
        <v>19</v>
      </c>
      <c r="H3738" t="s">
        <v>22</v>
      </c>
      <c r="I3738">
        <v>153.08000000000001</v>
      </c>
      <c r="J3738">
        <v>21.5</v>
      </c>
      <c r="K3738" t="s">
        <v>27</v>
      </c>
      <c r="L3738" t="s">
        <v>15</v>
      </c>
    </row>
    <row r="3739" spans="1:12" x14ac:dyDescent="0.3">
      <c r="A3739">
        <v>34287</v>
      </c>
      <c r="B3739" t="s">
        <v>13</v>
      </c>
      <c r="C3739">
        <v>73</v>
      </c>
      <c r="D3739" t="s">
        <v>15</v>
      </c>
      <c r="E3739" t="s">
        <v>15</v>
      </c>
      <c r="F3739" t="s">
        <v>16</v>
      </c>
      <c r="G3739" t="s">
        <v>18</v>
      </c>
      <c r="H3739" t="s">
        <v>23</v>
      </c>
      <c r="I3739">
        <v>98.69</v>
      </c>
      <c r="J3739">
        <v>27.6</v>
      </c>
      <c r="K3739" t="s">
        <v>27</v>
      </c>
      <c r="L3739" t="s">
        <v>15</v>
      </c>
    </row>
    <row r="3740" spans="1:12" x14ac:dyDescent="0.3">
      <c r="A3740">
        <v>23052</v>
      </c>
      <c r="B3740" t="s">
        <v>13</v>
      </c>
      <c r="C3740">
        <v>54</v>
      </c>
      <c r="D3740" t="s">
        <v>15</v>
      </c>
      <c r="E3740" t="s">
        <v>15</v>
      </c>
      <c r="F3740" t="s">
        <v>16</v>
      </c>
      <c r="G3740" t="s">
        <v>17</v>
      </c>
      <c r="H3740" t="s">
        <v>23</v>
      </c>
      <c r="I3740">
        <v>94.11</v>
      </c>
      <c r="J3740">
        <v>28.6</v>
      </c>
      <c r="K3740" t="s">
        <v>24</v>
      </c>
      <c r="L3740" t="s">
        <v>15</v>
      </c>
    </row>
    <row r="3741" spans="1:12" x14ac:dyDescent="0.3">
      <c r="A3741">
        <v>67499</v>
      </c>
      <c r="B3741" t="s">
        <v>12</v>
      </c>
      <c r="C3741">
        <v>10</v>
      </c>
      <c r="D3741" t="s">
        <v>15</v>
      </c>
      <c r="E3741" t="s">
        <v>15</v>
      </c>
      <c r="F3741" t="s">
        <v>15</v>
      </c>
      <c r="G3741" t="s">
        <v>20</v>
      </c>
      <c r="H3741" t="s">
        <v>23</v>
      </c>
      <c r="I3741">
        <v>117.03</v>
      </c>
      <c r="J3741">
        <v>21.1</v>
      </c>
      <c r="K3741" t="s">
        <v>25</v>
      </c>
      <c r="L3741" t="s">
        <v>15</v>
      </c>
    </row>
    <row r="3742" spans="1:12" x14ac:dyDescent="0.3">
      <c r="A3742">
        <v>5380</v>
      </c>
      <c r="B3742" t="s">
        <v>13</v>
      </c>
      <c r="C3742">
        <v>26</v>
      </c>
      <c r="D3742" t="s">
        <v>15</v>
      </c>
      <c r="E3742" t="s">
        <v>15</v>
      </c>
      <c r="F3742" t="s">
        <v>16</v>
      </c>
      <c r="G3742" t="s">
        <v>17</v>
      </c>
      <c r="H3742" t="s">
        <v>22</v>
      </c>
      <c r="I3742">
        <v>91.35</v>
      </c>
      <c r="J3742">
        <v>23.8</v>
      </c>
      <c r="K3742" t="s">
        <v>25</v>
      </c>
      <c r="L3742" t="s">
        <v>15</v>
      </c>
    </row>
    <row r="3743" spans="1:12" x14ac:dyDescent="0.3">
      <c r="A3743">
        <v>20154</v>
      </c>
      <c r="B3743" t="s">
        <v>13</v>
      </c>
      <c r="C3743">
        <v>41</v>
      </c>
      <c r="D3743" t="s">
        <v>15</v>
      </c>
      <c r="E3743" t="s">
        <v>15</v>
      </c>
      <c r="F3743" t="s">
        <v>16</v>
      </c>
      <c r="G3743" t="s">
        <v>17</v>
      </c>
      <c r="H3743" t="s">
        <v>23</v>
      </c>
      <c r="I3743">
        <v>82.48</v>
      </c>
      <c r="J3743">
        <v>33.5</v>
      </c>
      <c r="K3743" t="s">
        <v>27</v>
      </c>
      <c r="L3743" t="s">
        <v>15</v>
      </c>
    </row>
    <row r="3744" spans="1:12" x14ac:dyDescent="0.3">
      <c r="A3744">
        <v>29546</v>
      </c>
      <c r="B3744" t="s">
        <v>12</v>
      </c>
      <c r="C3744">
        <v>71</v>
      </c>
      <c r="D3744" t="s">
        <v>15</v>
      </c>
      <c r="E3744" t="s">
        <v>15</v>
      </c>
      <c r="F3744" t="s">
        <v>16</v>
      </c>
      <c r="G3744" t="s">
        <v>19</v>
      </c>
      <c r="H3744" t="s">
        <v>23</v>
      </c>
      <c r="I3744">
        <v>99.76</v>
      </c>
      <c r="J3744">
        <v>33.4</v>
      </c>
      <c r="K3744" t="s">
        <v>24</v>
      </c>
      <c r="L3744" t="s">
        <v>15</v>
      </c>
    </row>
    <row r="3745" spans="1:12" x14ac:dyDescent="0.3">
      <c r="A3745">
        <v>3718</v>
      </c>
      <c r="B3745" t="s">
        <v>13</v>
      </c>
      <c r="C3745">
        <v>46</v>
      </c>
      <c r="D3745" t="s">
        <v>15</v>
      </c>
      <c r="E3745" t="s">
        <v>15</v>
      </c>
      <c r="F3745" t="s">
        <v>16</v>
      </c>
      <c r="G3745" t="s">
        <v>19</v>
      </c>
      <c r="H3745" t="s">
        <v>22</v>
      </c>
      <c r="I3745">
        <v>111.1</v>
      </c>
      <c r="J3745">
        <v>23.3</v>
      </c>
      <c r="K3745" t="s">
        <v>26</v>
      </c>
      <c r="L3745" t="s">
        <v>15</v>
      </c>
    </row>
    <row r="3746" spans="1:12" x14ac:dyDescent="0.3">
      <c r="A3746">
        <v>43734</v>
      </c>
      <c r="B3746" t="s">
        <v>12</v>
      </c>
      <c r="C3746">
        <v>15</v>
      </c>
      <c r="D3746" t="s">
        <v>15</v>
      </c>
      <c r="E3746" t="s">
        <v>15</v>
      </c>
      <c r="F3746" t="s">
        <v>15</v>
      </c>
      <c r="G3746" t="s">
        <v>17</v>
      </c>
      <c r="H3746" t="s">
        <v>23</v>
      </c>
      <c r="I3746">
        <v>122.25</v>
      </c>
      <c r="J3746">
        <v>21</v>
      </c>
      <c r="K3746" t="s">
        <v>25</v>
      </c>
      <c r="L3746" t="s">
        <v>15</v>
      </c>
    </row>
    <row r="3747" spans="1:12" x14ac:dyDescent="0.3">
      <c r="A3747">
        <v>41917</v>
      </c>
      <c r="B3747" t="s">
        <v>13</v>
      </c>
      <c r="C3747">
        <v>29</v>
      </c>
      <c r="D3747" t="s">
        <v>15</v>
      </c>
      <c r="E3747" t="s">
        <v>15</v>
      </c>
      <c r="F3747" t="s">
        <v>15</v>
      </c>
      <c r="G3747" t="s">
        <v>17</v>
      </c>
      <c r="H3747" t="s">
        <v>22</v>
      </c>
      <c r="I3747">
        <v>84.19</v>
      </c>
      <c r="J3747">
        <v>21.2</v>
      </c>
      <c r="K3747" t="s">
        <v>25</v>
      </c>
      <c r="L3747" t="s">
        <v>15</v>
      </c>
    </row>
    <row r="3748" spans="1:12" x14ac:dyDescent="0.3">
      <c r="A3748">
        <v>8050</v>
      </c>
      <c r="B3748" t="s">
        <v>12</v>
      </c>
      <c r="C3748">
        <v>8</v>
      </c>
      <c r="D3748" t="s">
        <v>15</v>
      </c>
      <c r="E3748" t="s">
        <v>15</v>
      </c>
      <c r="F3748" t="s">
        <v>15</v>
      </c>
      <c r="G3748" t="s">
        <v>20</v>
      </c>
      <c r="H3748" t="s">
        <v>22</v>
      </c>
      <c r="I3748">
        <v>84.6</v>
      </c>
      <c r="J3748">
        <v>18.399999999999999</v>
      </c>
      <c r="K3748" t="s">
        <v>27</v>
      </c>
      <c r="L3748" t="s">
        <v>15</v>
      </c>
    </row>
    <row r="3749" spans="1:12" x14ac:dyDescent="0.3">
      <c r="A3749">
        <v>44426</v>
      </c>
      <c r="B3749" t="s">
        <v>13</v>
      </c>
      <c r="C3749">
        <v>21</v>
      </c>
      <c r="D3749" t="s">
        <v>15</v>
      </c>
      <c r="E3749" t="s">
        <v>15</v>
      </c>
      <c r="F3749" t="s">
        <v>16</v>
      </c>
      <c r="G3749" t="s">
        <v>17</v>
      </c>
      <c r="H3749" t="s">
        <v>22</v>
      </c>
      <c r="I3749">
        <v>126.35</v>
      </c>
      <c r="J3749">
        <v>26.9</v>
      </c>
      <c r="K3749" t="s">
        <v>25</v>
      </c>
      <c r="L3749" t="s">
        <v>15</v>
      </c>
    </row>
    <row r="3750" spans="1:12" x14ac:dyDescent="0.3">
      <c r="A3750">
        <v>34700</v>
      </c>
      <c r="B3750" t="s">
        <v>13</v>
      </c>
      <c r="C3750">
        <v>56</v>
      </c>
      <c r="D3750" t="s">
        <v>16</v>
      </c>
      <c r="E3750" t="s">
        <v>15</v>
      </c>
      <c r="F3750" t="s">
        <v>15</v>
      </c>
      <c r="G3750" t="s">
        <v>18</v>
      </c>
      <c r="H3750" t="s">
        <v>22</v>
      </c>
      <c r="I3750">
        <v>87.5</v>
      </c>
      <c r="J3750">
        <v>20.2</v>
      </c>
      <c r="K3750" t="s">
        <v>24</v>
      </c>
      <c r="L3750" t="s">
        <v>15</v>
      </c>
    </row>
    <row r="3751" spans="1:12" x14ac:dyDescent="0.3">
      <c r="A3751">
        <v>70230</v>
      </c>
      <c r="B3751" t="s">
        <v>13</v>
      </c>
      <c r="C3751">
        <v>14</v>
      </c>
      <c r="D3751" t="s">
        <v>15</v>
      </c>
      <c r="E3751" t="s">
        <v>15</v>
      </c>
      <c r="F3751" t="s">
        <v>15</v>
      </c>
      <c r="G3751" t="s">
        <v>18</v>
      </c>
      <c r="H3751" t="s">
        <v>23</v>
      </c>
      <c r="I3751">
        <v>77.52</v>
      </c>
      <c r="J3751">
        <v>21.9</v>
      </c>
      <c r="K3751" t="s">
        <v>25</v>
      </c>
      <c r="L3751" t="s">
        <v>15</v>
      </c>
    </row>
    <row r="3752" spans="1:12" x14ac:dyDescent="0.3">
      <c r="A3752">
        <v>68721</v>
      </c>
      <c r="B3752" t="s">
        <v>13</v>
      </c>
      <c r="C3752">
        <v>78</v>
      </c>
      <c r="D3752" t="s">
        <v>15</v>
      </c>
      <c r="E3752" t="s">
        <v>15</v>
      </c>
      <c r="F3752" t="s">
        <v>16</v>
      </c>
      <c r="G3752" t="s">
        <v>17</v>
      </c>
      <c r="H3752" t="s">
        <v>23</v>
      </c>
      <c r="I3752">
        <v>133.13</v>
      </c>
      <c r="J3752">
        <v>24.2</v>
      </c>
      <c r="K3752" t="s">
        <v>27</v>
      </c>
      <c r="L3752" t="s">
        <v>15</v>
      </c>
    </row>
    <row r="3753" spans="1:12" x14ac:dyDescent="0.3">
      <c r="A3753">
        <v>23170</v>
      </c>
      <c r="B3753" t="s">
        <v>13</v>
      </c>
      <c r="C3753">
        <v>36</v>
      </c>
      <c r="D3753" t="s">
        <v>15</v>
      </c>
      <c r="E3753" t="s">
        <v>15</v>
      </c>
      <c r="F3753" t="s">
        <v>15</v>
      </c>
      <c r="G3753" t="s">
        <v>17</v>
      </c>
      <c r="H3753" t="s">
        <v>22</v>
      </c>
      <c r="I3753">
        <v>96.1</v>
      </c>
      <c r="J3753">
        <v>29.6</v>
      </c>
      <c r="K3753" t="s">
        <v>25</v>
      </c>
      <c r="L3753" t="s">
        <v>15</v>
      </c>
    </row>
    <row r="3754" spans="1:12" x14ac:dyDescent="0.3">
      <c r="A3754">
        <v>5731</v>
      </c>
      <c r="B3754" t="s">
        <v>13</v>
      </c>
      <c r="C3754">
        <v>57</v>
      </c>
      <c r="D3754" t="s">
        <v>16</v>
      </c>
      <c r="E3754" t="s">
        <v>15</v>
      </c>
      <c r="F3754" t="s">
        <v>16</v>
      </c>
      <c r="G3754" t="s">
        <v>17</v>
      </c>
      <c r="H3754" t="s">
        <v>22</v>
      </c>
      <c r="I3754">
        <v>108.61</v>
      </c>
      <c r="J3754">
        <v>38.1</v>
      </c>
      <c r="K3754" t="s">
        <v>26</v>
      </c>
      <c r="L3754" t="s">
        <v>15</v>
      </c>
    </row>
    <row r="3755" spans="1:12" x14ac:dyDescent="0.3">
      <c r="A3755">
        <v>62791</v>
      </c>
      <c r="B3755" t="s">
        <v>12</v>
      </c>
      <c r="C3755">
        <v>79</v>
      </c>
      <c r="D3755" t="s">
        <v>16</v>
      </c>
      <c r="E3755" t="s">
        <v>16</v>
      </c>
      <c r="F3755" t="s">
        <v>16</v>
      </c>
      <c r="G3755" t="s">
        <v>18</v>
      </c>
      <c r="H3755" t="s">
        <v>23</v>
      </c>
      <c r="I3755">
        <v>205.23</v>
      </c>
      <c r="J3755">
        <v>22</v>
      </c>
      <c r="K3755" t="s">
        <v>25</v>
      </c>
      <c r="L3755" t="s">
        <v>15</v>
      </c>
    </row>
    <row r="3756" spans="1:12" x14ac:dyDescent="0.3">
      <c r="A3756">
        <v>18943</v>
      </c>
      <c r="B3756" t="s">
        <v>12</v>
      </c>
      <c r="C3756">
        <v>26</v>
      </c>
      <c r="D3756" t="s">
        <v>15</v>
      </c>
      <c r="E3756" t="s">
        <v>15</v>
      </c>
      <c r="F3756" t="s">
        <v>15</v>
      </c>
      <c r="G3756" t="s">
        <v>19</v>
      </c>
      <c r="H3756" t="s">
        <v>23</v>
      </c>
      <c r="I3756">
        <v>76.739999999999995</v>
      </c>
      <c r="J3756">
        <v>29.8</v>
      </c>
      <c r="K3756" t="s">
        <v>27</v>
      </c>
      <c r="L3756" t="s">
        <v>15</v>
      </c>
    </row>
    <row r="3757" spans="1:12" x14ac:dyDescent="0.3">
      <c r="A3757">
        <v>45472</v>
      </c>
      <c r="B3757" t="s">
        <v>12</v>
      </c>
      <c r="C3757">
        <v>22</v>
      </c>
      <c r="D3757" t="s">
        <v>15</v>
      </c>
      <c r="E3757" t="s">
        <v>15</v>
      </c>
      <c r="F3757" t="s">
        <v>16</v>
      </c>
      <c r="G3757" t="s">
        <v>17</v>
      </c>
      <c r="H3757" t="s">
        <v>22</v>
      </c>
      <c r="I3757">
        <v>138.55000000000001</v>
      </c>
      <c r="J3757">
        <v>24</v>
      </c>
      <c r="K3757" t="s">
        <v>25</v>
      </c>
      <c r="L3757" t="s">
        <v>15</v>
      </c>
    </row>
    <row r="3758" spans="1:12" x14ac:dyDescent="0.3">
      <c r="A3758">
        <v>3942</v>
      </c>
      <c r="B3758" t="s">
        <v>12</v>
      </c>
      <c r="C3758">
        <v>72</v>
      </c>
      <c r="D3758" t="s">
        <v>15</v>
      </c>
      <c r="E3758" t="s">
        <v>16</v>
      </c>
      <c r="F3758" t="s">
        <v>16</v>
      </c>
      <c r="G3758" t="s">
        <v>17</v>
      </c>
      <c r="H3758" t="s">
        <v>22</v>
      </c>
      <c r="I3758">
        <v>234.27</v>
      </c>
      <c r="J3758">
        <v>26.9</v>
      </c>
      <c r="K3758" t="s">
        <v>25</v>
      </c>
      <c r="L3758" t="s">
        <v>15</v>
      </c>
    </row>
    <row r="3759" spans="1:12" x14ac:dyDescent="0.3">
      <c r="A3759">
        <v>30201</v>
      </c>
      <c r="B3759" t="s">
        <v>13</v>
      </c>
      <c r="C3759">
        <v>54</v>
      </c>
      <c r="D3759" t="s">
        <v>15</v>
      </c>
      <c r="E3759" t="s">
        <v>15</v>
      </c>
      <c r="F3759" t="s">
        <v>16</v>
      </c>
      <c r="G3759" t="s">
        <v>17</v>
      </c>
      <c r="H3759" t="s">
        <v>22</v>
      </c>
      <c r="I3759">
        <v>75.16</v>
      </c>
      <c r="J3759">
        <v>38</v>
      </c>
      <c r="K3759" t="s">
        <v>25</v>
      </c>
      <c r="L3759" t="s">
        <v>15</v>
      </c>
    </row>
    <row r="3760" spans="1:12" x14ac:dyDescent="0.3">
      <c r="A3760">
        <v>38284</v>
      </c>
      <c r="B3760" t="s">
        <v>12</v>
      </c>
      <c r="C3760">
        <v>8</v>
      </c>
      <c r="D3760" t="s">
        <v>15</v>
      </c>
      <c r="E3760" t="s">
        <v>15</v>
      </c>
      <c r="F3760" t="s">
        <v>15</v>
      </c>
      <c r="G3760" t="s">
        <v>20</v>
      </c>
      <c r="H3760" t="s">
        <v>23</v>
      </c>
      <c r="I3760">
        <v>77.08</v>
      </c>
      <c r="J3760">
        <v>16.899999999999999</v>
      </c>
      <c r="K3760" t="s">
        <v>27</v>
      </c>
      <c r="L3760" t="s">
        <v>15</v>
      </c>
    </row>
    <row r="3761" spans="1:12" x14ac:dyDescent="0.3">
      <c r="A3761">
        <v>53552</v>
      </c>
      <c r="B3761" t="s">
        <v>13</v>
      </c>
      <c r="C3761">
        <v>62</v>
      </c>
      <c r="D3761" t="s">
        <v>15</v>
      </c>
      <c r="E3761" t="s">
        <v>15</v>
      </c>
      <c r="F3761" t="s">
        <v>16</v>
      </c>
      <c r="G3761" t="s">
        <v>17</v>
      </c>
      <c r="H3761" t="s">
        <v>22</v>
      </c>
      <c r="I3761">
        <v>101.19</v>
      </c>
      <c r="J3761">
        <v>23.4</v>
      </c>
      <c r="K3761" t="s">
        <v>25</v>
      </c>
      <c r="L3761" t="s">
        <v>15</v>
      </c>
    </row>
    <row r="3762" spans="1:12" x14ac:dyDescent="0.3">
      <c r="A3762">
        <v>59663</v>
      </c>
      <c r="B3762" t="s">
        <v>13</v>
      </c>
      <c r="C3762">
        <v>28</v>
      </c>
      <c r="D3762" t="s">
        <v>15</v>
      </c>
      <c r="E3762" t="s">
        <v>15</v>
      </c>
      <c r="F3762" t="s">
        <v>15</v>
      </c>
      <c r="G3762" t="s">
        <v>17</v>
      </c>
      <c r="H3762" t="s">
        <v>22</v>
      </c>
      <c r="I3762">
        <v>107.74</v>
      </c>
      <c r="J3762">
        <v>38.5</v>
      </c>
      <c r="K3762" t="s">
        <v>25</v>
      </c>
      <c r="L3762" t="s">
        <v>15</v>
      </c>
    </row>
    <row r="3763" spans="1:12" x14ac:dyDescent="0.3">
      <c r="A3763">
        <v>68631</v>
      </c>
      <c r="B3763" t="s">
        <v>13</v>
      </c>
      <c r="C3763">
        <v>50</v>
      </c>
      <c r="D3763" t="s">
        <v>15</v>
      </c>
      <c r="E3763" t="s">
        <v>15</v>
      </c>
      <c r="F3763" t="s">
        <v>16</v>
      </c>
      <c r="G3763" t="s">
        <v>17</v>
      </c>
      <c r="H3763" t="s">
        <v>23</v>
      </c>
      <c r="I3763">
        <v>62.32</v>
      </c>
      <c r="J3763">
        <v>21.6</v>
      </c>
      <c r="K3763" t="s">
        <v>27</v>
      </c>
      <c r="L3763" t="s">
        <v>15</v>
      </c>
    </row>
    <row r="3764" spans="1:12" x14ac:dyDescent="0.3">
      <c r="A3764">
        <v>49900</v>
      </c>
      <c r="B3764" t="s">
        <v>12</v>
      </c>
      <c r="C3764">
        <v>7</v>
      </c>
      <c r="D3764" t="s">
        <v>15</v>
      </c>
      <c r="E3764" t="s">
        <v>15</v>
      </c>
      <c r="F3764" t="s">
        <v>15</v>
      </c>
      <c r="G3764" t="s">
        <v>20</v>
      </c>
      <c r="H3764" t="s">
        <v>22</v>
      </c>
      <c r="I3764">
        <v>56.32</v>
      </c>
      <c r="J3764">
        <v>15.9</v>
      </c>
      <c r="K3764" t="s">
        <v>27</v>
      </c>
      <c r="L3764" t="s">
        <v>15</v>
      </c>
    </row>
    <row r="3765" spans="1:12" x14ac:dyDescent="0.3">
      <c r="A3765">
        <v>18140</v>
      </c>
      <c r="B3765" t="s">
        <v>13</v>
      </c>
      <c r="C3765">
        <v>33</v>
      </c>
      <c r="D3765" t="s">
        <v>15</v>
      </c>
      <c r="E3765" t="s">
        <v>15</v>
      </c>
      <c r="F3765" t="s">
        <v>16</v>
      </c>
      <c r="G3765" t="s">
        <v>17</v>
      </c>
      <c r="H3765" t="s">
        <v>23</v>
      </c>
      <c r="I3765">
        <v>131.28</v>
      </c>
      <c r="J3765">
        <v>25.1</v>
      </c>
      <c r="K3765" t="s">
        <v>25</v>
      </c>
      <c r="L3765" t="s">
        <v>15</v>
      </c>
    </row>
    <row r="3766" spans="1:12" x14ac:dyDescent="0.3">
      <c r="A3766">
        <v>52340</v>
      </c>
      <c r="B3766" t="s">
        <v>12</v>
      </c>
      <c r="C3766">
        <v>55</v>
      </c>
      <c r="D3766" t="s">
        <v>15</v>
      </c>
      <c r="E3766" t="s">
        <v>15</v>
      </c>
      <c r="F3766" t="s">
        <v>16</v>
      </c>
      <c r="G3766" t="s">
        <v>17</v>
      </c>
      <c r="H3766" t="s">
        <v>22</v>
      </c>
      <c r="I3766">
        <v>67.02</v>
      </c>
      <c r="J3766">
        <v>41.1</v>
      </c>
      <c r="K3766" t="s">
        <v>26</v>
      </c>
      <c r="L3766" t="s">
        <v>15</v>
      </c>
    </row>
    <row r="3767" spans="1:12" x14ac:dyDescent="0.3">
      <c r="A3767">
        <v>2327</v>
      </c>
      <c r="B3767" t="s">
        <v>13</v>
      </c>
      <c r="C3767">
        <v>25</v>
      </c>
      <c r="D3767" t="s">
        <v>15</v>
      </c>
      <c r="E3767" t="s">
        <v>15</v>
      </c>
      <c r="F3767" t="s">
        <v>15</v>
      </c>
      <c r="G3767" t="s">
        <v>17</v>
      </c>
      <c r="H3767" t="s">
        <v>23</v>
      </c>
      <c r="I3767">
        <v>76.72</v>
      </c>
      <c r="J3767">
        <v>21.5</v>
      </c>
      <c r="K3767" t="s">
        <v>27</v>
      </c>
      <c r="L3767" t="s">
        <v>15</v>
      </c>
    </row>
    <row r="3768" spans="1:12" x14ac:dyDescent="0.3">
      <c r="A3768">
        <v>55137</v>
      </c>
      <c r="B3768" t="s">
        <v>13</v>
      </c>
      <c r="C3768">
        <v>25</v>
      </c>
      <c r="D3768" t="s">
        <v>15</v>
      </c>
      <c r="E3768" t="s">
        <v>15</v>
      </c>
      <c r="F3768" t="s">
        <v>15</v>
      </c>
      <c r="G3768" t="s">
        <v>17</v>
      </c>
      <c r="H3768" t="s">
        <v>22</v>
      </c>
      <c r="I3768">
        <v>125.98</v>
      </c>
      <c r="J3768">
        <v>21</v>
      </c>
      <c r="K3768" t="s">
        <v>26</v>
      </c>
      <c r="L3768" t="s">
        <v>15</v>
      </c>
    </row>
    <row r="3769" spans="1:12" x14ac:dyDescent="0.3">
      <c r="A3769">
        <v>458</v>
      </c>
      <c r="B3769" t="s">
        <v>13</v>
      </c>
      <c r="C3769">
        <v>37</v>
      </c>
      <c r="D3769" t="s">
        <v>15</v>
      </c>
      <c r="E3769" t="s">
        <v>15</v>
      </c>
      <c r="F3769" t="s">
        <v>16</v>
      </c>
      <c r="G3769" t="s">
        <v>19</v>
      </c>
      <c r="H3769" t="s">
        <v>22</v>
      </c>
      <c r="I3769">
        <v>72.09</v>
      </c>
      <c r="J3769">
        <v>24.1</v>
      </c>
      <c r="K3769" t="s">
        <v>26</v>
      </c>
      <c r="L3769" t="s">
        <v>15</v>
      </c>
    </row>
    <row r="3770" spans="1:12" x14ac:dyDescent="0.3">
      <c r="A3770">
        <v>57044</v>
      </c>
      <c r="B3770" t="s">
        <v>12</v>
      </c>
      <c r="C3770">
        <v>58</v>
      </c>
      <c r="D3770" t="s">
        <v>15</v>
      </c>
      <c r="E3770" t="s">
        <v>15</v>
      </c>
      <c r="F3770" t="s">
        <v>16</v>
      </c>
      <c r="G3770" t="s">
        <v>17</v>
      </c>
      <c r="H3770" t="s">
        <v>22</v>
      </c>
      <c r="I3770">
        <v>88.05</v>
      </c>
      <c r="J3770">
        <v>30.6</v>
      </c>
      <c r="K3770" t="s">
        <v>27</v>
      </c>
      <c r="L3770" t="s">
        <v>15</v>
      </c>
    </row>
    <row r="3771" spans="1:12" x14ac:dyDescent="0.3">
      <c r="A3771">
        <v>71548</v>
      </c>
      <c r="B3771" t="s">
        <v>12</v>
      </c>
      <c r="C3771">
        <v>45</v>
      </c>
      <c r="D3771" t="s">
        <v>15</v>
      </c>
      <c r="E3771" t="s">
        <v>15</v>
      </c>
      <c r="F3771" t="s">
        <v>16</v>
      </c>
      <c r="G3771" t="s">
        <v>19</v>
      </c>
      <c r="H3771" t="s">
        <v>22</v>
      </c>
      <c r="I3771">
        <v>55.47</v>
      </c>
      <c r="J3771">
        <v>19.8</v>
      </c>
      <c r="K3771" t="s">
        <v>26</v>
      </c>
      <c r="L3771" t="s">
        <v>15</v>
      </c>
    </row>
    <row r="3772" spans="1:12" x14ac:dyDescent="0.3">
      <c r="A3772">
        <v>67438</v>
      </c>
      <c r="B3772" t="s">
        <v>13</v>
      </c>
      <c r="C3772">
        <v>60</v>
      </c>
      <c r="D3772" t="s">
        <v>15</v>
      </c>
      <c r="E3772" t="s">
        <v>15</v>
      </c>
      <c r="F3772" t="s">
        <v>16</v>
      </c>
      <c r="G3772" t="s">
        <v>19</v>
      </c>
      <c r="H3772" t="s">
        <v>23</v>
      </c>
      <c r="I3772">
        <v>145.94</v>
      </c>
      <c r="J3772">
        <v>29.2</v>
      </c>
      <c r="K3772" t="s">
        <v>27</v>
      </c>
      <c r="L3772" t="s">
        <v>15</v>
      </c>
    </row>
    <row r="3773" spans="1:12" x14ac:dyDescent="0.3">
      <c r="A3773">
        <v>36524</v>
      </c>
      <c r="B3773" t="s">
        <v>12</v>
      </c>
      <c r="C3773">
        <v>66</v>
      </c>
      <c r="D3773" t="s">
        <v>15</v>
      </c>
      <c r="E3773" t="s">
        <v>16</v>
      </c>
      <c r="F3773" t="s">
        <v>16</v>
      </c>
      <c r="G3773" t="s">
        <v>17</v>
      </c>
      <c r="H3773" t="s">
        <v>23</v>
      </c>
      <c r="I3773">
        <v>239.21</v>
      </c>
      <c r="J3773">
        <v>33.700000000000003</v>
      </c>
      <c r="K3773" t="s">
        <v>24</v>
      </c>
      <c r="L3773" t="s">
        <v>15</v>
      </c>
    </row>
    <row r="3774" spans="1:12" x14ac:dyDescent="0.3">
      <c r="A3774">
        <v>61827</v>
      </c>
      <c r="B3774" t="s">
        <v>12</v>
      </c>
      <c r="C3774">
        <v>80</v>
      </c>
      <c r="D3774" t="s">
        <v>15</v>
      </c>
      <c r="E3774" t="s">
        <v>15</v>
      </c>
      <c r="F3774" t="s">
        <v>16</v>
      </c>
      <c r="G3774" t="s">
        <v>18</v>
      </c>
      <c r="H3774" t="s">
        <v>23</v>
      </c>
      <c r="I3774">
        <v>196.08</v>
      </c>
      <c r="J3774">
        <v>31</v>
      </c>
      <c r="K3774" t="s">
        <v>24</v>
      </c>
      <c r="L3774" t="s">
        <v>15</v>
      </c>
    </row>
    <row r="3775" spans="1:12" x14ac:dyDescent="0.3">
      <c r="A3775">
        <v>31454</v>
      </c>
      <c r="B3775" t="s">
        <v>13</v>
      </c>
      <c r="C3775">
        <v>38</v>
      </c>
      <c r="D3775" t="s">
        <v>15</v>
      </c>
      <c r="E3775" t="s">
        <v>15</v>
      </c>
      <c r="F3775" t="s">
        <v>16</v>
      </c>
      <c r="G3775" t="s">
        <v>19</v>
      </c>
      <c r="H3775" t="s">
        <v>23</v>
      </c>
      <c r="I3775">
        <v>93.93</v>
      </c>
      <c r="J3775">
        <v>21.5</v>
      </c>
      <c r="K3775" t="s">
        <v>25</v>
      </c>
      <c r="L3775" t="s">
        <v>15</v>
      </c>
    </row>
    <row r="3776" spans="1:12" x14ac:dyDescent="0.3">
      <c r="A3776">
        <v>15663</v>
      </c>
      <c r="B3776" t="s">
        <v>13</v>
      </c>
      <c r="C3776">
        <v>11</v>
      </c>
      <c r="D3776" t="s">
        <v>15</v>
      </c>
      <c r="E3776" t="s">
        <v>15</v>
      </c>
      <c r="F3776" t="s">
        <v>15</v>
      </c>
      <c r="G3776" t="s">
        <v>20</v>
      </c>
      <c r="H3776" t="s">
        <v>22</v>
      </c>
      <c r="I3776">
        <v>76.739999999999995</v>
      </c>
      <c r="J3776">
        <v>19.100000000000001</v>
      </c>
      <c r="K3776" t="s">
        <v>27</v>
      </c>
      <c r="L3776" t="s">
        <v>15</v>
      </c>
    </row>
    <row r="3777" spans="1:12" x14ac:dyDescent="0.3">
      <c r="A3777">
        <v>4707</v>
      </c>
      <c r="B3777" t="s">
        <v>13</v>
      </c>
      <c r="C3777">
        <v>63</v>
      </c>
      <c r="D3777" t="s">
        <v>15</v>
      </c>
      <c r="E3777" t="s">
        <v>15</v>
      </c>
      <c r="F3777" t="s">
        <v>16</v>
      </c>
      <c r="G3777" t="s">
        <v>17</v>
      </c>
      <c r="H3777" t="s">
        <v>22</v>
      </c>
      <c r="I3777">
        <v>83.74</v>
      </c>
      <c r="J3777">
        <v>21.4</v>
      </c>
      <c r="K3777" t="s">
        <v>27</v>
      </c>
      <c r="L3777" t="s">
        <v>15</v>
      </c>
    </row>
    <row r="3778" spans="1:12" x14ac:dyDescent="0.3">
      <c r="A3778">
        <v>55885</v>
      </c>
      <c r="B3778" t="s">
        <v>12</v>
      </c>
      <c r="C3778">
        <v>19</v>
      </c>
      <c r="D3778" t="s">
        <v>15</v>
      </c>
      <c r="E3778" t="s">
        <v>15</v>
      </c>
      <c r="F3778" t="s">
        <v>15</v>
      </c>
      <c r="G3778" t="s">
        <v>17</v>
      </c>
      <c r="H3778" t="s">
        <v>22</v>
      </c>
      <c r="I3778">
        <v>119.58</v>
      </c>
      <c r="J3778">
        <v>24.8</v>
      </c>
      <c r="K3778" t="s">
        <v>27</v>
      </c>
      <c r="L3778" t="s">
        <v>15</v>
      </c>
    </row>
    <row r="3779" spans="1:12" x14ac:dyDescent="0.3">
      <c r="A3779">
        <v>47563</v>
      </c>
      <c r="B3779" t="s">
        <v>13</v>
      </c>
      <c r="C3779">
        <v>17</v>
      </c>
      <c r="D3779" t="s">
        <v>15</v>
      </c>
      <c r="E3779" t="s">
        <v>15</v>
      </c>
      <c r="F3779" t="s">
        <v>15</v>
      </c>
      <c r="G3779" t="s">
        <v>17</v>
      </c>
      <c r="H3779" t="s">
        <v>23</v>
      </c>
      <c r="I3779">
        <v>68.66</v>
      </c>
      <c r="J3779">
        <v>35.1</v>
      </c>
      <c r="K3779" t="s">
        <v>25</v>
      </c>
      <c r="L3779" t="s">
        <v>15</v>
      </c>
    </row>
    <row r="3780" spans="1:12" x14ac:dyDescent="0.3">
      <c r="A3780">
        <v>63729</v>
      </c>
      <c r="B3780" t="s">
        <v>13</v>
      </c>
      <c r="C3780">
        <v>19</v>
      </c>
      <c r="D3780" t="s">
        <v>15</v>
      </c>
      <c r="E3780" t="s">
        <v>15</v>
      </c>
      <c r="F3780" t="s">
        <v>15</v>
      </c>
      <c r="G3780" t="s">
        <v>17</v>
      </c>
      <c r="H3780" t="s">
        <v>22</v>
      </c>
      <c r="I3780">
        <v>65.790000000000006</v>
      </c>
      <c r="J3780">
        <v>28.6</v>
      </c>
      <c r="K3780" t="s">
        <v>26</v>
      </c>
      <c r="L3780" t="s">
        <v>15</v>
      </c>
    </row>
    <row r="3781" spans="1:12" x14ac:dyDescent="0.3">
      <c r="A3781">
        <v>5286</v>
      </c>
      <c r="B3781" t="s">
        <v>13</v>
      </c>
      <c r="C3781">
        <v>40</v>
      </c>
      <c r="D3781" t="s">
        <v>15</v>
      </c>
      <c r="E3781" t="s">
        <v>15</v>
      </c>
      <c r="F3781" t="s">
        <v>16</v>
      </c>
      <c r="G3781" t="s">
        <v>19</v>
      </c>
      <c r="H3781" t="s">
        <v>22</v>
      </c>
      <c r="I3781">
        <v>176.38</v>
      </c>
      <c r="J3781">
        <v>35.700000000000003</v>
      </c>
      <c r="K3781" t="s">
        <v>25</v>
      </c>
      <c r="L3781" t="s">
        <v>15</v>
      </c>
    </row>
    <row r="3782" spans="1:12" x14ac:dyDescent="0.3">
      <c r="A3782">
        <v>29878</v>
      </c>
      <c r="B3782" t="s">
        <v>12</v>
      </c>
      <c r="C3782">
        <v>49</v>
      </c>
      <c r="D3782" t="s">
        <v>15</v>
      </c>
      <c r="E3782" t="s">
        <v>15</v>
      </c>
      <c r="F3782" t="s">
        <v>16</v>
      </c>
      <c r="G3782" t="s">
        <v>17</v>
      </c>
      <c r="H3782" t="s">
        <v>22</v>
      </c>
      <c r="I3782">
        <v>175.74</v>
      </c>
      <c r="J3782">
        <v>45.4</v>
      </c>
      <c r="K3782" t="s">
        <v>27</v>
      </c>
      <c r="L3782" t="s">
        <v>15</v>
      </c>
    </row>
    <row r="3783" spans="1:12" x14ac:dyDescent="0.3">
      <c r="A3783">
        <v>42628</v>
      </c>
      <c r="B3783" t="s">
        <v>13</v>
      </c>
      <c r="C3783">
        <v>69</v>
      </c>
      <c r="D3783" t="s">
        <v>15</v>
      </c>
      <c r="E3783" t="s">
        <v>16</v>
      </c>
      <c r="F3783" t="s">
        <v>15</v>
      </c>
      <c r="G3783" t="s">
        <v>17</v>
      </c>
      <c r="H3783" t="s">
        <v>22</v>
      </c>
      <c r="I3783">
        <v>193.45</v>
      </c>
      <c r="J3783">
        <v>34.5</v>
      </c>
      <c r="K3783" t="s">
        <v>25</v>
      </c>
      <c r="L3783" t="s">
        <v>15</v>
      </c>
    </row>
    <row r="3784" spans="1:12" x14ac:dyDescent="0.3">
      <c r="A3784">
        <v>5006</v>
      </c>
      <c r="B3784" t="s">
        <v>13</v>
      </c>
      <c r="C3784">
        <v>46</v>
      </c>
      <c r="D3784" t="s">
        <v>15</v>
      </c>
      <c r="E3784" t="s">
        <v>15</v>
      </c>
      <c r="F3784" t="s">
        <v>16</v>
      </c>
      <c r="G3784" t="s">
        <v>18</v>
      </c>
      <c r="H3784" t="s">
        <v>23</v>
      </c>
      <c r="I3784">
        <v>85.84</v>
      </c>
      <c r="J3784">
        <v>21.2</v>
      </c>
      <c r="K3784" t="s">
        <v>25</v>
      </c>
      <c r="L3784" t="s">
        <v>15</v>
      </c>
    </row>
    <row r="3785" spans="1:12" x14ac:dyDescent="0.3">
      <c r="A3785">
        <v>11250</v>
      </c>
      <c r="B3785" t="s">
        <v>12</v>
      </c>
      <c r="C3785">
        <v>78</v>
      </c>
      <c r="D3785" t="s">
        <v>15</v>
      </c>
      <c r="E3785" t="s">
        <v>15</v>
      </c>
      <c r="F3785" t="s">
        <v>16</v>
      </c>
      <c r="G3785" t="s">
        <v>18</v>
      </c>
      <c r="H3785" t="s">
        <v>23</v>
      </c>
      <c r="I3785">
        <v>93.85</v>
      </c>
      <c r="J3785">
        <v>22.7</v>
      </c>
      <c r="K3785" t="s">
        <v>24</v>
      </c>
      <c r="L3785" t="s">
        <v>15</v>
      </c>
    </row>
    <row r="3786" spans="1:12" x14ac:dyDescent="0.3">
      <c r="A3786">
        <v>41858</v>
      </c>
      <c r="B3786" t="s">
        <v>13</v>
      </c>
      <c r="C3786">
        <v>63</v>
      </c>
      <c r="D3786" t="s">
        <v>15</v>
      </c>
      <c r="E3786" t="s">
        <v>16</v>
      </c>
      <c r="F3786" t="s">
        <v>16</v>
      </c>
      <c r="G3786" t="s">
        <v>17</v>
      </c>
      <c r="H3786" t="s">
        <v>23</v>
      </c>
      <c r="I3786">
        <v>86.21</v>
      </c>
      <c r="J3786">
        <v>39.1</v>
      </c>
      <c r="K3786" t="s">
        <v>25</v>
      </c>
      <c r="L3786" t="s">
        <v>15</v>
      </c>
    </row>
    <row r="3787" spans="1:12" x14ac:dyDescent="0.3">
      <c r="A3787">
        <v>15742</v>
      </c>
      <c r="B3787" t="s">
        <v>13</v>
      </c>
      <c r="C3787">
        <v>3</v>
      </c>
      <c r="D3787" t="s">
        <v>15</v>
      </c>
      <c r="E3787" t="s">
        <v>15</v>
      </c>
      <c r="F3787" t="s">
        <v>15</v>
      </c>
      <c r="G3787" t="s">
        <v>20</v>
      </c>
      <c r="H3787" t="s">
        <v>23</v>
      </c>
      <c r="I3787">
        <v>75.41</v>
      </c>
      <c r="J3787">
        <v>21.9</v>
      </c>
      <c r="K3787" t="s">
        <v>27</v>
      </c>
      <c r="L3787" t="s">
        <v>15</v>
      </c>
    </row>
    <row r="3788" spans="1:12" x14ac:dyDescent="0.3">
      <c r="A3788">
        <v>27300</v>
      </c>
      <c r="B3788" t="s">
        <v>13</v>
      </c>
      <c r="C3788">
        <v>1.8</v>
      </c>
      <c r="D3788" t="s">
        <v>15</v>
      </c>
      <c r="E3788" t="s">
        <v>15</v>
      </c>
      <c r="F3788" t="s">
        <v>15</v>
      </c>
      <c r="G3788" t="s">
        <v>20</v>
      </c>
      <c r="H3788" t="s">
        <v>23</v>
      </c>
      <c r="I3788">
        <v>95.28</v>
      </c>
      <c r="J3788">
        <v>16.5</v>
      </c>
      <c r="K3788" t="s">
        <v>27</v>
      </c>
      <c r="L3788" t="s">
        <v>15</v>
      </c>
    </row>
    <row r="3789" spans="1:12" x14ac:dyDescent="0.3">
      <c r="A3789">
        <v>34965</v>
      </c>
      <c r="B3789" t="s">
        <v>13</v>
      </c>
      <c r="C3789">
        <v>18</v>
      </c>
      <c r="D3789" t="s">
        <v>15</v>
      </c>
      <c r="E3789" t="s">
        <v>15</v>
      </c>
      <c r="F3789" t="s">
        <v>15</v>
      </c>
      <c r="G3789" t="s">
        <v>17</v>
      </c>
      <c r="H3789" t="s">
        <v>22</v>
      </c>
      <c r="I3789">
        <v>95.87</v>
      </c>
      <c r="J3789">
        <v>23</v>
      </c>
      <c r="K3789" t="s">
        <v>25</v>
      </c>
      <c r="L3789" t="s">
        <v>15</v>
      </c>
    </row>
    <row r="3790" spans="1:12" x14ac:dyDescent="0.3">
      <c r="A3790">
        <v>65748</v>
      </c>
      <c r="B3790" t="s">
        <v>13</v>
      </c>
      <c r="C3790">
        <v>46</v>
      </c>
      <c r="D3790" t="s">
        <v>15</v>
      </c>
      <c r="E3790" t="s">
        <v>15</v>
      </c>
      <c r="F3790" t="s">
        <v>16</v>
      </c>
      <c r="G3790" t="s">
        <v>17</v>
      </c>
      <c r="H3790" t="s">
        <v>22</v>
      </c>
      <c r="I3790">
        <v>180.45</v>
      </c>
      <c r="J3790">
        <v>22.5</v>
      </c>
      <c r="K3790" t="s">
        <v>25</v>
      </c>
      <c r="L3790" t="s">
        <v>15</v>
      </c>
    </row>
    <row r="3791" spans="1:12" x14ac:dyDescent="0.3">
      <c r="A3791">
        <v>44635</v>
      </c>
      <c r="B3791" t="s">
        <v>13</v>
      </c>
      <c r="C3791">
        <v>8</v>
      </c>
      <c r="D3791" t="s">
        <v>15</v>
      </c>
      <c r="E3791" t="s">
        <v>15</v>
      </c>
      <c r="F3791" t="s">
        <v>15</v>
      </c>
      <c r="G3791" t="s">
        <v>20</v>
      </c>
      <c r="H3791" t="s">
        <v>22</v>
      </c>
      <c r="I3791">
        <v>95.39</v>
      </c>
      <c r="J3791">
        <v>20.399999999999999</v>
      </c>
      <c r="K3791" t="s">
        <v>27</v>
      </c>
      <c r="L3791" t="s">
        <v>15</v>
      </c>
    </row>
    <row r="3792" spans="1:12" x14ac:dyDescent="0.3">
      <c r="A3792">
        <v>72284</v>
      </c>
      <c r="B3792" t="s">
        <v>13</v>
      </c>
      <c r="C3792">
        <v>53</v>
      </c>
      <c r="D3792" t="s">
        <v>15</v>
      </c>
      <c r="E3792" t="s">
        <v>15</v>
      </c>
      <c r="F3792" t="s">
        <v>16</v>
      </c>
      <c r="G3792" t="s">
        <v>17</v>
      </c>
      <c r="H3792" t="s">
        <v>23</v>
      </c>
      <c r="I3792">
        <v>60.77</v>
      </c>
      <c r="J3792">
        <v>28.7</v>
      </c>
      <c r="K3792" t="s">
        <v>26</v>
      </c>
      <c r="L3792" t="s">
        <v>15</v>
      </c>
    </row>
    <row r="3793" spans="1:12" x14ac:dyDescent="0.3">
      <c r="A3793">
        <v>20217</v>
      </c>
      <c r="B3793" t="s">
        <v>13</v>
      </c>
      <c r="C3793">
        <v>38</v>
      </c>
      <c r="D3793" t="s">
        <v>15</v>
      </c>
      <c r="E3793" t="s">
        <v>15</v>
      </c>
      <c r="F3793" t="s">
        <v>16</v>
      </c>
      <c r="G3793" t="s">
        <v>19</v>
      </c>
      <c r="H3793" t="s">
        <v>22</v>
      </c>
      <c r="I3793">
        <v>102.84</v>
      </c>
      <c r="J3793">
        <v>22.4</v>
      </c>
      <c r="K3793" t="s">
        <v>25</v>
      </c>
      <c r="L3793" t="s">
        <v>15</v>
      </c>
    </row>
    <row r="3794" spans="1:12" x14ac:dyDescent="0.3">
      <c r="A3794">
        <v>44259</v>
      </c>
      <c r="B3794" t="s">
        <v>13</v>
      </c>
      <c r="C3794">
        <v>74</v>
      </c>
      <c r="D3794" t="s">
        <v>15</v>
      </c>
      <c r="E3794" t="s">
        <v>15</v>
      </c>
      <c r="F3794" t="s">
        <v>16</v>
      </c>
      <c r="G3794" t="s">
        <v>17</v>
      </c>
      <c r="H3794" t="s">
        <v>22</v>
      </c>
      <c r="I3794">
        <v>130.37</v>
      </c>
      <c r="J3794">
        <v>26.3</v>
      </c>
      <c r="K3794" t="s">
        <v>27</v>
      </c>
      <c r="L3794" t="s">
        <v>15</v>
      </c>
    </row>
    <row r="3795" spans="1:12" x14ac:dyDescent="0.3">
      <c r="A3795">
        <v>52668</v>
      </c>
      <c r="B3795" t="s">
        <v>13</v>
      </c>
      <c r="C3795">
        <v>24</v>
      </c>
      <c r="D3795" t="s">
        <v>15</v>
      </c>
      <c r="E3795" t="s">
        <v>15</v>
      </c>
      <c r="F3795" t="s">
        <v>15</v>
      </c>
      <c r="G3795" t="s">
        <v>17</v>
      </c>
      <c r="H3795" t="s">
        <v>22</v>
      </c>
      <c r="I3795">
        <v>65.44</v>
      </c>
      <c r="J3795">
        <v>23.6</v>
      </c>
      <c r="K3795" t="s">
        <v>25</v>
      </c>
      <c r="L3795" t="s">
        <v>15</v>
      </c>
    </row>
    <row r="3796" spans="1:12" x14ac:dyDescent="0.3">
      <c r="A3796">
        <v>37446</v>
      </c>
      <c r="B3796" t="s">
        <v>12</v>
      </c>
      <c r="C3796">
        <v>78</v>
      </c>
      <c r="D3796" t="s">
        <v>15</v>
      </c>
      <c r="E3796" t="s">
        <v>15</v>
      </c>
      <c r="F3796" t="s">
        <v>16</v>
      </c>
      <c r="G3796" t="s">
        <v>17</v>
      </c>
      <c r="H3796" t="s">
        <v>23</v>
      </c>
      <c r="I3796">
        <v>79.84</v>
      </c>
      <c r="J3796">
        <v>25.9</v>
      </c>
      <c r="K3796" t="s">
        <v>25</v>
      </c>
      <c r="L3796" t="s">
        <v>15</v>
      </c>
    </row>
    <row r="3797" spans="1:12" x14ac:dyDescent="0.3">
      <c r="A3797">
        <v>46895</v>
      </c>
      <c r="B3797" t="s">
        <v>12</v>
      </c>
      <c r="C3797">
        <v>60</v>
      </c>
      <c r="D3797" t="s">
        <v>15</v>
      </c>
      <c r="E3797" t="s">
        <v>15</v>
      </c>
      <c r="F3797" t="s">
        <v>16</v>
      </c>
      <c r="G3797" t="s">
        <v>17</v>
      </c>
      <c r="H3797" t="s">
        <v>23</v>
      </c>
      <c r="I3797">
        <v>62.61</v>
      </c>
      <c r="J3797">
        <v>30.7</v>
      </c>
      <c r="K3797" t="s">
        <v>25</v>
      </c>
      <c r="L3797" t="s">
        <v>15</v>
      </c>
    </row>
    <row r="3798" spans="1:12" x14ac:dyDescent="0.3">
      <c r="A3798">
        <v>57667</v>
      </c>
      <c r="B3798" t="s">
        <v>12</v>
      </c>
      <c r="C3798">
        <v>12</v>
      </c>
      <c r="D3798" t="s">
        <v>15</v>
      </c>
      <c r="E3798" t="s">
        <v>15</v>
      </c>
      <c r="F3798" t="s">
        <v>15</v>
      </c>
      <c r="G3798" t="s">
        <v>20</v>
      </c>
      <c r="H3798" t="s">
        <v>22</v>
      </c>
      <c r="I3798">
        <v>70.069999999999993</v>
      </c>
      <c r="J3798">
        <v>24.5</v>
      </c>
      <c r="K3798" t="s">
        <v>24</v>
      </c>
      <c r="L3798" t="s">
        <v>15</v>
      </c>
    </row>
    <row r="3799" spans="1:12" x14ac:dyDescent="0.3">
      <c r="A3799">
        <v>41962</v>
      </c>
      <c r="B3799" t="s">
        <v>13</v>
      </c>
      <c r="C3799">
        <v>32</v>
      </c>
      <c r="D3799" t="s">
        <v>15</v>
      </c>
      <c r="E3799" t="s">
        <v>15</v>
      </c>
      <c r="F3799" t="s">
        <v>16</v>
      </c>
      <c r="G3799" t="s">
        <v>17</v>
      </c>
      <c r="H3799" t="s">
        <v>23</v>
      </c>
      <c r="I3799">
        <v>108.8</v>
      </c>
      <c r="J3799">
        <v>24</v>
      </c>
      <c r="K3799" t="s">
        <v>27</v>
      </c>
      <c r="L3799" t="s">
        <v>15</v>
      </c>
    </row>
    <row r="3800" spans="1:12" x14ac:dyDescent="0.3">
      <c r="A3800">
        <v>25495</v>
      </c>
      <c r="B3800" t="s">
        <v>12</v>
      </c>
      <c r="C3800">
        <v>5</v>
      </c>
      <c r="D3800" t="s">
        <v>15</v>
      </c>
      <c r="E3800" t="s">
        <v>15</v>
      </c>
      <c r="F3800" t="s">
        <v>15</v>
      </c>
      <c r="G3800" t="s">
        <v>20</v>
      </c>
      <c r="H3800" t="s">
        <v>22</v>
      </c>
      <c r="I3800">
        <v>112.11</v>
      </c>
      <c r="J3800">
        <v>20.100000000000001</v>
      </c>
      <c r="K3800" t="s">
        <v>27</v>
      </c>
      <c r="L3800" t="s">
        <v>15</v>
      </c>
    </row>
    <row r="3801" spans="1:12" x14ac:dyDescent="0.3">
      <c r="A3801">
        <v>2029</v>
      </c>
      <c r="B3801" t="s">
        <v>13</v>
      </c>
      <c r="C3801">
        <v>40</v>
      </c>
      <c r="D3801" t="s">
        <v>15</v>
      </c>
      <c r="E3801" t="s">
        <v>15</v>
      </c>
      <c r="F3801" t="s">
        <v>16</v>
      </c>
      <c r="G3801" t="s">
        <v>17</v>
      </c>
      <c r="H3801" t="s">
        <v>23</v>
      </c>
      <c r="I3801">
        <v>92.35</v>
      </c>
      <c r="J3801">
        <v>38</v>
      </c>
      <c r="K3801" t="s">
        <v>25</v>
      </c>
      <c r="L3801" t="s">
        <v>15</v>
      </c>
    </row>
    <row r="3802" spans="1:12" x14ac:dyDescent="0.3">
      <c r="A3802">
        <v>13993</v>
      </c>
      <c r="B3802" t="s">
        <v>13</v>
      </c>
      <c r="C3802">
        <v>19</v>
      </c>
      <c r="D3802" t="s">
        <v>15</v>
      </c>
      <c r="E3802" t="s">
        <v>15</v>
      </c>
      <c r="F3802" t="s">
        <v>15</v>
      </c>
      <c r="G3802" t="s">
        <v>17</v>
      </c>
      <c r="H3802" t="s">
        <v>22</v>
      </c>
      <c r="I3802">
        <v>76.569999999999993</v>
      </c>
      <c r="J3802">
        <v>26.6</v>
      </c>
      <c r="K3802" t="s">
        <v>27</v>
      </c>
      <c r="L3802" t="s">
        <v>15</v>
      </c>
    </row>
    <row r="3803" spans="1:12" x14ac:dyDescent="0.3">
      <c r="A3803">
        <v>18876</v>
      </c>
      <c r="B3803" t="s">
        <v>13</v>
      </c>
      <c r="C3803">
        <v>28</v>
      </c>
      <c r="D3803" t="s">
        <v>15</v>
      </c>
      <c r="E3803" t="s">
        <v>15</v>
      </c>
      <c r="F3803" t="s">
        <v>16</v>
      </c>
      <c r="G3803" t="s">
        <v>17</v>
      </c>
      <c r="H3803" t="s">
        <v>22</v>
      </c>
      <c r="I3803">
        <v>69.5</v>
      </c>
      <c r="J3803">
        <v>24.5</v>
      </c>
      <c r="K3803" t="s">
        <v>25</v>
      </c>
      <c r="L3803" t="s">
        <v>15</v>
      </c>
    </row>
    <row r="3804" spans="1:12" x14ac:dyDescent="0.3">
      <c r="A3804">
        <v>22865</v>
      </c>
      <c r="B3804" t="s">
        <v>13</v>
      </c>
      <c r="C3804">
        <v>61</v>
      </c>
      <c r="D3804" t="s">
        <v>15</v>
      </c>
      <c r="E3804" t="s">
        <v>15</v>
      </c>
      <c r="F3804" t="s">
        <v>16</v>
      </c>
      <c r="G3804" t="s">
        <v>17</v>
      </c>
      <c r="H3804" t="s">
        <v>23</v>
      </c>
      <c r="I3804">
        <v>219.38</v>
      </c>
      <c r="K3804" t="s">
        <v>25</v>
      </c>
      <c r="L3804" t="s">
        <v>15</v>
      </c>
    </row>
    <row r="3805" spans="1:12" x14ac:dyDescent="0.3">
      <c r="A3805">
        <v>365</v>
      </c>
      <c r="B3805" t="s">
        <v>13</v>
      </c>
      <c r="C3805">
        <v>44</v>
      </c>
      <c r="D3805" t="s">
        <v>16</v>
      </c>
      <c r="E3805" t="s">
        <v>15</v>
      </c>
      <c r="F3805" t="s">
        <v>16</v>
      </c>
      <c r="G3805" t="s">
        <v>17</v>
      </c>
      <c r="H3805" t="s">
        <v>23</v>
      </c>
      <c r="I3805">
        <v>69.48</v>
      </c>
      <c r="J3805">
        <v>41.3</v>
      </c>
      <c r="K3805" t="s">
        <v>25</v>
      </c>
      <c r="L3805" t="s">
        <v>15</v>
      </c>
    </row>
    <row r="3806" spans="1:12" x14ac:dyDescent="0.3">
      <c r="A3806">
        <v>37631</v>
      </c>
      <c r="B3806" t="s">
        <v>12</v>
      </c>
      <c r="C3806">
        <v>50</v>
      </c>
      <c r="D3806" t="s">
        <v>15</v>
      </c>
      <c r="E3806" t="s">
        <v>15</v>
      </c>
      <c r="F3806" t="s">
        <v>16</v>
      </c>
      <c r="G3806" t="s">
        <v>19</v>
      </c>
      <c r="H3806" t="s">
        <v>22</v>
      </c>
      <c r="I3806">
        <v>89.18</v>
      </c>
      <c r="J3806">
        <v>34.799999999999997</v>
      </c>
      <c r="K3806" t="s">
        <v>26</v>
      </c>
      <c r="L3806" t="s">
        <v>15</v>
      </c>
    </row>
    <row r="3807" spans="1:12" x14ac:dyDescent="0.3">
      <c r="A3807">
        <v>5500</v>
      </c>
      <c r="B3807" t="s">
        <v>13</v>
      </c>
      <c r="C3807">
        <v>50</v>
      </c>
      <c r="D3807" t="s">
        <v>15</v>
      </c>
      <c r="E3807" t="s">
        <v>16</v>
      </c>
      <c r="F3807" t="s">
        <v>16</v>
      </c>
      <c r="G3807" t="s">
        <v>19</v>
      </c>
      <c r="H3807" t="s">
        <v>22</v>
      </c>
      <c r="I3807">
        <v>68.09</v>
      </c>
      <c r="J3807">
        <v>35.5</v>
      </c>
      <c r="K3807" t="s">
        <v>26</v>
      </c>
      <c r="L3807" t="s">
        <v>15</v>
      </c>
    </row>
    <row r="3808" spans="1:12" x14ac:dyDescent="0.3">
      <c r="A3808">
        <v>53217</v>
      </c>
      <c r="B3808" t="s">
        <v>13</v>
      </c>
      <c r="C3808">
        <v>18</v>
      </c>
      <c r="D3808" t="s">
        <v>15</v>
      </c>
      <c r="E3808" t="s">
        <v>15</v>
      </c>
      <c r="F3808" t="s">
        <v>15</v>
      </c>
      <c r="G3808" t="s">
        <v>17</v>
      </c>
      <c r="H3808" t="s">
        <v>23</v>
      </c>
      <c r="I3808">
        <v>92.71</v>
      </c>
      <c r="J3808">
        <v>24.1</v>
      </c>
      <c r="K3808" t="s">
        <v>27</v>
      </c>
      <c r="L3808" t="s">
        <v>15</v>
      </c>
    </row>
    <row r="3809" spans="1:12" x14ac:dyDescent="0.3">
      <c r="A3809">
        <v>56712</v>
      </c>
      <c r="B3809" t="s">
        <v>12</v>
      </c>
      <c r="C3809">
        <v>1.64</v>
      </c>
      <c r="D3809" t="s">
        <v>15</v>
      </c>
      <c r="E3809" t="s">
        <v>15</v>
      </c>
      <c r="F3809" t="s">
        <v>15</v>
      </c>
      <c r="G3809" t="s">
        <v>20</v>
      </c>
      <c r="H3809" t="s">
        <v>23</v>
      </c>
      <c r="I3809">
        <v>56.21</v>
      </c>
      <c r="J3809">
        <v>19</v>
      </c>
      <c r="K3809" t="s">
        <v>27</v>
      </c>
      <c r="L3809" t="s">
        <v>15</v>
      </c>
    </row>
    <row r="3810" spans="1:12" x14ac:dyDescent="0.3">
      <c r="A3810">
        <v>10055</v>
      </c>
      <c r="B3810" t="s">
        <v>13</v>
      </c>
      <c r="C3810">
        <v>37</v>
      </c>
      <c r="D3810" t="s">
        <v>15</v>
      </c>
      <c r="E3810" t="s">
        <v>15</v>
      </c>
      <c r="F3810" t="s">
        <v>15</v>
      </c>
      <c r="G3810" t="s">
        <v>19</v>
      </c>
      <c r="H3810" t="s">
        <v>23</v>
      </c>
      <c r="I3810">
        <v>72.08</v>
      </c>
      <c r="K3810" t="s">
        <v>24</v>
      </c>
      <c r="L3810" t="s">
        <v>15</v>
      </c>
    </row>
    <row r="3811" spans="1:12" x14ac:dyDescent="0.3">
      <c r="A3811">
        <v>4959</v>
      </c>
      <c r="B3811" t="s">
        <v>13</v>
      </c>
      <c r="C3811">
        <v>5</v>
      </c>
      <c r="D3811" t="s">
        <v>15</v>
      </c>
      <c r="E3811" t="s">
        <v>15</v>
      </c>
      <c r="F3811" t="s">
        <v>15</v>
      </c>
      <c r="G3811" t="s">
        <v>20</v>
      </c>
      <c r="H3811" t="s">
        <v>22</v>
      </c>
      <c r="I3811">
        <v>82.56</v>
      </c>
      <c r="J3811">
        <v>16.600000000000001</v>
      </c>
      <c r="K3811" t="s">
        <v>27</v>
      </c>
      <c r="L3811" t="s">
        <v>15</v>
      </c>
    </row>
    <row r="3812" spans="1:12" x14ac:dyDescent="0.3">
      <c r="A3812">
        <v>22155</v>
      </c>
      <c r="B3812" t="s">
        <v>13</v>
      </c>
      <c r="C3812">
        <v>39</v>
      </c>
      <c r="D3812" t="s">
        <v>15</v>
      </c>
      <c r="E3812" t="s">
        <v>15</v>
      </c>
      <c r="F3812" t="s">
        <v>16</v>
      </c>
      <c r="G3812" t="s">
        <v>17</v>
      </c>
      <c r="H3812" t="s">
        <v>22</v>
      </c>
      <c r="I3812">
        <v>78.239999999999995</v>
      </c>
      <c r="J3812">
        <v>28.6</v>
      </c>
      <c r="K3812" t="s">
        <v>27</v>
      </c>
      <c r="L3812" t="s">
        <v>15</v>
      </c>
    </row>
    <row r="3813" spans="1:12" x14ac:dyDescent="0.3">
      <c r="A3813">
        <v>22860</v>
      </c>
      <c r="B3813" t="s">
        <v>13</v>
      </c>
      <c r="C3813">
        <v>65</v>
      </c>
      <c r="D3813" t="s">
        <v>15</v>
      </c>
      <c r="E3813" t="s">
        <v>15</v>
      </c>
      <c r="F3813" t="s">
        <v>16</v>
      </c>
      <c r="G3813" t="s">
        <v>19</v>
      </c>
      <c r="H3813" t="s">
        <v>23</v>
      </c>
      <c r="I3813">
        <v>84.66</v>
      </c>
      <c r="J3813">
        <v>22.4</v>
      </c>
      <c r="K3813" t="s">
        <v>25</v>
      </c>
      <c r="L3813" t="s">
        <v>15</v>
      </c>
    </row>
    <row r="3814" spans="1:12" x14ac:dyDescent="0.3">
      <c r="A3814">
        <v>6960</v>
      </c>
      <c r="B3814" t="s">
        <v>13</v>
      </c>
      <c r="C3814">
        <v>26</v>
      </c>
      <c r="D3814" t="s">
        <v>15</v>
      </c>
      <c r="E3814" t="s">
        <v>15</v>
      </c>
      <c r="F3814" t="s">
        <v>15</v>
      </c>
      <c r="G3814" t="s">
        <v>19</v>
      </c>
      <c r="H3814" t="s">
        <v>22</v>
      </c>
      <c r="I3814">
        <v>90.35</v>
      </c>
      <c r="J3814">
        <v>38.6</v>
      </c>
      <c r="K3814" t="s">
        <v>27</v>
      </c>
      <c r="L3814" t="s">
        <v>15</v>
      </c>
    </row>
    <row r="3815" spans="1:12" x14ac:dyDescent="0.3">
      <c r="A3815">
        <v>57209</v>
      </c>
      <c r="B3815" t="s">
        <v>12</v>
      </c>
      <c r="C3815">
        <v>42</v>
      </c>
      <c r="D3815" t="s">
        <v>15</v>
      </c>
      <c r="E3815" t="s">
        <v>15</v>
      </c>
      <c r="F3815" t="s">
        <v>16</v>
      </c>
      <c r="G3815" t="s">
        <v>19</v>
      </c>
      <c r="H3815" t="s">
        <v>23</v>
      </c>
      <c r="I3815">
        <v>68.12</v>
      </c>
      <c r="J3815">
        <v>32</v>
      </c>
      <c r="K3815" t="s">
        <v>27</v>
      </c>
      <c r="L3815" t="s">
        <v>15</v>
      </c>
    </row>
    <row r="3816" spans="1:12" x14ac:dyDescent="0.3">
      <c r="A3816">
        <v>66581</v>
      </c>
      <c r="B3816" t="s">
        <v>13</v>
      </c>
      <c r="C3816">
        <v>34</v>
      </c>
      <c r="D3816" t="s">
        <v>15</v>
      </c>
      <c r="E3816" t="s">
        <v>15</v>
      </c>
      <c r="F3816" t="s">
        <v>16</v>
      </c>
      <c r="G3816" t="s">
        <v>17</v>
      </c>
      <c r="H3816" t="s">
        <v>23</v>
      </c>
      <c r="I3816">
        <v>59.14</v>
      </c>
      <c r="J3816">
        <v>40.1</v>
      </c>
      <c r="K3816" t="s">
        <v>25</v>
      </c>
      <c r="L3816" t="s">
        <v>15</v>
      </c>
    </row>
    <row r="3817" spans="1:12" x14ac:dyDescent="0.3">
      <c r="A3817">
        <v>17347</v>
      </c>
      <c r="B3817" t="s">
        <v>13</v>
      </c>
      <c r="C3817">
        <v>45</v>
      </c>
      <c r="D3817" t="s">
        <v>15</v>
      </c>
      <c r="E3817" t="s">
        <v>15</v>
      </c>
      <c r="F3817" t="s">
        <v>16</v>
      </c>
      <c r="G3817" t="s">
        <v>19</v>
      </c>
      <c r="H3817" t="s">
        <v>22</v>
      </c>
      <c r="I3817">
        <v>85.64</v>
      </c>
      <c r="J3817">
        <v>32</v>
      </c>
      <c r="K3817" t="s">
        <v>24</v>
      </c>
      <c r="L3817" t="s">
        <v>15</v>
      </c>
    </row>
    <row r="3818" spans="1:12" x14ac:dyDescent="0.3">
      <c r="A3818">
        <v>58422</v>
      </c>
      <c r="B3818" t="s">
        <v>12</v>
      </c>
      <c r="C3818">
        <v>43</v>
      </c>
      <c r="D3818" t="s">
        <v>15</v>
      </c>
      <c r="E3818" t="s">
        <v>15</v>
      </c>
      <c r="F3818" t="s">
        <v>16</v>
      </c>
      <c r="G3818" t="s">
        <v>19</v>
      </c>
      <c r="H3818" t="s">
        <v>23</v>
      </c>
      <c r="I3818">
        <v>56.08</v>
      </c>
      <c r="J3818">
        <v>23.9</v>
      </c>
      <c r="K3818" t="s">
        <v>27</v>
      </c>
      <c r="L3818" t="s">
        <v>15</v>
      </c>
    </row>
    <row r="3819" spans="1:12" x14ac:dyDescent="0.3">
      <c r="A3819">
        <v>19043</v>
      </c>
      <c r="B3819" t="s">
        <v>13</v>
      </c>
      <c r="C3819">
        <v>40</v>
      </c>
      <c r="D3819" t="s">
        <v>15</v>
      </c>
      <c r="E3819" t="s">
        <v>15</v>
      </c>
      <c r="F3819" t="s">
        <v>15</v>
      </c>
      <c r="G3819" t="s">
        <v>17</v>
      </c>
      <c r="H3819" t="s">
        <v>23</v>
      </c>
      <c r="I3819">
        <v>99</v>
      </c>
      <c r="J3819">
        <v>25</v>
      </c>
      <c r="K3819" t="s">
        <v>25</v>
      </c>
      <c r="L3819" t="s">
        <v>15</v>
      </c>
    </row>
    <row r="3820" spans="1:12" x14ac:dyDescent="0.3">
      <c r="A3820">
        <v>52897</v>
      </c>
      <c r="B3820" t="s">
        <v>12</v>
      </c>
      <c r="C3820">
        <v>35</v>
      </c>
      <c r="D3820" t="s">
        <v>15</v>
      </c>
      <c r="E3820" t="s">
        <v>15</v>
      </c>
      <c r="F3820" t="s">
        <v>15</v>
      </c>
      <c r="G3820" t="s">
        <v>17</v>
      </c>
      <c r="H3820" t="s">
        <v>22</v>
      </c>
      <c r="I3820">
        <v>93.6</v>
      </c>
      <c r="J3820">
        <v>28.5</v>
      </c>
      <c r="K3820" t="s">
        <v>26</v>
      </c>
      <c r="L3820" t="s">
        <v>15</v>
      </c>
    </row>
    <row r="3821" spans="1:12" x14ac:dyDescent="0.3">
      <c r="A3821">
        <v>16329</v>
      </c>
      <c r="B3821" t="s">
        <v>13</v>
      </c>
      <c r="C3821">
        <v>2</v>
      </c>
      <c r="D3821" t="s">
        <v>15</v>
      </c>
      <c r="E3821" t="s">
        <v>15</v>
      </c>
      <c r="F3821" t="s">
        <v>15</v>
      </c>
      <c r="G3821" t="s">
        <v>20</v>
      </c>
      <c r="H3821" t="s">
        <v>22</v>
      </c>
      <c r="I3821">
        <v>105.75</v>
      </c>
      <c r="J3821">
        <v>19.8</v>
      </c>
      <c r="K3821" t="s">
        <v>27</v>
      </c>
      <c r="L3821" t="s">
        <v>15</v>
      </c>
    </row>
    <row r="3822" spans="1:12" x14ac:dyDescent="0.3">
      <c r="A3822">
        <v>40353</v>
      </c>
      <c r="B3822" t="s">
        <v>13</v>
      </c>
      <c r="C3822">
        <v>61</v>
      </c>
      <c r="D3822" t="s">
        <v>15</v>
      </c>
      <c r="E3822" t="s">
        <v>15</v>
      </c>
      <c r="F3822" t="s">
        <v>16</v>
      </c>
      <c r="G3822" t="s">
        <v>17</v>
      </c>
      <c r="H3822" t="s">
        <v>22</v>
      </c>
      <c r="I3822">
        <v>114.09</v>
      </c>
      <c r="J3822">
        <v>25.7</v>
      </c>
      <c r="K3822" t="s">
        <v>25</v>
      </c>
      <c r="L3822" t="s">
        <v>15</v>
      </c>
    </row>
    <row r="3823" spans="1:12" x14ac:dyDescent="0.3">
      <c r="A3823">
        <v>56778</v>
      </c>
      <c r="B3823" t="s">
        <v>12</v>
      </c>
      <c r="C3823">
        <v>64</v>
      </c>
      <c r="D3823" t="s">
        <v>16</v>
      </c>
      <c r="E3823" t="s">
        <v>15</v>
      </c>
      <c r="F3823" t="s">
        <v>16</v>
      </c>
      <c r="G3823" t="s">
        <v>17</v>
      </c>
      <c r="H3823" t="s">
        <v>22</v>
      </c>
      <c r="I3823">
        <v>57.42</v>
      </c>
      <c r="J3823">
        <v>28</v>
      </c>
      <c r="K3823" t="s">
        <v>26</v>
      </c>
      <c r="L3823" t="s">
        <v>15</v>
      </c>
    </row>
    <row r="3824" spans="1:12" x14ac:dyDescent="0.3">
      <c r="A3824">
        <v>41153</v>
      </c>
      <c r="B3824" t="s">
        <v>13</v>
      </c>
      <c r="C3824">
        <v>32</v>
      </c>
      <c r="D3824" t="s">
        <v>15</v>
      </c>
      <c r="E3824" t="s">
        <v>15</v>
      </c>
      <c r="F3824" t="s">
        <v>16</v>
      </c>
      <c r="G3824" t="s">
        <v>17</v>
      </c>
      <c r="H3824" t="s">
        <v>22</v>
      </c>
      <c r="I3824">
        <v>100.01</v>
      </c>
      <c r="J3824">
        <v>37.200000000000003</v>
      </c>
      <c r="K3824" t="s">
        <v>25</v>
      </c>
      <c r="L3824" t="s">
        <v>15</v>
      </c>
    </row>
    <row r="3825" spans="1:12" x14ac:dyDescent="0.3">
      <c r="A3825">
        <v>63725</v>
      </c>
      <c r="B3825" t="s">
        <v>12</v>
      </c>
      <c r="C3825">
        <v>23</v>
      </c>
      <c r="D3825" t="s">
        <v>15</v>
      </c>
      <c r="E3825" t="s">
        <v>15</v>
      </c>
      <c r="F3825" t="s">
        <v>15</v>
      </c>
      <c r="G3825" t="s">
        <v>17</v>
      </c>
      <c r="H3825" t="s">
        <v>22</v>
      </c>
      <c r="I3825">
        <v>62</v>
      </c>
      <c r="J3825">
        <v>24.8</v>
      </c>
      <c r="K3825" t="s">
        <v>24</v>
      </c>
      <c r="L3825" t="s">
        <v>15</v>
      </c>
    </row>
    <row r="3826" spans="1:12" x14ac:dyDescent="0.3">
      <c r="A3826">
        <v>19675</v>
      </c>
      <c r="B3826" t="s">
        <v>13</v>
      </c>
      <c r="C3826">
        <v>51</v>
      </c>
      <c r="D3826" t="s">
        <v>15</v>
      </c>
      <c r="E3826" t="s">
        <v>15</v>
      </c>
      <c r="F3826" t="s">
        <v>16</v>
      </c>
      <c r="G3826" t="s">
        <v>18</v>
      </c>
      <c r="H3826" t="s">
        <v>23</v>
      </c>
      <c r="I3826">
        <v>103.61</v>
      </c>
      <c r="J3826">
        <v>39.200000000000003</v>
      </c>
      <c r="K3826" t="s">
        <v>25</v>
      </c>
      <c r="L3826" t="s">
        <v>15</v>
      </c>
    </row>
    <row r="3827" spans="1:12" x14ac:dyDescent="0.3">
      <c r="A3827">
        <v>72784</v>
      </c>
      <c r="B3827" t="s">
        <v>13</v>
      </c>
      <c r="C3827">
        <v>52</v>
      </c>
      <c r="D3827" t="s">
        <v>15</v>
      </c>
      <c r="E3827" t="s">
        <v>15</v>
      </c>
      <c r="F3827" t="s">
        <v>16</v>
      </c>
      <c r="G3827" t="s">
        <v>17</v>
      </c>
      <c r="H3827" t="s">
        <v>23</v>
      </c>
      <c r="I3827">
        <v>118.46</v>
      </c>
      <c r="J3827">
        <v>61.6</v>
      </c>
      <c r="K3827" t="s">
        <v>26</v>
      </c>
      <c r="L3827" t="s">
        <v>15</v>
      </c>
    </row>
    <row r="3828" spans="1:12" x14ac:dyDescent="0.3">
      <c r="A3828">
        <v>8541</v>
      </c>
      <c r="B3828" t="s">
        <v>13</v>
      </c>
      <c r="C3828">
        <v>75</v>
      </c>
      <c r="D3828" t="s">
        <v>15</v>
      </c>
      <c r="E3828" t="s">
        <v>15</v>
      </c>
      <c r="F3828" t="s">
        <v>16</v>
      </c>
      <c r="G3828" t="s">
        <v>19</v>
      </c>
      <c r="H3828" t="s">
        <v>23</v>
      </c>
      <c r="I3828">
        <v>94.77</v>
      </c>
      <c r="J3828">
        <v>27.2</v>
      </c>
      <c r="K3828" t="s">
        <v>25</v>
      </c>
      <c r="L3828" t="s">
        <v>15</v>
      </c>
    </row>
    <row r="3829" spans="1:12" x14ac:dyDescent="0.3">
      <c r="A3829">
        <v>45565</v>
      </c>
      <c r="B3829" t="s">
        <v>13</v>
      </c>
      <c r="C3829">
        <v>40</v>
      </c>
      <c r="D3829" t="s">
        <v>15</v>
      </c>
      <c r="E3829" t="s">
        <v>15</v>
      </c>
      <c r="F3829" t="s">
        <v>16</v>
      </c>
      <c r="G3829" t="s">
        <v>17</v>
      </c>
      <c r="H3829" t="s">
        <v>22</v>
      </c>
      <c r="I3829">
        <v>72.12</v>
      </c>
      <c r="J3829">
        <v>38</v>
      </c>
      <c r="K3829" t="s">
        <v>25</v>
      </c>
      <c r="L3829" t="s">
        <v>15</v>
      </c>
    </row>
    <row r="3830" spans="1:12" x14ac:dyDescent="0.3">
      <c r="A3830">
        <v>36431</v>
      </c>
      <c r="B3830" t="s">
        <v>12</v>
      </c>
      <c r="C3830">
        <v>39</v>
      </c>
      <c r="D3830" t="s">
        <v>15</v>
      </c>
      <c r="E3830" t="s">
        <v>15</v>
      </c>
      <c r="F3830" t="s">
        <v>16</v>
      </c>
      <c r="G3830" t="s">
        <v>19</v>
      </c>
      <c r="H3830" t="s">
        <v>23</v>
      </c>
      <c r="I3830">
        <v>155.22999999999999</v>
      </c>
      <c r="J3830">
        <v>36.200000000000003</v>
      </c>
      <c r="K3830" t="s">
        <v>25</v>
      </c>
      <c r="L3830" t="s">
        <v>15</v>
      </c>
    </row>
    <row r="3831" spans="1:12" x14ac:dyDescent="0.3">
      <c r="A3831">
        <v>6171</v>
      </c>
      <c r="B3831" t="s">
        <v>12</v>
      </c>
      <c r="C3831">
        <v>6</v>
      </c>
      <c r="D3831" t="s">
        <v>15</v>
      </c>
      <c r="E3831" t="s">
        <v>15</v>
      </c>
      <c r="F3831" t="s">
        <v>15</v>
      </c>
      <c r="G3831" t="s">
        <v>20</v>
      </c>
      <c r="H3831" t="s">
        <v>22</v>
      </c>
      <c r="I3831">
        <v>90.6</v>
      </c>
      <c r="J3831">
        <v>16.600000000000001</v>
      </c>
      <c r="K3831" t="s">
        <v>27</v>
      </c>
      <c r="L3831" t="s">
        <v>15</v>
      </c>
    </row>
    <row r="3832" spans="1:12" x14ac:dyDescent="0.3">
      <c r="A3832">
        <v>29419</v>
      </c>
      <c r="B3832" t="s">
        <v>13</v>
      </c>
      <c r="C3832">
        <v>32</v>
      </c>
      <c r="D3832" t="s">
        <v>15</v>
      </c>
      <c r="E3832" t="s">
        <v>15</v>
      </c>
      <c r="F3832" t="s">
        <v>16</v>
      </c>
      <c r="G3832" t="s">
        <v>17</v>
      </c>
      <c r="H3832" t="s">
        <v>22</v>
      </c>
      <c r="I3832">
        <v>81.92</v>
      </c>
      <c r="J3832">
        <v>38</v>
      </c>
      <c r="K3832" t="s">
        <v>25</v>
      </c>
      <c r="L3832" t="s">
        <v>15</v>
      </c>
    </row>
    <row r="3833" spans="1:12" x14ac:dyDescent="0.3">
      <c r="A3833">
        <v>65673</v>
      </c>
      <c r="B3833" t="s">
        <v>13</v>
      </c>
      <c r="C3833">
        <v>55</v>
      </c>
      <c r="D3833" t="s">
        <v>15</v>
      </c>
      <c r="E3833" t="s">
        <v>15</v>
      </c>
      <c r="F3833" t="s">
        <v>15</v>
      </c>
      <c r="G3833" t="s">
        <v>18</v>
      </c>
      <c r="H3833" t="s">
        <v>23</v>
      </c>
      <c r="I3833">
        <v>67.099999999999994</v>
      </c>
      <c r="J3833">
        <v>31.4</v>
      </c>
      <c r="K3833" t="s">
        <v>25</v>
      </c>
      <c r="L3833" t="s">
        <v>15</v>
      </c>
    </row>
    <row r="3834" spans="1:12" x14ac:dyDescent="0.3">
      <c r="A3834">
        <v>64662</v>
      </c>
      <c r="B3834" t="s">
        <v>13</v>
      </c>
      <c r="C3834">
        <v>23</v>
      </c>
      <c r="D3834" t="s">
        <v>15</v>
      </c>
      <c r="E3834" t="s">
        <v>15</v>
      </c>
      <c r="F3834" t="s">
        <v>15</v>
      </c>
      <c r="G3834" t="s">
        <v>17</v>
      </c>
      <c r="H3834" t="s">
        <v>23</v>
      </c>
      <c r="I3834">
        <v>58.01</v>
      </c>
      <c r="J3834">
        <v>35.299999999999997</v>
      </c>
      <c r="K3834" t="s">
        <v>25</v>
      </c>
      <c r="L3834" t="s">
        <v>15</v>
      </c>
    </row>
    <row r="3835" spans="1:12" x14ac:dyDescent="0.3">
      <c r="A3835">
        <v>51693</v>
      </c>
      <c r="B3835" t="s">
        <v>13</v>
      </c>
      <c r="C3835">
        <v>52</v>
      </c>
      <c r="D3835" t="s">
        <v>15</v>
      </c>
      <c r="E3835" t="s">
        <v>15</v>
      </c>
      <c r="F3835" t="s">
        <v>16</v>
      </c>
      <c r="G3835" t="s">
        <v>17</v>
      </c>
      <c r="H3835" t="s">
        <v>23</v>
      </c>
      <c r="I3835">
        <v>173.9</v>
      </c>
      <c r="J3835">
        <v>35.799999999999997</v>
      </c>
      <c r="K3835" t="s">
        <v>25</v>
      </c>
      <c r="L3835" t="s">
        <v>15</v>
      </c>
    </row>
    <row r="3836" spans="1:12" x14ac:dyDescent="0.3">
      <c r="A3836">
        <v>50495</v>
      </c>
      <c r="B3836" t="s">
        <v>12</v>
      </c>
      <c r="C3836">
        <v>58</v>
      </c>
      <c r="D3836" t="s">
        <v>16</v>
      </c>
      <c r="E3836" t="s">
        <v>15</v>
      </c>
      <c r="F3836" t="s">
        <v>16</v>
      </c>
      <c r="G3836" t="s">
        <v>17</v>
      </c>
      <c r="H3836" t="s">
        <v>23</v>
      </c>
      <c r="I3836">
        <v>106.27</v>
      </c>
      <c r="J3836">
        <v>28.6</v>
      </c>
      <c r="K3836" t="s">
        <v>25</v>
      </c>
      <c r="L3836" t="s">
        <v>15</v>
      </c>
    </row>
    <row r="3837" spans="1:12" x14ac:dyDescent="0.3">
      <c r="A3837">
        <v>37086</v>
      </c>
      <c r="B3837" t="s">
        <v>12</v>
      </c>
      <c r="C3837">
        <v>17</v>
      </c>
      <c r="D3837" t="s">
        <v>15</v>
      </c>
      <c r="E3837" t="s">
        <v>15</v>
      </c>
      <c r="F3837" t="s">
        <v>15</v>
      </c>
      <c r="G3837" t="s">
        <v>17</v>
      </c>
      <c r="H3837" t="s">
        <v>23</v>
      </c>
      <c r="I3837">
        <v>60.57</v>
      </c>
      <c r="J3837">
        <v>34</v>
      </c>
      <c r="K3837" t="s">
        <v>27</v>
      </c>
      <c r="L3837" t="s">
        <v>15</v>
      </c>
    </row>
    <row r="3838" spans="1:12" x14ac:dyDescent="0.3">
      <c r="A3838">
        <v>71396</v>
      </c>
      <c r="B3838" t="s">
        <v>12</v>
      </c>
      <c r="C3838">
        <v>3</v>
      </c>
      <c r="D3838" t="s">
        <v>15</v>
      </c>
      <c r="E3838" t="s">
        <v>15</v>
      </c>
      <c r="F3838" t="s">
        <v>15</v>
      </c>
      <c r="G3838" t="s">
        <v>20</v>
      </c>
      <c r="H3838" t="s">
        <v>22</v>
      </c>
      <c r="I3838">
        <v>105.34</v>
      </c>
      <c r="J3838">
        <v>15.5</v>
      </c>
      <c r="K3838" t="s">
        <v>27</v>
      </c>
      <c r="L3838" t="s">
        <v>15</v>
      </c>
    </row>
    <row r="3839" spans="1:12" x14ac:dyDescent="0.3">
      <c r="A3839">
        <v>27854</v>
      </c>
      <c r="B3839" t="s">
        <v>13</v>
      </c>
      <c r="C3839">
        <v>23</v>
      </c>
      <c r="D3839" t="s">
        <v>15</v>
      </c>
      <c r="E3839" t="s">
        <v>15</v>
      </c>
      <c r="F3839" t="s">
        <v>15</v>
      </c>
      <c r="G3839" t="s">
        <v>17</v>
      </c>
      <c r="H3839" t="s">
        <v>23</v>
      </c>
      <c r="I3839">
        <v>96.28</v>
      </c>
      <c r="J3839">
        <v>31.1</v>
      </c>
      <c r="K3839" t="s">
        <v>25</v>
      </c>
      <c r="L3839" t="s">
        <v>15</v>
      </c>
    </row>
    <row r="3840" spans="1:12" x14ac:dyDescent="0.3">
      <c r="A3840">
        <v>53759</v>
      </c>
      <c r="B3840" t="s">
        <v>12</v>
      </c>
      <c r="C3840">
        <v>56</v>
      </c>
      <c r="D3840" t="s">
        <v>15</v>
      </c>
      <c r="E3840" t="s">
        <v>15</v>
      </c>
      <c r="F3840" t="s">
        <v>16</v>
      </c>
      <c r="G3840" t="s">
        <v>18</v>
      </c>
      <c r="H3840" t="s">
        <v>22</v>
      </c>
      <c r="I3840">
        <v>122.73</v>
      </c>
      <c r="J3840">
        <v>37.5</v>
      </c>
      <c r="K3840" t="s">
        <v>24</v>
      </c>
      <c r="L3840" t="s">
        <v>15</v>
      </c>
    </row>
    <row r="3841" spans="1:12" x14ac:dyDescent="0.3">
      <c r="A3841">
        <v>14407</v>
      </c>
      <c r="B3841" t="s">
        <v>12</v>
      </c>
      <c r="C3841">
        <v>45</v>
      </c>
      <c r="D3841" t="s">
        <v>15</v>
      </c>
      <c r="E3841" t="s">
        <v>15</v>
      </c>
      <c r="F3841" t="s">
        <v>15</v>
      </c>
      <c r="G3841" t="s">
        <v>18</v>
      </c>
      <c r="H3841" t="s">
        <v>22</v>
      </c>
      <c r="I3841">
        <v>104.12</v>
      </c>
      <c r="J3841">
        <v>37.700000000000003</v>
      </c>
      <c r="K3841" t="s">
        <v>27</v>
      </c>
      <c r="L3841" t="s">
        <v>15</v>
      </c>
    </row>
    <row r="3842" spans="1:12" x14ac:dyDescent="0.3">
      <c r="A3842">
        <v>887</v>
      </c>
      <c r="B3842" t="s">
        <v>13</v>
      </c>
      <c r="C3842">
        <v>14</v>
      </c>
      <c r="D3842" t="s">
        <v>15</v>
      </c>
      <c r="E3842" t="s">
        <v>15</v>
      </c>
      <c r="F3842" t="s">
        <v>15</v>
      </c>
      <c r="G3842" t="s">
        <v>17</v>
      </c>
      <c r="H3842" t="s">
        <v>22</v>
      </c>
      <c r="I3842">
        <v>69.739999999999995</v>
      </c>
      <c r="J3842">
        <v>24.2</v>
      </c>
      <c r="K3842" t="s">
        <v>24</v>
      </c>
      <c r="L3842" t="s">
        <v>15</v>
      </c>
    </row>
    <row r="3843" spans="1:12" x14ac:dyDescent="0.3">
      <c r="A3843">
        <v>13328</v>
      </c>
      <c r="B3843" t="s">
        <v>13</v>
      </c>
      <c r="C3843">
        <v>45</v>
      </c>
      <c r="D3843" t="s">
        <v>15</v>
      </c>
      <c r="E3843" t="s">
        <v>15</v>
      </c>
      <c r="F3843" t="s">
        <v>16</v>
      </c>
      <c r="G3843" t="s">
        <v>17</v>
      </c>
      <c r="H3843" t="s">
        <v>23</v>
      </c>
      <c r="I3843">
        <v>106.95</v>
      </c>
      <c r="J3843">
        <v>33.4</v>
      </c>
      <c r="K3843" t="s">
        <v>27</v>
      </c>
      <c r="L3843" t="s">
        <v>15</v>
      </c>
    </row>
    <row r="3844" spans="1:12" x14ac:dyDescent="0.3">
      <c r="A3844">
        <v>62507</v>
      </c>
      <c r="B3844" t="s">
        <v>13</v>
      </c>
      <c r="C3844">
        <v>57</v>
      </c>
      <c r="D3844" t="s">
        <v>15</v>
      </c>
      <c r="E3844" t="s">
        <v>15</v>
      </c>
      <c r="F3844" t="s">
        <v>16</v>
      </c>
      <c r="G3844" t="s">
        <v>17</v>
      </c>
      <c r="H3844" t="s">
        <v>22</v>
      </c>
      <c r="I3844">
        <v>94.63</v>
      </c>
      <c r="J3844">
        <v>33</v>
      </c>
      <c r="K3844" t="s">
        <v>25</v>
      </c>
      <c r="L3844" t="s">
        <v>15</v>
      </c>
    </row>
    <row r="3845" spans="1:12" x14ac:dyDescent="0.3">
      <c r="A3845">
        <v>51797</v>
      </c>
      <c r="B3845" t="s">
        <v>13</v>
      </c>
      <c r="C3845">
        <v>35</v>
      </c>
      <c r="D3845" t="s">
        <v>15</v>
      </c>
      <c r="E3845" t="s">
        <v>15</v>
      </c>
      <c r="F3845" t="s">
        <v>16</v>
      </c>
      <c r="G3845" t="s">
        <v>17</v>
      </c>
      <c r="H3845" t="s">
        <v>22</v>
      </c>
      <c r="I3845">
        <v>86.97</v>
      </c>
      <c r="J3845">
        <v>25.7</v>
      </c>
      <c r="K3845" t="s">
        <v>27</v>
      </c>
      <c r="L3845" t="s">
        <v>15</v>
      </c>
    </row>
    <row r="3846" spans="1:12" x14ac:dyDescent="0.3">
      <c r="A3846">
        <v>61536</v>
      </c>
      <c r="B3846" t="s">
        <v>13</v>
      </c>
      <c r="C3846">
        <v>8</v>
      </c>
      <c r="D3846" t="s">
        <v>15</v>
      </c>
      <c r="E3846" t="s">
        <v>15</v>
      </c>
      <c r="F3846" t="s">
        <v>15</v>
      </c>
      <c r="G3846" t="s">
        <v>20</v>
      </c>
      <c r="H3846" t="s">
        <v>23</v>
      </c>
      <c r="I3846">
        <v>76.12</v>
      </c>
      <c r="J3846">
        <v>19.399999999999999</v>
      </c>
      <c r="K3846" t="s">
        <v>27</v>
      </c>
      <c r="L3846" t="s">
        <v>15</v>
      </c>
    </row>
    <row r="3847" spans="1:12" x14ac:dyDescent="0.3">
      <c r="A3847">
        <v>71221</v>
      </c>
      <c r="B3847" t="s">
        <v>13</v>
      </c>
      <c r="C3847">
        <v>42</v>
      </c>
      <c r="D3847" t="s">
        <v>15</v>
      </c>
      <c r="E3847" t="s">
        <v>15</v>
      </c>
      <c r="F3847" t="s">
        <v>16</v>
      </c>
      <c r="G3847" t="s">
        <v>19</v>
      </c>
      <c r="H3847" t="s">
        <v>22</v>
      </c>
      <c r="I3847">
        <v>99.94</v>
      </c>
      <c r="J3847">
        <v>33.4</v>
      </c>
      <c r="K3847" t="s">
        <v>25</v>
      </c>
      <c r="L3847" t="s">
        <v>15</v>
      </c>
    </row>
    <row r="3848" spans="1:12" x14ac:dyDescent="0.3">
      <c r="A3848">
        <v>6948</v>
      </c>
      <c r="B3848" t="s">
        <v>12</v>
      </c>
      <c r="C3848">
        <v>8</v>
      </c>
      <c r="D3848" t="s">
        <v>15</v>
      </c>
      <c r="E3848" t="s">
        <v>15</v>
      </c>
      <c r="F3848" t="s">
        <v>15</v>
      </c>
      <c r="G3848" t="s">
        <v>20</v>
      </c>
      <c r="H3848" t="s">
        <v>22</v>
      </c>
      <c r="I3848">
        <v>91.53</v>
      </c>
      <c r="J3848">
        <v>18</v>
      </c>
      <c r="K3848" t="s">
        <v>27</v>
      </c>
      <c r="L3848" t="s">
        <v>15</v>
      </c>
    </row>
    <row r="3849" spans="1:12" x14ac:dyDescent="0.3">
      <c r="A3849">
        <v>66083</v>
      </c>
      <c r="B3849" t="s">
        <v>12</v>
      </c>
      <c r="C3849">
        <v>62</v>
      </c>
      <c r="D3849" t="s">
        <v>15</v>
      </c>
      <c r="E3849" t="s">
        <v>15</v>
      </c>
      <c r="F3849" t="s">
        <v>16</v>
      </c>
      <c r="G3849" t="s">
        <v>17</v>
      </c>
      <c r="H3849" t="s">
        <v>23</v>
      </c>
      <c r="I3849">
        <v>145.46</v>
      </c>
      <c r="J3849">
        <v>40.1</v>
      </c>
      <c r="K3849" t="s">
        <v>25</v>
      </c>
      <c r="L3849" t="s">
        <v>15</v>
      </c>
    </row>
    <row r="3850" spans="1:12" x14ac:dyDescent="0.3">
      <c r="A3850">
        <v>21238</v>
      </c>
      <c r="B3850" t="s">
        <v>13</v>
      </c>
      <c r="C3850">
        <v>43</v>
      </c>
      <c r="D3850" t="s">
        <v>15</v>
      </c>
      <c r="E3850" t="s">
        <v>15</v>
      </c>
      <c r="F3850" t="s">
        <v>16</v>
      </c>
      <c r="G3850" t="s">
        <v>17</v>
      </c>
      <c r="H3850" t="s">
        <v>22</v>
      </c>
      <c r="I3850">
        <v>74.86</v>
      </c>
      <c r="J3850">
        <v>26.9</v>
      </c>
      <c r="K3850" t="s">
        <v>25</v>
      </c>
      <c r="L3850" t="s">
        <v>15</v>
      </c>
    </row>
    <row r="3851" spans="1:12" x14ac:dyDescent="0.3">
      <c r="A3851">
        <v>70992</v>
      </c>
      <c r="B3851" t="s">
        <v>13</v>
      </c>
      <c r="C3851">
        <v>8</v>
      </c>
      <c r="D3851" t="s">
        <v>15</v>
      </c>
      <c r="E3851" t="s">
        <v>15</v>
      </c>
      <c r="F3851" t="s">
        <v>15</v>
      </c>
      <c r="G3851" t="s">
        <v>20</v>
      </c>
      <c r="H3851" t="s">
        <v>22</v>
      </c>
      <c r="I3851">
        <v>74.42</v>
      </c>
      <c r="J3851">
        <v>22.5</v>
      </c>
      <c r="K3851" t="s">
        <v>27</v>
      </c>
      <c r="L3851" t="s">
        <v>15</v>
      </c>
    </row>
    <row r="3852" spans="1:12" x14ac:dyDescent="0.3">
      <c r="A3852">
        <v>20376</v>
      </c>
      <c r="B3852" t="s">
        <v>12</v>
      </c>
      <c r="C3852">
        <v>40</v>
      </c>
      <c r="D3852" t="s">
        <v>15</v>
      </c>
      <c r="E3852" t="s">
        <v>15</v>
      </c>
      <c r="F3852" t="s">
        <v>16</v>
      </c>
      <c r="G3852" t="s">
        <v>18</v>
      </c>
      <c r="H3852" t="s">
        <v>22</v>
      </c>
      <c r="I3852">
        <v>70.069999999999993</v>
      </c>
      <c r="J3852">
        <v>27.6</v>
      </c>
      <c r="K3852" t="s">
        <v>26</v>
      </c>
      <c r="L3852" t="s">
        <v>15</v>
      </c>
    </row>
    <row r="3853" spans="1:12" x14ac:dyDescent="0.3">
      <c r="A3853">
        <v>6613</v>
      </c>
      <c r="B3853" t="s">
        <v>12</v>
      </c>
      <c r="C3853">
        <v>2</v>
      </c>
      <c r="D3853" t="s">
        <v>15</v>
      </c>
      <c r="E3853" t="s">
        <v>15</v>
      </c>
      <c r="F3853" t="s">
        <v>15</v>
      </c>
      <c r="G3853" t="s">
        <v>20</v>
      </c>
      <c r="H3853" t="s">
        <v>22</v>
      </c>
      <c r="I3853">
        <v>89.85</v>
      </c>
      <c r="J3853">
        <v>23.3</v>
      </c>
      <c r="K3853" t="s">
        <v>27</v>
      </c>
      <c r="L3853" t="s">
        <v>15</v>
      </c>
    </row>
    <row r="3854" spans="1:12" x14ac:dyDescent="0.3">
      <c r="A3854">
        <v>27818</v>
      </c>
      <c r="B3854" t="s">
        <v>13</v>
      </c>
      <c r="C3854">
        <v>27</v>
      </c>
      <c r="D3854" t="s">
        <v>15</v>
      </c>
      <c r="E3854" t="s">
        <v>15</v>
      </c>
      <c r="F3854" t="s">
        <v>15</v>
      </c>
      <c r="G3854" t="s">
        <v>17</v>
      </c>
      <c r="H3854" t="s">
        <v>23</v>
      </c>
      <c r="I3854">
        <v>104.21</v>
      </c>
      <c r="J3854">
        <v>35.700000000000003</v>
      </c>
      <c r="K3854" t="s">
        <v>25</v>
      </c>
      <c r="L3854" t="s">
        <v>15</v>
      </c>
    </row>
    <row r="3855" spans="1:12" x14ac:dyDescent="0.3">
      <c r="A3855">
        <v>3062</v>
      </c>
      <c r="B3855" t="s">
        <v>13</v>
      </c>
      <c r="C3855">
        <v>47</v>
      </c>
      <c r="D3855" t="s">
        <v>15</v>
      </c>
      <c r="E3855" t="s">
        <v>15</v>
      </c>
      <c r="F3855" t="s">
        <v>16</v>
      </c>
      <c r="G3855" t="s">
        <v>18</v>
      </c>
      <c r="H3855" t="s">
        <v>23</v>
      </c>
      <c r="I3855">
        <v>157.77000000000001</v>
      </c>
      <c r="J3855">
        <v>28.4</v>
      </c>
      <c r="K3855" t="s">
        <v>25</v>
      </c>
      <c r="L3855" t="s">
        <v>15</v>
      </c>
    </row>
    <row r="3856" spans="1:12" x14ac:dyDescent="0.3">
      <c r="A3856">
        <v>11692</v>
      </c>
      <c r="B3856" t="s">
        <v>13</v>
      </c>
      <c r="C3856">
        <v>53</v>
      </c>
      <c r="D3856" t="s">
        <v>15</v>
      </c>
      <c r="E3856" t="s">
        <v>15</v>
      </c>
      <c r="F3856" t="s">
        <v>15</v>
      </c>
      <c r="G3856" t="s">
        <v>19</v>
      </c>
      <c r="H3856" t="s">
        <v>22</v>
      </c>
      <c r="I3856">
        <v>101.81</v>
      </c>
      <c r="J3856">
        <v>29.4</v>
      </c>
      <c r="K3856" t="s">
        <v>26</v>
      </c>
      <c r="L3856" t="s">
        <v>15</v>
      </c>
    </row>
    <row r="3857" spans="1:12" x14ac:dyDescent="0.3">
      <c r="A3857">
        <v>25070</v>
      </c>
      <c r="B3857" t="s">
        <v>12</v>
      </c>
      <c r="C3857">
        <v>62</v>
      </c>
      <c r="D3857" t="s">
        <v>15</v>
      </c>
      <c r="E3857" t="s">
        <v>15</v>
      </c>
      <c r="F3857" t="s">
        <v>16</v>
      </c>
      <c r="G3857" t="s">
        <v>19</v>
      </c>
      <c r="H3857" t="s">
        <v>23</v>
      </c>
      <c r="I3857">
        <v>103</v>
      </c>
      <c r="J3857">
        <v>31.9</v>
      </c>
      <c r="K3857" t="s">
        <v>27</v>
      </c>
      <c r="L3857" t="s">
        <v>15</v>
      </c>
    </row>
    <row r="3858" spans="1:12" x14ac:dyDescent="0.3">
      <c r="A3858">
        <v>39556</v>
      </c>
      <c r="B3858" t="s">
        <v>12</v>
      </c>
      <c r="C3858">
        <v>50</v>
      </c>
      <c r="D3858" t="s">
        <v>15</v>
      </c>
      <c r="E3858" t="s">
        <v>15</v>
      </c>
      <c r="F3858" t="s">
        <v>16</v>
      </c>
      <c r="G3858" t="s">
        <v>18</v>
      </c>
      <c r="H3858" t="s">
        <v>22</v>
      </c>
      <c r="I3858">
        <v>101.85</v>
      </c>
      <c r="J3858">
        <v>25.1</v>
      </c>
      <c r="K3858" t="s">
        <v>26</v>
      </c>
      <c r="L3858" t="s">
        <v>15</v>
      </c>
    </row>
    <row r="3859" spans="1:12" x14ac:dyDescent="0.3">
      <c r="A3859">
        <v>18437</v>
      </c>
      <c r="B3859" t="s">
        <v>12</v>
      </c>
      <c r="C3859">
        <v>26</v>
      </c>
      <c r="D3859" t="s">
        <v>15</v>
      </c>
      <c r="E3859" t="s">
        <v>15</v>
      </c>
      <c r="F3859" t="s">
        <v>15</v>
      </c>
      <c r="G3859" t="s">
        <v>17</v>
      </c>
      <c r="H3859" t="s">
        <v>22</v>
      </c>
      <c r="I3859">
        <v>85.92</v>
      </c>
      <c r="J3859">
        <v>35.6</v>
      </c>
      <c r="K3859" t="s">
        <v>26</v>
      </c>
      <c r="L3859" t="s">
        <v>15</v>
      </c>
    </row>
    <row r="3860" spans="1:12" x14ac:dyDescent="0.3">
      <c r="A3860">
        <v>59540</v>
      </c>
      <c r="B3860" t="s">
        <v>13</v>
      </c>
      <c r="C3860">
        <v>19</v>
      </c>
      <c r="D3860" t="s">
        <v>15</v>
      </c>
      <c r="E3860" t="s">
        <v>15</v>
      </c>
      <c r="F3860" t="s">
        <v>15</v>
      </c>
      <c r="G3860" t="s">
        <v>17</v>
      </c>
      <c r="H3860" t="s">
        <v>23</v>
      </c>
      <c r="I3860">
        <v>56.85</v>
      </c>
      <c r="J3860">
        <v>21.1</v>
      </c>
      <c r="K3860" t="s">
        <v>25</v>
      </c>
      <c r="L3860" t="s">
        <v>15</v>
      </c>
    </row>
    <row r="3861" spans="1:12" x14ac:dyDescent="0.3">
      <c r="A3861">
        <v>13857</v>
      </c>
      <c r="B3861" t="s">
        <v>12</v>
      </c>
      <c r="C3861">
        <v>0.32</v>
      </c>
      <c r="D3861" t="s">
        <v>15</v>
      </c>
      <c r="E3861" t="s">
        <v>15</v>
      </c>
      <c r="F3861" t="s">
        <v>15</v>
      </c>
      <c r="G3861" t="s">
        <v>20</v>
      </c>
      <c r="H3861" t="s">
        <v>22</v>
      </c>
      <c r="I3861">
        <v>89.04</v>
      </c>
      <c r="J3861">
        <v>17.8</v>
      </c>
      <c r="K3861" t="s">
        <v>27</v>
      </c>
      <c r="L3861" t="s">
        <v>15</v>
      </c>
    </row>
    <row r="3862" spans="1:12" x14ac:dyDescent="0.3">
      <c r="A3862">
        <v>57924</v>
      </c>
      <c r="B3862" t="s">
        <v>13</v>
      </c>
      <c r="C3862">
        <v>45</v>
      </c>
      <c r="D3862" t="s">
        <v>15</v>
      </c>
      <c r="E3862" t="s">
        <v>15</v>
      </c>
      <c r="F3862" t="s">
        <v>16</v>
      </c>
      <c r="G3862" t="s">
        <v>19</v>
      </c>
      <c r="H3862" t="s">
        <v>23</v>
      </c>
      <c r="I3862">
        <v>63.01</v>
      </c>
      <c r="J3862">
        <v>31.5</v>
      </c>
      <c r="K3862" t="s">
        <v>25</v>
      </c>
      <c r="L3862" t="s">
        <v>15</v>
      </c>
    </row>
    <row r="3863" spans="1:12" x14ac:dyDescent="0.3">
      <c r="A3863">
        <v>38069</v>
      </c>
      <c r="B3863" t="s">
        <v>12</v>
      </c>
      <c r="C3863">
        <v>45</v>
      </c>
      <c r="D3863" t="s">
        <v>15</v>
      </c>
      <c r="E3863" t="s">
        <v>15</v>
      </c>
      <c r="F3863" t="s">
        <v>16</v>
      </c>
      <c r="G3863" t="s">
        <v>17</v>
      </c>
      <c r="H3863" t="s">
        <v>23</v>
      </c>
      <c r="I3863">
        <v>65.48</v>
      </c>
      <c r="J3863">
        <v>26.6</v>
      </c>
      <c r="K3863" t="s">
        <v>27</v>
      </c>
      <c r="L3863" t="s">
        <v>15</v>
      </c>
    </row>
    <row r="3864" spans="1:12" x14ac:dyDescent="0.3">
      <c r="A3864">
        <v>48871</v>
      </c>
      <c r="B3864" t="s">
        <v>13</v>
      </c>
      <c r="C3864">
        <v>54</v>
      </c>
      <c r="D3864" t="s">
        <v>15</v>
      </c>
      <c r="E3864" t="s">
        <v>15</v>
      </c>
      <c r="F3864" t="s">
        <v>16</v>
      </c>
      <c r="G3864" t="s">
        <v>17</v>
      </c>
      <c r="H3864" t="s">
        <v>23</v>
      </c>
      <c r="I3864">
        <v>68.599999999999994</v>
      </c>
      <c r="J3864">
        <v>44.8</v>
      </c>
      <c r="K3864" t="s">
        <v>26</v>
      </c>
      <c r="L3864" t="s">
        <v>15</v>
      </c>
    </row>
    <row r="3865" spans="1:12" x14ac:dyDescent="0.3">
      <c r="A3865">
        <v>63420</v>
      </c>
      <c r="B3865" t="s">
        <v>12</v>
      </c>
      <c r="C3865">
        <v>64</v>
      </c>
      <c r="D3865" t="s">
        <v>16</v>
      </c>
      <c r="E3865" t="s">
        <v>15</v>
      </c>
      <c r="F3865" t="s">
        <v>16</v>
      </c>
      <c r="G3865" t="s">
        <v>17</v>
      </c>
      <c r="H3865" t="s">
        <v>22</v>
      </c>
      <c r="I3865">
        <v>81.680000000000007</v>
      </c>
      <c r="J3865">
        <v>31.3</v>
      </c>
      <c r="K3865" t="s">
        <v>24</v>
      </c>
      <c r="L3865" t="s">
        <v>15</v>
      </c>
    </row>
    <row r="3866" spans="1:12" x14ac:dyDescent="0.3">
      <c r="A3866">
        <v>67665</v>
      </c>
      <c r="B3866" t="s">
        <v>12</v>
      </c>
      <c r="C3866">
        <v>2</v>
      </c>
      <c r="D3866" t="s">
        <v>15</v>
      </c>
      <c r="E3866" t="s">
        <v>15</v>
      </c>
      <c r="F3866" t="s">
        <v>15</v>
      </c>
      <c r="G3866" t="s">
        <v>20</v>
      </c>
      <c r="H3866" t="s">
        <v>22</v>
      </c>
      <c r="I3866">
        <v>65.209999999999994</v>
      </c>
      <c r="J3866">
        <v>17.2</v>
      </c>
      <c r="K3866" t="s">
        <v>27</v>
      </c>
      <c r="L3866" t="s">
        <v>15</v>
      </c>
    </row>
    <row r="3867" spans="1:12" x14ac:dyDescent="0.3">
      <c r="A3867">
        <v>50638</v>
      </c>
      <c r="B3867" t="s">
        <v>13</v>
      </c>
      <c r="C3867">
        <v>66</v>
      </c>
      <c r="D3867" t="s">
        <v>15</v>
      </c>
      <c r="E3867" t="s">
        <v>15</v>
      </c>
      <c r="F3867" t="s">
        <v>16</v>
      </c>
      <c r="G3867" t="s">
        <v>19</v>
      </c>
      <c r="H3867" t="s">
        <v>22</v>
      </c>
      <c r="I3867">
        <v>72.53</v>
      </c>
      <c r="J3867">
        <v>25.3</v>
      </c>
      <c r="K3867" t="s">
        <v>26</v>
      </c>
      <c r="L3867" t="s">
        <v>15</v>
      </c>
    </row>
    <row r="3868" spans="1:12" x14ac:dyDescent="0.3">
      <c r="A3868">
        <v>43892</v>
      </c>
      <c r="B3868" t="s">
        <v>13</v>
      </c>
      <c r="C3868">
        <v>73</v>
      </c>
      <c r="D3868" t="s">
        <v>15</v>
      </c>
      <c r="E3868" t="s">
        <v>15</v>
      </c>
      <c r="F3868" t="s">
        <v>16</v>
      </c>
      <c r="G3868" t="s">
        <v>17</v>
      </c>
      <c r="H3868" t="s">
        <v>23</v>
      </c>
      <c r="I3868">
        <v>81.78</v>
      </c>
      <c r="J3868">
        <v>28.8</v>
      </c>
      <c r="K3868" t="s">
        <v>25</v>
      </c>
      <c r="L3868" t="s">
        <v>15</v>
      </c>
    </row>
    <row r="3869" spans="1:12" x14ac:dyDescent="0.3">
      <c r="A3869">
        <v>9335</v>
      </c>
      <c r="B3869" t="s">
        <v>13</v>
      </c>
      <c r="C3869">
        <v>31</v>
      </c>
      <c r="D3869" t="s">
        <v>15</v>
      </c>
      <c r="E3869" t="s">
        <v>15</v>
      </c>
      <c r="F3869" t="s">
        <v>15</v>
      </c>
      <c r="G3869" t="s">
        <v>17</v>
      </c>
      <c r="H3869" t="s">
        <v>23</v>
      </c>
      <c r="I3869">
        <v>116.85</v>
      </c>
      <c r="J3869">
        <v>49.9</v>
      </c>
      <c r="K3869" t="s">
        <v>26</v>
      </c>
      <c r="L3869" t="s">
        <v>15</v>
      </c>
    </row>
    <row r="3870" spans="1:12" x14ac:dyDescent="0.3">
      <c r="A3870">
        <v>38830</v>
      </c>
      <c r="B3870" t="s">
        <v>13</v>
      </c>
      <c r="C3870">
        <v>1.88</v>
      </c>
      <c r="D3870" t="s">
        <v>15</v>
      </c>
      <c r="E3870" t="s">
        <v>15</v>
      </c>
      <c r="F3870" t="s">
        <v>15</v>
      </c>
      <c r="G3870" t="s">
        <v>20</v>
      </c>
      <c r="H3870" t="s">
        <v>23</v>
      </c>
      <c r="I3870">
        <v>80.83</v>
      </c>
      <c r="J3870">
        <v>18</v>
      </c>
      <c r="K3870" t="s">
        <v>27</v>
      </c>
      <c r="L3870" t="s">
        <v>15</v>
      </c>
    </row>
    <row r="3871" spans="1:12" x14ac:dyDescent="0.3">
      <c r="A3871">
        <v>14019</v>
      </c>
      <c r="B3871" t="s">
        <v>13</v>
      </c>
      <c r="C3871">
        <v>58</v>
      </c>
      <c r="D3871" t="s">
        <v>15</v>
      </c>
      <c r="E3871" t="s">
        <v>15</v>
      </c>
      <c r="F3871" t="s">
        <v>16</v>
      </c>
      <c r="G3871" t="s">
        <v>17</v>
      </c>
      <c r="H3871" t="s">
        <v>22</v>
      </c>
      <c r="I3871">
        <v>96.21</v>
      </c>
      <c r="J3871">
        <v>23.5</v>
      </c>
      <c r="K3871" t="s">
        <v>25</v>
      </c>
      <c r="L3871" t="s">
        <v>15</v>
      </c>
    </row>
    <row r="3872" spans="1:12" x14ac:dyDescent="0.3">
      <c r="A3872">
        <v>65888</v>
      </c>
      <c r="B3872" t="s">
        <v>12</v>
      </c>
      <c r="C3872">
        <v>12</v>
      </c>
      <c r="D3872" t="s">
        <v>15</v>
      </c>
      <c r="E3872" t="s">
        <v>15</v>
      </c>
      <c r="F3872" t="s">
        <v>15</v>
      </c>
      <c r="G3872" t="s">
        <v>20</v>
      </c>
      <c r="H3872" t="s">
        <v>23</v>
      </c>
      <c r="I3872">
        <v>117.04</v>
      </c>
      <c r="J3872">
        <v>18.100000000000001</v>
      </c>
      <c r="K3872" t="s">
        <v>27</v>
      </c>
      <c r="L3872" t="s">
        <v>15</v>
      </c>
    </row>
    <row r="3873" spans="1:12" x14ac:dyDescent="0.3">
      <c r="A3873">
        <v>62986</v>
      </c>
      <c r="B3873" t="s">
        <v>13</v>
      </c>
      <c r="C3873">
        <v>60</v>
      </c>
      <c r="D3873" t="s">
        <v>16</v>
      </c>
      <c r="E3873" t="s">
        <v>15</v>
      </c>
      <c r="F3873" t="s">
        <v>16</v>
      </c>
      <c r="G3873" t="s">
        <v>17</v>
      </c>
      <c r="H3873" t="s">
        <v>23</v>
      </c>
      <c r="I3873">
        <v>78.260000000000005</v>
      </c>
      <c r="J3873">
        <v>41.7</v>
      </c>
      <c r="K3873" t="s">
        <v>24</v>
      </c>
      <c r="L3873" t="s">
        <v>15</v>
      </c>
    </row>
    <row r="3874" spans="1:12" x14ac:dyDescent="0.3">
      <c r="A3874">
        <v>61409</v>
      </c>
      <c r="B3874" t="s">
        <v>12</v>
      </c>
      <c r="C3874">
        <v>32</v>
      </c>
      <c r="D3874" t="s">
        <v>16</v>
      </c>
      <c r="E3874" t="s">
        <v>15</v>
      </c>
      <c r="F3874" t="s">
        <v>15</v>
      </c>
      <c r="G3874" t="s">
        <v>19</v>
      </c>
      <c r="H3874" t="s">
        <v>22</v>
      </c>
      <c r="I3874">
        <v>58.24</v>
      </c>
      <c r="K3874" t="s">
        <v>24</v>
      </c>
      <c r="L3874" t="s">
        <v>15</v>
      </c>
    </row>
    <row r="3875" spans="1:12" x14ac:dyDescent="0.3">
      <c r="A3875">
        <v>72041</v>
      </c>
      <c r="B3875" t="s">
        <v>12</v>
      </c>
      <c r="C3875">
        <v>23</v>
      </c>
      <c r="D3875" t="s">
        <v>15</v>
      </c>
      <c r="E3875" t="s">
        <v>15</v>
      </c>
      <c r="F3875" t="s">
        <v>15</v>
      </c>
      <c r="G3875" t="s">
        <v>17</v>
      </c>
      <c r="H3875" t="s">
        <v>22</v>
      </c>
      <c r="I3875">
        <v>82.53</v>
      </c>
      <c r="J3875">
        <v>20.7</v>
      </c>
      <c r="K3875" t="s">
        <v>26</v>
      </c>
      <c r="L3875" t="s">
        <v>15</v>
      </c>
    </row>
    <row r="3876" spans="1:12" x14ac:dyDescent="0.3">
      <c r="A3876">
        <v>51584</v>
      </c>
      <c r="B3876" t="s">
        <v>12</v>
      </c>
      <c r="C3876">
        <v>26</v>
      </c>
      <c r="D3876" t="s">
        <v>15</v>
      </c>
      <c r="E3876" t="s">
        <v>15</v>
      </c>
      <c r="F3876" t="s">
        <v>15</v>
      </c>
      <c r="G3876" t="s">
        <v>17</v>
      </c>
      <c r="H3876" t="s">
        <v>22</v>
      </c>
      <c r="I3876">
        <v>71.25</v>
      </c>
      <c r="J3876">
        <v>30.3</v>
      </c>
      <c r="K3876" t="s">
        <v>26</v>
      </c>
      <c r="L3876" t="s">
        <v>15</v>
      </c>
    </row>
    <row r="3877" spans="1:12" x14ac:dyDescent="0.3">
      <c r="A3877">
        <v>56476</v>
      </c>
      <c r="B3877" t="s">
        <v>12</v>
      </c>
      <c r="C3877">
        <v>36</v>
      </c>
      <c r="D3877" t="s">
        <v>15</v>
      </c>
      <c r="E3877" t="s">
        <v>15</v>
      </c>
      <c r="F3877" t="s">
        <v>16</v>
      </c>
      <c r="G3877" t="s">
        <v>17</v>
      </c>
      <c r="H3877" t="s">
        <v>23</v>
      </c>
      <c r="I3877">
        <v>129.72999999999999</v>
      </c>
      <c r="J3877">
        <v>27.8</v>
      </c>
      <c r="K3877" t="s">
        <v>25</v>
      </c>
      <c r="L3877" t="s">
        <v>15</v>
      </c>
    </row>
    <row r="3878" spans="1:12" x14ac:dyDescent="0.3">
      <c r="A3878">
        <v>51740</v>
      </c>
      <c r="B3878" t="s">
        <v>13</v>
      </c>
      <c r="C3878">
        <v>3</v>
      </c>
      <c r="D3878" t="s">
        <v>15</v>
      </c>
      <c r="E3878" t="s">
        <v>15</v>
      </c>
      <c r="F3878" t="s">
        <v>15</v>
      </c>
      <c r="G3878" t="s">
        <v>20</v>
      </c>
      <c r="H3878" t="s">
        <v>22</v>
      </c>
      <c r="I3878">
        <v>115.47</v>
      </c>
      <c r="J3878">
        <v>18.899999999999999</v>
      </c>
      <c r="K3878" t="s">
        <v>27</v>
      </c>
      <c r="L3878" t="s">
        <v>15</v>
      </c>
    </row>
    <row r="3879" spans="1:12" x14ac:dyDescent="0.3">
      <c r="A3879">
        <v>45983</v>
      </c>
      <c r="B3879" t="s">
        <v>12</v>
      </c>
      <c r="C3879">
        <v>21</v>
      </c>
      <c r="D3879" t="s">
        <v>15</v>
      </c>
      <c r="E3879" t="s">
        <v>15</v>
      </c>
      <c r="F3879" t="s">
        <v>15</v>
      </c>
      <c r="G3879" t="s">
        <v>17</v>
      </c>
      <c r="H3879" t="s">
        <v>22</v>
      </c>
      <c r="I3879">
        <v>56.79</v>
      </c>
      <c r="J3879">
        <v>20.399999999999999</v>
      </c>
      <c r="K3879" t="s">
        <v>27</v>
      </c>
      <c r="L3879" t="s">
        <v>15</v>
      </c>
    </row>
    <row r="3880" spans="1:12" x14ac:dyDescent="0.3">
      <c r="A3880">
        <v>16079</v>
      </c>
      <c r="B3880" t="s">
        <v>13</v>
      </c>
      <c r="C3880">
        <v>67</v>
      </c>
      <c r="D3880" t="s">
        <v>15</v>
      </c>
      <c r="E3880" t="s">
        <v>15</v>
      </c>
      <c r="F3880" t="s">
        <v>16</v>
      </c>
      <c r="G3880" t="s">
        <v>17</v>
      </c>
      <c r="H3880" t="s">
        <v>22</v>
      </c>
      <c r="I3880">
        <v>100.16</v>
      </c>
      <c r="J3880">
        <v>31.8</v>
      </c>
      <c r="K3880" t="s">
        <v>27</v>
      </c>
      <c r="L3880" t="s">
        <v>15</v>
      </c>
    </row>
    <row r="3881" spans="1:12" x14ac:dyDescent="0.3">
      <c r="A3881">
        <v>24920</v>
      </c>
      <c r="B3881" t="s">
        <v>13</v>
      </c>
      <c r="C3881">
        <v>35</v>
      </c>
      <c r="D3881" t="s">
        <v>15</v>
      </c>
      <c r="E3881" t="s">
        <v>15</v>
      </c>
      <c r="F3881" t="s">
        <v>16</v>
      </c>
      <c r="G3881" t="s">
        <v>19</v>
      </c>
      <c r="H3881" t="s">
        <v>23</v>
      </c>
      <c r="I3881">
        <v>97.6</v>
      </c>
      <c r="J3881">
        <v>44.8</v>
      </c>
      <c r="K3881" t="s">
        <v>26</v>
      </c>
      <c r="L3881" t="s">
        <v>15</v>
      </c>
    </row>
    <row r="3882" spans="1:12" x14ac:dyDescent="0.3">
      <c r="A3882">
        <v>72818</v>
      </c>
      <c r="B3882" t="s">
        <v>13</v>
      </c>
      <c r="C3882">
        <v>26</v>
      </c>
      <c r="D3882" t="s">
        <v>15</v>
      </c>
      <c r="E3882" t="s">
        <v>15</v>
      </c>
      <c r="F3882" t="s">
        <v>15</v>
      </c>
      <c r="G3882" t="s">
        <v>17</v>
      </c>
      <c r="H3882" t="s">
        <v>23</v>
      </c>
      <c r="I3882">
        <v>90.54</v>
      </c>
      <c r="J3882">
        <v>37.1</v>
      </c>
      <c r="K3882" t="s">
        <v>27</v>
      </c>
      <c r="L3882" t="s">
        <v>15</v>
      </c>
    </row>
    <row r="3883" spans="1:12" x14ac:dyDescent="0.3">
      <c r="A3883">
        <v>65944</v>
      </c>
      <c r="B3883" t="s">
        <v>13</v>
      </c>
      <c r="C3883">
        <v>47</v>
      </c>
      <c r="D3883" t="s">
        <v>15</v>
      </c>
      <c r="E3883" t="s">
        <v>15</v>
      </c>
      <c r="F3883" t="s">
        <v>16</v>
      </c>
      <c r="G3883" t="s">
        <v>18</v>
      </c>
      <c r="H3883" t="s">
        <v>22</v>
      </c>
      <c r="I3883">
        <v>105.88</v>
      </c>
      <c r="J3883">
        <v>39.9</v>
      </c>
      <c r="K3883" t="s">
        <v>26</v>
      </c>
      <c r="L3883" t="s">
        <v>15</v>
      </c>
    </row>
    <row r="3884" spans="1:12" x14ac:dyDescent="0.3">
      <c r="A3884">
        <v>63836</v>
      </c>
      <c r="B3884" t="s">
        <v>12</v>
      </c>
      <c r="C3884">
        <v>81</v>
      </c>
      <c r="D3884" t="s">
        <v>16</v>
      </c>
      <c r="E3884" t="s">
        <v>16</v>
      </c>
      <c r="F3884" t="s">
        <v>16</v>
      </c>
      <c r="G3884" t="s">
        <v>19</v>
      </c>
      <c r="H3884" t="s">
        <v>23</v>
      </c>
      <c r="I3884">
        <v>217.94</v>
      </c>
      <c r="J3884">
        <v>24.1</v>
      </c>
      <c r="K3884" t="s">
        <v>24</v>
      </c>
      <c r="L3884" t="s">
        <v>15</v>
      </c>
    </row>
    <row r="3885" spans="1:12" x14ac:dyDescent="0.3">
      <c r="A3885">
        <v>46729</v>
      </c>
      <c r="B3885" t="s">
        <v>13</v>
      </c>
      <c r="C3885">
        <v>1.64</v>
      </c>
      <c r="D3885" t="s">
        <v>15</v>
      </c>
      <c r="E3885" t="s">
        <v>15</v>
      </c>
      <c r="F3885" t="s">
        <v>15</v>
      </c>
      <c r="G3885" t="s">
        <v>20</v>
      </c>
      <c r="H3885" t="s">
        <v>22</v>
      </c>
      <c r="I3885">
        <v>69.89</v>
      </c>
      <c r="J3885">
        <v>18.100000000000001</v>
      </c>
      <c r="K3885" t="s">
        <v>27</v>
      </c>
      <c r="L3885" t="s">
        <v>15</v>
      </c>
    </row>
    <row r="3886" spans="1:12" x14ac:dyDescent="0.3">
      <c r="A3886">
        <v>44642</v>
      </c>
      <c r="B3886" t="s">
        <v>12</v>
      </c>
      <c r="C3886">
        <v>52</v>
      </c>
      <c r="D3886" t="s">
        <v>15</v>
      </c>
      <c r="E3886" t="s">
        <v>15</v>
      </c>
      <c r="F3886" t="s">
        <v>16</v>
      </c>
      <c r="G3886" t="s">
        <v>19</v>
      </c>
      <c r="H3886" t="s">
        <v>22</v>
      </c>
      <c r="I3886">
        <v>93.28</v>
      </c>
      <c r="J3886">
        <v>36.299999999999997</v>
      </c>
      <c r="K3886" t="s">
        <v>25</v>
      </c>
      <c r="L3886" t="s">
        <v>15</v>
      </c>
    </row>
    <row r="3887" spans="1:12" x14ac:dyDescent="0.3">
      <c r="A3887">
        <v>70693</v>
      </c>
      <c r="B3887" t="s">
        <v>13</v>
      </c>
      <c r="C3887">
        <v>28</v>
      </c>
      <c r="D3887" t="s">
        <v>15</v>
      </c>
      <c r="E3887" t="s">
        <v>16</v>
      </c>
      <c r="F3887" t="s">
        <v>16</v>
      </c>
      <c r="G3887" t="s">
        <v>17</v>
      </c>
      <c r="H3887" t="s">
        <v>23</v>
      </c>
      <c r="I3887">
        <v>111.27</v>
      </c>
      <c r="J3887">
        <v>19.100000000000001</v>
      </c>
      <c r="K3887" t="s">
        <v>26</v>
      </c>
      <c r="L3887" t="s">
        <v>15</v>
      </c>
    </row>
    <row r="3888" spans="1:12" x14ac:dyDescent="0.3">
      <c r="A3888">
        <v>54065</v>
      </c>
      <c r="B3888" t="s">
        <v>13</v>
      </c>
      <c r="C3888">
        <v>45</v>
      </c>
      <c r="D3888" t="s">
        <v>15</v>
      </c>
      <c r="E3888" t="s">
        <v>15</v>
      </c>
      <c r="F3888" t="s">
        <v>16</v>
      </c>
      <c r="G3888" t="s">
        <v>17</v>
      </c>
      <c r="H3888" t="s">
        <v>22</v>
      </c>
      <c r="I3888">
        <v>91.04</v>
      </c>
      <c r="J3888">
        <v>21.1</v>
      </c>
      <c r="K3888" t="s">
        <v>25</v>
      </c>
      <c r="L3888" t="s">
        <v>15</v>
      </c>
    </row>
    <row r="3889" spans="1:12" x14ac:dyDescent="0.3">
      <c r="A3889">
        <v>9926</v>
      </c>
      <c r="B3889" t="s">
        <v>12</v>
      </c>
      <c r="C3889">
        <v>20</v>
      </c>
      <c r="D3889" t="s">
        <v>15</v>
      </c>
      <c r="E3889" t="s">
        <v>15</v>
      </c>
      <c r="F3889" t="s">
        <v>15</v>
      </c>
      <c r="G3889" t="s">
        <v>17</v>
      </c>
      <c r="H3889" t="s">
        <v>22</v>
      </c>
      <c r="I3889">
        <v>87.2</v>
      </c>
      <c r="J3889">
        <v>28.9</v>
      </c>
      <c r="K3889" t="s">
        <v>26</v>
      </c>
      <c r="L3889" t="s">
        <v>15</v>
      </c>
    </row>
    <row r="3890" spans="1:12" x14ac:dyDescent="0.3">
      <c r="A3890">
        <v>29201</v>
      </c>
      <c r="B3890" t="s">
        <v>12</v>
      </c>
      <c r="C3890">
        <v>1.56</v>
      </c>
      <c r="D3890" t="s">
        <v>15</v>
      </c>
      <c r="E3890" t="s">
        <v>15</v>
      </c>
      <c r="F3890" t="s">
        <v>15</v>
      </c>
      <c r="G3890" t="s">
        <v>20</v>
      </c>
      <c r="H3890" t="s">
        <v>23</v>
      </c>
      <c r="I3890">
        <v>109.12</v>
      </c>
      <c r="J3890">
        <v>18.899999999999999</v>
      </c>
      <c r="K3890" t="s">
        <v>27</v>
      </c>
      <c r="L3890" t="s">
        <v>15</v>
      </c>
    </row>
    <row r="3891" spans="1:12" x14ac:dyDescent="0.3">
      <c r="A3891">
        <v>33308</v>
      </c>
      <c r="B3891" t="s">
        <v>13</v>
      </c>
      <c r="C3891">
        <v>65</v>
      </c>
      <c r="D3891" t="s">
        <v>15</v>
      </c>
      <c r="E3891" t="s">
        <v>15</v>
      </c>
      <c r="F3891" t="s">
        <v>15</v>
      </c>
      <c r="G3891" t="s">
        <v>17</v>
      </c>
      <c r="H3891" t="s">
        <v>22</v>
      </c>
      <c r="I3891">
        <v>216.64</v>
      </c>
      <c r="J3891">
        <v>43.3</v>
      </c>
      <c r="K3891" t="s">
        <v>24</v>
      </c>
      <c r="L3891" t="s">
        <v>15</v>
      </c>
    </row>
    <row r="3892" spans="1:12" x14ac:dyDescent="0.3">
      <c r="A3892">
        <v>15937</v>
      </c>
      <c r="B3892" t="s">
        <v>12</v>
      </c>
      <c r="C3892">
        <v>45</v>
      </c>
      <c r="D3892" t="s">
        <v>16</v>
      </c>
      <c r="E3892" t="s">
        <v>15</v>
      </c>
      <c r="F3892" t="s">
        <v>16</v>
      </c>
      <c r="G3892" t="s">
        <v>18</v>
      </c>
      <c r="H3892" t="s">
        <v>23</v>
      </c>
      <c r="I3892">
        <v>74.28</v>
      </c>
      <c r="J3892">
        <v>37.200000000000003</v>
      </c>
      <c r="K3892" t="s">
        <v>24</v>
      </c>
      <c r="L3892" t="s">
        <v>15</v>
      </c>
    </row>
    <row r="3893" spans="1:12" x14ac:dyDescent="0.3">
      <c r="A3893">
        <v>53748</v>
      </c>
      <c r="B3893" t="s">
        <v>12</v>
      </c>
      <c r="C3893">
        <v>77</v>
      </c>
      <c r="D3893" t="s">
        <v>15</v>
      </c>
      <c r="E3893" t="s">
        <v>15</v>
      </c>
      <c r="F3893" t="s">
        <v>16</v>
      </c>
      <c r="G3893" t="s">
        <v>18</v>
      </c>
      <c r="H3893" t="s">
        <v>22</v>
      </c>
      <c r="I3893">
        <v>57.6</v>
      </c>
      <c r="J3893">
        <v>32.200000000000003</v>
      </c>
      <c r="K3893" t="s">
        <v>27</v>
      </c>
      <c r="L3893" t="s">
        <v>15</v>
      </c>
    </row>
    <row r="3894" spans="1:12" x14ac:dyDescent="0.3">
      <c r="A3894">
        <v>47803</v>
      </c>
      <c r="B3894" t="s">
        <v>12</v>
      </c>
      <c r="C3894">
        <v>37</v>
      </c>
      <c r="D3894" t="s">
        <v>15</v>
      </c>
      <c r="E3894" t="s">
        <v>15</v>
      </c>
      <c r="F3894" t="s">
        <v>16</v>
      </c>
      <c r="G3894" t="s">
        <v>19</v>
      </c>
      <c r="H3894" t="s">
        <v>22</v>
      </c>
      <c r="I3894">
        <v>173.97</v>
      </c>
      <c r="J3894">
        <v>26.3</v>
      </c>
      <c r="K3894" t="s">
        <v>27</v>
      </c>
      <c r="L3894" t="s">
        <v>15</v>
      </c>
    </row>
    <row r="3895" spans="1:12" x14ac:dyDescent="0.3">
      <c r="A3895">
        <v>41554</v>
      </c>
      <c r="B3895" t="s">
        <v>13</v>
      </c>
      <c r="C3895">
        <v>50</v>
      </c>
      <c r="D3895" t="s">
        <v>15</v>
      </c>
      <c r="E3895" t="s">
        <v>15</v>
      </c>
      <c r="F3895" t="s">
        <v>16</v>
      </c>
      <c r="G3895" t="s">
        <v>17</v>
      </c>
      <c r="H3895" t="s">
        <v>23</v>
      </c>
      <c r="I3895">
        <v>65.25</v>
      </c>
      <c r="J3895">
        <v>25.4</v>
      </c>
      <c r="K3895" t="s">
        <v>26</v>
      </c>
      <c r="L3895" t="s">
        <v>15</v>
      </c>
    </row>
    <row r="3896" spans="1:12" x14ac:dyDescent="0.3">
      <c r="A3896">
        <v>69435</v>
      </c>
      <c r="B3896" t="s">
        <v>13</v>
      </c>
      <c r="C3896">
        <v>0.56000000000000005</v>
      </c>
      <c r="D3896" t="s">
        <v>15</v>
      </c>
      <c r="E3896" t="s">
        <v>15</v>
      </c>
      <c r="F3896" t="s">
        <v>15</v>
      </c>
      <c r="G3896" t="s">
        <v>20</v>
      </c>
      <c r="H3896" t="s">
        <v>22</v>
      </c>
      <c r="I3896">
        <v>80.92</v>
      </c>
      <c r="J3896">
        <v>18.3</v>
      </c>
      <c r="K3896" t="s">
        <v>27</v>
      </c>
      <c r="L3896" t="s">
        <v>15</v>
      </c>
    </row>
    <row r="3897" spans="1:12" x14ac:dyDescent="0.3">
      <c r="A3897">
        <v>41049</v>
      </c>
      <c r="B3897" t="s">
        <v>13</v>
      </c>
      <c r="C3897">
        <v>30</v>
      </c>
      <c r="D3897" t="s">
        <v>15</v>
      </c>
      <c r="E3897" t="s">
        <v>15</v>
      </c>
      <c r="F3897" t="s">
        <v>16</v>
      </c>
      <c r="G3897" t="s">
        <v>17</v>
      </c>
      <c r="H3897" t="s">
        <v>23</v>
      </c>
      <c r="I3897">
        <v>124.37</v>
      </c>
      <c r="J3897">
        <v>21.4</v>
      </c>
      <c r="K3897" t="s">
        <v>25</v>
      </c>
      <c r="L3897" t="s">
        <v>15</v>
      </c>
    </row>
    <row r="3898" spans="1:12" x14ac:dyDescent="0.3">
      <c r="A3898">
        <v>13859</v>
      </c>
      <c r="B3898" t="s">
        <v>13</v>
      </c>
      <c r="C3898">
        <v>31</v>
      </c>
      <c r="D3898" t="s">
        <v>15</v>
      </c>
      <c r="E3898" t="s">
        <v>15</v>
      </c>
      <c r="F3898" t="s">
        <v>15</v>
      </c>
      <c r="G3898" t="s">
        <v>17</v>
      </c>
      <c r="H3898" t="s">
        <v>22</v>
      </c>
      <c r="I3898">
        <v>102.39</v>
      </c>
      <c r="J3898">
        <v>22.9</v>
      </c>
      <c r="K3898" t="s">
        <v>26</v>
      </c>
      <c r="L3898" t="s">
        <v>15</v>
      </c>
    </row>
    <row r="3899" spans="1:12" x14ac:dyDescent="0.3">
      <c r="A3899">
        <v>24257</v>
      </c>
      <c r="B3899" t="s">
        <v>12</v>
      </c>
      <c r="C3899">
        <v>4</v>
      </c>
      <c r="D3899" t="s">
        <v>15</v>
      </c>
      <c r="E3899" t="s">
        <v>15</v>
      </c>
      <c r="F3899" t="s">
        <v>15</v>
      </c>
      <c r="G3899" t="s">
        <v>20</v>
      </c>
      <c r="H3899" t="s">
        <v>23</v>
      </c>
      <c r="I3899">
        <v>90.42</v>
      </c>
      <c r="J3899">
        <v>16.2</v>
      </c>
      <c r="K3899" t="s">
        <v>27</v>
      </c>
      <c r="L3899" t="s">
        <v>15</v>
      </c>
    </row>
    <row r="3900" spans="1:12" x14ac:dyDescent="0.3">
      <c r="A3900">
        <v>14417</v>
      </c>
      <c r="B3900" t="s">
        <v>12</v>
      </c>
      <c r="C3900">
        <v>65</v>
      </c>
      <c r="D3900" t="s">
        <v>16</v>
      </c>
      <c r="E3900" t="s">
        <v>15</v>
      </c>
      <c r="F3900" t="s">
        <v>16</v>
      </c>
      <c r="G3900" t="s">
        <v>17</v>
      </c>
      <c r="H3900" t="s">
        <v>23</v>
      </c>
      <c r="I3900">
        <v>79.17</v>
      </c>
      <c r="J3900">
        <v>29.6</v>
      </c>
      <c r="K3900" t="s">
        <v>27</v>
      </c>
      <c r="L3900" t="s">
        <v>15</v>
      </c>
    </row>
    <row r="3901" spans="1:12" x14ac:dyDescent="0.3">
      <c r="A3901">
        <v>45260</v>
      </c>
      <c r="B3901" t="s">
        <v>13</v>
      </c>
      <c r="C3901">
        <v>68</v>
      </c>
      <c r="D3901" t="s">
        <v>15</v>
      </c>
      <c r="E3901" t="s">
        <v>15</v>
      </c>
      <c r="F3901" t="s">
        <v>16</v>
      </c>
      <c r="G3901" t="s">
        <v>18</v>
      </c>
      <c r="H3901" t="s">
        <v>22</v>
      </c>
      <c r="I3901">
        <v>71.08</v>
      </c>
      <c r="J3901">
        <v>21.5</v>
      </c>
      <c r="K3901" t="s">
        <v>25</v>
      </c>
      <c r="L3901" t="s">
        <v>15</v>
      </c>
    </row>
    <row r="3902" spans="1:12" x14ac:dyDescent="0.3">
      <c r="A3902">
        <v>12807</v>
      </c>
      <c r="B3902" t="s">
        <v>13</v>
      </c>
      <c r="C3902">
        <v>63</v>
      </c>
      <c r="D3902" t="s">
        <v>16</v>
      </c>
      <c r="E3902" t="s">
        <v>15</v>
      </c>
      <c r="F3902" t="s">
        <v>16</v>
      </c>
      <c r="G3902" t="s">
        <v>17</v>
      </c>
      <c r="H3902" t="s">
        <v>22</v>
      </c>
      <c r="I3902">
        <v>81.540000000000006</v>
      </c>
      <c r="J3902">
        <v>24.2</v>
      </c>
      <c r="K3902" t="s">
        <v>25</v>
      </c>
      <c r="L3902" t="s">
        <v>15</v>
      </c>
    </row>
    <row r="3903" spans="1:12" x14ac:dyDescent="0.3">
      <c r="A3903">
        <v>71417</v>
      </c>
      <c r="B3903" t="s">
        <v>12</v>
      </c>
      <c r="C3903">
        <v>46</v>
      </c>
      <c r="D3903" t="s">
        <v>15</v>
      </c>
      <c r="E3903" t="s">
        <v>15</v>
      </c>
      <c r="F3903" t="s">
        <v>15</v>
      </c>
      <c r="G3903" t="s">
        <v>17</v>
      </c>
      <c r="H3903" t="s">
        <v>22</v>
      </c>
      <c r="I3903">
        <v>159.66999999999999</v>
      </c>
      <c r="J3903">
        <v>37.299999999999997</v>
      </c>
      <c r="K3903" t="s">
        <v>25</v>
      </c>
      <c r="L3903" t="s">
        <v>15</v>
      </c>
    </row>
    <row r="3904" spans="1:12" x14ac:dyDescent="0.3">
      <c r="A3904">
        <v>37479</v>
      </c>
      <c r="B3904" t="s">
        <v>13</v>
      </c>
      <c r="C3904">
        <v>54</v>
      </c>
      <c r="D3904" t="s">
        <v>15</v>
      </c>
      <c r="E3904" t="s">
        <v>15</v>
      </c>
      <c r="F3904" t="s">
        <v>16</v>
      </c>
      <c r="G3904" t="s">
        <v>17</v>
      </c>
      <c r="H3904" t="s">
        <v>22</v>
      </c>
      <c r="I3904">
        <v>93.96</v>
      </c>
      <c r="J3904">
        <v>33.299999999999997</v>
      </c>
      <c r="K3904" t="s">
        <v>26</v>
      </c>
      <c r="L3904" t="s">
        <v>15</v>
      </c>
    </row>
    <row r="3905" spans="1:12" x14ac:dyDescent="0.3">
      <c r="A3905">
        <v>23850</v>
      </c>
      <c r="B3905" t="s">
        <v>12</v>
      </c>
      <c r="C3905">
        <v>66</v>
      </c>
      <c r="D3905" t="s">
        <v>15</v>
      </c>
      <c r="E3905" t="s">
        <v>15</v>
      </c>
      <c r="F3905" t="s">
        <v>16</v>
      </c>
      <c r="G3905" t="s">
        <v>17</v>
      </c>
      <c r="H3905" t="s">
        <v>22</v>
      </c>
      <c r="I3905">
        <v>103.01</v>
      </c>
      <c r="J3905">
        <v>33.1</v>
      </c>
      <c r="K3905" t="s">
        <v>25</v>
      </c>
      <c r="L3905" t="s">
        <v>15</v>
      </c>
    </row>
    <row r="3906" spans="1:12" x14ac:dyDescent="0.3">
      <c r="A3906">
        <v>17791</v>
      </c>
      <c r="B3906" t="s">
        <v>13</v>
      </c>
      <c r="C3906">
        <v>29</v>
      </c>
      <c r="D3906" t="s">
        <v>15</v>
      </c>
      <c r="E3906" t="s">
        <v>15</v>
      </c>
      <c r="F3906" t="s">
        <v>16</v>
      </c>
      <c r="G3906" t="s">
        <v>19</v>
      </c>
      <c r="H3906" t="s">
        <v>23</v>
      </c>
      <c r="I3906">
        <v>92.49</v>
      </c>
      <c r="J3906">
        <v>22.2</v>
      </c>
      <c r="K3906" t="s">
        <v>25</v>
      </c>
      <c r="L3906" t="s">
        <v>15</v>
      </c>
    </row>
    <row r="3907" spans="1:12" x14ac:dyDescent="0.3">
      <c r="A3907">
        <v>2544</v>
      </c>
      <c r="B3907" t="s">
        <v>12</v>
      </c>
      <c r="C3907">
        <v>78</v>
      </c>
      <c r="D3907" t="s">
        <v>15</v>
      </c>
      <c r="E3907" t="s">
        <v>15</v>
      </c>
      <c r="F3907" t="s">
        <v>16</v>
      </c>
      <c r="G3907" t="s">
        <v>17</v>
      </c>
      <c r="H3907" t="s">
        <v>22</v>
      </c>
      <c r="I3907">
        <v>208.85</v>
      </c>
      <c r="J3907">
        <v>24.4</v>
      </c>
      <c r="K3907" t="s">
        <v>24</v>
      </c>
      <c r="L3907" t="s">
        <v>15</v>
      </c>
    </row>
    <row r="3908" spans="1:12" x14ac:dyDescent="0.3">
      <c r="A3908">
        <v>4961</v>
      </c>
      <c r="B3908" t="s">
        <v>12</v>
      </c>
      <c r="C3908">
        <v>56</v>
      </c>
      <c r="D3908" t="s">
        <v>15</v>
      </c>
      <c r="E3908" t="s">
        <v>15</v>
      </c>
      <c r="F3908" t="s">
        <v>16</v>
      </c>
      <c r="G3908" t="s">
        <v>19</v>
      </c>
      <c r="H3908" t="s">
        <v>22</v>
      </c>
      <c r="I3908">
        <v>122.39</v>
      </c>
      <c r="J3908">
        <v>30.3</v>
      </c>
      <c r="K3908" t="s">
        <v>27</v>
      </c>
      <c r="L3908" t="s">
        <v>15</v>
      </c>
    </row>
    <row r="3909" spans="1:12" x14ac:dyDescent="0.3">
      <c r="A3909">
        <v>2702</v>
      </c>
      <c r="B3909" t="s">
        <v>13</v>
      </c>
      <c r="C3909">
        <v>57</v>
      </c>
      <c r="D3909" t="s">
        <v>15</v>
      </c>
      <c r="E3909" t="s">
        <v>15</v>
      </c>
      <c r="F3909" t="s">
        <v>16</v>
      </c>
      <c r="G3909" t="s">
        <v>17</v>
      </c>
      <c r="H3909" t="s">
        <v>23</v>
      </c>
      <c r="I3909">
        <v>65.91</v>
      </c>
      <c r="J3909">
        <v>28.2</v>
      </c>
      <c r="K3909" t="s">
        <v>27</v>
      </c>
      <c r="L3909" t="s">
        <v>15</v>
      </c>
    </row>
    <row r="3910" spans="1:12" x14ac:dyDescent="0.3">
      <c r="A3910">
        <v>11208</v>
      </c>
      <c r="B3910" t="s">
        <v>13</v>
      </c>
      <c r="C3910">
        <v>2</v>
      </c>
      <c r="D3910" t="s">
        <v>15</v>
      </c>
      <c r="E3910" t="s">
        <v>15</v>
      </c>
      <c r="F3910" t="s">
        <v>15</v>
      </c>
      <c r="G3910" t="s">
        <v>20</v>
      </c>
      <c r="H3910" t="s">
        <v>23</v>
      </c>
      <c r="I3910">
        <v>70.25</v>
      </c>
      <c r="J3910">
        <v>17</v>
      </c>
      <c r="K3910" t="s">
        <v>27</v>
      </c>
      <c r="L3910" t="s">
        <v>15</v>
      </c>
    </row>
    <row r="3911" spans="1:12" x14ac:dyDescent="0.3">
      <c r="A3911">
        <v>4077</v>
      </c>
      <c r="B3911" t="s">
        <v>12</v>
      </c>
      <c r="C3911">
        <v>49</v>
      </c>
      <c r="D3911" t="s">
        <v>15</v>
      </c>
      <c r="E3911" t="s">
        <v>15</v>
      </c>
      <c r="F3911" t="s">
        <v>16</v>
      </c>
      <c r="G3911" t="s">
        <v>17</v>
      </c>
      <c r="H3911" t="s">
        <v>22</v>
      </c>
      <c r="I3911">
        <v>219.7</v>
      </c>
      <c r="J3911">
        <v>53.8</v>
      </c>
      <c r="K3911" t="s">
        <v>27</v>
      </c>
      <c r="L3911" t="s">
        <v>15</v>
      </c>
    </row>
    <row r="3912" spans="1:12" x14ac:dyDescent="0.3">
      <c r="A3912">
        <v>36548</v>
      </c>
      <c r="B3912" t="s">
        <v>12</v>
      </c>
      <c r="C3912">
        <v>31</v>
      </c>
      <c r="D3912" t="s">
        <v>15</v>
      </c>
      <c r="E3912" t="s">
        <v>15</v>
      </c>
      <c r="F3912" t="s">
        <v>16</v>
      </c>
      <c r="G3912" t="s">
        <v>19</v>
      </c>
      <c r="H3912" t="s">
        <v>22</v>
      </c>
      <c r="I3912">
        <v>65.7</v>
      </c>
      <c r="J3912">
        <v>30.4</v>
      </c>
      <c r="K3912" t="s">
        <v>24</v>
      </c>
      <c r="L3912" t="s">
        <v>15</v>
      </c>
    </row>
    <row r="3913" spans="1:12" x14ac:dyDescent="0.3">
      <c r="A3913">
        <v>71596</v>
      </c>
      <c r="B3913" t="s">
        <v>13</v>
      </c>
      <c r="C3913">
        <v>47</v>
      </c>
      <c r="D3913" t="s">
        <v>15</v>
      </c>
      <c r="E3913" t="s">
        <v>15</v>
      </c>
      <c r="F3913" t="s">
        <v>16</v>
      </c>
      <c r="G3913" t="s">
        <v>17</v>
      </c>
      <c r="H3913" t="s">
        <v>22</v>
      </c>
      <c r="I3913">
        <v>67.08</v>
      </c>
      <c r="J3913">
        <v>22.3</v>
      </c>
      <c r="K3913" t="s">
        <v>27</v>
      </c>
      <c r="L3913" t="s">
        <v>15</v>
      </c>
    </row>
    <row r="3914" spans="1:12" x14ac:dyDescent="0.3">
      <c r="A3914">
        <v>61050</v>
      </c>
      <c r="B3914" t="s">
        <v>12</v>
      </c>
      <c r="C3914">
        <v>37</v>
      </c>
      <c r="D3914" t="s">
        <v>15</v>
      </c>
      <c r="E3914" t="s">
        <v>15</v>
      </c>
      <c r="F3914" t="s">
        <v>16</v>
      </c>
      <c r="G3914" t="s">
        <v>19</v>
      </c>
      <c r="H3914" t="s">
        <v>23</v>
      </c>
      <c r="I3914">
        <v>107.58</v>
      </c>
      <c r="J3914">
        <v>25.3</v>
      </c>
      <c r="K3914" t="s">
        <v>25</v>
      </c>
      <c r="L3914" t="s">
        <v>15</v>
      </c>
    </row>
    <row r="3915" spans="1:12" x14ac:dyDescent="0.3">
      <c r="A3915">
        <v>6172</v>
      </c>
      <c r="B3915" t="s">
        <v>13</v>
      </c>
      <c r="C3915">
        <v>79</v>
      </c>
      <c r="D3915" t="s">
        <v>15</v>
      </c>
      <c r="E3915" t="s">
        <v>15</v>
      </c>
      <c r="F3915" t="s">
        <v>16</v>
      </c>
      <c r="G3915" t="s">
        <v>17</v>
      </c>
      <c r="H3915" t="s">
        <v>23</v>
      </c>
      <c r="I3915">
        <v>208.05</v>
      </c>
      <c r="K3915" t="s">
        <v>26</v>
      </c>
      <c r="L3915" t="s">
        <v>15</v>
      </c>
    </row>
    <row r="3916" spans="1:12" x14ac:dyDescent="0.3">
      <c r="A3916">
        <v>15098</v>
      </c>
      <c r="B3916" t="s">
        <v>13</v>
      </c>
      <c r="C3916">
        <v>65</v>
      </c>
      <c r="D3916" t="s">
        <v>15</v>
      </c>
      <c r="E3916" t="s">
        <v>15</v>
      </c>
      <c r="F3916" t="s">
        <v>16</v>
      </c>
      <c r="G3916" t="s">
        <v>17</v>
      </c>
      <c r="H3916" t="s">
        <v>23</v>
      </c>
      <c r="I3916">
        <v>95.87</v>
      </c>
      <c r="J3916">
        <v>29.8</v>
      </c>
      <c r="K3916" t="s">
        <v>25</v>
      </c>
      <c r="L3916" t="s">
        <v>15</v>
      </c>
    </row>
    <row r="3917" spans="1:12" x14ac:dyDescent="0.3">
      <c r="A3917">
        <v>34895</v>
      </c>
      <c r="B3917" t="s">
        <v>12</v>
      </c>
      <c r="C3917">
        <v>61</v>
      </c>
      <c r="D3917" t="s">
        <v>15</v>
      </c>
      <c r="E3917" t="s">
        <v>15</v>
      </c>
      <c r="F3917" t="s">
        <v>16</v>
      </c>
      <c r="G3917" t="s">
        <v>17</v>
      </c>
      <c r="H3917" t="s">
        <v>22</v>
      </c>
      <c r="I3917">
        <v>68.17</v>
      </c>
      <c r="J3917">
        <v>43.8</v>
      </c>
      <c r="K3917" t="s">
        <v>24</v>
      </c>
      <c r="L3917" t="s">
        <v>15</v>
      </c>
    </row>
    <row r="3918" spans="1:12" x14ac:dyDescent="0.3">
      <c r="A3918">
        <v>6443</v>
      </c>
      <c r="B3918" t="s">
        <v>13</v>
      </c>
      <c r="C3918">
        <v>66</v>
      </c>
      <c r="D3918" t="s">
        <v>15</v>
      </c>
      <c r="E3918" t="s">
        <v>15</v>
      </c>
      <c r="F3918" t="s">
        <v>16</v>
      </c>
      <c r="G3918" t="s">
        <v>17</v>
      </c>
      <c r="H3918" t="s">
        <v>22</v>
      </c>
      <c r="I3918">
        <v>95.37</v>
      </c>
      <c r="J3918">
        <v>34.5</v>
      </c>
      <c r="K3918" t="s">
        <v>26</v>
      </c>
      <c r="L3918" t="s">
        <v>15</v>
      </c>
    </row>
    <row r="3919" spans="1:12" x14ac:dyDescent="0.3">
      <c r="A3919">
        <v>67635</v>
      </c>
      <c r="B3919" t="s">
        <v>12</v>
      </c>
      <c r="C3919">
        <v>24</v>
      </c>
      <c r="D3919" t="s">
        <v>15</v>
      </c>
      <c r="E3919" t="s">
        <v>15</v>
      </c>
      <c r="F3919" t="s">
        <v>15</v>
      </c>
      <c r="G3919" t="s">
        <v>17</v>
      </c>
      <c r="H3919" t="s">
        <v>22</v>
      </c>
      <c r="I3919">
        <v>90</v>
      </c>
      <c r="J3919">
        <v>25.5</v>
      </c>
      <c r="K3919" t="s">
        <v>25</v>
      </c>
      <c r="L3919" t="s">
        <v>15</v>
      </c>
    </row>
    <row r="3920" spans="1:12" x14ac:dyDescent="0.3">
      <c r="A3920">
        <v>19931</v>
      </c>
      <c r="B3920" t="s">
        <v>12</v>
      </c>
      <c r="C3920">
        <v>66</v>
      </c>
      <c r="D3920" t="s">
        <v>15</v>
      </c>
      <c r="E3920" t="s">
        <v>15</v>
      </c>
      <c r="F3920" t="s">
        <v>16</v>
      </c>
      <c r="G3920" t="s">
        <v>18</v>
      </c>
      <c r="H3920" t="s">
        <v>23</v>
      </c>
      <c r="I3920">
        <v>106.1</v>
      </c>
      <c r="J3920">
        <v>31.5</v>
      </c>
      <c r="K3920" t="s">
        <v>26</v>
      </c>
      <c r="L3920" t="s">
        <v>15</v>
      </c>
    </row>
    <row r="3921" spans="1:12" x14ac:dyDescent="0.3">
      <c r="A3921">
        <v>57302</v>
      </c>
      <c r="B3921" t="s">
        <v>13</v>
      </c>
      <c r="C3921">
        <v>64</v>
      </c>
      <c r="D3921" t="s">
        <v>16</v>
      </c>
      <c r="E3921" t="s">
        <v>15</v>
      </c>
      <c r="F3921" t="s">
        <v>16</v>
      </c>
      <c r="G3921" t="s">
        <v>17</v>
      </c>
      <c r="H3921" t="s">
        <v>23</v>
      </c>
      <c r="I3921">
        <v>56.13</v>
      </c>
      <c r="J3921">
        <v>39.200000000000003</v>
      </c>
      <c r="K3921" t="s">
        <v>27</v>
      </c>
      <c r="L3921" t="s">
        <v>15</v>
      </c>
    </row>
    <row r="3922" spans="1:12" x14ac:dyDescent="0.3">
      <c r="A3922">
        <v>26197</v>
      </c>
      <c r="B3922" t="s">
        <v>13</v>
      </c>
      <c r="C3922">
        <v>38</v>
      </c>
      <c r="D3922" t="s">
        <v>15</v>
      </c>
      <c r="E3922" t="s">
        <v>15</v>
      </c>
      <c r="F3922" t="s">
        <v>16</v>
      </c>
      <c r="G3922" t="s">
        <v>17</v>
      </c>
      <c r="H3922" t="s">
        <v>23</v>
      </c>
      <c r="I3922">
        <v>104.03</v>
      </c>
      <c r="J3922">
        <v>47.3</v>
      </c>
      <c r="K3922" t="s">
        <v>26</v>
      </c>
      <c r="L3922" t="s">
        <v>15</v>
      </c>
    </row>
    <row r="3923" spans="1:12" x14ac:dyDescent="0.3">
      <c r="A3923">
        <v>54982</v>
      </c>
      <c r="B3923" t="s">
        <v>13</v>
      </c>
      <c r="C3923">
        <v>7</v>
      </c>
      <c r="D3923" t="s">
        <v>15</v>
      </c>
      <c r="E3923" t="s">
        <v>15</v>
      </c>
      <c r="F3923" t="s">
        <v>15</v>
      </c>
      <c r="G3923" t="s">
        <v>20</v>
      </c>
      <c r="H3923" t="s">
        <v>23</v>
      </c>
      <c r="I3923">
        <v>157.01</v>
      </c>
      <c r="J3923">
        <v>17</v>
      </c>
      <c r="K3923" t="s">
        <v>27</v>
      </c>
      <c r="L3923" t="s">
        <v>15</v>
      </c>
    </row>
    <row r="3924" spans="1:12" x14ac:dyDescent="0.3">
      <c r="A3924">
        <v>13398</v>
      </c>
      <c r="B3924" t="s">
        <v>13</v>
      </c>
      <c r="C3924">
        <v>63</v>
      </c>
      <c r="D3924" t="s">
        <v>15</v>
      </c>
      <c r="E3924" t="s">
        <v>15</v>
      </c>
      <c r="F3924" t="s">
        <v>16</v>
      </c>
      <c r="G3924" t="s">
        <v>17</v>
      </c>
      <c r="H3924" t="s">
        <v>22</v>
      </c>
      <c r="I3924">
        <v>84.35</v>
      </c>
      <c r="J3924">
        <v>38.200000000000003</v>
      </c>
      <c r="K3924" t="s">
        <v>25</v>
      </c>
      <c r="L3924" t="s">
        <v>15</v>
      </c>
    </row>
    <row r="3925" spans="1:12" x14ac:dyDescent="0.3">
      <c r="A3925">
        <v>21101</v>
      </c>
      <c r="B3925" t="s">
        <v>12</v>
      </c>
      <c r="C3925">
        <v>71</v>
      </c>
      <c r="D3925" t="s">
        <v>15</v>
      </c>
      <c r="E3925" t="s">
        <v>15</v>
      </c>
      <c r="F3925" t="s">
        <v>16</v>
      </c>
      <c r="G3925" t="s">
        <v>17</v>
      </c>
      <c r="H3925" t="s">
        <v>23</v>
      </c>
      <c r="I3925">
        <v>67.989999999999995</v>
      </c>
      <c r="J3925">
        <v>31.1</v>
      </c>
      <c r="K3925" t="s">
        <v>25</v>
      </c>
      <c r="L3925" t="s">
        <v>15</v>
      </c>
    </row>
    <row r="3926" spans="1:12" x14ac:dyDescent="0.3">
      <c r="A3926">
        <v>39958</v>
      </c>
      <c r="B3926" t="s">
        <v>12</v>
      </c>
      <c r="C3926">
        <v>18</v>
      </c>
      <c r="D3926" t="s">
        <v>15</v>
      </c>
      <c r="E3926" t="s">
        <v>15</v>
      </c>
      <c r="F3926" t="s">
        <v>15</v>
      </c>
      <c r="G3926" t="s">
        <v>17</v>
      </c>
      <c r="H3926" t="s">
        <v>23</v>
      </c>
      <c r="I3926">
        <v>118.93</v>
      </c>
      <c r="J3926">
        <v>22.4</v>
      </c>
      <c r="K3926" t="s">
        <v>25</v>
      </c>
      <c r="L3926" t="s">
        <v>15</v>
      </c>
    </row>
    <row r="3927" spans="1:12" x14ac:dyDescent="0.3">
      <c r="A3927">
        <v>51894</v>
      </c>
      <c r="B3927" t="s">
        <v>13</v>
      </c>
      <c r="C3927">
        <v>65</v>
      </c>
      <c r="D3927" t="s">
        <v>15</v>
      </c>
      <c r="E3927" t="s">
        <v>15</v>
      </c>
      <c r="F3927" t="s">
        <v>16</v>
      </c>
      <c r="G3927" t="s">
        <v>17</v>
      </c>
      <c r="H3927" t="s">
        <v>23</v>
      </c>
      <c r="I3927">
        <v>185.28</v>
      </c>
      <c r="J3927">
        <v>32</v>
      </c>
      <c r="K3927" t="s">
        <v>26</v>
      </c>
      <c r="L3927" t="s">
        <v>15</v>
      </c>
    </row>
    <row r="3928" spans="1:12" x14ac:dyDescent="0.3">
      <c r="A3928">
        <v>56001</v>
      </c>
      <c r="B3928" t="s">
        <v>12</v>
      </c>
      <c r="C3928">
        <v>57</v>
      </c>
      <c r="D3928" t="s">
        <v>15</v>
      </c>
      <c r="E3928" t="s">
        <v>15</v>
      </c>
      <c r="F3928" t="s">
        <v>16</v>
      </c>
      <c r="G3928" t="s">
        <v>17</v>
      </c>
      <c r="H3928" t="s">
        <v>23</v>
      </c>
      <c r="I3928">
        <v>82.08</v>
      </c>
      <c r="J3928">
        <v>24.7</v>
      </c>
      <c r="K3928" t="s">
        <v>27</v>
      </c>
      <c r="L3928" t="s">
        <v>15</v>
      </c>
    </row>
    <row r="3929" spans="1:12" x14ac:dyDescent="0.3">
      <c r="A3929">
        <v>56137</v>
      </c>
      <c r="B3929" t="s">
        <v>13</v>
      </c>
      <c r="C3929">
        <v>62</v>
      </c>
      <c r="D3929" t="s">
        <v>15</v>
      </c>
      <c r="E3929" t="s">
        <v>15</v>
      </c>
      <c r="F3929" t="s">
        <v>16</v>
      </c>
      <c r="G3929" t="s">
        <v>17</v>
      </c>
      <c r="H3929" t="s">
        <v>22</v>
      </c>
      <c r="I3929">
        <v>88.32</v>
      </c>
      <c r="J3929">
        <v>36.299999999999997</v>
      </c>
      <c r="K3929" t="s">
        <v>27</v>
      </c>
      <c r="L3929" t="s">
        <v>15</v>
      </c>
    </row>
    <row r="3930" spans="1:12" x14ac:dyDescent="0.3">
      <c r="A3930">
        <v>25900</v>
      </c>
      <c r="B3930" t="s">
        <v>12</v>
      </c>
      <c r="C3930">
        <v>1.8</v>
      </c>
      <c r="D3930" t="s">
        <v>15</v>
      </c>
      <c r="E3930" t="s">
        <v>15</v>
      </c>
      <c r="F3930" t="s">
        <v>15</v>
      </c>
      <c r="G3930" t="s">
        <v>20</v>
      </c>
      <c r="H3930" t="s">
        <v>23</v>
      </c>
      <c r="I3930">
        <v>85.16</v>
      </c>
      <c r="J3930">
        <v>20.2</v>
      </c>
      <c r="K3930" t="s">
        <v>27</v>
      </c>
      <c r="L3930" t="s">
        <v>15</v>
      </c>
    </row>
    <row r="3931" spans="1:12" x14ac:dyDescent="0.3">
      <c r="A3931">
        <v>69213</v>
      </c>
      <c r="B3931" t="s">
        <v>12</v>
      </c>
      <c r="C3931">
        <v>35</v>
      </c>
      <c r="D3931" t="s">
        <v>15</v>
      </c>
      <c r="E3931" t="s">
        <v>15</v>
      </c>
      <c r="F3931" t="s">
        <v>15</v>
      </c>
      <c r="G3931" t="s">
        <v>17</v>
      </c>
      <c r="H3931" t="s">
        <v>23</v>
      </c>
      <c r="I3931">
        <v>69.540000000000006</v>
      </c>
      <c r="J3931">
        <v>27.4</v>
      </c>
      <c r="K3931" t="s">
        <v>25</v>
      </c>
      <c r="L3931" t="s">
        <v>15</v>
      </c>
    </row>
    <row r="3932" spans="1:12" x14ac:dyDescent="0.3">
      <c r="A3932">
        <v>38613</v>
      </c>
      <c r="B3932" t="s">
        <v>13</v>
      </c>
      <c r="C3932">
        <v>50</v>
      </c>
      <c r="D3932" t="s">
        <v>15</v>
      </c>
      <c r="E3932" t="s">
        <v>15</v>
      </c>
      <c r="F3932" t="s">
        <v>16</v>
      </c>
      <c r="G3932" t="s">
        <v>19</v>
      </c>
      <c r="H3932" t="s">
        <v>23</v>
      </c>
      <c r="I3932">
        <v>62.12</v>
      </c>
      <c r="J3932">
        <v>29.6</v>
      </c>
      <c r="K3932" t="s">
        <v>25</v>
      </c>
      <c r="L3932" t="s">
        <v>15</v>
      </c>
    </row>
    <row r="3933" spans="1:12" x14ac:dyDescent="0.3">
      <c r="A3933">
        <v>27660</v>
      </c>
      <c r="B3933" t="s">
        <v>13</v>
      </c>
      <c r="C3933">
        <v>73</v>
      </c>
      <c r="D3933" t="s">
        <v>16</v>
      </c>
      <c r="E3933" t="s">
        <v>15</v>
      </c>
      <c r="F3933" t="s">
        <v>15</v>
      </c>
      <c r="G3933" t="s">
        <v>18</v>
      </c>
      <c r="H3933" t="s">
        <v>23</v>
      </c>
      <c r="I3933">
        <v>198.3</v>
      </c>
      <c r="J3933">
        <v>54.3</v>
      </c>
      <c r="K3933" t="s">
        <v>24</v>
      </c>
      <c r="L3933" t="s">
        <v>15</v>
      </c>
    </row>
    <row r="3934" spans="1:12" x14ac:dyDescent="0.3">
      <c r="A3934">
        <v>33790</v>
      </c>
      <c r="B3934" t="s">
        <v>13</v>
      </c>
      <c r="C3934">
        <v>23</v>
      </c>
      <c r="D3934" t="s">
        <v>15</v>
      </c>
      <c r="E3934" t="s">
        <v>15</v>
      </c>
      <c r="F3934" t="s">
        <v>15</v>
      </c>
      <c r="G3934" t="s">
        <v>17</v>
      </c>
      <c r="H3934" t="s">
        <v>23</v>
      </c>
      <c r="I3934">
        <v>100.06</v>
      </c>
      <c r="J3934">
        <v>28.6</v>
      </c>
      <c r="K3934" t="s">
        <v>25</v>
      </c>
      <c r="L3934" t="s">
        <v>15</v>
      </c>
    </row>
    <row r="3935" spans="1:12" x14ac:dyDescent="0.3">
      <c r="A3935">
        <v>50845</v>
      </c>
      <c r="B3935" t="s">
        <v>13</v>
      </c>
      <c r="C3935">
        <v>32</v>
      </c>
      <c r="D3935" t="s">
        <v>15</v>
      </c>
      <c r="E3935" t="s">
        <v>15</v>
      </c>
      <c r="F3935" t="s">
        <v>16</v>
      </c>
      <c r="G3935" t="s">
        <v>19</v>
      </c>
      <c r="H3935" t="s">
        <v>22</v>
      </c>
      <c r="I3935">
        <v>101.13</v>
      </c>
      <c r="J3935">
        <v>43.9</v>
      </c>
      <c r="K3935" t="s">
        <v>24</v>
      </c>
      <c r="L3935" t="s">
        <v>15</v>
      </c>
    </row>
    <row r="3936" spans="1:12" x14ac:dyDescent="0.3">
      <c r="A3936">
        <v>44628</v>
      </c>
      <c r="B3936" t="s">
        <v>13</v>
      </c>
      <c r="C3936">
        <v>38</v>
      </c>
      <c r="D3936" t="s">
        <v>15</v>
      </c>
      <c r="E3936" t="s">
        <v>15</v>
      </c>
      <c r="F3936" t="s">
        <v>16</v>
      </c>
      <c r="G3936" t="s">
        <v>17</v>
      </c>
      <c r="H3936" t="s">
        <v>23</v>
      </c>
      <c r="I3936">
        <v>91.09</v>
      </c>
      <c r="J3936">
        <v>22.2</v>
      </c>
      <c r="K3936" t="s">
        <v>25</v>
      </c>
      <c r="L3936" t="s">
        <v>15</v>
      </c>
    </row>
    <row r="3937" spans="1:12" x14ac:dyDescent="0.3">
      <c r="A3937">
        <v>38951</v>
      </c>
      <c r="B3937" t="s">
        <v>13</v>
      </c>
      <c r="C3937">
        <v>50</v>
      </c>
      <c r="D3937" t="s">
        <v>15</v>
      </c>
      <c r="E3937" t="s">
        <v>15</v>
      </c>
      <c r="F3937" t="s">
        <v>16</v>
      </c>
      <c r="G3937" t="s">
        <v>18</v>
      </c>
      <c r="H3937" t="s">
        <v>23</v>
      </c>
      <c r="I3937">
        <v>61.54</v>
      </c>
      <c r="J3937">
        <v>28.4</v>
      </c>
      <c r="K3937" t="s">
        <v>27</v>
      </c>
      <c r="L3937" t="s">
        <v>15</v>
      </c>
    </row>
    <row r="3938" spans="1:12" x14ac:dyDescent="0.3">
      <c r="A3938">
        <v>52792</v>
      </c>
      <c r="B3938" t="s">
        <v>13</v>
      </c>
      <c r="C3938">
        <v>39</v>
      </c>
      <c r="D3938" t="s">
        <v>15</v>
      </c>
      <c r="E3938" t="s">
        <v>15</v>
      </c>
      <c r="F3938" t="s">
        <v>16</v>
      </c>
      <c r="G3938" t="s">
        <v>17</v>
      </c>
      <c r="H3938" t="s">
        <v>22</v>
      </c>
      <c r="I3938">
        <v>62.02</v>
      </c>
      <c r="J3938">
        <v>23.7</v>
      </c>
      <c r="K3938" t="s">
        <v>26</v>
      </c>
      <c r="L3938" t="s">
        <v>15</v>
      </c>
    </row>
    <row r="3939" spans="1:12" x14ac:dyDescent="0.3">
      <c r="A3939">
        <v>27675</v>
      </c>
      <c r="B3939" t="s">
        <v>13</v>
      </c>
      <c r="C3939">
        <v>7</v>
      </c>
      <c r="D3939" t="s">
        <v>15</v>
      </c>
      <c r="E3939" t="s">
        <v>15</v>
      </c>
      <c r="F3939" t="s">
        <v>15</v>
      </c>
      <c r="G3939" t="s">
        <v>20</v>
      </c>
      <c r="H3939" t="s">
        <v>22</v>
      </c>
      <c r="I3939">
        <v>103.11</v>
      </c>
      <c r="J3939">
        <v>18.3</v>
      </c>
      <c r="K3939" t="s">
        <v>27</v>
      </c>
      <c r="L3939" t="s">
        <v>15</v>
      </c>
    </row>
    <row r="3940" spans="1:12" x14ac:dyDescent="0.3">
      <c r="A3940">
        <v>6903</v>
      </c>
      <c r="B3940" t="s">
        <v>13</v>
      </c>
      <c r="C3940">
        <v>15</v>
      </c>
      <c r="D3940" t="s">
        <v>15</v>
      </c>
      <c r="E3940" t="s">
        <v>15</v>
      </c>
      <c r="F3940" t="s">
        <v>15</v>
      </c>
      <c r="G3940" t="s">
        <v>20</v>
      </c>
      <c r="H3940" t="s">
        <v>23</v>
      </c>
      <c r="I3940">
        <v>77.569999999999993</v>
      </c>
      <c r="J3940">
        <v>18.3</v>
      </c>
      <c r="K3940" t="s">
        <v>27</v>
      </c>
      <c r="L3940" t="s">
        <v>15</v>
      </c>
    </row>
    <row r="3941" spans="1:12" x14ac:dyDescent="0.3">
      <c r="A3941">
        <v>35463</v>
      </c>
      <c r="B3941" t="s">
        <v>12</v>
      </c>
      <c r="C3941">
        <v>67</v>
      </c>
      <c r="D3941" t="s">
        <v>15</v>
      </c>
      <c r="E3941" t="s">
        <v>15</v>
      </c>
      <c r="F3941" t="s">
        <v>16</v>
      </c>
      <c r="G3941" t="s">
        <v>17</v>
      </c>
      <c r="H3941" t="s">
        <v>22</v>
      </c>
      <c r="I3941">
        <v>97.34</v>
      </c>
      <c r="J3941">
        <v>28.9</v>
      </c>
      <c r="K3941" t="s">
        <v>25</v>
      </c>
      <c r="L3941" t="s">
        <v>15</v>
      </c>
    </row>
    <row r="3942" spans="1:12" x14ac:dyDescent="0.3">
      <c r="A3942">
        <v>172</v>
      </c>
      <c r="B3942" t="s">
        <v>12</v>
      </c>
      <c r="C3942">
        <v>8</v>
      </c>
      <c r="D3942" t="s">
        <v>15</v>
      </c>
      <c r="E3942" t="s">
        <v>15</v>
      </c>
      <c r="F3942" t="s">
        <v>15</v>
      </c>
      <c r="G3942" t="s">
        <v>20</v>
      </c>
      <c r="H3942" t="s">
        <v>22</v>
      </c>
      <c r="I3942">
        <v>78.760000000000005</v>
      </c>
      <c r="K3942" t="s">
        <v>27</v>
      </c>
      <c r="L3942" t="s">
        <v>15</v>
      </c>
    </row>
    <row r="3943" spans="1:12" x14ac:dyDescent="0.3">
      <c r="A3943">
        <v>16876</v>
      </c>
      <c r="B3943" t="s">
        <v>13</v>
      </c>
      <c r="C3943">
        <v>32</v>
      </c>
      <c r="D3943" t="s">
        <v>15</v>
      </c>
      <c r="E3943" t="s">
        <v>15</v>
      </c>
      <c r="F3943" t="s">
        <v>16</v>
      </c>
      <c r="G3943" t="s">
        <v>17</v>
      </c>
      <c r="H3943" t="s">
        <v>23</v>
      </c>
      <c r="I3943">
        <v>67.099999999999994</v>
      </c>
      <c r="J3943">
        <v>27.1</v>
      </c>
      <c r="K3943" t="s">
        <v>27</v>
      </c>
      <c r="L3943" t="s">
        <v>15</v>
      </c>
    </row>
    <row r="3944" spans="1:12" x14ac:dyDescent="0.3">
      <c r="A3944">
        <v>60926</v>
      </c>
      <c r="B3944" t="s">
        <v>12</v>
      </c>
      <c r="C3944">
        <v>5</v>
      </c>
      <c r="D3944" t="s">
        <v>15</v>
      </c>
      <c r="E3944" t="s">
        <v>15</v>
      </c>
      <c r="F3944" t="s">
        <v>15</v>
      </c>
      <c r="G3944" t="s">
        <v>20</v>
      </c>
      <c r="H3944" t="s">
        <v>22</v>
      </c>
      <c r="I3944">
        <v>79.89</v>
      </c>
      <c r="J3944">
        <v>13.8</v>
      </c>
      <c r="K3944" t="s">
        <v>27</v>
      </c>
      <c r="L3944" t="s">
        <v>15</v>
      </c>
    </row>
    <row r="3945" spans="1:12" x14ac:dyDescent="0.3">
      <c r="A3945">
        <v>21333</v>
      </c>
      <c r="B3945" t="s">
        <v>12</v>
      </c>
      <c r="C3945">
        <v>56</v>
      </c>
      <c r="D3945" t="s">
        <v>16</v>
      </c>
      <c r="E3945" t="s">
        <v>15</v>
      </c>
      <c r="F3945" t="s">
        <v>16</v>
      </c>
      <c r="G3945" t="s">
        <v>17</v>
      </c>
      <c r="H3945" t="s">
        <v>23</v>
      </c>
      <c r="I3945">
        <v>206.66</v>
      </c>
      <c r="J3945">
        <v>21.9</v>
      </c>
      <c r="K3945" t="s">
        <v>26</v>
      </c>
      <c r="L3945" t="s">
        <v>15</v>
      </c>
    </row>
    <row r="3946" spans="1:12" x14ac:dyDescent="0.3">
      <c r="A3946">
        <v>69183</v>
      </c>
      <c r="B3946" t="s">
        <v>12</v>
      </c>
      <c r="C3946">
        <v>49</v>
      </c>
      <c r="D3946" t="s">
        <v>15</v>
      </c>
      <c r="E3946" t="s">
        <v>15</v>
      </c>
      <c r="F3946" t="s">
        <v>15</v>
      </c>
      <c r="G3946" t="s">
        <v>17</v>
      </c>
      <c r="H3946" t="s">
        <v>22</v>
      </c>
      <c r="I3946">
        <v>95.79</v>
      </c>
      <c r="J3946">
        <v>24</v>
      </c>
      <c r="K3946" t="s">
        <v>27</v>
      </c>
      <c r="L3946" t="s">
        <v>15</v>
      </c>
    </row>
    <row r="3947" spans="1:12" x14ac:dyDescent="0.3">
      <c r="A3947">
        <v>2313</v>
      </c>
      <c r="B3947" t="s">
        <v>13</v>
      </c>
      <c r="C3947">
        <v>75</v>
      </c>
      <c r="D3947" t="s">
        <v>15</v>
      </c>
      <c r="E3947" t="s">
        <v>16</v>
      </c>
      <c r="F3947" t="s">
        <v>16</v>
      </c>
      <c r="G3947" t="s">
        <v>18</v>
      </c>
      <c r="H3947" t="s">
        <v>22</v>
      </c>
      <c r="I3947">
        <v>83.88</v>
      </c>
      <c r="K3947" t="s">
        <v>26</v>
      </c>
      <c r="L3947" t="s">
        <v>15</v>
      </c>
    </row>
    <row r="3948" spans="1:12" x14ac:dyDescent="0.3">
      <c r="A3948">
        <v>8041</v>
      </c>
      <c r="B3948" t="s">
        <v>13</v>
      </c>
      <c r="C3948">
        <v>11</v>
      </c>
      <c r="D3948" t="s">
        <v>15</v>
      </c>
      <c r="E3948" t="s">
        <v>15</v>
      </c>
      <c r="F3948" t="s">
        <v>15</v>
      </c>
      <c r="G3948" t="s">
        <v>20</v>
      </c>
      <c r="H3948" t="s">
        <v>23</v>
      </c>
      <c r="I3948">
        <v>93.51</v>
      </c>
      <c r="J3948">
        <v>20.8</v>
      </c>
      <c r="K3948" t="s">
        <v>27</v>
      </c>
      <c r="L3948" t="s">
        <v>15</v>
      </c>
    </row>
    <row r="3949" spans="1:12" x14ac:dyDescent="0.3">
      <c r="A3949">
        <v>68171</v>
      </c>
      <c r="B3949" t="s">
        <v>12</v>
      </c>
      <c r="C3949">
        <v>61</v>
      </c>
      <c r="D3949" t="s">
        <v>15</v>
      </c>
      <c r="E3949" t="s">
        <v>15</v>
      </c>
      <c r="F3949" t="s">
        <v>16</v>
      </c>
      <c r="G3949" t="s">
        <v>18</v>
      </c>
      <c r="H3949" t="s">
        <v>22</v>
      </c>
      <c r="I3949">
        <v>116.78</v>
      </c>
      <c r="J3949">
        <v>39.799999999999997</v>
      </c>
      <c r="K3949" t="s">
        <v>24</v>
      </c>
      <c r="L3949" t="s">
        <v>15</v>
      </c>
    </row>
    <row r="3950" spans="1:12" x14ac:dyDescent="0.3">
      <c r="A3950">
        <v>27948</v>
      </c>
      <c r="B3950" t="s">
        <v>12</v>
      </c>
      <c r="C3950">
        <v>76</v>
      </c>
      <c r="D3950" t="s">
        <v>15</v>
      </c>
      <c r="E3950" t="s">
        <v>15</v>
      </c>
      <c r="F3950" t="s">
        <v>16</v>
      </c>
      <c r="G3950" t="s">
        <v>18</v>
      </c>
      <c r="H3950" t="s">
        <v>23</v>
      </c>
      <c r="I3950">
        <v>117.63</v>
      </c>
      <c r="J3950">
        <v>26.2</v>
      </c>
      <c r="K3950" t="s">
        <v>25</v>
      </c>
      <c r="L3950" t="s">
        <v>15</v>
      </c>
    </row>
    <row r="3951" spans="1:12" x14ac:dyDescent="0.3">
      <c r="A3951">
        <v>45673</v>
      </c>
      <c r="B3951" t="s">
        <v>13</v>
      </c>
      <c r="C3951">
        <v>34</v>
      </c>
      <c r="D3951" t="s">
        <v>15</v>
      </c>
      <c r="E3951" t="s">
        <v>15</v>
      </c>
      <c r="F3951" t="s">
        <v>16</v>
      </c>
      <c r="G3951" t="s">
        <v>17</v>
      </c>
      <c r="H3951" t="s">
        <v>23</v>
      </c>
      <c r="I3951">
        <v>60.01</v>
      </c>
      <c r="J3951">
        <v>43.9</v>
      </c>
      <c r="K3951" t="s">
        <v>27</v>
      </c>
      <c r="L3951" t="s">
        <v>15</v>
      </c>
    </row>
    <row r="3952" spans="1:12" x14ac:dyDescent="0.3">
      <c r="A3952">
        <v>50810</v>
      </c>
      <c r="B3952" t="s">
        <v>12</v>
      </c>
      <c r="C3952">
        <v>20</v>
      </c>
      <c r="D3952" t="s">
        <v>15</v>
      </c>
      <c r="E3952" t="s">
        <v>15</v>
      </c>
      <c r="F3952" t="s">
        <v>15</v>
      </c>
      <c r="G3952" t="s">
        <v>17</v>
      </c>
      <c r="H3952" t="s">
        <v>23</v>
      </c>
      <c r="I3952">
        <v>64.599999999999994</v>
      </c>
      <c r="J3952">
        <v>27.3</v>
      </c>
      <c r="K3952" t="s">
        <v>27</v>
      </c>
      <c r="L3952" t="s">
        <v>15</v>
      </c>
    </row>
    <row r="3953" spans="1:12" x14ac:dyDescent="0.3">
      <c r="A3953">
        <v>2467</v>
      </c>
      <c r="B3953" t="s">
        <v>13</v>
      </c>
      <c r="C3953">
        <v>79</v>
      </c>
      <c r="D3953" t="s">
        <v>16</v>
      </c>
      <c r="E3953" t="s">
        <v>15</v>
      </c>
      <c r="F3953" t="s">
        <v>16</v>
      </c>
      <c r="G3953" t="s">
        <v>18</v>
      </c>
      <c r="H3953" t="s">
        <v>23</v>
      </c>
      <c r="I3953">
        <v>92.43</v>
      </c>
      <c r="K3953" t="s">
        <v>25</v>
      </c>
      <c r="L3953" t="s">
        <v>15</v>
      </c>
    </row>
    <row r="3954" spans="1:12" x14ac:dyDescent="0.3">
      <c r="A3954">
        <v>64165</v>
      </c>
      <c r="B3954" t="s">
        <v>13</v>
      </c>
      <c r="C3954">
        <v>24</v>
      </c>
      <c r="D3954" t="s">
        <v>15</v>
      </c>
      <c r="E3954" t="s">
        <v>15</v>
      </c>
      <c r="F3954" t="s">
        <v>15</v>
      </c>
      <c r="G3954" t="s">
        <v>17</v>
      </c>
      <c r="H3954" t="s">
        <v>22</v>
      </c>
      <c r="I3954">
        <v>71.63</v>
      </c>
      <c r="J3954">
        <v>22</v>
      </c>
      <c r="K3954" t="s">
        <v>24</v>
      </c>
      <c r="L3954" t="s">
        <v>15</v>
      </c>
    </row>
    <row r="3955" spans="1:12" x14ac:dyDescent="0.3">
      <c r="A3955">
        <v>22352</v>
      </c>
      <c r="B3955" t="s">
        <v>13</v>
      </c>
      <c r="C3955">
        <v>39</v>
      </c>
      <c r="D3955" t="s">
        <v>15</v>
      </c>
      <c r="E3955" t="s">
        <v>15</v>
      </c>
      <c r="F3955" t="s">
        <v>16</v>
      </c>
      <c r="G3955" t="s">
        <v>18</v>
      </c>
      <c r="H3955" t="s">
        <v>22</v>
      </c>
      <c r="I3955">
        <v>87.79</v>
      </c>
      <c r="J3955">
        <v>40</v>
      </c>
      <c r="K3955" t="s">
        <v>24</v>
      </c>
      <c r="L3955" t="s">
        <v>15</v>
      </c>
    </row>
    <row r="3956" spans="1:12" x14ac:dyDescent="0.3">
      <c r="A3956">
        <v>62990</v>
      </c>
      <c r="B3956" t="s">
        <v>13</v>
      </c>
      <c r="C3956">
        <v>55</v>
      </c>
      <c r="D3956" t="s">
        <v>15</v>
      </c>
      <c r="E3956" t="s">
        <v>15</v>
      </c>
      <c r="F3956" t="s">
        <v>16</v>
      </c>
      <c r="G3956" t="s">
        <v>19</v>
      </c>
      <c r="H3956" t="s">
        <v>23</v>
      </c>
      <c r="I3956">
        <v>99.64</v>
      </c>
      <c r="J3956">
        <v>20.100000000000001</v>
      </c>
      <c r="K3956" t="s">
        <v>24</v>
      </c>
      <c r="L3956" t="s">
        <v>15</v>
      </c>
    </row>
    <row r="3957" spans="1:12" x14ac:dyDescent="0.3">
      <c r="A3957">
        <v>1737</v>
      </c>
      <c r="B3957" t="s">
        <v>13</v>
      </c>
      <c r="C3957">
        <v>16</v>
      </c>
      <c r="D3957" t="s">
        <v>15</v>
      </c>
      <c r="E3957" t="s">
        <v>15</v>
      </c>
      <c r="F3957" t="s">
        <v>15</v>
      </c>
      <c r="G3957" t="s">
        <v>17</v>
      </c>
      <c r="H3957" t="s">
        <v>23</v>
      </c>
      <c r="I3957">
        <v>86.53</v>
      </c>
      <c r="J3957">
        <v>42.2</v>
      </c>
      <c r="K3957" t="s">
        <v>25</v>
      </c>
      <c r="L3957" t="s">
        <v>15</v>
      </c>
    </row>
    <row r="3958" spans="1:12" x14ac:dyDescent="0.3">
      <c r="A3958">
        <v>26357</v>
      </c>
      <c r="B3958" t="s">
        <v>12</v>
      </c>
      <c r="C3958">
        <v>36</v>
      </c>
      <c r="D3958" t="s">
        <v>15</v>
      </c>
      <c r="E3958" t="s">
        <v>15</v>
      </c>
      <c r="F3958" t="s">
        <v>15</v>
      </c>
      <c r="G3958" t="s">
        <v>17</v>
      </c>
      <c r="H3958" t="s">
        <v>22</v>
      </c>
      <c r="I3958">
        <v>200.68</v>
      </c>
      <c r="J3958">
        <v>25.8</v>
      </c>
      <c r="K3958" t="s">
        <v>27</v>
      </c>
      <c r="L3958" t="s">
        <v>15</v>
      </c>
    </row>
    <row r="3959" spans="1:12" x14ac:dyDescent="0.3">
      <c r="A3959">
        <v>28013</v>
      </c>
      <c r="B3959" t="s">
        <v>13</v>
      </c>
      <c r="C3959">
        <v>38</v>
      </c>
      <c r="D3959" t="s">
        <v>15</v>
      </c>
      <c r="E3959" t="s">
        <v>15</v>
      </c>
      <c r="F3959" t="s">
        <v>16</v>
      </c>
      <c r="G3959" t="s">
        <v>18</v>
      </c>
      <c r="H3959" t="s">
        <v>22</v>
      </c>
      <c r="I3959">
        <v>98.37</v>
      </c>
      <c r="J3959">
        <v>27.2</v>
      </c>
      <c r="K3959" t="s">
        <v>25</v>
      </c>
      <c r="L3959" t="s">
        <v>15</v>
      </c>
    </row>
    <row r="3960" spans="1:12" x14ac:dyDescent="0.3">
      <c r="A3960">
        <v>24727</v>
      </c>
      <c r="B3960" t="s">
        <v>12</v>
      </c>
      <c r="C3960">
        <v>20</v>
      </c>
      <c r="D3960" t="s">
        <v>15</v>
      </c>
      <c r="E3960" t="s">
        <v>15</v>
      </c>
      <c r="F3960" t="s">
        <v>15</v>
      </c>
      <c r="G3960" t="s">
        <v>17</v>
      </c>
      <c r="H3960" t="s">
        <v>23</v>
      </c>
      <c r="I3960">
        <v>117.98</v>
      </c>
      <c r="J3960">
        <v>30.9</v>
      </c>
      <c r="K3960" t="s">
        <v>26</v>
      </c>
      <c r="L3960" t="s">
        <v>15</v>
      </c>
    </row>
    <row r="3961" spans="1:12" x14ac:dyDescent="0.3">
      <c r="A3961">
        <v>37608</v>
      </c>
      <c r="B3961" t="s">
        <v>13</v>
      </c>
      <c r="C3961">
        <v>38</v>
      </c>
      <c r="D3961" t="s">
        <v>15</v>
      </c>
      <c r="E3961" t="s">
        <v>15</v>
      </c>
      <c r="F3961" t="s">
        <v>15</v>
      </c>
      <c r="G3961" t="s">
        <v>17</v>
      </c>
      <c r="H3961" t="s">
        <v>22</v>
      </c>
      <c r="I3961">
        <v>218.6</v>
      </c>
      <c r="J3961">
        <v>47.9</v>
      </c>
      <c r="K3961" t="s">
        <v>24</v>
      </c>
      <c r="L3961" t="s">
        <v>15</v>
      </c>
    </row>
    <row r="3962" spans="1:12" x14ac:dyDescent="0.3">
      <c r="A3962">
        <v>13870</v>
      </c>
      <c r="B3962" t="s">
        <v>13</v>
      </c>
      <c r="C3962">
        <v>52</v>
      </c>
      <c r="D3962" t="s">
        <v>15</v>
      </c>
      <c r="E3962" t="s">
        <v>15</v>
      </c>
      <c r="F3962" t="s">
        <v>16</v>
      </c>
      <c r="G3962" t="s">
        <v>17</v>
      </c>
      <c r="H3962" t="s">
        <v>22</v>
      </c>
      <c r="I3962">
        <v>101.3</v>
      </c>
      <c r="J3962">
        <v>33.1</v>
      </c>
      <c r="K3962" t="s">
        <v>26</v>
      </c>
      <c r="L3962" t="s">
        <v>15</v>
      </c>
    </row>
    <row r="3963" spans="1:12" x14ac:dyDescent="0.3">
      <c r="A3963">
        <v>4655</v>
      </c>
      <c r="B3963" t="s">
        <v>12</v>
      </c>
      <c r="C3963">
        <v>49</v>
      </c>
      <c r="D3963" t="s">
        <v>15</v>
      </c>
      <c r="E3963" t="s">
        <v>15</v>
      </c>
      <c r="F3963" t="s">
        <v>16</v>
      </c>
      <c r="G3963" t="s">
        <v>17</v>
      </c>
      <c r="H3963" t="s">
        <v>22</v>
      </c>
      <c r="I3963">
        <v>79.510000000000005</v>
      </c>
      <c r="J3963">
        <v>37.799999999999997</v>
      </c>
      <c r="K3963" t="s">
        <v>25</v>
      </c>
      <c r="L3963" t="s">
        <v>15</v>
      </c>
    </row>
    <row r="3964" spans="1:12" x14ac:dyDescent="0.3">
      <c r="A3964">
        <v>55356</v>
      </c>
      <c r="B3964" t="s">
        <v>13</v>
      </c>
      <c r="C3964">
        <v>80</v>
      </c>
      <c r="D3964" t="s">
        <v>15</v>
      </c>
      <c r="E3964" t="s">
        <v>15</v>
      </c>
      <c r="F3964" t="s">
        <v>16</v>
      </c>
      <c r="G3964" t="s">
        <v>18</v>
      </c>
      <c r="H3964" t="s">
        <v>22</v>
      </c>
      <c r="I3964">
        <v>223.26</v>
      </c>
      <c r="J3964">
        <v>25.4</v>
      </c>
      <c r="K3964" t="s">
        <v>25</v>
      </c>
      <c r="L3964" t="s">
        <v>15</v>
      </c>
    </row>
    <row r="3965" spans="1:12" x14ac:dyDescent="0.3">
      <c r="A3965">
        <v>49400</v>
      </c>
      <c r="B3965" t="s">
        <v>12</v>
      </c>
      <c r="C3965">
        <v>75</v>
      </c>
      <c r="D3965" t="s">
        <v>15</v>
      </c>
      <c r="E3965" t="s">
        <v>15</v>
      </c>
      <c r="F3965" t="s">
        <v>16</v>
      </c>
      <c r="G3965" t="s">
        <v>17</v>
      </c>
      <c r="H3965" t="s">
        <v>23</v>
      </c>
      <c r="I3965">
        <v>97.22</v>
      </c>
      <c r="J3965">
        <v>28.4</v>
      </c>
      <c r="K3965" t="s">
        <v>25</v>
      </c>
      <c r="L3965" t="s">
        <v>15</v>
      </c>
    </row>
    <row r="3966" spans="1:12" x14ac:dyDescent="0.3">
      <c r="A3966">
        <v>38132</v>
      </c>
      <c r="B3966" t="s">
        <v>13</v>
      </c>
      <c r="C3966">
        <v>13</v>
      </c>
      <c r="D3966" t="s">
        <v>15</v>
      </c>
      <c r="E3966" t="s">
        <v>15</v>
      </c>
      <c r="F3966" t="s">
        <v>15</v>
      </c>
      <c r="G3966" t="s">
        <v>17</v>
      </c>
      <c r="H3966" t="s">
        <v>23</v>
      </c>
      <c r="I3966">
        <v>172.27</v>
      </c>
      <c r="J3966">
        <v>16.600000000000001</v>
      </c>
      <c r="K3966" t="s">
        <v>25</v>
      </c>
      <c r="L3966" t="s">
        <v>15</v>
      </c>
    </row>
    <row r="3967" spans="1:12" x14ac:dyDescent="0.3">
      <c r="A3967">
        <v>50136</v>
      </c>
      <c r="B3967" t="s">
        <v>13</v>
      </c>
      <c r="C3967">
        <v>54</v>
      </c>
      <c r="D3967" t="s">
        <v>16</v>
      </c>
      <c r="E3967" t="s">
        <v>15</v>
      </c>
      <c r="F3967" t="s">
        <v>16</v>
      </c>
      <c r="G3967" t="s">
        <v>17</v>
      </c>
      <c r="H3967" t="s">
        <v>22</v>
      </c>
      <c r="I3967">
        <v>221.83</v>
      </c>
      <c r="J3967">
        <v>35.1</v>
      </c>
      <c r="K3967" t="s">
        <v>26</v>
      </c>
      <c r="L3967" t="s">
        <v>15</v>
      </c>
    </row>
    <row r="3968" spans="1:12" x14ac:dyDescent="0.3">
      <c r="A3968">
        <v>3094</v>
      </c>
      <c r="B3968" t="s">
        <v>12</v>
      </c>
      <c r="C3968">
        <v>28</v>
      </c>
      <c r="D3968" t="s">
        <v>15</v>
      </c>
      <c r="E3968" t="s">
        <v>15</v>
      </c>
      <c r="F3968" t="s">
        <v>15</v>
      </c>
      <c r="G3968" t="s">
        <v>17</v>
      </c>
      <c r="H3968" t="s">
        <v>22</v>
      </c>
      <c r="I3968">
        <v>74.61</v>
      </c>
      <c r="J3968">
        <v>32.700000000000003</v>
      </c>
      <c r="K3968" t="s">
        <v>27</v>
      </c>
      <c r="L3968" t="s">
        <v>15</v>
      </c>
    </row>
    <row r="3969" spans="1:12" x14ac:dyDescent="0.3">
      <c r="A3969">
        <v>42727</v>
      </c>
      <c r="B3969" t="s">
        <v>13</v>
      </c>
      <c r="C3969">
        <v>61</v>
      </c>
      <c r="D3969" t="s">
        <v>15</v>
      </c>
      <c r="E3969" t="s">
        <v>15</v>
      </c>
      <c r="F3969" t="s">
        <v>16</v>
      </c>
      <c r="G3969" t="s">
        <v>17</v>
      </c>
      <c r="H3969" t="s">
        <v>23</v>
      </c>
      <c r="I3969">
        <v>60.91</v>
      </c>
      <c r="J3969">
        <v>29.8</v>
      </c>
      <c r="K3969" t="s">
        <v>27</v>
      </c>
      <c r="L3969" t="s">
        <v>15</v>
      </c>
    </row>
    <row r="3970" spans="1:12" x14ac:dyDescent="0.3">
      <c r="A3970">
        <v>41500</v>
      </c>
      <c r="B3970" t="s">
        <v>12</v>
      </c>
      <c r="C3970">
        <v>0.16</v>
      </c>
      <c r="D3970" t="s">
        <v>15</v>
      </c>
      <c r="E3970" t="s">
        <v>15</v>
      </c>
      <c r="F3970" t="s">
        <v>15</v>
      </c>
      <c r="G3970" t="s">
        <v>20</v>
      </c>
      <c r="H3970" t="s">
        <v>23</v>
      </c>
      <c r="I3970">
        <v>69.790000000000006</v>
      </c>
      <c r="J3970">
        <v>13</v>
      </c>
      <c r="K3970" t="s">
        <v>27</v>
      </c>
      <c r="L3970" t="s">
        <v>15</v>
      </c>
    </row>
    <row r="3971" spans="1:12" x14ac:dyDescent="0.3">
      <c r="A3971">
        <v>33185</v>
      </c>
      <c r="B3971" t="s">
        <v>12</v>
      </c>
      <c r="C3971">
        <v>59</v>
      </c>
      <c r="D3971" t="s">
        <v>15</v>
      </c>
      <c r="E3971" t="s">
        <v>15</v>
      </c>
      <c r="F3971" t="s">
        <v>15</v>
      </c>
      <c r="G3971" t="s">
        <v>19</v>
      </c>
      <c r="H3971" t="s">
        <v>22</v>
      </c>
      <c r="I3971">
        <v>83.6</v>
      </c>
      <c r="J3971">
        <v>27.5</v>
      </c>
      <c r="K3971" t="s">
        <v>24</v>
      </c>
      <c r="L3971" t="s">
        <v>15</v>
      </c>
    </row>
    <row r="3972" spans="1:12" x14ac:dyDescent="0.3">
      <c r="A3972">
        <v>7057</v>
      </c>
      <c r="B3972" t="s">
        <v>12</v>
      </c>
      <c r="C3972">
        <v>12</v>
      </c>
      <c r="D3972" t="s">
        <v>15</v>
      </c>
      <c r="E3972" t="s">
        <v>15</v>
      </c>
      <c r="F3972" t="s">
        <v>15</v>
      </c>
      <c r="G3972" t="s">
        <v>20</v>
      </c>
      <c r="H3972" t="s">
        <v>22</v>
      </c>
      <c r="I3972">
        <v>83.95</v>
      </c>
      <c r="J3972">
        <v>23.6</v>
      </c>
      <c r="K3972" t="s">
        <v>27</v>
      </c>
      <c r="L3972" t="s">
        <v>15</v>
      </c>
    </row>
    <row r="3973" spans="1:12" x14ac:dyDescent="0.3">
      <c r="A3973">
        <v>48244</v>
      </c>
      <c r="B3973" t="s">
        <v>13</v>
      </c>
      <c r="C3973">
        <v>38</v>
      </c>
      <c r="D3973" t="s">
        <v>15</v>
      </c>
      <c r="E3973" t="s">
        <v>15</v>
      </c>
      <c r="F3973" t="s">
        <v>15</v>
      </c>
      <c r="G3973" t="s">
        <v>17</v>
      </c>
      <c r="H3973" t="s">
        <v>23</v>
      </c>
      <c r="I3973">
        <v>77.5</v>
      </c>
      <c r="J3973">
        <v>36.9</v>
      </c>
      <c r="K3973" t="s">
        <v>26</v>
      </c>
      <c r="L3973" t="s">
        <v>15</v>
      </c>
    </row>
    <row r="3974" spans="1:12" x14ac:dyDescent="0.3">
      <c r="A3974">
        <v>69559</v>
      </c>
      <c r="B3974" t="s">
        <v>12</v>
      </c>
      <c r="C3974">
        <v>15</v>
      </c>
      <c r="D3974" t="s">
        <v>15</v>
      </c>
      <c r="E3974" t="s">
        <v>15</v>
      </c>
      <c r="F3974" t="s">
        <v>15</v>
      </c>
      <c r="G3974" t="s">
        <v>21</v>
      </c>
      <c r="H3974" t="s">
        <v>22</v>
      </c>
      <c r="I3974">
        <v>64.290000000000006</v>
      </c>
      <c r="J3974">
        <v>16.7</v>
      </c>
      <c r="K3974" t="s">
        <v>27</v>
      </c>
      <c r="L3974" t="s">
        <v>15</v>
      </c>
    </row>
    <row r="3975" spans="1:12" x14ac:dyDescent="0.3">
      <c r="A3975">
        <v>61757</v>
      </c>
      <c r="B3975" t="s">
        <v>12</v>
      </c>
      <c r="C3975">
        <v>31</v>
      </c>
      <c r="D3975" t="s">
        <v>15</v>
      </c>
      <c r="E3975" t="s">
        <v>15</v>
      </c>
      <c r="F3975" t="s">
        <v>16</v>
      </c>
      <c r="G3975" t="s">
        <v>18</v>
      </c>
      <c r="H3975" t="s">
        <v>23</v>
      </c>
      <c r="I3975">
        <v>61.1</v>
      </c>
      <c r="J3975">
        <v>26.5</v>
      </c>
      <c r="K3975" t="s">
        <v>25</v>
      </c>
      <c r="L3975" t="s">
        <v>15</v>
      </c>
    </row>
    <row r="3976" spans="1:12" x14ac:dyDescent="0.3">
      <c r="A3976">
        <v>10541</v>
      </c>
      <c r="B3976" t="s">
        <v>12</v>
      </c>
      <c r="C3976">
        <v>52</v>
      </c>
      <c r="D3976" t="s">
        <v>16</v>
      </c>
      <c r="E3976" t="s">
        <v>15</v>
      </c>
      <c r="F3976" t="s">
        <v>16</v>
      </c>
      <c r="G3976" t="s">
        <v>17</v>
      </c>
      <c r="H3976" t="s">
        <v>23</v>
      </c>
      <c r="I3976">
        <v>100.71</v>
      </c>
      <c r="J3976">
        <v>37</v>
      </c>
      <c r="K3976" t="s">
        <v>25</v>
      </c>
      <c r="L3976" t="s">
        <v>15</v>
      </c>
    </row>
    <row r="3977" spans="1:12" x14ac:dyDescent="0.3">
      <c r="A3977">
        <v>48169</v>
      </c>
      <c r="B3977" t="s">
        <v>13</v>
      </c>
      <c r="C3977">
        <v>61</v>
      </c>
      <c r="D3977" t="s">
        <v>15</v>
      </c>
      <c r="E3977" t="s">
        <v>15</v>
      </c>
      <c r="F3977" t="s">
        <v>16</v>
      </c>
      <c r="G3977" t="s">
        <v>18</v>
      </c>
      <c r="H3977" t="s">
        <v>22</v>
      </c>
      <c r="I3977">
        <v>65.209999999999994</v>
      </c>
      <c r="J3977">
        <v>27.7</v>
      </c>
      <c r="K3977" t="s">
        <v>27</v>
      </c>
      <c r="L3977" t="s">
        <v>15</v>
      </c>
    </row>
    <row r="3978" spans="1:12" x14ac:dyDescent="0.3">
      <c r="A3978">
        <v>64202</v>
      </c>
      <c r="B3978" t="s">
        <v>12</v>
      </c>
      <c r="C3978">
        <v>50</v>
      </c>
      <c r="D3978" t="s">
        <v>15</v>
      </c>
      <c r="E3978" t="s">
        <v>15</v>
      </c>
      <c r="F3978" t="s">
        <v>16</v>
      </c>
      <c r="G3978" t="s">
        <v>17</v>
      </c>
      <c r="H3978" t="s">
        <v>23</v>
      </c>
      <c r="I3978">
        <v>119.77</v>
      </c>
      <c r="J3978">
        <v>23.5</v>
      </c>
      <c r="K3978" t="s">
        <v>27</v>
      </c>
      <c r="L3978" t="s">
        <v>15</v>
      </c>
    </row>
    <row r="3979" spans="1:12" x14ac:dyDescent="0.3">
      <c r="A3979">
        <v>7069</v>
      </c>
      <c r="B3979" t="s">
        <v>13</v>
      </c>
      <c r="C3979">
        <v>41</v>
      </c>
      <c r="D3979" t="s">
        <v>15</v>
      </c>
      <c r="E3979" t="s">
        <v>15</v>
      </c>
      <c r="F3979" t="s">
        <v>16</v>
      </c>
      <c r="G3979" t="s">
        <v>17</v>
      </c>
      <c r="H3979" t="s">
        <v>23</v>
      </c>
      <c r="I3979">
        <v>102.39</v>
      </c>
      <c r="J3979">
        <v>40.4</v>
      </c>
      <c r="K3979" t="s">
        <v>24</v>
      </c>
      <c r="L3979" t="s">
        <v>15</v>
      </c>
    </row>
    <row r="3980" spans="1:12" x14ac:dyDescent="0.3">
      <c r="A3980">
        <v>52050</v>
      </c>
      <c r="B3980" t="s">
        <v>12</v>
      </c>
      <c r="C3980">
        <v>20</v>
      </c>
      <c r="D3980" t="s">
        <v>15</v>
      </c>
      <c r="E3980" t="s">
        <v>15</v>
      </c>
      <c r="F3980" t="s">
        <v>15</v>
      </c>
      <c r="G3980" t="s">
        <v>17</v>
      </c>
      <c r="H3980" t="s">
        <v>22</v>
      </c>
      <c r="I3980">
        <v>59.67</v>
      </c>
      <c r="J3980">
        <v>27.7</v>
      </c>
      <c r="K3980" t="s">
        <v>25</v>
      </c>
      <c r="L3980" t="s">
        <v>15</v>
      </c>
    </row>
    <row r="3981" spans="1:12" x14ac:dyDescent="0.3">
      <c r="A3981">
        <v>31692</v>
      </c>
      <c r="B3981" t="s">
        <v>12</v>
      </c>
      <c r="C3981">
        <v>67</v>
      </c>
      <c r="D3981" t="s">
        <v>15</v>
      </c>
      <c r="E3981" t="s">
        <v>15</v>
      </c>
      <c r="F3981" t="s">
        <v>16</v>
      </c>
      <c r="G3981" t="s">
        <v>17</v>
      </c>
      <c r="H3981" t="s">
        <v>23</v>
      </c>
      <c r="I3981">
        <v>83.16</v>
      </c>
      <c r="J3981">
        <v>28.3</v>
      </c>
      <c r="K3981" t="s">
        <v>25</v>
      </c>
      <c r="L3981" t="s">
        <v>15</v>
      </c>
    </row>
    <row r="3982" spans="1:12" x14ac:dyDescent="0.3">
      <c r="A3982">
        <v>11192</v>
      </c>
      <c r="B3982" t="s">
        <v>13</v>
      </c>
      <c r="C3982">
        <v>45</v>
      </c>
      <c r="D3982" t="s">
        <v>15</v>
      </c>
      <c r="E3982" t="s">
        <v>15</v>
      </c>
      <c r="F3982" t="s">
        <v>16</v>
      </c>
      <c r="G3982" t="s">
        <v>17</v>
      </c>
      <c r="H3982" t="s">
        <v>23</v>
      </c>
      <c r="I3982">
        <v>218.1</v>
      </c>
      <c r="J3982">
        <v>55</v>
      </c>
      <c r="K3982" t="s">
        <v>26</v>
      </c>
      <c r="L3982" t="s">
        <v>15</v>
      </c>
    </row>
    <row r="3983" spans="1:12" x14ac:dyDescent="0.3">
      <c r="A3983">
        <v>69404</v>
      </c>
      <c r="B3983" t="s">
        <v>12</v>
      </c>
      <c r="C3983">
        <v>73</v>
      </c>
      <c r="D3983" t="s">
        <v>15</v>
      </c>
      <c r="E3983" t="s">
        <v>15</v>
      </c>
      <c r="F3983" t="s">
        <v>16</v>
      </c>
      <c r="G3983" t="s">
        <v>19</v>
      </c>
      <c r="H3983" t="s">
        <v>23</v>
      </c>
      <c r="I3983">
        <v>76.45</v>
      </c>
      <c r="J3983">
        <v>28.7</v>
      </c>
      <c r="K3983" t="s">
        <v>27</v>
      </c>
      <c r="L3983" t="s">
        <v>15</v>
      </c>
    </row>
    <row r="3984" spans="1:12" x14ac:dyDescent="0.3">
      <c r="A3984">
        <v>42700</v>
      </c>
      <c r="B3984" t="s">
        <v>13</v>
      </c>
      <c r="C3984">
        <v>52</v>
      </c>
      <c r="D3984" t="s">
        <v>15</v>
      </c>
      <c r="E3984" t="s">
        <v>15</v>
      </c>
      <c r="F3984" t="s">
        <v>16</v>
      </c>
      <c r="G3984" t="s">
        <v>17</v>
      </c>
      <c r="H3984" t="s">
        <v>23</v>
      </c>
      <c r="I3984">
        <v>200.46</v>
      </c>
      <c r="J3984">
        <v>25</v>
      </c>
      <c r="K3984" t="s">
        <v>27</v>
      </c>
      <c r="L3984" t="s">
        <v>15</v>
      </c>
    </row>
    <row r="3985" spans="1:12" x14ac:dyDescent="0.3">
      <c r="A3985">
        <v>7638</v>
      </c>
      <c r="B3985" t="s">
        <v>13</v>
      </c>
      <c r="C3985">
        <v>51</v>
      </c>
      <c r="D3985" t="s">
        <v>15</v>
      </c>
      <c r="E3985" t="s">
        <v>15</v>
      </c>
      <c r="F3985" t="s">
        <v>16</v>
      </c>
      <c r="G3985" t="s">
        <v>17</v>
      </c>
      <c r="H3985" t="s">
        <v>22</v>
      </c>
      <c r="I3985">
        <v>95.7</v>
      </c>
      <c r="J3985">
        <v>24.8</v>
      </c>
      <c r="K3985" t="s">
        <v>24</v>
      </c>
      <c r="L3985" t="s">
        <v>15</v>
      </c>
    </row>
    <row r="3986" spans="1:12" x14ac:dyDescent="0.3">
      <c r="A3986">
        <v>7298</v>
      </c>
      <c r="B3986" t="s">
        <v>13</v>
      </c>
      <c r="C3986">
        <v>56</v>
      </c>
      <c r="D3986" t="s">
        <v>15</v>
      </c>
      <c r="E3986" t="s">
        <v>15</v>
      </c>
      <c r="F3986" t="s">
        <v>16</v>
      </c>
      <c r="G3986" t="s">
        <v>18</v>
      </c>
      <c r="H3986" t="s">
        <v>23</v>
      </c>
      <c r="I3986">
        <v>70.23</v>
      </c>
      <c r="J3986">
        <v>35.5</v>
      </c>
      <c r="K3986" t="s">
        <v>25</v>
      </c>
      <c r="L3986" t="s">
        <v>15</v>
      </c>
    </row>
    <row r="3987" spans="1:12" x14ac:dyDescent="0.3">
      <c r="A3987">
        <v>43615</v>
      </c>
      <c r="B3987" t="s">
        <v>13</v>
      </c>
      <c r="C3987">
        <v>49</v>
      </c>
      <c r="D3987" t="s">
        <v>15</v>
      </c>
      <c r="E3987" t="s">
        <v>15</v>
      </c>
      <c r="F3987" t="s">
        <v>16</v>
      </c>
      <c r="G3987" t="s">
        <v>18</v>
      </c>
      <c r="H3987" t="s">
        <v>22</v>
      </c>
      <c r="I3987">
        <v>75.150000000000006</v>
      </c>
      <c r="J3987">
        <v>25</v>
      </c>
      <c r="K3987" t="s">
        <v>27</v>
      </c>
      <c r="L3987" t="s">
        <v>15</v>
      </c>
    </row>
    <row r="3988" spans="1:12" x14ac:dyDescent="0.3">
      <c r="A3988">
        <v>18134</v>
      </c>
      <c r="B3988" t="s">
        <v>12</v>
      </c>
      <c r="C3988">
        <v>10</v>
      </c>
      <c r="D3988" t="s">
        <v>15</v>
      </c>
      <c r="E3988" t="s">
        <v>15</v>
      </c>
      <c r="F3988" t="s">
        <v>15</v>
      </c>
      <c r="G3988" t="s">
        <v>20</v>
      </c>
      <c r="H3988" t="s">
        <v>23</v>
      </c>
      <c r="I3988">
        <v>95.8</v>
      </c>
      <c r="J3988">
        <v>17.3</v>
      </c>
      <c r="K3988" t="s">
        <v>27</v>
      </c>
      <c r="L3988" t="s">
        <v>15</v>
      </c>
    </row>
    <row r="3989" spans="1:12" x14ac:dyDescent="0.3">
      <c r="A3989">
        <v>19324</v>
      </c>
      <c r="B3989" t="s">
        <v>13</v>
      </c>
      <c r="C3989">
        <v>51</v>
      </c>
      <c r="D3989" t="s">
        <v>15</v>
      </c>
      <c r="E3989" t="s">
        <v>15</v>
      </c>
      <c r="F3989" t="s">
        <v>16</v>
      </c>
      <c r="G3989" t="s">
        <v>19</v>
      </c>
      <c r="H3989" t="s">
        <v>22</v>
      </c>
      <c r="I3989">
        <v>90.67</v>
      </c>
      <c r="J3989">
        <v>37.799999999999997</v>
      </c>
      <c r="K3989" t="s">
        <v>27</v>
      </c>
      <c r="L3989" t="s">
        <v>15</v>
      </c>
    </row>
    <row r="3990" spans="1:12" x14ac:dyDescent="0.3">
      <c r="A3990">
        <v>18827</v>
      </c>
      <c r="B3990" t="s">
        <v>12</v>
      </c>
      <c r="C3990">
        <v>57</v>
      </c>
      <c r="D3990" t="s">
        <v>15</v>
      </c>
      <c r="E3990" t="s">
        <v>15</v>
      </c>
      <c r="F3990" t="s">
        <v>16</v>
      </c>
      <c r="G3990" t="s">
        <v>18</v>
      </c>
      <c r="H3990" t="s">
        <v>23</v>
      </c>
      <c r="I3990">
        <v>84.79</v>
      </c>
      <c r="J3990">
        <v>32.799999999999997</v>
      </c>
      <c r="K3990" t="s">
        <v>24</v>
      </c>
      <c r="L3990" t="s">
        <v>15</v>
      </c>
    </row>
    <row r="3991" spans="1:12" x14ac:dyDescent="0.3">
      <c r="A3991">
        <v>68291</v>
      </c>
      <c r="B3991" t="s">
        <v>12</v>
      </c>
      <c r="C3991">
        <v>76</v>
      </c>
      <c r="D3991" t="s">
        <v>15</v>
      </c>
      <c r="E3991" t="s">
        <v>15</v>
      </c>
      <c r="F3991" t="s">
        <v>16</v>
      </c>
      <c r="G3991" t="s">
        <v>17</v>
      </c>
      <c r="H3991" t="s">
        <v>22</v>
      </c>
      <c r="I3991">
        <v>147.5</v>
      </c>
      <c r="J3991">
        <v>28.7</v>
      </c>
      <c r="K3991" t="s">
        <v>27</v>
      </c>
      <c r="L3991" t="s">
        <v>15</v>
      </c>
    </row>
    <row r="3992" spans="1:12" x14ac:dyDescent="0.3">
      <c r="A3992">
        <v>70661</v>
      </c>
      <c r="B3992" t="s">
        <v>13</v>
      </c>
      <c r="C3992">
        <v>28</v>
      </c>
      <c r="D3992" t="s">
        <v>15</v>
      </c>
      <c r="E3992" t="s">
        <v>15</v>
      </c>
      <c r="F3992" t="s">
        <v>15</v>
      </c>
      <c r="G3992" t="s">
        <v>17</v>
      </c>
      <c r="H3992" t="s">
        <v>23</v>
      </c>
      <c r="I3992">
        <v>134.12</v>
      </c>
      <c r="J3992">
        <v>28.8</v>
      </c>
      <c r="K3992" t="s">
        <v>24</v>
      </c>
      <c r="L3992" t="s">
        <v>15</v>
      </c>
    </row>
    <row r="3993" spans="1:12" x14ac:dyDescent="0.3">
      <c r="A3993">
        <v>6019</v>
      </c>
      <c r="B3993" t="s">
        <v>13</v>
      </c>
      <c r="C3993">
        <v>57</v>
      </c>
      <c r="D3993" t="s">
        <v>15</v>
      </c>
      <c r="E3993" t="s">
        <v>15</v>
      </c>
      <c r="F3993" t="s">
        <v>16</v>
      </c>
      <c r="G3993" t="s">
        <v>17</v>
      </c>
      <c r="H3993" t="s">
        <v>22</v>
      </c>
      <c r="I3993">
        <v>82.62</v>
      </c>
      <c r="J3993">
        <v>28.4</v>
      </c>
      <c r="K3993" t="s">
        <v>25</v>
      </c>
      <c r="L3993" t="s">
        <v>15</v>
      </c>
    </row>
    <row r="3994" spans="1:12" x14ac:dyDescent="0.3">
      <c r="A3994">
        <v>56616</v>
      </c>
      <c r="B3994" t="s">
        <v>12</v>
      </c>
      <c r="C3994">
        <v>39</v>
      </c>
      <c r="D3994" t="s">
        <v>15</v>
      </c>
      <c r="E3994" t="s">
        <v>15</v>
      </c>
      <c r="F3994" t="s">
        <v>16</v>
      </c>
      <c r="G3994" t="s">
        <v>17</v>
      </c>
      <c r="H3994" t="s">
        <v>23</v>
      </c>
      <c r="I3994">
        <v>125.11</v>
      </c>
      <c r="J3994">
        <v>24.9</v>
      </c>
      <c r="K3994" t="s">
        <v>24</v>
      </c>
      <c r="L3994" t="s">
        <v>15</v>
      </c>
    </row>
    <row r="3995" spans="1:12" x14ac:dyDescent="0.3">
      <c r="A3995">
        <v>14399</v>
      </c>
      <c r="B3995" t="s">
        <v>13</v>
      </c>
      <c r="C3995">
        <v>41</v>
      </c>
      <c r="D3995" t="s">
        <v>15</v>
      </c>
      <c r="E3995" t="s">
        <v>15</v>
      </c>
      <c r="F3995" t="s">
        <v>16</v>
      </c>
      <c r="G3995" t="s">
        <v>17</v>
      </c>
      <c r="H3995" t="s">
        <v>22</v>
      </c>
      <c r="I3995">
        <v>92.14</v>
      </c>
      <c r="J3995">
        <v>29.6</v>
      </c>
      <c r="K3995" t="s">
        <v>24</v>
      </c>
      <c r="L3995" t="s">
        <v>15</v>
      </c>
    </row>
    <row r="3996" spans="1:12" x14ac:dyDescent="0.3">
      <c r="A3996">
        <v>8009</v>
      </c>
      <c r="B3996" t="s">
        <v>13</v>
      </c>
      <c r="C3996">
        <v>72</v>
      </c>
      <c r="D3996" t="s">
        <v>16</v>
      </c>
      <c r="E3996" t="s">
        <v>16</v>
      </c>
      <c r="F3996" t="s">
        <v>16</v>
      </c>
      <c r="G3996" t="s">
        <v>17</v>
      </c>
      <c r="H3996" t="s">
        <v>22</v>
      </c>
      <c r="I3996">
        <v>217.79</v>
      </c>
      <c r="J3996">
        <v>26.1</v>
      </c>
      <c r="K3996" t="s">
        <v>24</v>
      </c>
      <c r="L3996" t="s">
        <v>15</v>
      </c>
    </row>
    <row r="3997" spans="1:12" x14ac:dyDescent="0.3">
      <c r="A3997">
        <v>30961</v>
      </c>
      <c r="B3997" t="s">
        <v>12</v>
      </c>
      <c r="C3997">
        <v>45</v>
      </c>
      <c r="D3997" t="s">
        <v>15</v>
      </c>
      <c r="E3997" t="s">
        <v>15</v>
      </c>
      <c r="F3997" t="s">
        <v>16</v>
      </c>
      <c r="G3997" t="s">
        <v>17</v>
      </c>
      <c r="H3997" t="s">
        <v>23</v>
      </c>
      <c r="I3997">
        <v>95.62</v>
      </c>
      <c r="J3997">
        <v>29.5</v>
      </c>
      <c r="K3997" t="s">
        <v>26</v>
      </c>
      <c r="L3997" t="s">
        <v>15</v>
      </c>
    </row>
    <row r="3998" spans="1:12" x14ac:dyDescent="0.3">
      <c r="A3998">
        <v>24201</v>
      </c>
      <c r="B3998" t="s">
        <v>12</v>
      </c>
      <c r="C3998">
        <v>33</v>
      </c>
      <c r="D3998" t="s">
        <v>15</v>
      </c>
      <c r="E3998" t="s">
        <v>15</v>
      </c>
      <c r="F3998" t="s">
        <v>16</v>
      </c>
      <c r="G3998" t="s">
        <v>17</v>
      </c>
      <c r="H3998" t="s">
        <v>23</v>
      </c>
      <c r="I3998">
        <v>93.8</v>
      </c>
      <c r="J3998">
        <v>23.9</v>
      </c>
      <c r="K3998" t="s">
        <v>25</v>
      </c>
      <c r="L3998" t="s">
        <v>15</v>
      </c>
    </row>
    <row r="3999" spans="1:12" x14ac:dyDescent="0.3">
      <c r="A3999">
        <v>18032</v>
      </c>
      <c r="B3999" t="s">
        <v>12</v>
      </c>
      <c r="C3999">
        <v>62</v>
      </c>
      <c r="D3999" t="s">
        <v>15</v>
      </c>
      <c r="E3999" t="s">
        <v>16</v>
      </c>
      <c r="F3999" t="s">
        <v>16</v>
      </c>
      <c r="G3999" t="s">
        <v>17</v>
      </c>
      <c r="H3999" t="s">
        <v>23</v>
      </c>
      <c r="I3999">
        <v>90.61</v>
      </c>
      <c r="J3999">
        <v>25.8</v>
      </c>
      <c r="K3999" t="s">
        <v>26</v>
      </c>
      <c r="L3999" t="s">
        <v>15</v>
      </c>
    </row>
    <row r="4000" spans="1:12" x14ac:dyDescent="0.3">
      <c r="A4000">
        <v>62396</v>
      </c>
      <c r="B4000" t="s">
        <v>13</v>
      </c>
      <c r="C4000">
        <v>27</v>
      </c>
      <c r="D4000" t="s">
        <v>15</v>
      </c>
      <c r="E4000" t="s">
        <v>15</v>
      </c>
      <c r="F4000" t="s">
        <v>16</v>
      </c>
      <c r="G4000" t="s">
        <v>17</v>
      </c>
      <c r="H4000" t="s">
        <v>22</v>
      </c>
      <c r="I4000">
        <v>139.19999999999999</v>
      </c>
      <c r="J4000">
        <v>36.200000000000003</v>
      </c>
      <c r="K4000" t="s">
        <v>25</v>
      </c>
      <c r="L4000" t="s">
        <v>15</v>
      </c>
    </row>
    <row r="4001" spans="1:12" x14ac:dyDescent="0.3">
      <c r="A4001">
        <v>67055</v>
      </c>
      <c r="B4001" t="s">
        <v>13</v>
      </c>
      <c r="C4001">
        <v>31</v>
      </c>
      <c r="D4001" t="s">
        <v>15</v>
      </c>
      <c r="E4001" t="s">
        <v>15</v>
      </c>
      <c r="F4001" t="s">
        <v>16</v>
      </c>
      <c r="G4001" t="s">
        <v>17</v>
      </c>
      <c r="H4001" t="s">
        <v>23</v>
      </c>
      <c r="I4001">
        <v>77.010000000000005</v>
      </c>
      <c r="J4001">
        <v>31.3</v>
      </c>
      <c r="K4001" t="s">
        <v>24</v>
      </c>
      <c r="L4001" t="s">
        <v>15</v>
      </c>
    </row>
    <row r="4002" spans="1:12" x14ac:dyDescent="0.3">
      <c r="A4002">
        <v>51024</v>
      </c>
      <c r="B4002" t="s">
        <v>13</v>
      </c>
      <c r="C4002">
        <v>24</v>
      </c>
      <c r="D4002" t="s">
        <v>15</v>
      </c>
      <c r="E4002" t="s">
        <v>15</v>
      </c>
      <c r="F4002" t="s">
        <v>16</v>
      </c>
      <c r="G4002" t="s">
        <v>17</v>
      </c>
      <c r="H4002" t="s">
        <v>22</v>
      </c>
      <c r="I4002">
        <v>105.26</v>
      </c>
      <c r="J4002">
        <v>26.1</v>
      </c>
      <c r="K4002" t="s">
        <v>25</v>
      </c>
      <c r="L4002" t="s">
        <v>15</v>
      </c>
    </row>
    <row r="4003" spans="1:12" x14ac:dyDescent="0.3">
      <c r="A4003">
        <v>60774</v>
      </c>
      <c r="B4003" t="s">
        <v>12</v>
      </c>
      <c r="C4003">
        <v>1.88</v>
      </c>
      <c r="D4003" t="s">
        <v>15</v>
      </c>
      <c r="E4003" t="s">
        <v>15</v>
      </c>
      <c r="F4003" t="s">
        <v>15</v>
      </c>
      <c r="G4003" t="s">
        <v>20</v>
      </c>
      <c r="H4003" t="s">
        <v>23</v>
      </c>
      <c r="I4003">
        <v>68.349999999999994</v>
      </c>
      <c r="J4003">
        <v>19.100000000000001</v>
      </c>
      <c r="K4003" t="s">
        <v>27</v>
      </c>
      <c r="L4003" t="s">
        <v>15</v>
      </c>
    </row>
    <row r="4004" spans="1:12" x14ac:dyDescent="0.3">
      <c r="A4004">
        <v>35039</v>
      </c>
      <c r="B4004" t="s">
        <v>13</v>
      </c>
      <c r="C4004">
        <v>28</v>
      </c>
      <c r="D4004" t="s">
        <v>15</v>
      </c>
      <c r="E4004" t="s">
        <v>15</v>
      </c>
      <c r="F4004" t="s">
        <v>15</v>
      </c>
      <c r="G4004" t="s">
        <v>17</v>
      </c>
      <c r="H4004" t="s">
        <v>23</v>
      </c>
      <c r="I4004">
        <v>99.07</v>
      </c>
      <c r="J4004">
        <v>17.600000000000001</v>
      </c>
      <c r="K4004" t="s">
        <v>25</v>
      </c>
      <c r="L4004" t="s">
        <v>15</v>
      </c>
    </row>
    <row r="4005" spans="1:12" x14ac:dyDescent="0.3">
      <c r="A4005">
        <v>46141</v>
      </c>
      <c r="B4005" t="s">
        <v>13</v>
      </c>
      <c r="C4005">
        <v>24</v>
      </c>
      <c r="D4005" t="s">
        <v>15</v>
      </c>
      <c r="E4005" t="s">
        <v>15</v>
      </c>
      <c r="F4005" t="s">
        <v>15</v>
      </c>
      <c r="G4005" t="s">
        <v>17</v>
      </c>
      <c r="H4005" t="s">
        <v>23</v>
      </c>
      <c r="I4005">
        <v>147.74</v>
      </c>
      <c r="J4005">
        <v>21.4</v>
      </c>
      <c r="K4005" t="s">
        <v>27</v>
      </c>
      <c r="L4005" t="s">
        <v>15</v>
      </c>
    </row>
    <row r="4006" spans="1:12" x14ac:dyDescent="0.3">
      <c r="A4006">
        <v>54240</v>
      </c>
      <c r="B4006" t="s">
        <v>13</v>
      </c>
      <c r="C4006">
        <v>30</v>
      </c>
      <c r="D4006" t="s">
        <v>15</v>
      </c>
      <c r="E4006" t="s">
        <v>15</v>
      </c>
      <c r="F4006" t="s">
        <v>16</v>
      </c>
      <c r="G4006" t="s">
        <v>19</v>
      </c>
      <c r="H4006" t="s">
        <v>22</v>
      </c>
      <c r="I4006">
        <v>61.29</v>
      </c>
      <c r="J4006">
        <v>24</v>
      </c>
      <c r="K4006" t="s">
        <v>27</v>
      </c>
      <c r="L4006" t="s">
        <v>15</v>
      </c>
    </row>
    <row r="4007" spans="1:12" x14ac:dyDescent="0.3">
      <c r="A4007">
        <v>15929</v>
      </c>
      <c r="B4007" t="s">
        <v>12</v>
      </c>
      <c r="C4007">
        <v>38</v>
      </c>
      <c r="D4007" t="s">
        <v>15</v>
      </c>
      <c r="E4007" t="s">
        <v>15</v>
      </c>
      <c r="F4007" t="s">
        <v>16</v>
      </c>
      <c r="G4007" t="s">
        <v>19</v>
      </c>
      <c r="H4007" t="s">
        <v>23</v>
      </c>
      <c r="I4007">
        <v>98.92</v>
      </c>
      <c r="J4007">
        <v>25.5</v>
      </c>
      <c r="K4007" t="s">
        <v>25</v>
      </c>
      <c r="L4007" t="s">
        <v>15</v>
      </c>
    </row>
    <row r="4008" spans="1:12" x14ac:dyDescent="0.3">
      <c r="A4008">
        <v>19849</v>
      </c>
      <c r="B4008" t="s">
        <v>13</v>
      </c>
      <c r="C4008">
        <v>1.64</v>
      </c>
      <c r="D4008" t="s">
        <v>15</v>
      </c>
      <c r="E4008" t="s">
        <v>15</v>
      </c>
      <c r="F4008" t="s">
        <v>15</v>
      </c>
      <c r="G4008" t="s">
        <v>20</v>
      </c>
      <c r="H4008" t="s">
        <v>22</v>
      </c>
      <c r="I4008">
        <v>90.74</v>
      </c>
      <c r="J4008">
        <v>19.899999999999999</v>
      </c>
      <c r="K4008" t="s">
        <v>27</v>
      </c>
      <c r="L4008" t="s">
        <v>15</v>
      </c>
    </row>
    <row r="4009" spans="1:12" x14ac:dyDescent="0.3">
      <c r="A4009">
        <v>43282</v>
      </c>
      <c r="B4009" t="s">
        <v>12</v>
      </c>
      <c r="C4009">
        <v>0.72</v>
      </c>
      <c r="D4009" t="s">
        <v>15</v>
      </c>
      <c r="E4009" t="s">
        <v>15</v>
      </c>
      <c r="F4009" t="s">
        <v>15</v>
      </c>
      <c r="G4009" t="s">
        <v>20</v>
      </c>
      <c r="H4009" t="s">
        <v>23</v>
      </c>
      <c r="I4009">
        <v>159.79</v>
      </c>
      <c r="J4009">
        <v>19.899999999999999</v>
      </c>
      <c r="K4009" t="s">
        <v>27</v>
      </c>
      <c r="L4009" t="s">
        <v>15</v>
      </c>
    </row>
    <row r="4010" spans="1:12" x14ac:dyDescent="0.3">
      <c r="A4010">
        <v>50372</v>
      </c>
      <c r="B4010" t="s">
        <v>12</v>
      </c>
      <c r="C4010">
        <v>57</v>
      </c>
      <c r="D4010" t="s">
        <v>15</v>
      </c>
      <c r="E4010" t="s">
        <v>15</v>
      </c>
      <c r="F4010" t="s">
        <v>16</v>
      </c>
      <c r="G4010" t="s">
        <v>17</v>
      </c>
      <c r="H4010" t="s">
        <v>23</v>
      </c>
      <c r="I4010">
        <v>233.47</v>
      </c>
      <c r="J4010">
        <v>35.5</v>
      </c>
      <c r="K4010" t="s">
        <v>25</v>
      </c>
      <c r="L4010" t="s">
        <v>15</v>
      </c>
    </row>
    <row r="4011" spans="1:12" x14ac:dyDescent="0.3">
      <c r="A4011">
        <v>5834</v>
      </c>
      <c r="B4011" t="s">
        <v>13</v>
      </c>
      <c r="C4011">
        <v>27</v>
      </c>
      <c r="D4011" t="s">
        <v>15</v>
      </c>
      <c r="E4011" t="s">
        <v>15</v>
      </c>
      <c r="F4011" t="s">
        <v>15</v>
      </c>
      <c r="G4011" t="s">
        <v>19</v>
      </c>
      <c r="H4011" t="s">
        <v>22</v>
      </c>
      <c r="I4011">
        <v>85.53</v>
      </c>
      <c r="J4011">
        <v>26.9</v>
      </c>
      <c r="K4011" t="s">
        <v>26</v>
      </c>
      <c r="L4011" t="s">
        <v>15</v>
      </c>
    </row>
    <row r="4012" spans="1:12" x14ac:dyDescent="0.3">
      <c r="A4012">
        <v>69847</v>
      </c>
      <c r="B4012" t="s">
        <v>13</v>
      </c>
      <c r="C4012">
        <v>30</v>
      </c>
      <c r="D4012" t="s">
        <v>15</v>
      </c>
      <c r="E4012" t="s">
        <v>15</v>
      </c>
      <c r="F4012" t="s">
        <v>16</v>
      </c>
      <c r="G4012" t="s">
        <v>18</v>
      </c>
      <c r="H4012" t="s">
        <v>22</v>
      </c>
      <c r="I4012">
        <v>76.7</v>
      </c>
      <c r="J4012">
        <v>24.2</v>
      </c>
      <c r="K4012" t="s">
        <v>25</v>
      </c>
      <c r="L4012" t="s">
        <v>15</v>
      </c>
    </row>
    <row r="4013" spans="1:12" x14ac:dyDescent="0.3">
      <c r="A4013">
        <v>67277</v>
      </c>
      <c r="B4013" t="s">
        <v>12</v>
      </c>
      <c r="C4013">
        <v>42</v>
      </c>
      <c r="D4013" t="s">
        <v>15</v>
      </c>
      <c r="E4013" t="s">
        <v>15</v>
      </c>
      <c r="F4013" t="s">
        <v>16</v>
      </c>
      <c r="G4013" t="s">
        <v>17</v>
      </c>
      <c r="H4013" t="s">
        <v>23</v>
      </c>
      <c r="I4013">
        <v>67.87</v>
      </c>
      <c r="J4013">
        <v>30</v>
      </c>
      <c r="K4013" t="s">
        <v>25</v>
      </c>
      <c r="L4013" t="s">
        <v>15</v>
      </c>
    </row>
    <row r="4014" spans="1:12" x14ac:dyDescent="0.3">
      <c r="A4014">
        <v>41181</v>
      </c>
      <c r="B4014" t="s">
        <v>12</v>
      </c>
      <c r="C4014">
        <v>36</v>
      </c>
      <c r="D4014" t="s">
        <v>15</v>
      </c>
      <c r="E4014" t="s">
        <v>15</v>
      </c>
      <c r="F4014" t="s">
        <v>16</v>
      </c>
      <c r="G4014" t="s">
        <v>17</v>
      </c>
      <c r="H4014" t="s">
        <v>22</v>
      </c>
      <c r="I4014">
        <v>77.260000000000005</v>
      </c>
      <c r="J4014">
        <v>30.9</v>
      </c>
      <c r="K4014" t="s">
        <v>25</v>
      </c>
      <c r="L4014" t="s">
        <v>15</v>
      </c>
    </row>
    <row r="4015" spans="1:12" x14ac:dyDescent="0.3">
      <c r="A4015">
        <v>36388</v>
      </c>
      <c r="B4015" t="s">
        <v>12</v>
      </c>
      <c r="C4015">
        <v>44</v>
      </c>
      <c r="D4015" t="s">
        <v>16</v>
      </c>
      <c r="E4015" t="s">
        <v>15</v>
      </c>
      <c r="F4015" t="s">
        <v>16</v>
      </c>
      <c r="G4015" t="s">
        <v>17</v>
      </c>
      <c r="H4015" t="s">
        <v>23</v>
      </c>
      <c r="I4015">
        <v>91.28</v>
      </c>
      <c r="J4015">
        <v>26.5</v>
      </c>
      <c r="K4015" t="s">
        <v>25</v>
      </c>
      <c r="L4015" t="s">
        <v>15</v>
      </c>
    </row>
    <row r="4016" spans="1:12" x14ac:dyDescent="0.3">
      <c r="A4016">
        <v>49272</v>
      </c>
      <c r="B4016" t="s">
        <v>12</v>
      </c>
      <c r="C4016">
        <v>59</v>
      </c>
      <c r="D4016" t="s">
        <v>15</v>
      </c>
      <c r="E4016" t="s">
        <v>15</v>
      </c>
      <c r="F4016" t="s">
        <v>16</v>
      </c>
      <c r="G4016" t="s">
        <v>19</v>
      </c>
      <c r="H4016" t="s">
        <v>22</v>
      </c>
      <c r="I4016">
        <v>129.19</v>
      </c>
      <c r="J4016">
        <v>30.6</v>
      </c>
      <c r="K4016" t="s">
        <v>25</v>
      </c>
      <c r="L4016" t="s">
        <v>15</v>
      </c>
    </row>
    <row r="4017" spans="1:12" x14ac:dyDescent="0.3">
      <c r="A4017">
        <v>52024</v>
      </c>
      <c r="B4017" t="s">
        <v>13</v>
      </c>
      <c r="C4017">
        <v>61</v>
      </c>
      <c r="D4017" t="s">
        <v>15</v>
      </c>
      <c r="E4017" t="s">
        <v>15</v>
      </c>
      <c r="F4017" t="s">
        <v>16</v>
      </c>
      <c r="G4017" t="s">
        <v>19</v>
      </c>
      <c r="H4017" t="s">
        <v>22</v>
      </c>
      <c r="I4017">
        <v>97.86</v>
      </c>
      <c r="J4017">
        <v>19.100000000000001</v>
      </c>
      <c r="K4017" t="s">
        <v>24</v>
      </c>
      <c r="L4017" t="s">
        <v>15</v>
      </c>
    </row>
    <row r="4018" spans="1:12" x14ac:dyDescent="0.3">
      <c r="A4018">
        <v>58508</v>
      </c>
      <c r="B4018" t="s">
        <v>13</v>
      </c>
      <c r="C4018">
        <v>18</v>
      </c>
      <c r="D4018" t="s">
        <v>15</v>
      </c>
      <c r="E4018" t="s">
        <v>15</v>
      </c>
      <c r="F4018" t="s">
        <v>15</v>
      </c>
      <c r="G4018" t="s">
        <v>19</v>
      </c>
      <c r="H4018" t="s">
        <v>23</v>
      </c>
      <c r="I4018">
        <v>112.33</v>
      </c>
      <c r="J4018">
        <v>23.2</v>
      </c>
      <c r="K4018" t="s">
        <v>24</v>
      </c>
      <c r="L4018" t="s">
        <v>15</v>
      </c>
    </row>
    <row r="4019" spans="1:12" x14ac:dyDescent="0.3">
      <c r="A4019">
        <v>64159</v>
      </c>
      <c r="B4019" t="s">
        <v>13</v>
      </c>
      <c r="C4019">
        <v>44</v>
      </c>
      <c r="D4019" t="s">
        <v>15</v>
      </c>
      <c r="E4019" t="s">
        <v>15</v>
      </c>
      <c r="F4019" t="s">
        <v>16</v>
      </c>
      <c r="G4019" t="s">
        <v>17</v>
      </c>
      <c r="H4019" t="s">
        <v>23</v>
      </c>
      <c r="I4019">
        <v>110.41</v>
      </c>
      <c r="J4019">
        <v>30.5</v>
      </c>
      <c r="K4019" t="s">
        <v>26</v>
      </c>
      <c r="L4019" t="s">
        <v>15</v>
      </c>
    </row>
    <row r="4020" spans="1:12" x14ac:dyDescent="0.3">
      <c r="A4020">
        <v>29453</v>
      </c>
      <c r="B4020" t="s">
        <v>12</v>
      </c>
      <c r="C4020">
        <v>16</v>
      </c>
      <c r="D4020" t="s">
        <v>15</v>
      </c>
      <c r="E4020" t="s">
        <v>15</v>
      </c>
      <c r="F4020" t="s">
        <v>15</v>
      </c>
      <c r="G4020" t="s">
        <v>20</v>
      </c>
      <c r="H4020" t="s">
        <v>23</v>
      </c>
      <c r="I4020">
        <v>91.58</v>
      </c>
      <c r="J4020">
        <v>15.8</v>
      </c>
      <c r="K4020" t="s">
        <v>27</v>
      </c>
      <c r="L4020" t="s">
        <v>15</v>
      </c>
    </row>
    <row r="4021" spans="1:12" x14ac:dyDescent="0.3">
      <c r="A4021">
        <v>52838</v>
      </c>
      <c r="B4021" t="s">
        <v>12</v>
      </c>
      <c r="C4021">
        <v>13</v>
      </c>
      <c r="D4021" t="s">
        <v>15</v>
      </c>
      <c r="E4021" t="s">
        <v>15</v>
      </c>
      <c r="F4021" t="s">
        <v>15</v>
      </c>
      <c r="G4021" t="s">
        <v>20</v>
      </c>
      <c r="H4021" t="s">
        <v>22</v>
      </c>
      <c r="I4021">
        <v>58.86</v>
      </c>
      <c r="J4021">
        <v>16.899999999999999</v>
      </c>
      <c r="K4021" t="s">
        <v>25</v>
      </c>
      <c r="L4021" t="s">
        <v>15</v>
      </c>
    </row>
    <row r="4022" spans="1:12" x14ac:dyDescent="0.3">
      <c r="A4022">
        <v>43024</v>
      </c>
      <c r="B4022" t="s">
        <v>12</v>
      </c>
      <c r="C4022">
        <v>9</v>
      </c>
      <c r="D4022" t="s">
        <v>15</v>
      </c>
      <c r="E4022" t="s">
        <v>15</v>
      </c>
      <c r="F4022" t="s">
        <v>15</v>
      </c>
      <c r="G4022" t="s">
        <v>20</v>
      </c>
      <c r="H4022" t="s">
        <v>23</v>
      </c>
      <c r="I4022">
        <v>76.88</v>
      </c>
      <c r="J4022">
        <v>18</v>
      </c>
      <c r="K4022" t="s">
        <v>27</v>
      </c>
      <c r="L4022" t="s">
        <v>15</v>
      </c>
    </row>
    <row r="4023" spans="1:12" x14ac:dyDescent="0.3">
      <c r="A4023">
        <v>8247</v>
      </c>
      <c r="B4023" t="s">
        <v>12</v>
      </c>
      <c r="C4023">
        <v>0.16</v>
      </c>
      <c r="D4023" t="s">
        <v>15</v>
      </c>
      <c r="E4023" t="s">
        <v>15</v>
      </c>
      <c r="F4023" t="s">
        <v>15</v>
      </c>
      <c r="G4023" t="s">
        <v>20</v>
      </c>
      <c r="H4023" t="s">
        <v>22</v>
      </c>
      <c r="I4023">
        <v>109.52</v>
      </c>
      <c r="J4023">
        <v>13.9</v>
      </c>
      <c r="K4023" t="s">
        <v>27</v>
      </c>
      <c r="L4023" t="s">
        <v>15</v>
      </c>
    </row>
    <row r="4024" spans="1:12" x14ac:dyDescent="0.3">
      <c r="A4024">
        <v>42159</v>
      </c>
      <c r="B4024" t="s">
        <v>13</v>
      </c>
      <c r="C4024">
        <v>81</v>
      </c>
      <c r="D4024" t="s">
        <v>16</v>
      </c>
      <c r="E4024" t="s">
        <v>15</v>
      </c>
      <c r="F4024" t="s">
        <v>16</v>
      </c>
      <c r="G4024" t="s">
        <v>18</v>
      </c>
      <c r="H4024" t="s">
        <v>22</v>
      </c>
      <c r="I4024">
        <v>181.23</v>
      </c>
      <c r="J4024">
        <v>36.700000000000003</v>
      </c>
      <c r="K4024" t="s">
        <v>25</v>
      </c>
      <c r="L4024" t="s">
        <v>15</v>
      </c>
    </row>
    <row r="4025" spans="1:12" x14ac:dyDescent="0.3">
      <c r="A4025">
        <v>37761</v>
      </c>
      <c r="B4025" t="s">
        <v>13</v>
      </c>
      <c r="C4025">
        <v>38</v>
      </c>
      <c r="D4025" t="s">
        <v>15</v>
      </c>
      <c r="E4025" t="s">
        <v>15</v>
      </c>
      <c r="F4025" t="s">
        <v>16</v>
      </c>
      <c r="G4025" t="s">
        <v>17</v>
      </c>
      <c r="H4025" t="s">
        <v>22</v>
      </c>
      <c r="I4025">
        <v>103.58</v>
      </c>
      <c r="J4025">
        <v>30.8</v>
      </c>
      <c r="K4025" t="s">
        <v>24</v>
      </c>
      <c r="L4025" t="s">
        <v>15</v>
      </c>
    </row>
    <row r="4026" spans="1:12" x14ac:dyDescent="0.3">
      <c r="A4026">
        <v>27624</v>
      </c>
      <c r="B4026" t="s">
        <v>13</v>
      </c>
      <c r="C4026">
        <v>58</v>
      </c>
      <c r="D4026" t="s">
        <v>15</v>
      </c>
      <c r="E4026" t="s">
        <v>15</v>
      </c>
      <c r="F4026" t="s">
        <v>16</v>
      </c>
      <c r="G4026" t="s">
        <v>18</v>
      </c>
      <c r="H4026" t="s">
        <v>23</v>
      </c>
      <c r="I4026">
        <v>81.96</v>
      </c>
      <c r="J4026">
        <v>34.6</v>
      </c>
      <c r="K4026" t="s">
        <v>25</v>
      </c>
      <c r="L4026" t="s">
        <v>15</v>
      </c>
    </row>
    <row r="4027" spans="1:12" x14ac:dyDescent="0.3">
      <c r="A4027">
        <v>40242</v>
      </c>
      <c r="B4027" t="s">
        <v>12</v>
      </c>
      <c r="C4027">
        <v>5</v>
      </c>
      <c r="D4027" t="s">
        <v>15</v>
      </c>
      <c r="E4027" t="s">
        <v>15</v>
      </c>
      <c r="F4027" t="s">
        <v>15</v>
      </c>
      <c r="G4027" t="s">
        <v>20</v>
      </c>
      <c r="H4027" t="s">
        <v>23</v>
      </c>
      <c r="I4027">
        <v>104.55</v>
      </c>
      <c r="J4027">
        <v>16.3</v>
      </c>
      <c r="K4027" t="s">
        <v>27</v>
      </c>
      <c r="L4027" t="s">
        <v>15</v>
      </c>
    </row>
    <row r="4028" spans="1:12" x14ac:dyDescent="0.3">
      <c r="A4028">
        <v>4383</v>
      </c>
      <c r="B4028" t="s">
        <v>13</v>
      </c>
      <c r="C4028">
        <v>64</v>
      </c>
      <c r="D4028" t="s">
        <v>15</v>
      </c>
      <c r="E4028" t="s">
        <v>15</v>
      </c>
      <c r="F4028" t="s">
        <v>16</v>
      </c>
      <c r="G4028" t="s">
        <v>19</v>
      </c>
      <c r="H4028" t="s">
        <v>22</v>
      </c>
      <c r="I4028">
        <v>76.12</v>
      </c>
      <c r="J4028">
        <v>38.200000000000003</v>
      </c>
      <c r="K4028" t="s">
        <v>24</v>
      </c>
      <c r="L4028" t="s">
        <v>15</v>
      </c>
    </row>
    <row r="4029" spans="1:12" x14ac:dyDescent="0.3">
      <c r="A4029">
        <v>58577</v>
      </c>
      <c r="B4029" t="s">
        <v>13</v>
      </c>
      <c r="C4029">
        <v>38</v>
      </c>
      <c r="D4029" t="s">
        <v>15</v>
      </c>
      <c r="E4029" t="s">
        <v>15</v>
      </c>
      <c r="F4029" t="s">
        <v>16</v>
      </c>
      <c r="G4029" t="s">
        <v>19</v>
      </c>
      <c r="H4029" t="s">
        <v>23</v>
      </c>
      <c r="I4029">
        <v>64.27</v>
      </c>
      <c r="J4029">
        <v>27.3</v>
      </c>
      <c r="K4029" t="s">
        <v>25</v>
      </c>
      <c r="L4029" t="s">
        <v>15</v>
      </c>
    </row>
    <row r="4030" spans="1:12" x14ac:dyDescent="0.3">
      <c r="A4030">
        <v>59916</v>
      </c>
      <c r="B4030" t="s">
        <v>13</v>
      </c>
      <c r="C4030">
        <v>56</v>
      </c>
      <c r="D4030" t="s">
        <v>15</v>
      </c>
      <c r="E4030" t="s">
        <v>15</v>
      </c>
      <c r="F4030" t="s">
        <v>16</v>
      </c>
      <c r="G4030" t="s">
        <v>17</v>
      </c>
      <c r="H4030" t="s">
        <v>23</v>
      </c>
      <c r="I4030">
        <v>200.98</v>
      </c>
      <c r="J4030">
        <v>30.4</v>
      </c>
      <c r="K4030" t="s">
        <v>26</v>
      </c>
      <c r="L4030" t="s">
        <v>15</v>
      </c>
    </row>
    <row r="4031" spans="1:12" x14ac:dyDescent="0.3">
      <c r="A4031">
        <v>44526</v>
      </c>
      <c r="B4031" t="s">
        <v>12</v>
      </c>
      <c r="C4031">
        <v>58</v>
      </c>
      <c r="D4031" t="s">
        <v>15</v>
      </c>
      <c r="E4031" t="s">
        <v>15</v>
      </c>
      <c r="F4031" t="s">
        <v>16</v>
      </c>
      <c r="G4031" t="s">
        <v>19</v>
      </c>
      <c r="H4031" t="s">
        <v>22</v>
      </c>
      <c r="I4031">
        <v>101.96</v>
      </c>
      <c r="J4031">
        <v>34.5</v>
      </c>
      <c r="K4031" t="s">
        <v>25</v>
      </c>
      <c r="L4031" t="s">
        <v>15</v>
      </c>
    </row>
    <row r="4032" spans="1:12" x14ac:dyDescent="0.3">
      <c r="A4032">
        <v>12990</v>
      </c>
      <c r="B4032" t="s">
        <v>12</v>
      </c>
      <c r="C4032">
        <v>9</v>
      </c>
      <c r="D4032" t="s">
        <v>15</v>
      </c>
      <c r="E4032" t="s">
        <v>15</v>
      </c>
      <c r="F4032" t="s">
        <v>15</v>
      </c>
      <c r="G4032" t="s">
        <v>20</v>
      </c>
      <c r="H4032" t="s">
        <v>23</v>
      </c>
      <c r="I4032">
        <v>84.17</v>
      </c>
      <c r="J4032">
        <v>17.399999999999999</v>
      </c>
      <c r="K4032" t="s">
        <v>27</v>
      </c>
      <c r="L4032" t="s">
        <v>15</v>
      </c>
    </row>
    <row r="4033" spans="1:12" x14ac:dyDescent="0.3">
      <c r="A4033">
        <v>14414</v>
      </c>
      <c r="B4033" t="s">
        <v>13</v>
      </c>
      <c r="C4033">
        <v>34</v>
      </c>
      <c r="D4033" t="s">
        <v>15</v>
      </c>
      <c r="E4033" t="s">
        <v>15</v>
      </c>
      <c r="F4033" t="s">
        <v>16</v>
      </c>
      <c r="G4033" t="s">
        <v>17</v>
      </c>
      <c r="H4033" t="s">
        <v>23</v>
      </c>
      <c r="I4033">
        <v>85.79</v>
      </c>
      <c r="J4033">
        <v>32</v>
      </c>
      <c r="K4033" t="s">
        <v>25</v>
      </c>
      <c r="L4033" t="s">
        <v>15</v>
      </c>
    </row>
    <row r="4034" spans="1:12" x14ac:dyDescent="0.3">
      <c r="A4034">
        <v>46343</v>
      </c>
      <c r="B4034" t="s">
        <v>13</v>
      </c>
      <c r="C4034">
        <v>79</v>
      </c>
      <c r="D4034" t="s">
        <v>15</v>
      </c>
      <c r="E4034" t="s">
        <v>15</v>
      </c>
      <c r="F4034" t="s">
        <v>16</v>
      </c>
      <c r="G4034" t="s">
        <v>17</v>
      </c>
      <c r="H4034" t="s">
        <v>22</v>
      </c>
      <c r="I4034">
        <v>71.459999999999994</v>
      </c>
      <c r="J4034">
        <v>33.4</v>
      </c>
      <c r="K4034" t="s">
        <v>27</v>
      </c>
      <c r="L4034" t="s">
        <v>15</v>
      </c>
    </row>
    <row r="4035" spans="1:12" x14ac:dyDescent="0.3">
      <c r="A4035">
        <v>29539</v>
      </c>
      <c r="B4035" t="s">
        <v>12</v>
      </c>
      <c r="C4035">
        <v>62</v>
      </c>
      <c r="D4035" t="s">
        <v>16</v>
      </c>
      <c r="E4035" t="s">
        <v>15</v>
      </c>
      <c r="F4035" t="s">
        <v>16</v>
      </c>
      <c r="G4035" t="s">
        <v>18</v>
      </c>
      <c r="H4035" t="s">
        <v>23</v>
      </c>
      <c r="I4035">
        <v>95.49</v>
      </c>
      <c r="J4035">
        <v>40.200000000000003</v>
      </c>
      <c r="K4035" t="s">
        <v>26</v>
      </c>
      <c r="L4035" t="s">
        <v>15</v>
      </c>
    </row>
    <row r="4036" spans="1:12" x14ac:dyDescent="0.3">
      <c r="A4036">
        <v>10924</v>
      </c>
      <c r="B4036" t="s">
        <v>13</v>
      </c>
      <c r="C4036">
        <v>60</v>
      </c>
      <c r="D4036" t="s">
        <v>15</v>
      </c>
      <c r="E4036" t="s">
        <v>15</v>
      </c>
      <c r="F4036" t="s">
        <v>16</v>
      </c>
      <c r="G4036" t="s">
        <v>17</v>
      </c>
      <c r="H4036" t="s">
        <v>23</v>
      </c>
      <c r="I4036">
        <v>87.62</v>
      </c>
      <c r="J4036">
        <v>30.1</v>
      </c>
      <c r="K4036" t="s">
        <v>26</v>
      </c>
      <c r="L4036" t="s">
        <v>15</v>
      </c>
    </row>
    <row r="4037" spans="1:12" x14ac:dyDescent="0.3">
      <c r="A4037">
        <v>30248</v>
      </c>
      <c r="B4037" t="s">
        <v>13</v>
      </c>
      <c r="C4037">
        <v>42</v>
      </c>
      <c r="D4037" t="s">
        <v>15</v>
      </c>
      <c r="E4037" t="s">
        <v>15</v>
      </c>
      <c r="F4037" t="s">
        <v>15</v>
      </c>
      <c r="G4037" t="s">
        <v>17</v>
      </c>
      <c r="H4037" t="s">
        <v>23</v>
      </c>
      <c r="I4037">
        <v>118.55</v>
      </c>
      <c r="J4037">
        <v>46.2</v>
      </c>
      <c r="K4037" t="s">
        <v>26</v>
      </c>
      <c r="L4037" t="s">
        <v>15</v>
      </c>
    </row>
    <row r="4038" spans="1:12" x14ac:dyDescent="0.3">
      <c r="A4038">
        <v>39769</v>
      </c>
      <c r="B4038" t="s">
        <v>13</v>
      </c>
      <c r="C4038">
        <v>59</v>
      </c>
      <c r="D4038" t="s">
        <v>15</v>
      </c>
      <c r="E4038" t="s">
        <v>15</v>
      </c>
      <c r="F4038" t="s">
        <v>16</v>
      </c>
      <c r="G4038" t="s">
        <v>18</v>
      </c>
      <c r="H4038" t="s">
        <v>22</v>
      </c>
      <c r="I4038">
        <v>82.14</v>
      </c>
      <c r="J4038">
        <v>35.6</v>
      </c>
      <c r="K4038" t="s">
        <v>26</v>
      </c>
      <c r="L4038" t="s">
        <v>15</v>
      </c>
    </row>
    <row r="4039" spans="1:12" x14ac:dyDescent="0.3">
      <c r="A4039">
        <v>28778</v>
      </c>
      <c r="B4039" t="s">
        <v>13</v>
      </c>
      <c r="C4039">
        <v>54</v>
      </c>
      <c r="D4039" t="s">
        <v>15</v>
      </c>
      <c r="E4039" t="s">
        <v>15</v>
      </c>
      <c r="F4039" t="s">
        <v>16</v>
      </c>
      <c r="G4039" t="s">
        <v>17</v>
      </c>
      <c r="H4039" t="s">
        <v>22</v>
      </c>
      <c r="I4039">
        <v>219.67</v>
      </c>
      <c r="J4039">
        <v>29.4</v>
      </c>
      <c r="K4039" t="s">
        <v>26</v>
      </c>
      <c r="L4039" t="s">
        <v>15</v>
      </c>
    </row>
    <row r="4040" spans="1:12" x14ac:dyDescent="0.3">
      <c r="A4040">
        <v>65257</v>
      </c>
      <c r="B4040" t="s">
        <v>12</v>
      </c>
      <c r="C4040">
        <v>59</v>
      </c>
      <c r="D4040" t="s">
        <v>15</v>
      </c>
      <c r="E4040" t="s">
        <v>15</v>
      </c>
      <c r="F4040" t="s">
        <v>16</v>
      </c>
      <c r="G4040" t="s">
        <v>17</v>
      </c>
      <c r="H4040" t="s">
        <v>22</v>
      </c>
      <c r="I4040">
        <v>135.84</v>
      </c>
      <c r="J4040">
        <v>27.3</v>
      </c>
      <c r="K4040" t="s">
        <v>25</v>
      </c>
      <c r="L4040" t="s">
        <v>15</v>
      </c>
    </row>
    <row r="4041" spans="1:12" x14ac:dyDescent="0.3">
      <c r="A4041">
        <v>7233</v>
      </c>
      <c r="B4041" t="s">
        <v>12</v>
      </c>
      <c r="C4041">
        <v>15</v>
      </c>
      <c r="D4041" t="s">
        <v>15</v>
      </c>
      <c r="E4041" t="s">
        <v>15</v>
      </c>
      <c r="F4041" t="s">
        <v>15</v>
      </c>
      <c r="G4041" t="s">
        <v>20</v>
      </c>
      <c r="H4041" t="s">
        <v>23</v>
      </c>
      <c r="I4041">
        <v>74.83</v>
      </c>
      <c r="J4041">
        <v>17.399999999999999</v>
      </c>
      <c r="K4041" t="s">
        <v>27</v>
      </c>
      <c r="L4041" t="s">
        <v>15</v>
      </c>
    </row>
    <row r="4042" spans="1:12" x14ac:dyDescent="0.3">
      <c r="A4042">
        <v>67773</v>
      </c>
      <c r="B4042" t="s">
        <v>13</v>
      </c>
      <c r="C4042">
        <v>14</v>
      </c>
      <c r="D4042" t="s">
        <v>15</v>
      </c>
      <c r="E4042" t="s">
        <v>15</v>
      </c>
      <c r="F4042" t="s">
        <v>15</v>
      </c>
      <c r="G4042" t="s">
        <v>20</v>
      </c>
      <c r="H4042" t="s">
        <v>22</v>
      </c>
      <c r="I4042">
        <v>60.37</v>
      </c>
      <c r="J4042">
        <v>26.9</v>
      </c>
      <c r="K4042" t="s">
        <v>27</v>
      </c>
      <c r="L4042" t="s">
        <v>15</v>
      </c>
    </row>
    <row r="4043" spans="1:12" x14ac:dyDescent="0.3">
      <c r="A4043">
        <v>14993</v>
      </c>
      <c r="B4043" t="s">
        <v>12</v>
      </c>
      <c r="C4043">
        <v>5</v>
      </c>
      <c r="D4043" t="s">
        <v>15</v>
      </c>
      <c r="E4043" t="s">
        <v>15</v>
      </c>
      <c r="F4043" t="s">
        <v>15</v>
      </c>
      <c r="G4043" t="s">
        <v>20</v>
      </c>
      <c r="H4043" t="s">
        <v>23</v>
      </c>
      <c r="I4043">
        <v>67.28</v>
      </c>
      <c r="J4043">
        <v>17.7</v>
      </c>
      <c r="K4043" t="s">
        <v>27</v>
      </c>
      <c r="L4043" t="s">
        <v>15</v>
      </c>
    </row>
    <row r="4044" spans="1:12" x14ac:dyDescent="0.3">
      <c r="A4044">
        <v>59054</v>
      </c>
      <c r="B4044" t="s">
        <v>12</v>
      </c>
      <c r="C4044">
        <v>17</v>
      </c>
      <c r="D4044" t="s">
        <v>15</v>
      </c>
      <c r="E4044" t="s">
        <v>15</v>
      </c>
      <c r="F4044" t="s">
        <v>15</v>
      </c>
      <c r="G4044" t="s">
        <v>17</v>
      </c>
      <c r="H4044" t="s">
        <v>23</v>
      </c>
      <c r="I4044">
        <v>77.790000000000006</v>
      </c>
      <c r="J4044">
        <v>23.6</v>
      </c>
      <c r="K4044" t="s">
        <v>27</v>
      </c>
      <c r="L4044" t="s">
        <v>15</v>
      </c>
    </row>
    <row r="4045" spans="1:12" x14ac:dyDescent="0.3">
      <c r="A4045">
        <v>22554</v>
      </c>
      <c r="B4045" t="s">
        <v>13</v>
      </c>
      <c r="C4045">
        <v>13</v>
      </c>
      <c r="D4045" t="s">
        <v>15</v>
      </c>
      <c r="E4045" t="s">
        <v>15</v>
      </c>
      <c r="F4045" t="s">
        <v>15</v>
      </c>
      <c r="G4045" t="s">
        <v>20</v>
      </c>
      <c r="H4045" t="s">
        <v>23</v>
      </c>
      <c r="I4045">
        <v>88.51</v>
      </c>
      <c r="J4045">
        <v>27.7</v>
      </c>
      <c r="K4045" t="s">
        <v>27</v>
      </c>
      <c r="L4045" t="s">
        <v>15</v>
      </c>
    </row>
    <row r="4046" spans="1:12" x14ac:dyDescent="0.3">
      <c r="A4046">
        <v>72512</v>
      </c>
      <c r="B4046" t="s">
        <v>13</v>
      </c>
      <c r="C4046">
        <v>48</v>
      </c>
      <c r="D4046" t="s">
        <v>15</v>
      </c>
      <c r="E4046" t="s">
        <v>15</v>
      </c>
      <c r="F4046" t="s">
        <v>16</v>
      </c>
      <c r="G4046" t="s">
        <v>18</v>
      </c>
      <c r="H4046" t="s">
        <v>22</v>
      </c>
      <c r="I4046">
        <v>90.38</v>
      </c>
      <c r="J4046">
        <v>38</v>
      </c>
      <c r="K4046" t="s">
        <v>26</v>
      </c>
      <c r="L4046" t="s">
        <v>15</v>
      </c>
    </row>
    <row r="4047" spans="1:12" x14ac:dyDescent="0.3">
      <c r="A4047">
        <v>56195</v>
      </c>
      <c r="B4047" t="s">
        <v>12</v>
      </c>
      <c r="C4047">
        <v>37</v>
      </c>
      <c r="D4047" t="s">
        <v>15</v>
      </c>
      <c r="E4047" t="s">
        <v>15</v>
      </c>
      <c r="F4047" t="s">
        <v>16</v>
      </c>
      <c r="G4047" t="s">
        <v>19</v>
      </c>
      <c r="H4047" t="s">
        <v>22</v>
      </c>
      <c r="I4047">
        <v>156.69</v>
      </c>
      <c r="J4047">
        <v>35.200000000000003</v>
      </c>
      <c r="K4047" t="s">
        <v>25</v>
      </c>
      <c r="L4047" t="s">
        <v>15</v>
      </c>
    </row>
    <row r="4048" spans="1:12" x14ac:dyDescent="0.3">
      <c r="A4048">
        <v>7524</v>
      </c>
      <c r="B4048" t="s">
        <v>13</v>
      </c>
      <c r="C4048">
        <v>69</v>
      </c>
      <c r="D4048" t="s">
        <v>15</v>
      </c>
      <c r="E4048" t="s">
        <v>16</v>
      </c>
      <c r="F4048" t="s">
        <v>16</v>
      </c>
      <c r="G4048" t="s">
        <v>17</v>
      </c>
      <c r="H4048" t="s">
        <v>22</v>
      </c>
      <c r="I4048">
        <v>207.6</v>
      </c>
      <c r="K4048" t="s">
        <v>25</v>
      </c>
      <c r="L4048" t="s">
        <v>15</v>
      </c>
    </row>
    <row r="4049" spans="1:12" x14ac:dyDescent="0.3">
      <c r="A4049">
        <v>45795</v>
      </c>
      <c r="B4049" t="s">
        <v>13</v>
      </c>
      <c r="C4049">
        <v>74</v>
      </c>
      <c r="D4049" t="s">
        <v>15</v>
      </c>
      <c r="E4049" t="s">
        <v>15</v>
      </c>
      <c r="F4049" t="s">
        <v>16</v>
      </c>
      <c r="G4049" t="s">
        <v>17</v>
      </c>
      <c r="H4049" t="s">
        <v>22</v>
      </c>
      <c r="I4049">
        <v>158.9</v>
      </c>
      <c r="J4049">
        <v>32.4</v>
      </c>
      <c r="K4049" t="s">
        <v>24</v>
      </c>
      <c r="L4049" t="s">
        <v>15</v>
      </c>
    </row>
    <row r="4050" spans="1:12" x14ac:dyDescent="0.3">
      <c r="A4050">
        <v>64433</v>
      </c>
      <c r="B4050" t="s">
        <v>12</v>
      </c>
      <c r="C4050">
        <v>54</v>
      </c>
      <c r="D4050" t="s">
        <v>15</v>
      </c>
      <c r="E4050" t="s">
        <v>15</v>
      </c>
      <c r="F4050" t="s">
        <v>16</v>
      </c>
      <c r="G4050" t="s">
        <v>17</v>
      </c>
      <c r="H4050" t="s">
        <v>22</v>
      </c>
      <c r="I4050">
        <v>247.97</v>
      </c>
      <c r="J4050">
        <v>36.1</v>
      </c>
      <c r="K4050" t="s">
        <v>24</v>
      </c>
      <c r="L4050" t="s">
        <v>15</v>
      </c>
    </row>
    <row r="4051" spans="1:12" x14ac:dyDescent="0.3">
      <c r="A4051">
        <v>70106</v>
      </c>
      <c r="B4051" t="s">
        <v>13</v>
      </c>
      <c r="C4051">
        <v>64</v>
      </c>
      <c r="D4051" t="s">
        <v>15</v>
      </c>
      <c r="E4051" t="s">
        <v>16</v>
      </c>
      <c r="F4051" t="s">
        <v>16</v>
      </c>
      <c r="G4051" t="s">
        <v>17</v>
      </c>
      <c r="H4051" t="s">
        <v>23</v>
      </c>
      <c r="I4051">
        <v>114.71</v>
      </c>
      <c r="J4051">
        <v>30.6</v>
      </c>
      <c r="K4051" t="s">
        <v>25</v>
      </c>
      <c r="L4051" t="s">
        <v>15</v>
      </c>
    </row>
    <row r="4052" spans="1:12" x14ac:dyDescent="0.3">
      <c r="A4052">
        <v>50072</v>
      </c>
      <c r="B4052" t="s">
        <v>13</v>
      </c>
      <c r="C4052">
        <v>26</v>
      </c>
      <c r="D4052" t="s">
        <v>15</v>
      </c>
      <c r="E4052" t="s">
        <v>15</v>
      </c>
      <c r="F4052" t="s">
        <v>15</v>
      </c>
      <c r="G4052" t="s">
        <v>17</v>
      </c>
      <c r="H4052" t="s">
        <v>23</v>
      </c>
      <c r="I4052">
        <v>58.55</v>
      </c>
      <c r="J4052">
        <v>29</v>
      </c>
      <c r="K4052" t="s">
        <v>25</v>
      </c>
      <c r="L4052" t="s">
        <v>15</v>
      </c>
    </row>
    <row r="4053" spans="1:12" x14ac:dyDescent="0.3">
      <c r="A4053">
        <v>52530</v>
      </c>
      <c r="B4053" t="s">
        <v>12</v>
      </c>
      <c r="C4053">
        <v>55</v>
      </c>
      <c r="D4053" t="s">
        <v>15</v>
      </c>
      <c r="E4053" t="s">
        <v>15</v>
      </c>
      <c r="F4053" t="s">
        <v>16</v>
      </c>
      <c r="G4053" t="s">
        <v>19</v>
      </c>
      <c r="H4053" t="s">
        <v>22</v>
      </c>
      <c r="I4053">
        <v>231.15</v>
      </c>
      <c r="J4053">
        <v>22.3</v>
      </c>
      <c r="K4053" t="s">
        <v>25</v>
      </c>
      <c r="L4053" t="s">
        <v>15</v>
      </c>
    </row>
    <row r="4054" spans="1:12" x14ac:dyDescent="0.3">
      <c r="A4054">
        <v>768</v>
      </c>
      <c r="B4054" t="s">
        <v>13</v>
      </c>
      <c r="C4054">
        <v>74</v>
      </c>
      <c r="D4054" t="s">
        <v>15</v>
      </c>
      <c r="E4054" t="s">
        <v>15</v>
      </c>
      <c r="F4054" t="s">
        <v>16</v>
      </c>
      <c r="G4054" t="s">
        <v>18</v>
      </c>
      <c r="H4054" t="s">
        <v>22</v>
      </c>
      <c r="I4054">
        <v>68.180000000000007</v>
      </c>
      <c r="J4054">
        <v>27.3</v>
      </c>
      <c r="K4054" t="s">
        <v>24</v>
      </c>
      <c r="L4054" t="s">
        <v>15</v>
      </c>
    </row>
    <row r="4055" spans="1:12" x14ac:dyDescent="0.3">
      <c r="A4055">
        <v>40255</v>
      </c>
      <c r="B4055" t="s">
        <v>13</v>
      </c>
      <c r="C4055">
        <v>0.48</v>
      </c>
      <c r="D4055" t="s">
        <v>15</v>
      </c>
      <c r="E4055" t="s">
        <v>15</v>
      </c>
      <c r="F4055" t="s">
        <v>15</v>
      </c>
      <c r="G4055" t="s">
        <v>20</v>
      </c>
      <c r="H4055" t="s">
        <v>23</v>
      </c>
      <c r="I4055">
        <v>118.75</v>
      </c>
      <c r="J4055">
        <v>17.399999999999999</v>
      </c>
      <c r="K4055" t="s">
        <v>27</v>
      </c>
      <c r="L4055" t="s">
        <v>15</v>
      </c>
    </row>
    <row r="4056" spans="1:12" x14ac:dyDescent="0.3">
      <c r="A4056">
        <v>50073</v>
      </c>
      <c r="B4056" t="s">
        <v>13</v>
      </c>
      <c r="C4056">
        <v>41</v>
      </c>
      <c r="D4056" t="s">
        <v>15</v>
      </c>
      <c r="E4056" t="s">
        <v>16</v>
      </c>
      <c r="F4056" t="s">
        <v>15</v>
      </c>
      <c r="G4056" t="s">
        <v>17</v>
      </c>
      <c r="H4056" t="s">
        <v>23</v>
      </c>
      <c r="I4056">
        <v>186.54</v>
      </c>
      <c r="J4056">
        <v>39</v>
      </c>
      <c r="K4056" t="s">
        <v>24</v>
      </c>
      <c r="L4056" t="s">
        <v>15</v>
      </c>
    </row>
    <row r="4057" spans="1:12" x14ac:dyDescent="0.3">
      <c r="A4057">
        <v>52439</v>
      </c>
      <c r="B4057" t="s">
        <v>12</v>
      </c>
      <c r="C4057">
        <v>68</v>
      </c>
      <c r="D4057" t="s">
        <v>15</v>
      </c>
      <c r="E4057" t="s">
        <v>16</v>
      </c>
      <c r="F4057" t="s">
        <v>16</v>
      </c>
      <c r="G4057" t="s">
        <v>17</v>
      </c>
      <c r="H4057" t="s">
        <v>23</v>
      </c>
      <c r="I4057">
        <v>96.14</v>
      </c>
      <c r="J4057">
        <v>26.7</v>
      </c>
      <c r="K4057" t="s">
        <v>25</v>
      </c>
      <c r="L4057" t="s">
        <v>15</v>
      </c>
    </row>
    <row r="4058" spans="1:12" x14ac:dyDescent="0.3">
      <c r="A4058">
        <v>65379</v>
      </c>
      <c r="B4058" t="s">
        <v>12</v>
      </c>
      <c r="C4058">
        <v>9</v>
      </c>
      <c r="D4058" t="s">
        <v>15</v>
      </c>
      <c r="E4058" t="s">
        <v>15</v>
      </c>
      <c r="F4058" t="s">
        <v>15</v>
      </c>
      <c r="G4058" t="s">
        <v>20</v>
      </c>
      <c r="H4058" t="s">
        <v>22</v>
      </c>
      <c r="I4058">
        <v>69.52</v>
      </c>
      <c r="J4058">
        <v>24.2</v>
      </c>
      <c r="K4058" t="s">
        <v>27</v>
      </c>
      <c r="L4058" t="s">
        <v>15</v>
      </c>
    </row>
    <row r="4059" spans="1:12" x14ac:dyDescent="0.3">
      <c r="A4059">
        <v>38605</v>
      </c>
      <c r="B4059" t="s">
        <v>13</v>
      </c>
      <c r="C4059">
        <v>36</v>
      </c>
      <c r="D4059" t="s">
        <v>15</v>
      </c>
      <c r="E4059" t="s">
        <v>15</v>
      </c>
      <c r="F4059" t="s">
        <v>16</v>
      </c>
      <c r="G4059" t="s">
        <v>17</v>
      </c>
      <c r="H4059" t="s">
        <v>23</v>
      </c>
      <c r="I4059">
        <v>101.93</v>
      </c>
      <c r="J4059">
        <v>22.8</v>
      </c>
      <c r="K4059" t="s">
        <v>26</v>
      </c>
      <c r="L4059" t="s">
        <v>15</v>
      </c>
    </row>
    <row r="4060" spans="1:12" x14ac:dyDescent="0.3">
      <c r="A4060">
        <v>35772</v>
      </c>
      <c r="B4060" t="s">
        <v>12</v>
      </c>
      <c r="C4060">
        <v>17</v>
      </c>
      <c r="D4060" t="s">
        <v>15</v>
      </c>
      <c r="E4060" t="s">
        <v>15</v>
      </c>
      <c r="F4060" t="s">
        <v>15</v>
      </c>
      <c r="G4060" t="s">
        <v>17</v>
      </c>
      <c r="H4060" t="s">
        <v>22</v>
      </c>
      <c r="I4060">
        <v>71.58</v>
      </c>
      <c r="J4060">
        <v>25.6</v>
      </c>
      <c r="K4060" t="s">
        <v>27</v>
      </c>
      <c r="L4060" t="s">
        <v>15</v>
      </c>
    </row>
    <row r="4061" spans="1:12" x14ac:dyDescent="0.3">
      <c r="A4061">
        <v>38014</v>
      </c>
      <c r="B4061" t="s">
        <v>12</v>
      </c>
      <c r="C4061">
        <v>24</v>
      </c>
      <c r="D4061" t="s">
        <v>15</v>
      </c>
      <c r="E4061" t="s">
        <v>15</v>
      </c>
      <c r="F4061" t="s">
        <v>16</v>
      </c>
      <c r="G4061" t="s">
        <v>17</v>
      </c>
      <c r="H4061" t="s">
        <v>22</v>
      </c>
      <c r="I4061">
        <v>83.1</v>
      </c>
      <c r="J4061">
        <v>21.9</v>
      </c>
      <c r="K4061" t="s">
        <v>26</v>
      </c>
      <c r="L4061" t="s">
        <v>15</v>
      </c>
    </row>
    <row r="4062" spans="1:12" x14ac:dyDescent="0.3">
      <c r="A4062">
        <v>68330</v>
      </c>
      <c r="B4062" t="s">
        <v>13</v>
      </c>
      <c r="C4062">
        <v>69</v>
      </c>
      <c r="D4062" t="s">
        <v>15</v>
      </c>
      <c r="E4062" t="s">
        <v>15</v>
      </c>
      <c r="F4062" t="s">
        <v>16</v>
      </c>
      <c r="G4062" t="s">
        <v>18</v>
      </c>
      <c r="H4062" t="s">
        <v>23</v>
      </c>
      <c r="I4062">
        <v>110.96</v>
      </c>
      <c r="J4062">
        <v>25.9</v>
      </c>
      <c r="K4062" t="s">
        <v>25</v>
      </c>
      <c r="L4062" t="s">
        <v>15</v>
      </c>
    </row>
    <row r="4063" spans="1:12" x14ac:dyDescent="0.3">
      <c r="A4063">
        <v>47271</v>
      </c>
      <c r="B4063" t="s">
        <v>12</v>
      </c>
      <c r="C4063">
        <v>38</v>
      </c>
      <c r="D4063" t="s">
        <v>15</v>
      </c>
      <c r="E4063" t="s">
        <v>15</v>
      </c>
      <c r="F4063" t="s">
        <v>16</v>
      </c>
      <c r="G4063" t="s">
        <v>19</v>
      </c>
      <c r="H4063" t="s">
        <v>22</v>
      </c>
      <c r="I4063">
        <v>122.83</v>
      </c>
      <c r="J4063">
        <v>30.6</v>
      </c>
      <c r="K4063" t="s">
        <v>27</v>
      </c>
      <c r="L4063" t="s">
        <v>15</v>
      </c>
    </row>
    <row r="4064" spans="1:12" x14ac:dyDescent="0.3">
      <c r="A4064">
        <v>26330</v>
      </c>
      <c r="B4064" t="s">
        <v>13</v>
      </c>
      <c r="C4064">
        <v>69</v>
      </c>
      <c r="D4064" t="s">
        <v>15</v>
      </c>
      <c r="E4064" t="s">
        <v>15</v>
      </c>
      <c r="F4064" t="s">
        <v>16</v>
      </c>
      <c r="G4064" t="s">
        <v>17</v>
      </c>
      <c r="H4064" t="s">
        <v>22</v>
      </c>
      <c r="I4064">
        <v>91.65</v>
      </c>
      <c r="J4064">
        <v>25.7</v>
      </c>
      <c r="K4064" t="s">
        <v>24</v>
      </c>
      <c r="L4064" t="s">
        <v>15</v>
      </c>
    </row>
    <row r="4065" spans="1:12" x14ac:dyDescent="0.3">
      <c r="A4065">
        <v>24022</v>
      </c>
      <c r="B4065" t="s">
        <v>13</v>
      </c>
      <c r="C4065">
        <v>32</v>
      </c>
      <c r="D4065" t="s">
        <v>15</v>
      </c>
      <c r="E4065" t="s">
        <v>15</v>
      </c>
      <c r="F4065" t="s">
        <v>15</v>
      </c>
      <c r="G4065" t="s">
        <v>17</v>
      </c>
      <c r="H4065" t="s">
        <v>22</v>
      </c>
      <c r="I4065">
        <v>84.1</v>
      </c>
      <c r="J4065">
        <v>33.299999999999997</v>
      </c>
      <c r="K4065" t="s">
        <v>27</v>
      </c>
      <c r="L4065" t="s">
        <v>15</v>
      </c>
    </row>
    <row r="4066" spans="1:12" x14ac:dyDescent="0.3">
      <c r="A4066">
        <v>45622</v>
      </c>
      <c r="B4066" t="s">
        <v>13</v>
      </c>
      <c r="C4066">
        <v>25</v>
      </c>
      <c r="D4066" t="s">
        <v>15</v>
      </c>
      <c r="E4066" t="s">
        <v>15</v>
      </c>
      <c r="F4066" t="s">
        <v>15</v>
      </c>
      <c r="G4066" t="s">
        <v>17</v>
      </c>
      <c r="H4066" t="s">
        <v>23</v>
      </c>
      <c r="I4066">
        <v>118.85</v>
      </c>
      <c r="J4066">
        <v>23.8</v>
      </c>
      <c r="K4066" t="s">
        <v>26</v>
      </c>
      <c r="L4066" t="s">
        <v>15</v>
      </c>
    </row>
    <row r="4067" spans="1:12" x14ac:dyDescent="0.3">
      <c r="A4067">
        <v>60732</v>
      </c>
      <c r="B4067" t="s">
        <v>12</v>
      </c>
      <c r="C4067">
        <v>2</v>
      </c>
      <c r="D4067" t="s">
        <v>15</v>
      </c>
      <c r="E4067" t="s">
        <v>15</v>
      </c>
      <c r="F4067" t="s">
        <v>15</v>
      </c>
      <c r="G4067" t="s">
        <v>20</v>
      </c>
      <c r="H4067" t="s">
        <v>22</v>
      </c>
      <c r="I4067">
        <v>89.32</v>
      </c>
      <c r="J4067">
        <v>17.2</v>
      </c>
      <c r="K4067" t="s">
        <v>27</v>
      </c>
      <c r="L4067" t="s">
        <v>15</v>
      </c>
    </row>
    <row r="4068" spans="1:12" x14ac:dyDescent="0.3">
      <c r="A4068">
        <v>53694</v>
      </c>
      <c r="B4068" t="s">
        <v>12</v>
      </c>
      <c r="C4068">
        <v>79</v>
      </c>
      <c r="D4068" t="s">
        <v>15</v>
      </c>
      <c r="E4068" t="s">
        <v>15</v>
      </c>
      <c r="F4068" t="s">
        <v>15</v>
      </c>
      <c r="G4068" t="s">
        <v>18</v>
      </c>
      <c r="H4068" t="s">
        <v>22</v>
      </c>
      <c r="I4068">
        <v>128.72</v>
      </c>
      <c r="J4068">
        <v>31</v>
      </c>
      <c r="K4068" t="s">
        <v>27</v>
      </c>
      <c r="L4068" t="s">
        <v>15</v>
      </c>
    </row>
    <row r="4069" spans="1:12" x14ac:dyDescent="0.3">
      <c r="A4069">
        <v>11280</v>
      </c>
      <c r="B4069" t="s">
        <v>13</v>
      </c>
      <c r="C4069">
        <v>28</v>
      </c>
      <c r="D4069" t="s">
        <v>15</v>
      </c>
      <c r="E4069" t="s">
        <v>15</v>
      </c>
      <c r="F4069" t="s">
        <v>16</v>
      </c>
      <c r="G4069" t="s">
        <v>17</v>
      </c>
      <c r="H4069" t="s">
        <v>22</v>
      </c>
      <c r="I4069">
        <v>98.05</v>
      </c>
      <c r="J4069">
        <v>24.7</v>
      </c>
      <c r="K4069" t="s">
        <v>25</v>
      </c>
      <c r="L4069" t="s">
        <v>15</v>
      </c>
    </row>
    <row r="4070" spans="1:12" x14ac:dyDescent="0.3">
      <c r="A4070">
        <v>28734</v>
      </c>
      <c r="B4070" t="s">
        <v>13</v>
      </c>
      <c r="C4070">
        <v>16</v>
      </c>
      <c r="D4070" t="s">
        <v>15</v>
      </c>
      <c r="E4070" t="s">
        <v>15</v>
      </c>
      <c r="F4070" t="s">
        <v>15</v>
      </c>
      <c r="G4070" t="s">
        <v>21</v>
      </c>
      <c r="H4070" t="s">
        <v>22</v>
      </c>
      <c r="I4070">
        <v>102.1</v>
      </c>
      <c r="J4070">
        <v>27.1</v>
      </c>
      <c r="K4070" t="s">
        <v>25</v>
      </c>
      <c r="L4070" t="s">
        <v>15</v>
      </c>
    </row>
    <row r="4071" spans="1:12" x14ac:dyDescent="0.3">
      <c r="A4071">
        <v>12693</v>
      </c>
      <c r="B4071" t="s">
        <v>12</v>
      </c>
      <c r="C4071">
        <v>31</v>
      </c>
      <c r="D4071" t="s">
        <v>15</v>
      </c>
      <c r="E4071" t="s">
        <v>15</v>
      </c>
      <c r="F4071" t="s">
        <v>16</v>
      </c>
      <c r="G4071" t="s">
        <v>17</v>
      </c>
      <c r="H4071" t="s">
        <v>22</v>
      </c>
      <c r="I4071">
        <v>108.62</v>
      </c>
      <c r="K4071" t="s">
        <v>26</v>
      </c>
      <c r="L4071" t="s">
        <v>15</v>
      </c>
    </row>
    <row r="4072" spans="1:12" x14ac:dyDescent="0.3">
      <c r="A4072">
        <v>17683</v>
      </c>
      <c r="B4072" t="s">
        <v>12</v>
      </c>
      <c r="C4072">
        <v>66</v>
      </c>
      <c r="D4072" t="s">
        <v>15</v>
      </c>
      <c r="E4072" t="s">
        <v>15</v>
      </c>
      <c r="F4072" t="s">
        <v>16</v>
      </c>
      <c r="G4072" t="s">
        <v>18</v>
      </c>
      <c r="H4072" t="s">
        <v>22</v>
      </c>
      <c r="I4072">
        <v>96.19</v>
      </c>
      <c r="J4072">
        <v>38.299999999999997</v>
      </c>
      <c r="K4072" t="s">
        <v>26</v>
      </c>
      <c r="L4072" t="s">
        <v>15</v>
      </c>
    </row>
    <row r="4073" spans="1:12" x14ac:dyDescent="0.3">
      <c r="A4073">
        <v>36155</v>
      </c>
      <c r="B4073" t="s">
        <v>13</v>
      </c>
      <c r="C4073">
        <v>57</v>
      </c>
      <c r="D4073" t="s">
        <v>16</v>
      </c>
      <c r="E4073" t="s">
        <v>15</v>
      </c>
      <c r="F4073" t="s">
        <v>16</v>
      </c>
      <c r="G4073" t="s">
        <v>17</v>
      </c>
      <c r="H4073" t="s">
        <v>22</v>
      </c>
      <c r="I4073">
        <v>98.07</v>
      </c>
      <c r="J4073">
        <v>50.9</v>
      </c>
      <c r="K4073" t="s">
        <v>24</v>
      </c>
      <c r="L4073" t="s">
        <v>15</v>
      </c>
    </row>
    <row r="4074" spans="1:12" x14ac:dyDescent="0.3">
      <c r="A4074">
        <v>31390</v>
      </c>
      <c r="B4074" t="s">
        <v>13</v>
      </c>
      <c r="C4074">
        <v>61</v>
      </c>
      <c r="D4074" t="s">
        <v>15</v>
      </c>
      <c r="E4074" t="s">
        <v>15</v>
      </c>
      <c r="F4074" t="s">
        <v>16</v>
      </c>
      <c r="G4074" t="s">
        <v>17</v>
      </c>
      <c r="H4074" t="s">
        <v>23</v>
      </c>
      <c r="I4074">
        <v>71.400000000000006</v>
      </c>
      <c r="J4074">
        <v>29.2</v>
      </c>
      <c r="K4074" t="s">
        <v>24</v>
      </c>
      <c r="L4074" t="s">
        <v>15</v>
      </c>
    </row>
    <row r="4075" spans="1:12" x14ac:dyDescent="0.3">
      <c r="A4075">
        <v>10636</v>
      </c>
      <c r="B4075" t="s">
        <v>13</v>
      </c>
      <c r="C4075">
        <v>74</v>
      </c>
      <c r="D4075" t="s">
        <v>15</v>
      </c>
      <c r="E4075" t="s">
        <v>15</v>
      </c>
      <c r="F4075" t="s">
        <v>16</v>
      </c>
      <c r="G4075" t="s">
        <v>18</v>
      </c>
      <c r="H4075" t="s">
        <v>23</v>
      </c>
      <c r="I4075">
        <v>82.27</v>
      </c>
      <c r="J4075">
        <v>23.6</v>
      </c>
      <c r="K4075" t="s">
        <v>24</v>
      </c>
      <c r="L4075" t="s">
        <v>15</v>
      </c>
    </row>
    <row r="4076" spans="1:12" x14ac:dyDescent="0.3">
      <c r="A4076">
        <v>71659</v>
      </c>
      <c r="B4076" t="s">
        <v>13</v>
      </c>
      <c r="C4076">
        <v>70</v>
      </c>
      <c r="D4076" t="s">
        <v>15</v>
      </c>
      <c r="E4076" t="s">
        <v>15</v>
      </c>
      <c r="F4076" t="s">
        <v>16</v>
      </c>
      <c r="G4076" t="s">
        <v>19</v>
      </c>
      <c r="H4076" t="s">
        <v>23</v>
      </c>
      <c r="I4076">
        <v>158.33000000000001</v>
      </c>
      <c r="J4076">
        <v>33.5</v>
      </c>
      <c r="K4076" t="s">
        <v>25</v>
      </c>
      <c r="L4076" t="s">
        <v>15</v>
      </c>
    </row>
    <row r="4077" spans="1:12" x14ac:dyDescent="0.3">
      <c r="A4077">
        <v>52305</v>
      </c>
      <c r="B4077" t="s">
        <v>13</v>
      </c>
      <c r="C4077">
        <v>8</v>
      </c>
      <c r="D4077" t="s">
        <v>15</v>
      </c>
      <c r="E4077" t="s">
        <v>15</v>
      </c>
      <c r="F4077" t="s">
        <v>15</v>
      </c>
      <c r="G4077" t="s">
        <v>20</v>
      </c>
      <c r="H4077" t="s">
        <v>23</v>
      </c>
      <c r="I4077">
        <v>102.5</v>
      </c>
      <c r="J4077">
        <v>16.3</v>
      </c>
      <c r="K4077" t="s">
        <v>27</v>
      </c>
      <c r="L4077" t="s">
        <v>15</v>
      </c>
    </row>
    <row r="4078" spans="1:12" x14ac:dyDescent="0.3">
      <c r="A4078">
        <v>9602</v>
      </c>
      <c r="B4078" t="s">
        <v>13</v>
      </c>
      <c r="C4078">
        <v>49</v>
      </c>
      <c r="D4078" t="s">
        <v>15</v>
      </c>
      <c r="E4078" t="s">
        <v>15</v>
      </c>
      <c r="F4078" t="s">
        <v>16</v>
      </c>
      <c r="G4078" t="s">
        <v>17</v>
      </c>
      <c r="H4078" t="s">
        <v>22</v>
      </c>
      <c r="I4078">
        <v>72.180000000000007</v>
      </c>
      <c r="J4078">
        <v>30.8</v>
      </c>
      <c r="K4078" t="s">
        <v>27</v>
      </c>
      <c r="L4078" t="s">
        <v>15</v>
      </c>
    </row>
    <row r="4079" spans="1:12" x14ac:dyDescent="0.3">
      <c r="A4079">
        <v>68407</v>
      </c>
      <c r="B4079" t="s">
        <v>12</v>
      </c>
      <c r="C4079">
        <v>30</v>
      </c>
      <c r="D4079" t="s">
        <v>15</v>
      </c>
      <c r="E4079" t="s">
        <v>15</v>
      </c>
      <c r="F4079" t="s">
        <v>16</v>
      </c>
      <c r="G4079" t="s">
        <v>19</v>
      </c>
      <c r="H4079" t="s">
        <v>22</v>
      </c>
      <c r="I4079">
        <v>95.94</v>
      </c>
      <c r="J4079">
        <v>31.1</v>
      </c>
      <c r="K4079" t="s">
        <v>25</v>
      </c>
      <c r="L4079" t="s">
        <v>15</v>
      </c>
    </row>
    <row r="4080" spans="1:12" x14ac:dyDescent="0.3">
      <c r="A4080">
        <v>72011</v>
      </c>
      <c r="B4080" t="s">
        <v>12</v>
      </c>
      <c r="C4080">
        <v>51</v>
      </c>
      <c r="D4080" t="s">
        <v>15</v>
      </c>
      <c r="E4080" t="s">
        <v>15</v>
      </c>
      <c r="F4080" t="s">
        <v>15</v>
      </c>
      <c r="G4080" t="s">
        <v>18</v>
      </c>
      <c r="H4080" t="s">
        <v>23</v>
      </c>
      <c r="I4080">
        <v>87.15</v>
      </c>
      <c r="J4080">
        <v>26.4</v>
      </c>
      <c r="K4080" t="s">
        <v>24</v>
      </c>
      <c r="L4080" t="s">
        <v>15</v>
      </c>
    </row>
    <row r="4081" spans="1:12" x14ac:dyDescent="0.3">
      <c r="A4081">
        <v>40568</v>
      </c>
      <c r="B4081" t="s">
        <v>13</v>
      </c>
      <c r="C4081">
        <v>10</v>
      </c>
      <c r="D4081" t="s">
        <v>15</v>
      </c>
      <c r="E4081" t="s">
        <v>15</v>
      </c>
      <c r="F4081" t="s">
        <v>15</v>
      </c>
      <c r="G4081" t="s">
        <v>20</v>
      </c>
      <c r="H4081" t="s">
        <v>22</v>
      </c>
      <c r="I4081">
        <v>82.59</v>
      </c>
      <c r="J4081">
        <v>18.600000000000001</v>
      </c>
      <c r="K4081" t="s">
        <v>24</v>
      </c>
      <c r="L4081" t="s">
        <v>15</v>
      </c>
    </row>
    <row r="4082" spans="1:12" x14ac:dyDescent="0.3">
      <c r="A4082">
        <v>50206</v>
      </c>
      <c r="B4082" t="s">
        <v>13</v>
      </c>
      <c r="C4082">
        <v>34</v>
      </c>
      <c r="D4082" t="s">
        <v>15</v>
      </c>
      <c r="E4082" t="s">
        <v>15</v>
      </c>
      <c r="F4082" t="s">
        <v>16</v>
      </c>
      <c r="G4082" t="s">
        <v>17</v>
      </c>
      <c r="H4082" t="s">
        <v>23</v>
      </c>
      <c r="I4082">
        <v>89.31</v>
      </c>
      <c r="J4082">
        <v>37.299999999999997</v>
      </c>
      <c r="K4082" t="s">
        <v>24</v>
      </c>
      <c r="L4082" t="s">
        <v>15</v>
      </c>
    </row>
    <row r="4083" spans="1:12" x14ac:dyDescent="0.3">
      <c r="A4083">
        <v>41191</v>
      </c>
      <c r="B4083" t="s">
        <v>12</v>
      </c>
      <c r="C4083">
        <v>40</v>
      </c>
      <c r="D4083" t="s">
        <v>15</v>
      </c>
      <c r="E4083" t="s">
        <v>15</v>
      </c>
      <c r="F4083" t="s">
        <v>16</v>
      </c>
      <c r="G4083" t="s">
        <v>17</v>
      </c>
      <c r="H4083" t="s">
        <v>23</v>
      </c>
      <c r="I4083">
        <v>64.84</v>
      </c>
      <c r="J4083">
        <v>26.6</v>
      </c>
      <c r="K4083" t="s">
        <v>25</v>
      </c>
      <c r="L4083" t="s">
        <v>15</v>
      </c>
    </row>
    <row r="4084" spans="1:12" x14ac:dyDescent="0.3">
      <c r="A4084">
        <v>7129</v>
      </c>
      <c r="B4084" t="s">
        <v>12</v>
      </c>
      <c r="C4084">
        <v>3</v>
      </c>
      <c r="D4084" t="s">
        <v>15</v>
      </c>
      <c r="E4084" t="s">
        <v>15</v>
      </c>
      <c r="F4084" t="s">
        <v>15</v>
      </c>
      <c r="G4084" t="s">
        <v>20</v>
      </c>
      <c r="H4084" t="s">
        <v>22</v>
      </c>
      <c r="I4084">
        <v>107.52</v>
      </c>
      <c r="J4084">
        <v>17.600000000000001</v>
      </c>
      <c r="K4084" t="s">
        <v>27</v>
      </c>
      <c r="L4084" t="s">
        <v>15</v>
      </c>
    </row>
    <row r="4085" spans="1:12" x14ac:dyDescent="0.3">
      <c r="A4085">
        <v>45485</v>
      </c>
      <c r="B4085" t="s">
        <v>13</v>
      </c>
      <c r="C4085">
        <v>45</v>
      </c>
      <c r="D4085" t="s">
        <v>15</v>
      </c>
      <c r="E4085" t="s">
        <v>15</v>
      </c>
      <c r="F4085" t="s">
        <v>16</v>
      </c>
      <c r="G4085" t="s">
        <v>18</v>
      </c>
      <c r="H4085" t="s">
        <v>22</v>
      </c>
      <c r="I4085">
        <v>92.76</v>
      </c>
      <c r="J4085">
        <v>22.3</v>
      </c>
      <c r="K4085" t="s">
        <v>27</v>
      </c>
      <c r="L4085" t="s">
        <v>15</v>
      </c>
    </row>
    <row r="4086" spans="1:12" x14ac:dyDescent="0.3">
      <c r="A4086">
        <v>32023</v>
      </c>
      <c r="B4086" t="s">
        <v>12</v>
      </c>
      <c r="C4086">
        <v>4</v>
      </c>
      <c r="D4086" t="s">
        <v>15</v>
      </c>
      <c r="E4086" t="s">
        <v>15</v>
      </c>
      <c r="F4086" t="s">
        <v>15</v>
      </c>
      <c r="G4086" t="s">
        <v>20</v>
      </c>
      <c r="H4086" t="s">
        <v>22</v>
      </c>
      <c r="I4086">
        <v>79.16</v>
      </c>
      <c r="J4086">
        <v>20.2</v>
      </c>
      <c r="K4086" t="s">
        <v>27</v>
      </c>
      <c r="L4086" t="s">
        <v>15</v>
      </c>
    </row>
    <row r="4087" spans="1:12" x14ac:dyDescent="0.3">
      <c r="A4087">
        <v>33064</v>
      </c>
      <c r="B4087" t="s">
        <v>12</v>
      </c>
      <c r="C4087">
        <v>52</v>
      </c>
      <c r="D4087" t="s">
        <v>15</v>
      </c>
      <c r="E4087" t="s">
        <v>16</v>
      </c>
      <c r="F4087" t="s">
        <v>16</v>
      </c>
      <c r="G4087" t="s">
        <v>17</v>
      </c>
      <c r="H4087" t="s">
        <v>22</v>
      </c>
      <c r="I4087">
        <v>87</v>
      </c>
      <c r="J4087">
        <v>30.9</v>
      </c>
      <c r="K4087" t="s">
        <v>25</v>
      </c>
      <c r="L4087" t="s">
        <v>15</v>
      </c>
    </row>
    <row r="4088" spans="1:12" x14ac:dyDescent="0.3">
      <c r="A4088">
        <v>60896</v>
      </c>
      <c r="B4088" t="s">
        <v>12</v>
      </c>
      <c r="C4088">
        <v>68</v>
      </c>
      <c r="D4088" t="s">
        <v>15</v>
      </c>
      <c r="E4088" t="s">
        <v>16</v>
      </c>
      <c r="F4088" t="s">
        <v>16</v>
      </c>
      <c r="G4088" t="s">
        <v>17</v>
      </c>
      <c r="H4088" t="s">
        <v>23</v>
      </c>
      <c r="I4088">
        <v>145.25</v>
      </c>
      <c r="J4088">
        <v>31.5</v>
      </c>
      <c r="K4088" t="s">
        <v>25</v>
      </c>
      <c r="L4088" t="s">
        <v>15</v>
      </c>
    </row>
    <row r="4089" spans="1:12" x14ac:dyDescent="0.3">
      <c r="A4089">
        <v>2109</v>
      </c>
      <c r="B4089" t="s">
        <v>13</v>
      </c>
      <c r="C4089">
        <v>8</v>
      </c>
      <c r="D4089" t="s">
        <v>15</v>
      </c>
      <c r="E4089" t="s">
        <v>15</v>
      </c>
      <c r="F4089" t="s">
        <v>15</v>
      </c>
      <c r="G4089" t="s">
        <v>20</v>
      </c>
      <c r="H4089" t="s">
        <v>22</v>
      </c>
      <c r="I4089">
        <v>125.14</v>
      </c>
      <c r="J4089">
        <v>29.7</v>
      </c>
      <c r="K4089" t="s">
        <v>27</v>
      </c>
      <c r="L4089" t="s">
        <v>15</v>
      </c>
    </row>
    <row r="4090" spans="1:12" x14ac:dyDescent="0.3">
      <c r="A4090">
        <v>27705</v>
      </c>
      <c r="B4090" t="s">
        <v>13</v>
      </c>
      <c r="C4090">
        <v>82</v>
      </c>
      <c r="D4090" t="s">
        <v>15</v>
      </c>
      <c r="E4090" t="s">
        <v>16</v>
      </c>
      <c r="F4090" t="s">
        <v>16</v>
      </c>
      <c r="G4090" t="s">
        <v>18</v>
      </c>
      <c r="H4090" t="s">
        <v>23</v>
      </c>
      <c r="I4090">
        <v>88.6</v>
      </c>
      <c r="J4090">
        <v>32.5</v>
      </c>
      <c r="K4090" t="s">
        <v>27</v>
      </c>
      <c r="L4090" t="s">
        <v>15</v>
      </c>
    </row>
    <row r="4091" spans="1:12" x14ac:dyDescent="0.3">
      <c r="A4091">
        <v>36850</v>
      </c>
      <c r="B4091" t="s">
        <v>12</v>
      </c>
      <c r="C4091">
        <v>36</v>
      </c>
      <c r="D4091" t="s">
        <v>15</v>
      </c>
      <c r="E4091" t="s">
        <v>15</v>
      </c>
      <c r="F4091" t="s">
        <v>16</v>
      </c>
      <c r="G4091" t="s">
        <v>19</v>
      </c>
      <c r="H4091" t="s">
        <v>22</v>
      </c>
      <c r="I4091">
        <v>57.59</v>
      </c>
      <c r="J4091">
        <v>32.799999999999997</v>
      </c>
      <c r="K4091" t="s">
        <v>27</v>
      </c>
      <c r="L4091" t="s">
        <v>15</v>
      </c>
    </row>
    <row r="4092" spans="1:12" x14ac:dyDescent="0.3">
      <c r="A4092">
        <v>52500</v>
      </c>
      <c r="B4092" t="s">
        <v>13</v>
      </c>
      <c r="C4092">
        <v>42</v>
      </c>
      <c r="D4092" t="s">
        <v>15</v>
      </c>
      <c r="E4092" t="s">
        <v>15</v>
      </c>
      <c r="F4092" t="s">
        <v>16</v>
      </c>
      <c r="G4092" t="s">
        <v>19</v>
      </c>
      <c r="H4092" t="s">
        <v>22</v>
      </c>
      <c r="I4092">
        <v>59.43</v>
      </c>
      <c r="J4092">
        <v>25.4</v>
      </c>
      <c r="K4092" t="s">
        <v>25</v>
      </c>
      <c r="L4092" t="s">
        <v>15</v>
      </c>
    </row>
    <row r="4093" spans="1:12" x14ac:dyDescent="0.3">
      <c r="A4093">
        <v>43698</v>
      </c>
      <c r="B4093" t="s">
        <v>13</v>
      </c>
      <c r="C4093">
        <v>27</v>
      </c>
      <c r="D4093" t="s">
        <v>15</v>
      </c>
      <c r="E4093" t="s">
        <v>15</v>
      </c>
      <c r="F4093" t="s">
        <v>15</v>
      </c>
      <c r="G4093" t="s">
        <v>19</v>
      </c>
      <c r="H4093" t="s">
        <v>23</v>
      </c>
      <c r="I4093">
        <v>65.430000000000007</v>
      </c>
      <c r="J4093">
        <v>27.2</v>
      </c>
      <c r="K4093" t="s">
        <v>27</v>
      </c>
      <c r="L4093" t="s">
        <v>15</v>
      </c>
    </row>
    <row r="4094" spans="1:12" x14ac:dyDescent="0.3">
      <c r="A4094">
        <v>49901</v>
      </c>
      <c r="B4094" t="s">
        <v>12</v>
      </c>
      <c r="C4094">
        <v>55</v>
      </c>
      <c r="D4094" t="s">
        <v>15</v>
      </c>
      <c r="E4094" t="s">
        <v>15</v>
      </c>
      <c r="F4094" t="s">
        <v>16</v>
      </c>
      <c r="G4094" t="s">
        <v>19</v>
      </c>
      <c r="H4094" t="s">
        <v>22</v>
      </c>
      <c r="I4094">
        <v>154.03</v>
      </c>
      <c r="J4094">
        <v>31.6</v>
      </c>
      <c r="K4094" t="s">
        <v>26</v>
      </c>
      <c r="L4094" t="s">
        <v>15</v>
      </c>
    </row>
    <row r="4095" spans="1:12" x14ac:dyDescent="0.3">
      <c r="A4095">
        <v>69120</v>
      </c>
      <c r="B4095" t="s">
        <v>13</v>
      </c>
      <c r="C4095">
        <v>31</v>
      </c>
      <c r="D4095" t="s">
        <v>15</v>
      </c>
      <c r="E4095" t="s">
        <v>15</v>
      </c>
      <c r="F4095" t="s">
        <v>16</v>
      </c>
      <c r="G4095" t="s">
        <v>18</v>
      </c>
      <c r="H4095" t="s">
        <v>23</v>
      </c>
      <c r="I4095">
        <v>139.81</v>
      </c>
      <c r="J4095">
        <v>39.6</v>
      </c>
      <c r="K4095" t="s">
        <v>25</v>
      </c>
      <c r="L4095" t="s">
        <v>15</v>
      </c>
    </row>
    <row r="4096" spans="1:12" x14ac:dyDescent="0.3">
      <c r="A4096">
        <v>25510</v>
      </c>
      <c r="B4096" t="s">
        <v>12</v>
      </c>
      <c r="C4096">
        <v>82</v>
      </c>
      <c r="D4096" t="s">
        <v>15</v>
      </c>
      <c r="E4096" t="s">
        <v>15</v>
      </c>
      <c r="F4096" t="s">
        <v>16</v>
      </c>
      <c r="G4096" t="s">
        <v>18</v>
      </c>
      <c r="H4096" t="s">
        <v>22</v>
      </c>
      <c r="I4096">
        <v>111.81</v>
      </c>
      <c r="J4096">
        <v>19.8</v>
      </c>
      <c r="K4096" t="s">
        <v>24</v>
      </c>
      <c r="L4096" t="s">
        <v>15</v>
      </c>
    </row>
    <row r="4097" spans="1:12" x14ac:dyDescent="0.3">
      <c r="A4097">
        <v>60416</v>
      </c>
      <c r="B4097" t="s">
        <v>13</v>
      </c>
      <c r="C4097">
        <v>57</v>
      </c>
      <c r="D4097" t="s">
        <v>15</v>
      </c>
      <c r="E4097" t="s">
        <v>15</v>
      </c>
      <c r="F4097" t="s">
        <v>16</v>
      </c>
      <c r="G4097" t="s">
        <v>18</v>
      </c>
      <c r="H4097" t="s">
        <v>22</v>
      </c>
      <c r="I4097">
        <v>106.84</v>
      </c>
      <c r="J4097">
        <v>29.6</v>
      </c>
      <c r="K4097" t="s">
        <v>25</v>
      </c>
      <c r="L4097" t="s">
        <v>15</v>
      </c>
    </row>
    <row r="4098" spans="1:12" x14ac:dyDescent="0.3">
      <c r="A4098">
        <v>15135</v>
      </c>
      <c r="B4098" t="s">
        <v>13</v>
      </c>
      <c r="C4098">
        <v>78</v>
      </c>
      <c r="D4098" t="s">
        <v>15</v>
      </c>
      <c r="E4098" t="s">
        <v>16</v>
      </c>
      <c r="F4098" t="s">
        <v>16</v>
      </c>
      <c r="G4098" t="s">
        <v>17</v>
      </c>
      <c r="H4098" t="s">
        <v>23</v>
      </c>
      <c r="I4098">
        <v>221.06</v>
      </c>
      <c r="J4098">
        <v>25.5</v>
      </c>
      <c r="K4098" t="s">
        <v>24</v>
      </c>
      <c r="L4098" t="s">
        <v>15</v>
      </c>
    </row>
    <row r="4099" spans="1:12" x14ac:dyDescent="0.3">
      <c r="A4099">
        <v>34660</v>
      </c>
      <c r="B4099" t="s">
        <v>12</v>
      </c>
      <c r="C4099">
        <v>55</v>
      </c>
      <c r="D4099" t="s">
        <v>15</v>
      </c>
      <c r="E4099" t="s">
        <v>15</v>
      </c>
      <c r="F4099" t="s">
        <v>16</v>
      </c>
      <c r="G4099" t="s">
        <v>18</v>
      </c>
      <c r="H4099" t="s">
        <v>22</v>
      </c>
      <c r="I4099">
        <v>69.97</v>
      </c>
      <c r="J4099">
        <v>25.8</v>
      </c>
      <c r="K4099" t="s">
        <v>24</v>
      </c>
      <c r="L4099" t="s">
        <v>15</v>
      </c>
    </row>
    <row r="4100" spans="1:12" x14ac:dyDescent="0.3">
      <c r="A4100">
        <v>11713</v>
      </c>
      <c r="B4100" t="s">
        <v>12</v>
      </c>
      <c r="C4100">
        <v>51</v>
      </c>
      <c r="D4100" t="s">
        <v>15</v>
      </c>
      <c r="E4100" t="s">
        <v>15</v>
      </c>
      <c r="F4100" t="s">
        <v>16</v>
      </c>
      <c r="G4100" t="s">
        <v>17</v>
      </c>
      <c r="H4100" t="s">
        <v>23</v>
      </c>
      <c r="I4100">
        <v>77.069999999999993</v>
      </c>
      <c r="J4100">
        <v>32.1</v>
      </c>
      <c r="K4100" t="s">
        <v>24</v>
      </c>
      <c r="L4100" t="s">
        <v>15</v>
      </c>
    </row>
    <row r="4101" spans="1:12" x14ac:dyDescent="0.3">
      <c r="A4101">
        <v>40704</v>
      </c>
      <c r="B4101" t="s">
        <v>12</v>
      </c>
      <c r="C4101">
        <v>80</v>
      </c>
      <c r="D4101" t="s">
        <v>15</v>
      </c>
      <c r="E4101" t="s">
        <v>15</v>
      </c>
      <c r="F4101" t="s">
        <v>15</v>
      </c>
      <c r="G4101" t="s">
        <v>17</v>
      </c>
      <c r="H4101" t="s">
        <v>22</v>
      </c>
      <c r="I4101">
        <v>59.49</v>
      </c>
      <c r="J4101">
        <v>25.6</v>
      </c>
      <c r="K4101" t="s">
        <v>27</v>
      </c>
      <c r="L4101" t="s">
        <v>15</v>
      </c>
    </row>
    <row r="4102" spans="1:12" x14ac:dyDescent="0.3">
      <c r="A4102">
        <v>71298</v>
      </c>
      <c r="B4102" t="s">
        <v>13</v>
      </c>
      <c r="C4102">
        <v>17</v>
      </c>
      <c r="D4102" t="s">
        <v>15</v>
      </c>
      <c r="E4102" t="s">
        <v>15</v>
      </c>
      <c r="F4102" t="s">
        <v>15</v>
      </c>
      <c r="G4102" t="s">
        <v>17</v>
      </c>
      <c r="H4102" t="s">
        <v>23</v>
      </c>
      <c r="I4102">
        <v>109.39</v>
      </c>
      <c r="J4102">
        <v>26.3</v>
      </c>
      <c r="K4102" t="s">
        <v>25</v>
      </c>
      <c r="L4102" t="s">
        <v>15</v>
      </c>
    </row>
    <row r="4103" spans="1:12" x14ac:dyDescent="0.3">
      <c r="A4103">
        <v>54497</v>
      </c>
      <c r="B4103" t="s">
        <v>13</v>
      </c>
      <c r="C4103">
        <v>61</v>
      </c>
      <c r="D4103" t="s">
        <v>15</v>
      </c>
      <c r="E4103" t="s">
        <v>15</v>
      </c>
      <c r="F4103" t="s">
        <v>16</v>
      </c>
      <c r="G4103" t="s">
        <v>17</v>
      </c>
      <c r="H4103" t="s">
        <v>23</v>
      </c>
      <c r="I4103">
        <v>93.97</v>
      </c>
      <c r="J4103">
        <v>39.4</v>
      </c>
      <c r="K4103" t="s">
        <v>27</v>
      </c>
      <c r="L4103" t="s">
        <v>15</v>
      </c>
    </row>
    <row r="4104" spans="1:12" x14ac:dyDescent="0.3">
      <c r="A4104">
        <v>30129</v>
      </c>
      <c r="B4104" t="s">
        <v>13</v>
      </c>
      <c r="C4104">
        <v>62</v>
      </c>
      <c r="D4104" t="s">
        <v>15</v>
      </c>
      <c r="E4104" t="s">
        <v>15</v>
      </c>
      <c r="F4104" t="s">
        <v>16</v>
      </c>
      <c r="G4104" t="s">
        <v>19</v>
      </c>
      <c r="H4104" t="s">
        <v>22</v>
      </c>
      <c r="I4104">
        <v>163.16999999999999</v>
      </c>
      <c r="J4104">
        <v>25.6</v>
      </c>
      <c r="K4104" t="s">
        <v>25</v>
      </c>
      <c r="L4104" t="s">
        <v>15</v>
      </c>
    </row>
    <row r="4105" spans="1:12" x14ac:dyDescent="0.3">
      <c r="A4105">
        <v>44965</v>
      </c>
      <c r="B4105" t="s">
        <v>13</v>
      </c>
      <c r="C4105">
        <v>14</v>
      </c>
      <c r="D4105" t="s">
        <v>15</v>
      </c>
      <c r="E4105" t="s">
        <v>15</v>
      </c>
      <c r="F4105" t="s">
        <v>15</v>
      </c>
      <c r="G4105" t="s">
        <v>18</v>
      </c>
      <c r="H4105" t="s">
        <v>22</v>
      </c>
      <c r="I4105">
        <v>124.39</v>
      </c>
      <c r="J4105">
        <v>34</v>
      </c>
      <c r="K4105" t="s">
        <v>27</v>
      </c>
      <c r="L4105" t="s">
        <v>15</v>
      </c>
    </row>
    <row r="4106" spans="1:12" x14ac:dyDescent="0.3">
      <c r="A4106">
        <v>38549</v>
      </c>
      <c r="B4106" t="s">
        <v>13</v>
      </c>
      <c r="C4106">
        <v>62</v>
      </c>
      <c r="D4106" t="s">
        <v>15</v>
      </c>
      <c r="E4106" t="s">
        <v>15</v>
      </c>
      <c r="F4106" t="s">
        <v>16</v>
      </c>
      <c r="G4106" t="s">
        <v>17</v>
      </c>
      <c r="H4106" t="s">
        <v>22</v>
      </c>
      <c r="I4106">
        <v>212.62</v>
      </c>
      <c r="J4106">
        <v>35.799999999999997</v>
      </c>
      <c r="K4106" t="s">
        <v>25</v>
      </c>
      <c r="L4106" t="s">
        <v>15</v>
      </c>
    </row>
    <row r="4107" spans="1:12" x14ac:dyDescent="0.3">
      <c r="A4107">
        <v>39236</v>
      </c>
      <c r="B4107" t="s">
        <v>13</v>
      </c>
      <c r="C4107">
        <v>56</v>
      </c>
      <c r="D4107" t="s">
        <v>15</v>
      </c>
      <c r="E4107" t="s">
        <v>15</v>
      </c>
      <c r="F4107" t="s">
        <v>15</v>
      </c>
      <c r="G4107" t="s">
        <v>18</v>
      </c>
      <c r="H4107" t="s">
        <v>22</v>
      </c>
      <c r="I4107">
        <v>128.63</v>
      </c>
      <c r="J4107">
        <v>24.9</v>
      </c>
      <c r="K4107" t="s">
        <v>26</v>
      </c>
      <c r="L4107" t="s">
        <v>15</v>
      </c>
    </row>
    <row r="4108" spans="1:12" x14ac:dyDescent="0.3">
      <c r="A4108">
        <v>50545</v>
      </c>
      <c r="B4108" t="s">
        <v>12</v>
      </c>
      <c r="C4108">
        <v>41</v>
      </c>
      <c r="D4108" t="s">
        <v>15</v>
      </c>
      <c r="E4108" t="s">
        <v>15</v>
      </c>
      <c r="F4108" t="s">
        <v>16</v>
      </c>
      <c r="G4108" t="s">
        <v>19</v>
      </c>
      <c r="H4108" t="s">
        <v>22</v>
      </c>
      <c r="I4108">
        <v>84.1</v>
      </c>
      <c r="J4108">
        <v>29.3</v>
      </c>
      <c r="K4108" t="s">
        <v>25</v>
      </c>
      <c r="L4108" t="s">
        <v>15</v>
      </c>
    </row>
    <row r="4109" spans="1:12" x14ac:dyDescent="0.3">
      <c r="A4109">
        <v>28435</v>
      </c>
      <c r="B4109" t="s">
        <v>13</v>
      </c>
      <c r="C4109">
        <v>59</v>
      </c>
      <c r="D4109" t="s">
        <v>15</v>
      </c>
      <c r="E4109" t="s">
        <v>15</v>
      </c>
      <c r="F4109" t="s">
        <v>16</v>
      </c>
      <c r="G4109" t="s">
        <v>18</v>
      </c>
      <c r="H4109" t="s">
        <v>22</v>
      </c>
      <c r="I4109">
        <v>77.599999999999994</v>
      </c>
      <c r="J4109">
        <v>23.4</v>
      </c>
      <c r="K4109" t="s">
        <v>27</v>
      </c>
      <c r="L4109" t="s">
        <v>15</v>
      </c>
    </row>
    <row r="4110" spans="1:12" x14ac:dyDescent="0.3">
      <c r="A4110">
        <v>4631</v>
      </c>
      <c r="B4110" t="s">
        <v>12</v>
      </c>
      <c r="C4110">
        <v>29</v>
      </c>
      <c r="D4110" t="s">
        <v>15</v>
      </c>
      <c r="E4110" t="s">
        <v>15</v>
      </c>
      <c r="F4110" t="s">
        <v>16</v>
      </c>
      <c r="G4110" t="s">
        <v>17</v>
      </c>
      <c r="H4110" t="s">
        <v>22</v>
      </c>
      <c r="I4110">
        <v>70.510000000000005</v>
      </c>
      <c r="J4110">
        <v>24.5</v>
      </c>
      <c r="K4110" t="s">
        <v>27</v>
      </c>
      <c r="L4110" t="s">
        <v>15</v>
      </c>
    </row>
    <row r="4111" spans="1:12" x14ac:dyDescent="0.3">
      <c r="A4111">
        <v>9912</v>
      </c>
      <c r="B4111" t="s">
        <v>12</v>
      </c>
      <c r="C4111">
        <v>39</v>
      </c>
      <c r="D4111" t="s">
        <v>15</v>
      </c>
      <c r="E4111" t="s">
        <v>15</v>
      </c>
      <c r="F4111" t="s">
        <v>16</v>
      </c>
      <c r="G4111" t="s">
        <v>17</v>
      </c>
      <c r="H4111" t="s">
        <v>23</v>
      </c>
      <c r="I4111">
        <v>109.19</v>
      </c>
      <c r="J4111">
        <v>29.8</v>
      </c>
      <c r="K4111" t="s">
        <v>27</v>
      </c>
      <c r="L4111" t="s">
        <v>15</v>
      </c>
    </row>
    <row r="4112" spans="1:12" x14ac:dyDescent="0.3">
      <c r="A4112">
        <v>43028</v>
      </c>
      <c r="B4112" t="s">
        <v>12</v>
      </c>
      <c r="C4112">
        <v>66</v>
      </c>
      <c r="D4112" t="s">
        <v>15</v>
      </c>
      <c r="E4112" t="s">
        <v>15</v>
      </c>
      <c r="F4112" t="s">
        <v>16</v>
      </c>
      <c r="G4112" t="s">
        <v>18</v>
      </c>
      <c r="H4112" t="s">
        <v>23</v>
      </c>
      <c r="I4112">
        <v>55.23</v>
      </c>
      <c r="J4112">
        <v>28.9</v>
      </c>
      <c r="K4112" t="s">
        <v>27</v>
      </c>
      <c r="L4112" t="s">
        <v>15</v>
      </c>
    </row>
    <row r="4113" spans="1:12" x14ac:dyDescent="0.3">
      <c r="A4113">
        <v>38894</v>
      </c>
      <c r="B4113" t="s">
        <v>13</v>
      </c>
      <c r="C4113">
        <v>35</v>
      </c>
      <c r="D4113" t="s">
        <v>15</v>
      </c>
      <c r="E4113" t="s">
        <v>15</v>
      </c>
      <c r="F4113" t="s">
        <v>16</v>
      </c>
      <c r="G4113" t="s">
        <v>17</v>
      </c>
      <c r="H4113" t="s">
        <v>22</v>
      </c>
      <c r="I4113">
        <v>120.15</v>
      </c>
      <c r="J4113">
        <v>27.3</v>
      </c>
      <c r="K4113" t="s">
        <v>25</v>
      </c>
      <c r="L4113" t="s">
        <v>15</v>
      </c>
    </row>
    <row r="4114" spans="1:12" x14ac:dyDescent="0.3">
      <c r="A4114">
        <v>41238</v>
      </c>
      <c r="B4114" t="s">
        <v>13</v>
      </c>
      <c r="C4114">
        <v>36</v>
      </c>
      <c r="D4114" t="s">
        <v>15</v>
      </c>
      <c r="E4114" t="s">
        <v>15</v>
      </c>
      <c r="F4114" t="s">
        <v>16</v>
      </c>
      <c r="G4114" t="s">
        <v>17</v>
      </c>
      <c r="H4114" t="s">
        <v>22</v>
      </c>
      <c r="I4114">
        <v>72.16</v>
      </c>
      <c r="J4114">
        <v>23.2</v>
      </c>
      <c r="K4114" t="s">
        <v>25</v>
      </c>
      <c r="L4114" t="s">
        <v>15</v>
      </c>
    </row>
    <row r="4115" spans="1:12" x14ac:dyDescent="0.3">
      <c r="A4115">
        <v>51828</v>
      </c>
      <c r="B4115" t="s">
        <v>12</v>
      </c>
      <c r="C4115">
        <v>35</v>
      </c>
      <c r="D4115" t="s">
        <v>15</v>
      </c>
      <c r="E4115" t="s">
        <v>15</v>
      </c>
      <c r="F4115" t="s">
        <v>16</v>
      </c>
      <c r="G4115" t="s">
        <v>17</v>
      </c>
      <c r="H4115" t="s">
        <v>23</v>
      </c>
      <c r="I4115">
        <v>95.89</v>
      </c>
      <c r="J4115">
        <v>34.200000000000003</v>
      </c>
      <c r="K4115" t="s">
        <v>27</v>
      </c>
      <c r="L4115" t="s">
        <v>15</v>
      </c>
    </row>
    <row r="4116" spans="1:12" x14ac:dyDescent="0.3">
      <c r="A4116">
        <v>64196</v>
      </c>
      <c r="B4116" t="s">
        <v>12</v>
      </c>
      <c r="C4116">
        <v>26</v>
      </c>
      <c r="D4116" t="s">
        <v>15</v>
      </c>
      <c r="E4116" t="s">
        <v>15</v>
      </c>
      <c r="F4116" t="s">
        <v>15</v>
      </c>
      <c r="G4116" t="s">
        <v>17</v>
      </c>
      <c r="H4116" t="s">
        <v>22</v>
      </c>
      <c r="I4116">
        <v>64.680000000000007</v>
      </c>
      <c r="J4116">
        <v>23.3</v>
      </c>
      <c r="K4116" t="s">
        <v>26</v>
      </c>
      <c r="L4116" t="s">
        <v>15</v>
      </c>
    </row>
    <row r="4117" spans="1:12" x14ac:dyDescent="0.3">
      <c r="A4117">
        <v>10626</v>
      </c>
      <c r="B4117" t="s">
        <v>13</v>
      </c>
      <c r="C4117">
        <v>31</v>
      </c>
      <c r="D4117" t="s">
        <v>15</v>
      </c>
      <c r="E4117" t="s">
        <v>15</v>
      </c>
      <c r="F4117" t="s">
        <v>15</v>
      </c>
      <c r="G4117" t="s">
        <v>17</v>
      </c>
      <c r="H4117" t="s">
        <v>23</v>
      </c>
      <c r="I4117">
        <v>70.510000000000005</v>
      </c>
      <c r="J4117">
        <v>26.9</v>
      </c>
      <c r="K4117" t="s">
        <v>24</v>
      </c>
      <c r="L4117" t="s">
        <v>15</v>
      </c>
    </row>
    <row r="4118" spans="1:12" x14ac:dyDescent="0.3">
      <c r="A4118">
        <v>4117</v>
      </c>
      <c r="B4118" t="s">
        <v>13</v>
      </c>
      <c r="C4118">
        <v>56</v>
      </c>
      <c r="D4118" t="s">
        <v>15</v>
      </c>
      <c r="E4118" t="s">
        <v>15</v>
      </c>
      <c r="F4118" t="s">
        <v>16</v>
      </c>
      <c r="G4118" t="s">
        <v>18</v>
      </c>
      <c r="H4118" t="s">
        <v>23</v>
      </c>
      <c r="I4118">
        <v>81.77</v>
      </c>
      <c r="J4118">
        <v>21.8</v>
      </c>
      <c r="K4118" t="s">
        <v>25</v>
      </c>
      <c r="L4118" t="s">
        <v>15</v>
      </c>
    </row>
    <row r="4119" spans="1:12" x14ac:dyDescent="0.3">
      <c r="A4119">
        <v>37993</v>
      </c>
      <c r="B4119" t="s">
        <v>13</v>
      </c>
      <c r="C4119">
        <v>36</v>
      </c>
      <c r="D4119" t="s">
        <v>15</v>
      </c>
      <c r="E4119" t="s">
        <v>15</v>
      </c>
      <c r="F4119" t="s">
        <v>16</v>
      </c>
      <c r="G4119" t="s">
        <v>19</v>
      </c>
      <c r="H4119" t="s">
        <v>22</v>
      </c>
      <c r="I4119">
        <v>66.47</v>
      </c>
      <c r="J4119">
        <v>26.9</v>
      </c>
      <c r="K4119" t="s">
        <v>25</v>
      </c>
      <c r="L4119" t="s">
        <v>15</v>
      </c>
    </row>
    <row r="4120" spans="1:12" x14ac:dyDescent="0.3">
      <c r="A4120">
        <v>57765</v>
      </c>
      <c r="B4120" t="s">
        <v>13</v>
      </c>
      <c r="C4120">
        <v>41</v>
      </c>
      <c r="D4120" t="s">
        <v>15</v>
      </c>
      <c r="E4120" t="s">
        <v>15</v>
      </c>
      <c r="F4120" t="s">
        <v>16</v>
      </c>
      <c r="G4120" t="s">
        <v>19</v>
      </c>
      <c r="H4120" t="s">
        <v>23</v>
      </c>
      <c r="I4120">
        <v>146.08000000000001</v>
      </c>
      <c r="J4120">
        <v>29.9</v>
      </c>
      <c r="K4120" t="s">
        <v>25</v>
      </c>
      <c r="L4120" t="s">
        <v>15</v>
      </c>
    </row>
    <row r="4121" spans="1:12" x14ac:dyDescent="0.3">
      <c r="A4121">
        <v>7841</v>
      </c>
      <c r="B4121" t="s">
        <v>13</v>
      </c>
      <c r="C4121">
        <v>50</v>
      </c>
      <c r="D4121" t="s">
        <v>15</v>
      </c>
      <c r="E4121" t="s">
        <v>15</v>
      </c>
      <c r="F4121" t="s">
        <v>16</v>
      </c>
      <c r="G4121" t="s">
        <v>17</v>
      </c>
      <c r="H4121" t="s">
        <v>22</v>
      </c>
      <c r="I4121">
        <v>91.68</v>
      </c>
      <c r="J4121">
        <v>22.4</v>
      </c>
      <c r="K4121" t="s">
        <v>25</v>
      </c>
      <c r="L4121" t="s">
        <v>15</v>
      </c>
    </row>
    <row r="4122" spans="1:12" x14ac:dyDescent="0.3">
      <c r="A4122">
        <v>18398</v>
      </c>
      <c r="B4122" t="s">
        <v>13</v>
      </c>
      <c r="C4122">
        <v>42</v>
      </c>
      <c r="D4122" t="s">
        <v>15</v>
      </c>
      <c r="E4122" t="s">
        <v>15</v>
      </c>
      <c r="F4122" t="s">
        <v>16</v>
      </c>
      <c r="G4122" t="s">
        <v>17</v>
      </c>
      <c r="H4122" t="s">
        <v>23</v>
      </c>
      <c r="I4122">
        <v>108.96</v>
      </c>
      <c r="J4122">
        <v>27.5</v>
      </c>
      <c r="K4122" t="s">
        <v>25</v>
      </c>
      <c r="L4122" t="s">
        <v>15</v>
      </c>
    </row>
    <row r="4123" spans="1:12" x14ac:dyDescent="0.3">
      <c r="A4123">
        <v>50210</v>
      </c>
      <c r="B4123" t="s">
        <v>12</v>
      </c>
      <c r="C4123">
        <v>79</v>
      </c>
      <c r="D4123" t="s">
        <v>15</v>
      </c>
      <c r="E4123" t="s">
        <v>15</v>
      </c>
      <c r="F4123" t="s">
        <v>16</v>
      </c>
      <c r="G4123" t="s">
        <v>18</v>
      </c>
      <c r="H4123" t="s">
        <v>22</v>
      </c>
      <c r="I4123">
        <v>113.41</v>
      </c>
      <c r="J4123">
        <v>35</v>
      </c>
      <c r="K4123" t="s">
        <v>25</v>
      </c>
      <c r="L4123" t="s">
        <v>15</v>
      </c>
    </row>
    <row r="4124" spans="1:12" x14ac:dyDescent="0.3">
      <c r="A4124">
        <v>52461</v>
      </c>
      <c r="B4124" t="s">
        <v>12</v>
      </c>
      <c r="C4124">
        <v>57</v>
      </c>
      <c r="D4124" t="s">
        <v>15</v>
      </c>
      <c r="E4124" t="s">
        <v>15</v>
      </c>
      <c r="F4124" t="s">
        <v>16</v>
      </c>
      <c r="G4124" t="s">
        <v>17</v>
      </c>
      <c r="H4124" t="s">
        <v>22</v>
      </c>
      <c r="I4124">
        <v>111.08</v>
      </c>
      <c r="J4124">
        <v>27.9</v>
      </c>
      <c r="K4124" t="s">
        <v>25</v>
      </c>
      <c r="L4124" t="s">
        <v>15</v>
      </c>
    </row>
    <row r="4125" spans="1:12" x14ac:dyDescent="0.3">
      <c r="A4125">
        <v>32523</v>
      </c>
      <c r="B4125" t="s">
        <v>12</v>
      </c>
      <c r="C4125">
        <v>68</v>
      </c>
      <c r="D4125" t="s">
        <v>15</v>
      </c>
      <c r="E4125" t="s">
        <v>16</v>
      </c>
      <c r="F4125" t="s">
        <v>16</v>
      </c>
      <c r="G4125" t="s">
        <v>17</v>
      </c>
      <c r="H4125" t="s">
        <v>22</v>
      </c>
      <c r="I4125">
        <v>217.74</v>
      </c>
      <c r="J4125">
        <v>25.5</v>
      </c>
      <c r="K4125" t="s">
        <v>27</v>
      </c>
      <c r="L4125" t="s">
        <v>15</v>
      </c>
    </row>
    <row r="4126" spans="1:12" x14ac:dyDescent="0.3">
      <c r="A4126">
        <v>49509</v>
      </c>
      <c r="B4126" t="s">
        <v>13</v>
      </c>
      <c r="C4126">
        <v>25</v>
      </c>
      <c r="D4126" t="s">
        <v>15</v>
      </c>
      <c r="E4126" t="s">
        <v>15</v>
      </c>
      <c r="F4126" t="s">
        <v>16</v>
      </c>
      <c r="G4126" t="s">
        <v>17</v>
      </c>
      <c r="H4126" t="s">
        <v>23</v>
      </c>
      <c r="I4126">
        <v>78.5</v>
      </c>
      <c r="J4126">
        <v>28.6</v>
      </c>
      <c r="K4126" t="s">
        <v>25</v>
      </c>
      <c r="L4126" t="s">
        <v>15</v>
      </c>
    </row>
    <row r="4127" spans="1:12" x14ac:dyDescent="0.3">
      <c r="A4127">
        <v>16377</v>
      </c>
      <c r="B4127" t="s">
        <v>12</v>
      </c>
      <c r="C4127">
        <v>69</v>
      </c>
      <c r="D4127" t="s">
        <v>15</v>
      </c>
      <c r="E4127" t="s">
        <v>15</v>
      </c>
      <c r="F4127" t="s">
        <v>16</v>
      </c>
      <c r="G4127" t="s">
        <v>17</v>
      </c>
      <c r="H4127" t="s">
        <v>22</v>
      </c>
      <c r="I4127">
        <v>89.06</v>
      </c>
      <c r="J4127">
        <v>34.799999999999997</v>
      </c>
      <c r="K4127" t="s">
        <v>24</v>
      </c>
      <c r="L4127" t="s">
        <v>15</v>
      </c>
    </row>
    <row r="4128" spans="1:12" x14ac:dyDescent="0.3">
      <c r="A4128">
        <v>13902</v>
      </c>
      <c r="B4128" t="s">
        <v>13</v>
      </c>
      <c r="C4128">
        <v>42</v>
      </c>
      <c r="D4128" t="s">
        <v>15</v>
      </c>
      <c r="E4128" t="s">
        <v>15</v>
      </c>
      <c r="F4128" t="s">
        <v>16</v>
      </c>
      <c r="G4128" t="s">
        <v>17</v>
      </c>
      <c r="H4128" t="s">
        <v>22</v>
      </c>
      <c r="I4128">
        <v>74.8</v>
      </c>
      <c r="J4128">
        <v>50.6</v>
      </c>
      <c r="K4128" t="s">
        <v>27</v>
      </c>
      <c r="L4128" t="s">
        <v>15</v>
      </c>
    </row>
    <row r="4129" spans="1:12" x14ac:dyDescent="0.3">
      <c r="A4129">
        <v>44047</v>
      </c>
      <c r="B4129" t="s">
        <v>12</v>
      </c>
      <c r="C4129">
        <v>37</v>
      </c>
      <c r="D4129" t="s">
        <v>15</v>
      </c>
      <c r="E4129" t="s">
        <v>15</v>
      </c>
      <c r="F4129" t="s">
        <v>16</v>
      </c>
      <c r="G4129" t="s">
        <v>19</v>
      </c>
      <c r="H4129" t="s">
        <v>23</v>
      </c>
      <c r="I4129">
        <v>80.2</v>
      </c>
      <c r="J4129">
        <v>30.9</v>
      </c>
      <c r="K4129" t="s">
        <v>25</v>
      </c>
      <c r="L4129" t="s">
        <v>15</v>
      </c>
    </row>
    <row r="4130" spans="1:12" x14ac:dyDescent="0.3">
      <c r="A4130">
        <v>34184</v>
      </c>
      <c r="B4130" t="s">
        <v>13</v>
      </c>
      <c r="C4130">
        <v>2</v>
      </c>
      <c r="D4130" t="s">
        <v>15</v>
      </c>
      <c r="E4130" t="s">
        <v>15</v>
      </c>
      <c r="F4130" t="s">
        <v>15</v>
      </c>
      <c r="G4130" t="s">
        <v>20</v>
      </c>
      <c r="H4130" t="s">
        <v>23</v>
      </c>
      <c r="I4130">
        <v>76.52</v>
      </c>
      <c r="J4130">
        <v>14.8</v>
      </c>
      <c r="K4130" t="s">
        <v>27</v>
      </c>
      <c r="L4130" t="s">
        <v>15</v>
      </c>
    </row>
    <row r="4131" spans="1:12" x14ac:dyDescent="0.3">
      <c r="A4131">
        <v>11312</v>
      </c>
      <c r="B4131" t="s">
        <v>13</v>
      </c>
      <c r="C4131">
        <v>78</v>
      </c>
      <c r="D4131" t="s">
        <v>15</v>
      </c>
      <c r="E4131" t="s">
        <v>15</v>
      </c>
      <c r="F4131" t="s">
        <v>16</v>
      </c>
      <c r="G4131" t="s">
        <v>18</v>
      </c>
      <c r="H4131" t="s">
        <v>23</v>
      </c>
      <c r="I4131">
        <v>208.99</v>
      </c>
      <c r="J4131">
        <v>31.4</v>
      </c>
      <c r="K4131" t="s">
        <v>24</v>
      </c>
      <c r="L4131" t="s">
        <v>15</v>
      </c>
    </row>
    <row r="4132" spans="1:12" x14ac:dyDescent="0.3">
      <c r="A4132">
        <v>39616</v>
      </c>
      <c r="B4132" t="s">
        <v>13</v>
      </c>
      <c r="C4132">
        <v>36</v>
      </c>
      <c r="D4132" t="s">
        <v>15</v>
      </c>
      <c r="E4132" t="s">
        <v>15</v>
      </c>
      <c r="F4132" t="s">
        <v>16</v>
      </c>
      <c r="G4132" t="s">
        <v>17</v>
      </c>
      <c r="H4132" t="s">
        <v>22</v>
      </c>
      <c r="I4132">
        <v>99.72</v>
      </c>
      <c r="J4132">
        <v>22.3</v>
      </c>
      <c r="K4132" t="s">
        <v>26</v>
      </c>
      <c r="L4132" t="s">
        <v>15</v>
      </c>
    </row>
    <row r="4133" spans="1:12" x14ac:dyDescent="0.3">
      <c r="A4133">
        <v>57322</v>
      </c>
      <c r="B4133" t="s">
        <v>12</v>
      </c>
      <c r="C4133">
        <v>10</v>
      </c>
      <c r="D4133" t="s">
        <v>15</v>
      </c>
      <c r="E4133" t="s">
        <v>15</v>
      </c>
      <c r="F4133" t="s">
        <v>15</v>
      </c>
      <c r="G4133" t="s">
        <v>20</v>
      </c>
      <c r="H4133" t="s">
        <v>22</v>
      </c>
      <c r="I4133">
        <v>102.97</v>
      </c>
      <c r="J4133">
        <v>19.100000000000001</v>
      </c>
      <c r="K4133" t="s">
        <v>27</v>
      </c>
      <c r="L4133" t="s">
        <v>15</v>
      </c>
    </row>
    <row r="4134" spans="1:12" x14ac:dyDescent="0.3">
      <c r="A4134">
        <v>28011</v>
      </c>
      <c r="B4134" t="s">
        <v>12</v>
      </c>
      <c r="C4134">
        <v>39</v>
      </c>
      <c r="D4134" t="s">
        <v>16</v>
      </c>
      <c r="E4134" t="s">
        <v>15</v>
      </c>
      <c r="F4134" t="s">
        <v>16</v>
      </c>
      <c r="G4134" t="s">
        <v>17</v>
      </c>
      <c r="H4134" t="s">
        <v>23</v>
      </c>
      <c r="I4134">
        <v>197.36</v>
      </c>
      <c r="J4134">
        <v>27.4</v>
      </c>
      <c r="K4134" t="s">
        <v>27</v>
      </c>
      <c r="L4134" t="s">
        <v>15</v>
      </c>
    </row>
    <row r="4135" spans="1:12" x14ac:dyDescent="0.3">
      <c r="A4135">
        <v>242</v>
      </c>
      <c r="B4135" t="s">
        <v>12</v>
      </c>
      <c r="C4135">
        <v>4</v>
      </c>
      <c r="D4135" t="s">
        <v>15</v>
      </c>
      <c r="E4135" t="s">
        <v>15</v>
      </c>
      <c r="F4135" t="s">
        <v>15</v>
      </c>
      <c r="G4135" t="s">
        <v>20</v>
      </c>
      <c r="H4135" t="s">
        <v>22</v>
      </c>
      <c r="I4135">
        <v>98.56</v>
      </c>
      <c r="J4135">
        <v>17.5</v>
      </c>
      <c r="K4135" t="s">
        <v>27</v>
      </c>
      <c r="L4135" t="s">
        <v>15</v>
      </c>
    </row>
    <row r="4136" spans="1:12" x14ac:dyDescent="0.3">
      <c r="A4136">
        <v>18178</v>
      </c>
      <c r="B4136" t="s">
        <v>13</v>
      </c>
      <c r="C4136">
        <v>48</v>
      </c>
      <c r="D4136" t="s">
        <v>15</v>
      </c>
      <c r="E4136" t="s">
        <v>15</v>
      </c>
      <c r="F4136" t="s">
        <v>16</v>
      </c>
      <c r="G4136" t="s">
        <v>17</v>
      </c>
      <c r="H4136" t="s">
        <v>22</v>
      </c>
      <c r="I4136">
        <v>86.06</v>
      </c>
      <c r="J4136">
        <v>36.200000000000003</v>
      </c>
      <c r="K4136" t="s">
        <v>25</v>
      </c>
      <c r="L4136" t="s">
        <v>15</v>
      </c>
    </row>
    <row r="4137" spans="1:12" x14ac:dyDescent="0.3">
      <c r="A4137">
        <v>51823</v>
      </c>
      <c r="B4137" t="s">
        <v>12</v>
      </c>
      <c r="C4137">
        <v>72</v>
      </c>
      <c r="D4137" t="s">
        <v>15</v>
      </c>
      <c r="E4137" t="s">
        <v>15</v>
      </c>
      <c r="F4137" t="s">
        <v>16</v>
      </c>
      <c r="G4137" t="s">
        <v>18</v>
      </c>
      <c r="H4137" t="s">
        <v>22</v>
      </c>
      <c r="I4137">
        <v>123.08</v>
      </c>
      <c r="J4137">
        <v>25.4</v>
      </c>
      <c r="K4137" t="s">
        <v>26</v>
      </c>
      <c r="L4137" t="s">
        <v>15</v>
      </c>
    </row>
    <row r="4138" spans="1:12" x14ac:dyDescent="0.3">
      <c r="A4138">
        <v>23439</v>
      </c>
      <c r="B4138" t="s">
        <v>12</v>
      </c>
      <c r="C4138">
        <v>63</v>
      </c>
      <c r="D4138" t="s">
        <v>15</v>
      </c>
      <c r="E4138" t="s">
        <v>16</v>
      </c>
      <c r="F4138" t="s">
        <v>15</v>
      </c>
      <c r="G4138" t="s">
        <v>17</v>
      </c>
      <c r="H4138" t="s">
        <v>22</v>
      </c>
      <c r="I4138">
        <v>75</v>
      </c>
      <c r="J4138">
        <v>25.7</v>
      </c>
      <c r="K4138" t="s">
        <v>26</v>
      </c>
      <c r="L4138" t="s">
        <v>15</v>
      </c>
    </row>
    <row r="4139" spans="1:12" x14ac:dyDescent="0.3">
      <c r="A4139">
        <v>12594</v>
      </c>
      <c r="B4139" t="s">
        <v>13</v>
      </c>
      <c r="C4139">
        <v>28</v>
      </c>
      <c r="D4139" t="s">
        <v>15</v>
      </c>
      <c r="E4139" t="s">
        <v>15</v>
      </c>
      <c r="F4139" t="s">
        <v>16</v>
      </c>
      <c r="G4139" t="s">
        <v>17</v>
      </c>
      <c r="H4139" t="s">
        <v>23</v>
      </c>
      <c r="I4139">
        <v>105.9</v>
      </c>
      <c r="J4139">
        <v>28.6</v>
      </c>
      <c r="K4139" t="s">
        <v>26</v>
      </c>
      <c r="L4139" t="s">
        <v>15</v>
      </c>
    </row>
    <row r="4140" spans="1:12" x14ac:dyDescent="0.3">
      <c r="A4140">
        <v>2692</v>
      </c>
      <c r="B4140" t="s">
        <v>13</v>
      </c>
      <c r="C4140">
        <v>80</v>
      </c>
      <c r="D4140" t="s">
        <v>15</v>
      </c>
      <c r="E4140" t="s">
        <v>15</v>
      </c>
      <c r="F4140" t="s">
        <v>16</v>
      </c>
      <c r="G4140" t="s">
        <v>18</v>
      </c>
      <c r="H4140" t="s">
        <v>22</v>
      </c>
      <c r="I4140">
        <v>73.87</v>
      </c>
      <c r="J4140">
        <v>33.700000000000003</v>
      </c>
      <c r="K4140" t="s">
        <v>25</v>
      </c>
      <c r="L4140" t="s">
        <v>15</v>
      </c>
    </row>
    <row r="4141" spans="1:12" x14ac:dyDescent="0.3">
      <c r="A4141">
        <v>26062</v>
      </c>
      <c r="B4141" t="s">
        <v>12</v>
      </c>
      <c r="C4141">
        <v>49</v>
      </c>
      <c r="D4141" t="s">
        <v>15</v>
      </c>
      <c r="E4141" t="s">
        <v>15</v>
      </c>
      <c r="F4141" t="s">
        <v>16</v>
      </c>
      <c r="G4141" t="s">
        <v>17</v>
      </c>
      <c r="H4141" t="s">
        <v>23</v>
      </c>
      <c r="I4141">
        <v>78.040000000000006</v>
      </c>
      <c r="J4141">
        <v>37.9</v>
      </c>
      <c r="K4141" t="s">
        <v>25</v>
      </c>
      <c r="L4141" t="s">
        <v>15</v>
      </c>
    </row>
    <row r="4142" spans="1:12" x14ac:dyDescent="0.3">
      <c r="A4142">
        <v>6805</v>
      </c>
      <c r="B4142" t="s">
        <v>12</v>
      </c>
      <c r="C4142">
        <v>57</v>
      </c>
      <c r="D4142" t="s">
        <v>15</v>
      </c>
      <c r="E4142" t="s">
        <v>15</v>
      </c>
      <c r="F4142" t="s">
        <v>15</v>
      </c>
      <c r="G4142" t="s">
        <v>17</v>
      </c>
      <c r="H4142" t="s">
        <v>22</v>
      </c>
      <c r="I4142">
        <v>107.74</v>
      </c>
      <c r="J4142">
        <v>28.4</v>
      </c>
      <c r="K4142" t="s">
        <v>27</v>
      </c>
      <c r="L4142" t="s">
        <v>15</v>
      </c>
    </row>
    <row r="4143" spans="1:12" x14ac:dyDescent="0.3">
      <c r="A4143">
        <v>45817</v>
      </c>
      <c r="B4143" t="s">
        <v>13</v>
      </c>
      <c r="C4143">
        <v>59</v>
      </c>
      <c r="D4143" t="s">
        <v>15</v>
      </c>
      <c r="E4143" t="s">
        <v>15</v>
      </c>
      <c r="F4143" t="s">
        <v>16</v>
      </c>
      <c r="G4143" t="s">
        <v>17</v>
      </c>
      <c r="H4143" t="s">
        <v>23</v>
      </c>
      <c r="I4143">
        <v>60.64</v>
      </c>
      <c r="J4143">
        <v>20</v>
      </c>
      <c r="K4143" t="s">
        <v>25</v>
      </c>
      <c r="L4143" t="s">
        <v>15</v>
      </c>
    </row>
    <row r="4144" spans="1:12" x14ac:dyDescent="0.3">
      <c r="A4144">
        <v>66306</v>
      </c>
      <c r="B4144" t="s">
        <v>13</v>
      </c>
      <c r="C4144">
        <v>43</v>
      </c>
      <c r="D4144" t="s">
        <v>15</v>
      </c>
      <c r="E4144" t="s">
        <v>15</v>
      </c>
      <c r="F4144" t="s">
        <v>16</v>
      </c>
      <c r="G4144" t="s">
        <v>17</v>
      </c>
      <c r="H4144" t="s">
        <v>23</v>
      </c>
      <c r="I4144">
        <v>82.57</v>
      </c>
      <c r="J4144">
        <v>29.1</v>
      </c>
      <c r="K4144" t="s">
        <v>25</v>
      </c>
      <c r="L4144" t="s">
        <v>15</v>
      </c>
    </row>
    <row r="4145" spans="1:12" x14ac:dyDescent="0.3">
      <c r="A4145">
        <v>62167</v>
      </c>
      <c r="B4145" t="s">
        <v>13</v>
      </c>
      <c r="C4145">
        <v>47</v>
      </c>
      <c r="D4145" t="s">
        <v>15</v>
      </c>
      <c r="E4145" t="s">
        <v>15</v>
      </c>
      <c r="F4145" t="s">
        <v>16</v>
      </c>
      <c r="G4145" t="s">
        <v>17</v>
      </c>
      <c r="H4145" t="s">
        <v>23</v>
      </c>
      <c r="I4145">
        <v>115.98</v>
      </c>
      <c r="J4145">
        <v>27.6</v>
      </c>
      <c r="K4145" t="s">
        <v>27</v>
      </c>
      <c r="L4145" t="s">
        <v>15</v>
      </c>
    </row>
    <row r="4146" spans="1:12" x14ac:dyDescent="0.3">
      <c r="A4146">
        <v>16627</v>
      </c>
      <c r="B4146" t="s">
        <v>12</v>
      </c>
      <c r="C4146">
        <v>54</v>
      </c>
      <c r="D4146" t="s">
        <v>15</v>
      </c>
      <c r="E4146" t="s">
        <v>15</v>
      </c>
      <c r="F4146" t="s">
        <v>16</v>
      </c>
      <c r="G4146" t="s">
        <v>18</v>
      </c>
      <c r="H4146" t="s">
        <v>23</v>
      </c>
      <c r="I4146">
        <v>110.38</v>
      </c>
      <c r="J4146">
        <v>27.6</v>
      </c>
      <c r="K4146" t="s">
        <v>24</v>
      </c>
      <c r="L4146" t="s">
        <v>15</v>
      </c>
    </row>
    <row r="4147" spans="1:12" x14ac:dyDescent="0.3">
      <c r="A4147">
        <v>34285</v>
      </c>
      <c r="B4147" t="s">
        <v>12</v>
      </c>
      <c r="C4147">
        <v>57</v>
      </c>
      <c r="D4147" t="s">
        <v>15</v>
      </c>
      <c r="E4147" t="s">
        <v>15</v>
      </c>
      <c r="F4147" t="s">
        <v>16</v>
      </c>
      <c r="G4147" t="s">
        <v>17</v>
      </c>
      <c r="H4147" t="s">
        <v>23</v>
      </c>
      <c r="I4147">
        <v>92.59</v>
      </c>
      <c r="J4147">
        <v>24.2</v>
      </c>
      <c r="K4147" t="s">
        <v>27</v>
      </c>
      <c r="L4147" t="s">
        <v>15</v>
      </c>
    </row>
    <row r="4148" spans="1:12" x14ac:dyDescent="0.3">
      <c r="A4148">
        <v>71151</v>
      </c>
      <c r="B4148" t="s">
        <v>12</v>
      </c>
      <c r="C4148">
        <v>56</v>
      </c>
      <c r="D4148" t="s">
        <v>15</v>
      </c>
      <c r="E4148" t="s">
        <v>15</v>
      </c>
      <c r="F4148" t="s">
        <v>16</v>
      </c>
      <c r="G4148" t="s">
        <v>17</v>
      </c>
      <c r="H4148" t="s">
        <v>22</v>
      </c>
      <c r="I4148">
        <v>82.64</v>
      </c>
      <c r="J4148">
        <v>31</v>
      </c>
      <c r="K4148" t="s">
        <v>25</v>
      </c>
      <c r="L4148" t="s">
        <v>15</v>
      </c>
    </row>
    <row r="4149" spans="1:12" x14ac:dyDescent="0.3">
      <c r="A4149">
        <v>2580</v>
      </c>
      <c r="B4149" t="s">
        <v>12</v>
      </c>
      <c r="C4149">
        <v>66</v>
      </c>
      <c r="D4149" t="s">
        <v>15</v>
      </c>
      <c r="E4149" t="s">
        <v>16</v>
      </c>
      <c r="F4149" t="s">
        <v>15</v>
      </c>
      <c r="G4149" t="s">
        <v>19</v>
      </c>
      <c r="H4149" t="s">
        <v>22</v>
      </c>
      <c r="I4149">
        <v>70.28</v>
      </c>
      <c r="J4149">
        <v>34.5</v>
      </c>
      <c r="K4149" t="s">
        <v>25</v>
      </c>
      <c r="L4149" t="s">
        <v>15</v>
      </c>
    </row>
    <row r="4150" spans="1:12" x14ac:dyDescent="0.3">
      <c r="A4150">
        <v>11891</v>
      </c>
      <c r="B4150" t="s">
        <v>12</v>
      </c>
      <c r="C4150">
        <v>18</v>
      </c>
      <c r="D4150" t="s">
        <v>15</v>
      </c>
      <c r="E4150" t="s">
        <v>15</v>
      </c>
      <c r="F4150" t="s">
        <v>15</v>
      </c>
      <c r="G4150" t="s">
        <v>19</v>
      </c>
      <c r="H4150" t="s">
        <v>22</v>
      </c>
      <c r="I4150">
        <v>106.54</v>
      </c>
      <c r="J4150">
        <v>27</v>
      </c>
      <c r="K4150" t="s">
        <v>25</v>
      </c>
      <c r="L4150" t="s">
        <v>15</v>
      </c>
    </row>
    <row r="4151" spans="1:12" x14ac:dyDescent="0.3">
      <c r="A4151">
        <v>57080</v>
      </c>
      <c r="B4151" t="s">
        <v>13</v>
      </c>
      <c r="C4151">
        <v>81</v>
      </c>
      <c r="D4151" t="s">
        <v>16</v>
      </c>
      <c r="E4151" t="s">
        <v>16</v>
      </c>
      <c r="F4151" t="s">
        <v>16</v>
      </c>
      <c r="G4151" t="s">
        <v>18</v>
      </c>
      <c r="H4151" t="s">
        <v>22</v>
      </c>
      <c r="I4151">
        <v>59.11</v>
      </c>
      <c r="J4151">
        <v>20.7</v>
      </c>
      <c r="K4151" t="s">
        <v>24</v>
      </c>
      <c r="L4151" t="s">
        <v>15</v>
      </c>
    </row>
    <row r="4152" spans="1:12" x14ac:dyDescent="0.3">
      <c r="A4152">
        <v>47456</v>
      </c>
      <c r="B4152" t="s">
        <v>12</v>
      </c>
      <c r="C4152">
        <v>30</v>
      </c>
      <c r="D4152" t="s">
        <v>15</v>
      </c>
      <c r="E4152" t="s">
        <v>15</v>
      </c>
      <c r="F4152" t="s">
        <v>16</v>
      </c>
      <c r="G4152" t="s">
        <v>17</v>
      </c>
      <c r="H4152" t="s">
        <v>23</v>
      </c>
      <c r="I4152">
        <v>58.89</v>
      </c>
      <c r="J4152">
        <v>26.1</v>
      </c>
      <c r="K4152" t="s">
        <v>24</v>
      </c>
      <c r="L4152" t="s">
        <v>15</v>
      </c>
    </row>
    <row r="4153" spans="1:12" x14ac:dyDescent="0.3">
      <c r="A4153">
        <v>56139</v>
      </c>
      <c r="B4153" t="s">
        <v>12</v>
      </c>
      <c r="C4153">
        <v>8</v>
      </c>
      <c r="D4153" t="s">
        <v>15</v>
      </c>
      <c r="E4153" t="s">
        <v>15</v>
      </c>
      <c r="F4153" t="s">
        <v>15</v>
      </c>
      <c r="G4153" t="s">
        <v>20</v>
      </c>
      <c r="H4153" t="s">
        <v>22</v>
      </c>
      <c r="I4153">
        <v>129.66</v>
      </c>
      <c r="J4153">
        <v>19.2</v>
      </c>
      <c r="K4153" t="s">
        <v>27</v>
      </c>
      <c r="L4153" t="s">
        <v>15</v>
      </c>
    </row>
    <row r="4154" spans="1:12" x14ac:dyDescent="0.3">
      <c r="A4154">
        <v>12857</v>
      </c>
      <c r="B4154" t="s">
        <v>12</v>
      </c>
      <c r="C4154">
        <v>55</v>
      </c>
      <c r="D4154" t="s">
        <v>15</v>
      </c>
      <c r="E4154" t="s">
        <v>15</v>
      </c>
      <c r="F4154" t="s">
        <v>16</v>
      </c>
      <c r="G4154" t="s">
        <v>18</v>
      </c>
      <c r="H4154" t="s">
        <v>23</v>
      </c>
      <c r="I4154">
        <v>73.569999999999993</v>
      </c>
      <c r="J4154">
        <v>28</v>
      </c>
      <c r="K4154" t="s">
        <v>26</v>
      </c>
      <c r="L4154" t="s">
        <v>15</v>
      </c>
    </row>
    <row r="4155" spans="1:12" x14ac:dyDescent="0.3">
      <c r="A4155">
        <v>40980</v>
      </c>
      <c r="B4155" t="s">
        <v>12</v>
      </c>
      <c r="C4155">
        <v>79</v>
      </c>
      <c r="D4155" t="s">
        <v>16</v>
      </c>
      <c r="E4155" t="s">
        <v>15</v>
      </c>
      <c r="F4155" t="s">
        <v>16</v>
      </c>
      <c r="G4155" t="s">
        <v>18</v>
      </c>
      <c r="H4155" t="s">
        <v>22</v>
      </c>
      <c r="I4155">
        <v>72.040000000000006</v>
      </c>
      <c r="J4155">
        <v>23.6</v>
      </c>
      <c r="K4155" t="s">
        <v>24</v>
      </c>
      <c r="L4155" t="s">
        <v>15</v>
      </c>
    </row>
    <row r="4156" spans="1:12" x14ac:dyDescent="0.3">
      <c r="A4156">
        <v>47668</v>
      </c>
      <c r="B4156" t="s">
        <v>13</v>
      </c>
      <c r="C4156">
        <v>49</v>
      </c>
      <c r="D4156" t="s">
        <v>15</v>
      </c>
      <c r="E4156" t="s">
        <v>15</v>
      </c>
      <c r="F4156" t="s">
        <v>16</v>
      </c>
      <c r="G4156" t="s">
        <v>17</v>
      </c>
      <c r="H4156" t="s">
        <v>23</v>
      </c>
      <c r="I4156">
        <v>125.63</v>
      </c>
      <c r="J4156">
        <v>57.2</v>
      </c>
      <c r="K4156" t="s">
        <v>27</v>
      </c>
      <c r="L4156" t="s">
        <v>15</v>
      </c>
    </row>
    <row r="4157" spans="1:12" x14ac:dyDescent="0.3">
      <c r="A4157">
        <v>72792</v>
      </c>
      <c r="B4157" t="s">
        <v>13</v>
      </c>
      <c r="C4157">
        <v>53</v>
      </c>
      <c r="D4157" t="s">
        <v>16</v>
      </c>
      <c r="E4157" t="s">
        <v>15</v>
      </c>
      <c r="F4157" t="s">
        <v>16</v>
      </c>
      <c r="G4157" t="s">
        <v>17</v>
      </c>
      <c r="H4157" t="s">
        <v>23</v>
      </c>
      <c r="I4157">
        <v>77.94</v>
      </c>
      <c r="J4157">
        <v>33</v>
      </c>
      <c r="K4157" t="s">
        <v>25</v>
      </c>
      <c r="L4157" t="s">
        <v>15</v>
      </c>
    </row>
    <row r="4158" spans="1:12" x14ac:dyDescent="0.3">
      <c r="A4158">
        <v>37728</v>
      </c>
      <c r="B4158" t="s">
        <v>13</v>
      </c>
      <c r="C4158">
        <v>26</v>
      </c>
      <c r="D4158" t="s">
        <v>15</v>
      </c>
      <c r="E4158" t="s">
        <v>15</v>
      </c>
      <c r="F4158" t="s">
        <v>16</v>
      </c>
      <c r="G4158" t="s">
        <v>17</v>
      </c>
      <c r="H4158" t="s">
        <v>22</v>
      </c>
      <c r="I4158">
        <v>68.989999999999995</v>
      </c>
      <c r="J4158">
        <v>22.2</v>
      </c>
      <c r="K4158" t="s">
        <v>25</v>
      </c>
      <c r="L4158" t="s">
        <v>15</v>
      </c>
    </row>
    <row r="4159" spans="1:12" x14ac:dyDescent="0.3">
      <c r="A4159">
        <v>47410</v>
      </c>
      <c r="B4159" t="s">
        <v>13</v>
      </c>
      <c r="C4159">
        <v>14</v>
      </c>
      <c r="D4159" t="s">
        <v>15</v>
      </c>
      <c r="E4159" t="s">
        <v>15</v>
      </c>
      <c r="F4159" t="s">
        <v>15</v>
      </c>
      <c r="G4159" t="s">
        <v>20</v>
      </c>
      <c r="H4159" t="s">
        <v>23</v>
      </c>
      <c r="I4159">
        <v>111.76</v>
      </c>
      <c r="J4159">
        <v>24.8</v>
      </c>
      <c r="K4159" t="s">
        <v>27</v>
      </c>
      <c r="L4159" t="s">
        <v>15</v>
      </c>
    </row>
    <row r="4160" spans="1:12" x14ac:dyDescent="0.3">
      <c r="A4160">
        <v>56450</v>
      </c>
      <c r="B4160" t="s">
        <v>12</v>
      </c>
      <c r="C4160">
        <v>25</v>
      </c>
      <c r="D4160" t="s">
        <v>15</v>
      </c>
      <c r="E4160" t="s">
        <v>15</v>
      </c>
      <c r="F4160" t="s">
        <v>15</v>
      </c>
      <c r="G4160" t="s">
        <v>17</v>
      </c>
      <c r="H4160" t="s">
        <v>23</v>
      </c>
      <c r="I4160">
        <v>65.36</v>
      </c>
      <c r="J4160">
        <v>24.7</v>
      </c>
      <c r="K4160" t="s">
        <v>25</v>
      </c>
      <c r="L4160" t="s">
        <v>15</v>
      </c>
    </row>
    <row r="4161" spans="1:12" x14ac:dyDescent="0.3">
      <c r="A4161">
        <v>9189</v>
      </c>
      <c r="B4161" t="s">
        <v>13</v>
      </c>
      <c r="C4161">
        <v>20</v>
      </c>
      <c r="D4161" t="s">
        <v>15</v>
      </c>
      <c r="E4161" t="s">
        <v>15</v>
      </c>
      <c r="F4161" t="s">
        <v>15</v>
      </c>
      <c r="G4161" t="s">
        <v>17</v>
      </c>
      <c r="H4161" t="s">
        <v>22</v>
      </c>
      <c r="I4161">
        <v>80.27</v>
      </c>
      <c r="J4161">
        <v>27.9</v>
      </c>
      <c r="K4161" t="s">
        <v>25</v>
      </c>
      <c r="L4161" t="s">
        <v>15</v>
      </c>
    </row>
    <row r="4162" spans="1:12" x14ac:dyDescent="0.3">
      <c r="A4162">
        <v>71966</v>
      </c>
      <c r="B4162" t="s">
        <v>13</v>
      </c>
      <c r="C4162">
        <v>18</v>
      </c>
      <c r="D4162" t="s">
        <v>15</v>
      </c>
      <c r="E4162" t="s">
        <v>15</v>
      </c>
      <c r="F4162" t="s">
        <v>15</v>
      </c>
      <c r="G4162" t="s">
        <v>21</v>
      </c>
      <c r="H4162" t="s">
        <v>22</v>
      </c>
      <c r="I4162">
        <v>81.73</v>
      </c>
      <c r="J4162">
        <v>21.6</v>
      </c>
      <c r="K4162" t="s">
        <v>25</v>
      </c>
      <c r="L4162" t="s">
        <v>15</v>
      </c>
    </row>
    <row r="4163" spans="1:12" x14ac:dyDescent="0.3">
      <c r="A4163">
        <v>59272</v>
      </c>
      <c r="B4163" t="s">
        <v>12</v>
      </c>
      <c r="C4163">
        <v>38</v>
      </c>
      <c r="D4163" t="s">
        <v>15</v>
      </c>
      <c r="E4163" t="s">
        <v>15</v>
      </c>
      <c r="F4163" t="s">
        <v>16</v>
      </c>
      <c r="G4163" t="s">
        <v>17</v>
      </c>
      <c r="H4163" t="s">
        <v>23</v>
      </c>
      <c r="I4163">
        <v>79.22</v>
      </c>
      <c r="J4163">
        <v>34.799999999999997</v>
      </c>
      <c r="K4163" t="s">
        <v>26</v>
      </c>
      <c r="L4163" t="s">
        <v>15</v>
      </c>
    </row>
    <row r="4164" spans="1:12" x14ac:dyDescent="0.3">
      <c r="A4164">
        <v>45563</v>
      </c>
      <c r="B4164" t="s">
        <v>13</v>
      </c>
      <c r="C4164">
        <v>72</v>
      </c>
      <c r="D4164" t="s">
        <v>15</v>
      </c>
      <c r="E4164" t="s">
        <v>16</v>
      </c>
      <c r="F4164" t="s">
        <v>16</v>
      </c>
      <c r="G4164" t="s">
        <v>18</v>
      </c>
      <c r="H4164" t="s">
        <v>22</v>
      </c>
      <c r="I4164">
        <v>142.63</v>
      </c>
      <c r="J4164">
        <v>32.9</v>
      </c>
      <c r="K4164" t="s">
        <v>26</v>
      </c>
      <c r="L4164" t="s">
        <v>15</v>
      </c>
    </row>
    <row r="4165" spans="1:12" x14ac:dyDescent="0.3">
      <c r="A4165">
        <v>19907</v>
      </c>
      <c r="B4165" t="s">
        <v>13</v>
      </c>
      <c r="C4165">
        <v>52</v>
      </c>
      <c r="D4165" t="s">
        <v>15</v>
      </c>
      <c r="E4165" t="s">
        <v>15</v>
      </c>
      <c r="F4165" t="s">
        <v>16</v>
      </c>
      <c r="G4165" t="s">
        <v>17</v>
      </c>
      <c r="H4165" t="s">
        <v>23</v>
      </c>
      <c r="I4165">
        <v>97.05</v>
      </c>
      <c r="J4165">
        <v>28</v>
      </c>
      <c r="K4165" t="s">
        <v>27</v>
      </c>
      <c r="L4165" t="s">
        <v>15</v>
      </c>
    </row>
    <row r="4166" spans="1:12" x14ac:dyDescent="0.3">
      <c r="A4166">
        <v>40163</v>
      </c>
      <c r="B4166" t="s">
        <v>13</v>
      </c>
      <c r="C4166">
        <v>82</v>
      </c>
      <c r="D4166" t="s">
        <v>16</v>
      </c>
      <c r="E4166" t="s">
        <v>15</v>
      </c>
      <c r="F4166" t="s">
        <v>16</v>
      </c>
      <c r="G4166" t="s">
        <v>17</v>
      </c>
      <c r="H4166" t="s">
        <v>22</v>
      </c>
      <c r="I4166">
        <v>222.52</v>
      </c>
      <c r="K4166" t="s">
        <v>24</v>
      </c>
      <c r="L4166" t="s">
        <v>15</v>
      </c>
    </row>
    <row r="4167" spans="1:12" x14ac:dyDescent="0.3">
      <c r="A4167">
        <v>62738</v>
      </c>
      <c r="B4167" t="s">
        <v>12</v>
      </c>
      <c r="C4167">
        <v>71</v>
      </c>
      <c r="D4167" t="s">
        <v>15</v>
      </c>
      <c r="E4167" t="s">
        <v>16</v>
      </c>
      <c r="F4167" t="s">
        <v>16</v>
      </c>
      <c r="G4167" t="s">
        <v>17</v>
      </c>
      <c r="H4167" t="s">
        <v>23</v>
      </c>
      <c r="I4167">
        <v>70.38</v>
      </c>
      <c r="J4167">
        <v>25</v>
      </c>
      <c r="K4167" t="s">
        <v>26</v>
      </c>
      <c r="L4167" t="s">
        <v>15</v>
      </c>
    </row>
    <row r="4168" spans="1:12" x14ac:dyDescent="0.3">
      <c r="A4168">
        <v>51651</v>
      </c>
      <c r="B4168" t="s">
        <v>12</v>
      </c>
      <c r="C4168">
        <v>46</v>
      </c>
      <c r="D4168" t="s">
        <v>15</v>
      </c>
      <c r="E4168" t="s">
        <v>15</v>
      </c>
      <c r="F4168" t="s">
        <v>16</v>
      </c>
      <c r="G4168" t="s">
        <v>17</v>
      </c>
      <c r="H4168" t="s">
        <v>23</v>
      </c>
      <c r="I4168">
        <v>114.46</v>
      </c>
      <c r="J4168">
        <v>24.7</v>
      </c>
      <c r="K4168" t="s">
        <v>24</v>
      </c>
      <c r="L4168" t="s">
        <v>15</v>
      </c>
    </row>
    <row r="4169" spans="1:12" x14ac:dyDescent="0.3">
      <c r="A4169">
        <v>39940</v>
      </c>
      <c r="B4169" t="s">
        <v>13</v>
      </c>
      <c r="C4169">
        <v>33</v>
      </c>
      <c r="D4169" t="s">
        <v>15</v>
      </c>
      <c r="E4169" t="s">
        <v>15</v>
      </c>
      <c r="F4169" t="s">
        <v>16</v>
      </c>
      <c r="G4169" t="s">
        <v>17</v>
      </c>
      <c r="H4169" t="s">
        <v>22</v>
      </c>
      <c r="I4169">
        <v>64.62</v>
      </c>
      <c r="J4169">
        <v>27.3</v>
      </c>
      <c r="K4169" t="s">
        <v>25</v>
      </c>
      <c r="L4169" t="s">
        <v>15</v>
      </c>
    </row>
    <row r="4170" spans="1:12" x14ac:dyDescent="0.3">
      <c r="A4170">
        <v>8122</v>
      </c>
      <c r="B4170" t="s">
        <v>13</v>
      </c>
      <c r="C4170">
        <v>37</v>
      </c>
      <c r="D4170" t="s">
        <v>15</v>
      </c>
      <c r="E4170" t="s">
        <v>15</v>
      </c>
      <c r="F4170" t="s">
        <v>16</v>
      </c>
      <c r="G4170" t="s">
        <v>17</v>
      </c>
      <c r="H4170" t="s">
        <v>22</v>
      </c>
      <c r="I4170">
        <v>94.12</v>
      </c>
      <c r="J4170">
        <v>34.200000000000003</v>
      </c>
      <c r="K4170" t="s">
        <v>27</v>
      </c>
      <c r="L4170" t="s">
        <v>15</v>
      </c>
    </row>
    <row r="4171" spans="1:12" x14ac:dyDescent="0.3">
      <c r="A4171">
        <v>71057</v>
      </c>
      <c r="B4171" t="s">
        <v>13</v>
      </c>
      <c r="C4171">
        <v>54</v>
      </c>
      <c r="D4171" t="s">
        <v>15</v>
      </c>
      <c r="E4171" t="s">
        <v>15</v>
      </c>
      <c r="F4171" t="s">
        <v>16</v>
      </c>
      <c r="G4171" t="s">
        <v>17</v>
      </c>
      <c r="H4171" t="s">
        <v>23</v>
      </c>
      <c r="I4171">
        <v>70.19</v>
      </c>
      <c r="J4171">
        <v>39.1</v>
      </c>
      <c r="K4171" t="s">
        <v>26</v>
      </c>
      <c r="L4171" t="s">
        <v>15</v>
      </c>
    </row>
    <row r="4172" spans="1:12" x14ac:dyDescent="0.3">
      <c r="A4172">
        <v>67921</v>
      </c>
      <c r="B4172" t="s">
        <v>13</v>
      </c>
      <c r="C4172">
        <v>5</v>
      </c>
      <c r="D4172" t="s">
        <v>15</v>
      </c>
      <c r="E4172" t="s">
        <v>15</v>
      </c>
      <c r="F4172" t="s">
        <v>15</v>
      </c>
      <c r="G4172" t="s">
        <v>20</v>
      </c>
      <c r="H4172" t="s">
        <v>22</v>
      </c>
      <c r="I4172">
        <v>55.35</v>
      </c>
      <c r="J4172">
        <v>22.7</v>
      </c>
      <c r="K4172" t="s">
        <v>27</v>
      </c>
      <c r="L4172" t="s">
        <v>15</v>
      </c>
    </row>
    <row r="4173" spans="1:12" x14ac:dyDescent="0.3">
      <c r="A4173">
        <v>12834</v>
      </c>
      <c r="B4173" t="s">
        <v>12</v>
      </c>
      <c r="C4173">
        <v>45</v>
      </c>
      <c r="D4173" t="s">
        <v>15</v>
      </c>
      <c r="E4173" t="s">
        <v>15</v>
      </c>
      <c r="F4173" t="s">
        <v>16</v>
      </c>
      <c r="G4173" t="s">
        <v>17</v>
      </c>
      <c r="H4173" t="s">
        <v>22</v>
      </c>
      <c r="I4173">
        <v>115.52</v>
      </c>
      <c r="J4173">
        <v>33.9</v>
      </c>
      <c r="K4173" t="s">
        <v>24</v>
      </c>
      <c r="L4173" t="s">
        <v>15</v>
      </c>
    </row>
    <row r="4174" spans="1:12" x14ac:dyDescent="0.3">
      <c r="A4174">
        <v>56567</v>
      </c>
      <c r="B4174" t="s">
        <v>12</v>
      </c>
      <c r="C4174">
        <v>14</v>
      </c>
      <c r="D4174" t="s">
        <v>15</v>
      </c>
      <c r="E4174" t="s">
        <v>15</v>
      </c>
      <c r="F4174" t="s">
        <v>15</v>
      </c>
      <c r="G4174" t="s">
        <v>20</v>
      </c>
      <c r="H4174" t="s">
        <v>22</v>
      </c>
      <c r="I4174">
        <v>60.7</v>
      </c>
      <c r="J4174">
        <v>18.600000000000001</v>
      </c>
      <c r="K4174" t="s">
        <v>27</v>
      </c>
      <c r="L4174" t="s">
        <v>15</v>
      </c>
    </row>
    <row r="4175" spans="1:12" x14ac:dyDescent="0.3">
      <c r="A4175">
        <v>11872</v>
      </c>
      <c r="B4175" t="s">
        <v>12</v>
      </c>
      <c r="C4175">
        <v>5</v>
      </c>
      <c r="D4175" t="s">
        <v>15</v>
      </c>
      <c r="E4175" t="s">
        <v>15</v>
      </c>
      <c r="F4175" t="s">
        <v>15</v>
      </c>
      <c r="G4175" t="s">
        <v>20</v>
      </c>
      <c r="H4175" t="s">
        <v>22</v>
      </c>
      <c r="I4175">
        <v>69.239999999999995</v>
      </c>
      <c r="J4175">
        <v>16.7</v>
      </c>
      <c r="K4175" t="s">
        <v>27</v>
      </c>
      <c r="L4175" t="s">
        <v>15</v>
      </c>
    </row>
    <row r="4176" spans="1:12" x14ac:dyDescent="0.3">
      <c r="A4176">
        <v>6574</v>
      </c>
      <c r="B4176" t="s">
        <v>13</v>
      </c>
      <c r="C4176">
        <v>35</v>
      </c>
      <c r="D4176" t="s">
        <v>15</v>
      </c>
      <c r="E4176" t="s">
        <v>15</v>
      </c>
      <c r="F4176" t="s">
        <v>16</v>
      </c>
      <c r="G4176" t="s">
        <v>18</v>
      </c>
      <c r="H4176" t="s">
        <v>22</v>
      </c>
      <c r="I4176">
        <v>103.29</v>
      </c>
      <c r="J4176">
        <v>20.6</v>
      </c>
      <c r="K4176" t="s">
        <v>25</v>
      </c>
      <c r="L4176" t="s">
        <v>15</v>
      </c>
    </row>
    <row r="4177" spans="1:12" x14ac:dyDescent="0.3">
      <c r="A4177">
        <v>5294</v>
      </c>
      <c r="B4177" t="s">
        <v>13</v>
      </c>
      <c r="C4177">
        <v>20</v>
      </c>
      <c r="D4177" t="s">
        <v>15</v>
      </c>
      <c r="E4177" t="s">
        <v>15</v>
      </c>
      <c r="F4177" t="s">
        <v>16</v>
      </c>
      <c r="G4177" t="s">
        <v>17</v>
      </c>
      <c r="H4177" t="s">
        <v>23</v>
      </c>
      <c r="I4177">
        <v>92.74</v>
      </c>
      <c r="J4177">
        <v>20.100000000000001</v>
      </c>
      <c r="K4177" t="s">
        <v>27</v>
      </c>
      <c r="L4177" t="s">
        <v>15</v>
      </c>
    </row>
    <row r="4178" spans="1:12" x14ac:dyDescent="0.3">
      <c r="A4178">
        <v>10870</v>
      </c>
      <c r="B4178" t="s">
        <v>12</v>
      </c>
      <c r="C4178">
        <v>51</v>
      </c>
      <c r="D4178" t="s">
        <v>15</v>
      </c>
      <c r="E4178" t="s">
        <v>15</v>
      </c>
      <c r="F4178" t="s">
        <v>16</v>
      </c>
      <c r="G4178" t="s">
        <v>17</v>
      </c>
      <c r="H4178" t="s">
        <v>23</v>
      </c>
      <c r="I4178">
        <v>232.64</v>
      </c>
      <c r="J4178">
        <v>45.2</v>
      </c>
      <c r="K4178" t="s">
        <v>25</v>
      </c>
      <c r="L4178" t="s">
        <v>15</v>
      </c>
    </row>
    <row r="4179" spans="1:12" x14ac:dyDescent="0.3">
      <c r="A4179">
        <v>15062</v>
      </c>
      <c r="B4179" t="s">
        <v>12</v>
      </c>
      <c r="C4179">
        <v>40</v>
      </c>
      <c r="D4179" t="s">
        <v>15</v>
      </c>
      <c r="E4179" t="s">
        <v>15</v>
      </c>
      <c r="F4179" t="s">
        <v>16</v>
      </c>
      <c r="G4179" t="s">
        <v>19</v>
      </c>
      <c r="H4179" t="s">
        <v>22</v>
      </c>
      <c r="I4179">
        <v>82.46</v>
      </c>
      <c r="J4179">
        <v>25.3</v>
      </c>
      <c r="K4179" t="s">
        <v>26</v>
      </c>
      <c r="L4179" t="s">
        <v>15</v>
      </c>
    </row>
    <row r="4180" spans="1:12" x14ac:dyDescent="0.3">
      <c r="A4180">
        <v>46454</v>
      </c>
      <c r="B4180" t="s">
        <v>13</v>
      </c>
      <c r="C4180">
        <v>79</v>
      </c>
      <c r="D4180" t="s">
        <v>15</v>
      </c>
      <c r="E4180" t="s">
        <v>15</v>
      </c>
      <c r="F4180" t="s">
        <v>16</v>
      </c>
      <c r="G4180" t="s">
        <v>19</v>
      </c>
      <c r="H4180" t="s">
        <v>22</v>
      </c>
      <c r="I4180">
        <v>63.57</v>
      </c>
      <c r="J4180">
        <v>32.4</v>
      </c>
      <c r="K4180" t="s">
        <v>25</v>
      </c>
      <c r="L4180" t="s">
        <v>15</v>
      </c>
    </row>
    <row r="4181" spans="1:12" x14ac:dyDescent="0.3">
      <c r="A4181">
        <v>31795</v>
      </c>
      <c r="B4181" t="s">
        <v>12</v>
      </c>
      <c r="C4181">
        <v>61</v>
      </c>
      <c r="D4181" t="s">
        <v>15</v>
      </c>
      <c r="E4181" t="s">
        <v>15</v>
      </c>
      <c r="F4181" t="s">
        <v>16</v>
      </c>
      <c r="G4181" t="s">
        <v>18</v>
      </c>
      <c r="H4181" t="s">
        <v>22</v>
      </c>
      <c r="I4181">
        <v>73.239999999999995</v>
      </c>
      <c r="J4181">
        <v>34.9</v>
      </c>
      <c r="K4181" t="s">
        <v>25</v>
      </c>
      <c r="L4181" t="s">
        <v>15</v>
      </c>
    </row>
    <row r="4182" spans="1:12" x14ac:dyDescent="0.3">
      <c r="A4182">
        <v>62395</v>
      </c>
      <c r="B4182" t="s">
        <v>12</v>
      </c>
      <c r="C4182">
        <v>33</v>
      </c>
      <c r="D4182" t="s">
        <v>15</v>
      </c>
      <c r="E4182" t="s">
        <v>15</v>
      </c>
      <c r="F4182" t="s">
        <v>16</v>
      </c>
      <c r="G4182" t="s">
        <v>17</v>
      </c>
      <c r="H4182" t="s">
        <v>22</v>
      </c>
      <c r="I4182">
        <v>78.430000000000007</v>
      </c>
      <c r="J4182">
        <v>43.7</v>
      </c>
      <c r="K4182" t="s">
        <v>26</v>
      </c>
      <c r="L4182" t="s">
        <v>15</v>
      </c>
    </row>
    <row r="4183" spans="1:12" x14ac:dyDescent="0.3">
      <c r="A4183">
        <v>42760</v>
      </c>
      <c r="B4183" t="s">
        <v>13</v>
      </c>
      <c r="C4183">
        <v>27</v>
      </c>
      <c r="D4183" t="s">
        <v>15</v>
      </c>
      <c r="E4183" t="s">
        <v>15</v>
      </c>
      <c r="F4183" t="s">
        <v>16</v>
      </c>
      <c r="G4183" t="s">
        <v>17</v>
      </c>
      <c r="H4183" t="s">
        <v>22</v>
      </c>
      <c r="I4183">
        <v>57.46</v>
      </c>
      <c r="J4183">
        <v>23</v>
      </c>
      <c r="K4183" t="s">
        <v>26</v>
      </c>
      <c r="L4183" t="s">
        <v>15</v>
      </c>
    </row>
    <row r="4184" spans="1:12" x14ac:dyDescent="0.3">
      <c r="A4184">
        <v>27119</v>
      </c>
      <c r="B4184" t="s">
        <v>13</v>
      </c>
      <c r="C4184">
        <v>28</v>
      </c>
      <c r="D4184" t="s">
        <v>15</v>
      </c>
      <c r="E4184" t="s">
        <v>15</v>
      </c>
      <c r="F4184" t="s">
        <v>15</v>
      </c>
      <c r="G4184" t="s">
        <v>17</v>
      </c>
      <c r="H4184" t="s">
        <v>23</v>
      </c>
      <c r="I4184">
        <v>104.16</v>
      </c>
      <c r="J4184">
        <v>21.5</v>
      </c>
      <c r="K4184" t="s">
        <v>25</v>
      </c>
      <c r="L4184" t="s">
        <v>15</v>
      </c>
    </row>
    <row r="4185" spans="1:12" x14ac:dyDescent="0.3">
      <c r="A4185">
        <v>47113</v>
      </c>
      <c r="B4185" t="s">
        <v>13</v>
      </c>
      <c r="C4185">
        <v>67</v>
      </c>
      <c r="D4185" t="s">
        <v>15</v>
      </c>
      <c r="E4185" t="s">
        <v>15</v>
      </c>
      <c r="F4185" t="s">
        <v>16</v>
      </c>
      <c r="G4185" t="s">
        <v>18</v>
      </c>
      <c r="H4185" t="s">
        <v>23</v>
      </c>
      <c r="I4185">
        <v>110.42</v>
      </c>
      <c r="J4185">
        <v>24.9</v>
      </c>
      <c r="K4185" t="s">
        <v>25</v>
      </c>
      <c r="L4185" t="s">
        <v>15</v>
      </c>
    </row>
    <row r="4186" spans="1:12" x14ac:dyDescent="0.3">
      <c r="A4186">
        <v>36045</v>
      </c>
      <c r="B4186" t="s">
        <v>13</v>
      </c>
      <c r="C4186">
        <v>35</v>
      </c>
      <c r="D4186" t="s">
        <v>15</v>
      </c>
      <c r="E4186" t="s">
        <v>15</v>
      </c>
      <c r="F4186" t="s">
        <v>16</v>
      </c>
      <c r="G4186" t="s">
        <v>17</v>
      </c>
      <c r="H4186" t="s">
        <v>23</v>
      </c>
      <c r="I4186">
        <v>119.4</v>
      </c>
      <c r="J4186">
        <v>22.9</v>
      </c>
      <c r="K4186" t="s">
        <v>25</v>
      </c>
      <c r="L4186" t="s">
        <v>15</v>
      </c>
    </row>
    <row r="4187" spans="1:12" x14ac:dyDescent="0.3">
      <c r="A4187">
        <v>54871</v>
      </c>
      <c r="B4187" t="s">
        <v>13</v>
      </c>
      <c r="C4187">
        <v>78</v>
      </c>
      <c r="D4187" t="s">
        <v>15</v>
      </c>
      <c r="E4187" t="s">
        <v>15</v>
      </c>
      <c r="F4187" t="s">
        <v>16</v>
      </c>
      <c r="G4187" t="s">
        <v>17</v>
      </c>
      <c r="H4187" t="s">
        <v>22</v>
      </c>
      <c r="I4187">
        <v>119.13</v>
      </c>
      <c r="J4187">
        <v>25</v>
      </c>
      <c r="K4187" t="s">
        <v>25</v>
      </c>
      <c r="L4187" t="s">
        <v>15</v>
      </c>
    </row>
    <row r="4188" spans="1:12" x14ac:dyDescent="0.3">
      <c r="A4188">
        <v>48824</v>
      </c>
      <c r="B4188" t="s">
        <v>13</v>
      </c>
      <c r="C4188">
        <v>20</v>
      </c>
      <c r="D4188" t="s">
        <v>15</v>
      </c>
      <c r="E4188" t="s">
        <v>15</v>
      </c>
      <c r="F4188" t="s">
        <v>15</v>
      </c>
      <c r="G4188" t="s">
        <v>17</v>
      </c>
      <c r="H4188" t="s">
        <v>23</v>
      </c>
      <c r="I4188">
        <v>120.22</v>
      </c>
      <c r="J4188">
        <v>21.3</v>
      </c>
      <c r="K4188" t="s">
        <v>25</v>
      </c>
      <c r="L4188" t="s">
        <v>15</v>
      </c>
    </row>
    <row r="4189" spans="1:12" x14ac:dyDescent="0.3">
      <c r="A4189">
        <v>67356</v>
      </c>
      <c r="B4189" t="s">
        <v>13</v>
      </c>
      <c r="C4189">
        <v>43</v>
      </c>
      <c r="D4189" t="s">
        <v>15</v>
      </c>
      <c r="E4189" t="s">
        <v>15</v>
      </c>
      <c r="F4189" t="s">
        <v>16</v>
      </c>
      <c r="G4189" t="s">
        <v>17</v>
      </c>
      <c r="H4189" t="s">
        <v>22</v>
      </c>
      <c r="I4189">
        <v>80.8</v>
      </c>
      <c r="J4189">
        <v>46.1</v>
      </c>
      <c r="K4189" t="s">
        <v>25</v>
      </c>
      <c r="L4189" t="s">
        <v>15</v>
      </c>
    </row>
    <row r="4190" spans="1:12" x14ac:dyDescent="0.3">
      <c r="A4190">
        <v>70670</v>
      </c>
      <c r="B4190" t="s">
        <v>13</v>
      </c>
      <c r="C4190">
        <v>27</v>
      </c>
      <c r="D4190" t="s">
        <v>15</v>
      </c>
      <c r="E4190" t="s">
        <v>15</v>
      </c>
      <c r="F4190" t="s">
        <v>16</v>
      </c>
      <c r="G4190" t="s">
        <v>17</v>
      </c>
      <c r="H4190" t="s">
        <v>23</v>
      </c>
      <c r="I4190">
        <v>57.96</v>
      </c>
      <c r="J4190">
        <v>64.400000000000006</v>
      </c>
      <c r="K4190" t="s">
        <v>25</v>
      </c>
      <c r="L4190" t="s">
        <v>15</v>
      </c>
    </row>
    <row r="4191" spans="1:12" x14ac:dyDescent="0.3">
      <c r="A4191">
        <v>58477</v>
      </c>
      <c r="B4191" t="s">
        <v>13</v>
      </c>
      <c r="C4191">
        <v>45</v>
      </c>
      <c r="D4191" t="s">
        <v>15</v>
      </c>
      <c r="E4191" t="s">
        <v>15</v>
      </c>
      <c r="F4191" t="s">
        <v>16</v>
      </c>
      <c r="G4191" t="s">
        <v>17</v>
      </c>
      <c r="H4191" t="s">
        <v>22</v>
      </c>
      <c r="I4191">
        <v>81.239999999999995</v>
      </c>
      <c r="J4191">
        <v>37</v>
      </c>
      <c r="K4191" t="s">
        <v>25</v>
      </c>
      <c r="L4191" t="s">
        <v>15</v>
      </c>
    </row>
    <row r="4192" spans="1:12" x14ac:dyDescent="0.3">
      <c r="A4192">
        <v>53636</v>
      </c>
      <c r="B4192" t="s">
        <v>13</v>
      </c>
      <c r="C4192">
        <v>11</v>
      </c>
      <c r="D4192" t="s">
        <v>15</v>
      </c>
      <c r="E4192" t="s">
        <v>15</v>
      </c>
      <c r="F4192" t="s">
        <v>15</v>
      </c>
      <c r="G4192" t="s">
        <v>20</v>
      </c>
      <c r="H4192" t="s">
        <v>22</v>
      </c>
      <c r="I4192">
        <v>88.79</v>
      </c>
      <c r="J4192">
        <v>21.3</v>
      </c>
      <c r="K4192" t="s">
        <v>25</v>
      </c>
      <c r="L4192" t="s">
        <v>15</v>
      </c>
    </row>
    <row r="4193" spans="1:12" x14ac:dyDescent="0.3">
      <c r="A4193">
        <v>24262</v>
      </c>
      <c r="B4193" t="s">
        <v>13</v>
      </c>
      <c r="C4193">
        <v>31</v>
      </c>
      <c r="D4193" t="s">
        <v>15</v>
      </c>
      <c r="E4193" t="s">
        <v>15</v>
      </c>
      <c r="F4193" t="s">
        <v>16</v>
      </c>
      <c r="G4193" t="s">
        <v>17</v>
      </c>
      <c r="H4193" t="s">
        <v>23</v>
      </c>
      <c r="I4193">
        <v>70.91</v>
      </c>
      <c r="J4193">
        <v>28.3</v>
      </c>
      <c r="K4193" t="s">
        <v>25</v>
      </c>
      <c r="L4193" t="s">
        <v>15</v>
      </c>
    </row>
    <row r="4194" spans="1:12" x14ac:dyDescent="0.3">
      <c r="A4194">
        <v>33886</v>
      </c>
      <c r="B4194" t="s">
        <v>13</v>
      </c>
      <c r="C4194">
        <v>30</v>
      </c>
      <c r="D4194" t="s">
        <v>15</v>
      </c>
      <c r="E4194" t="s">
        <v>15</v>
      </c>
      <c r="F4194" t="s">
        <v>15</v>
      </c>
      <c r="G4194" t="s">
        <v>17</v>
      </c>
      <c r="H4194" t="s">
        <v>23</v>
      </c>
      <c r="I4194">
        <v>87.12</v>
      </c>
      <c r="J4194">
        <v>31.1</v>
      </c>
      <c r="K4194" t="s">
        <v>26</v>
      </c>
      <c r="L4194" t="s">
        <v>15</v>
      </c>
    </row>
    <row r="4195" spans="1:12" x14ac:dyDescent="0.3">
      <c r="A4195">
        <v>59126</v>
      </c>
      <c r="B4195" t="s">
        <v>13</v>
      </c>
      <c r="C4195">
        <v>27</v>
      </c>
      <c r="D4195" t="s">
        <v>15</v>
      </c>
      <c r="E4195" t="s">
        <v>15</v>
      </c>
      <c r="F4195" t="s">
        <v>15</v>
      </c>
      <c r="G4195" t="s">
        <v>17</v>
      </c>
      <c r="H4195" t="s">
        <v>22</v>
      </c>
      <c r="I4195">
        <v>126.09</v>
      </c>
      <c r="J4195">
        <v>25.1</v>
      </c>
      <c r="K4195" t="s">
        <v>27</v>
      </c>
      <c r="L4195" t="s">
        <v>15</v>
      </c>
    </row>
    <row r="4196" spans="1:12" x14ac:dyDescent="0.3">
      <c r="A4196">
        <v>31697</v>
      </c>
      <c r="B4196" t="s">
        <v>13</v>
      </c>
      <c r="C4196">
        <v>34</v>
      </c>
      <c r="D4196" t="s">
        <v>15</v>
      </c>
      <c r="E4196" t="s">
        <v>15</v>
      </c>
      <c r="F4196" t="s">
        <v>16</v>
      </c>
      <c r="G4196" t="s">
        <v>17</v>
      </c>
      <c r="H4196" t="s">
        <v>22</v>
      </c>
      <c r="I4196">
        <v>76.42</v>
      </c>
      <c r="J4196">
        <v>27.6</v>
      </c>
      <c r="K4196" t="s">
        <v>26</v>
      </c>
      <c r="L4196" t="s">
        <v>15</v>
      </c>
    </row>
    <row r="4197" spans="1:12" x14ac:dyDescent="0.3">
      <c r="A4197">
        <v>10018</v>
      </c>
      <c r="B4197" t="s">
        <v>12</v>
      </c>
      <c r="C4197">
        <v>19</v>
      </c>
      <c r="D4197" t="s">
        <v>15</v>
      </c>
      <c r="E4197" t="s">
        <v>15</v>
      </c>
      <c r="F4197" t="s">
        <v>15</v>
      </c>
      <c r="G4197" t="s">
        <v>17</v>
      </c>
      <c r="H4197" t="s">
        <v>23</v>
      </c>
      <c r="I4197">
        <v>56.33</v>
      </c>
      <c r="J4197">
        <v>29.4</v>
      </c>
      <c r="K4197" t="s">
        <v>27</v>
      </c>
      <c r="L4197" t="s">
        <v>15</v>
      </c>
    </row>
    <row r="4198" spans="1:12" x14ac:dyDescent="0.3">
      <c r="A4198">
        <v>52447</v>
      </c>
      <c r="B4198" t="s">
        <v>13</v>
      </c>
      <c r="C4198">
        <v>3</v>
      </c>
      <c r="D4198" t="s">
        <v>15</v>
      </c>
      <c r="E4198" t="s">
        <v>15</v>
      </c>
      <c r="F4198" t="s">
        <v>15</v>
      </c>
      <c r="G4198" t="s">
        <v>20</v>
      </c>
      <c r="H4198" t="s">
        <v>23</v>
      </c>
      <c r="I4198">
        <v>131.81</v>
      </c>
      <c r="J4198">
        <v>14.1</v>
      </c>
      <c r="K4198" t="s">
        <v>27</v>
      </c>
      <c r="L4198" t="s">
        <v>15</v>
      </c>
    </row>
    <row r="4199" spans="1:12" x14ac:dyDescent="0.3">
      <c r="A4199">
        <v>23238</v>
      </c>
      <c r="B4199" t="s">
        <v>12</v>
      </c>
      <c r="C4199">
        <v>53</v>
      </c>
      <c r="D4199" t="s">
        <v>15</v>
      </c>
      <c r="E4199" t="s">
        <v>16</v>
      </c>
      <c r="F4199" t="s">
        <v>16</v>
      </c>
      <c r="G4199" t="s">
        <v>17</v>
      </c>
      <c r="H4199" t="s">
        <v>23</v>
      </c>
      <c r="I4199">
        <v>95.23</v>
      </c>
      <c r="J4199">
        <v>35.200000000000003</v>
      </c>
      <c r="K4199" t="s">
        <v>26</v>
      </c>
      <c r="L4199" t="s">
        <v>15</v>
      </c>
    </row>
    <row r="4200" spans="1:12" x14ac:dyDescent="0.3">
      <c r="A4200">
        <v>4148</v>
      </c>
      <c r="B4200" t="s">
        <v>12</v>
      </c>
      <c r="C4200">
        <v>81</v>
      </c>
      <c r="D4200" t="s">
        <v>15</v>
      </c>
      <c r="E4200" t="s">
        <v>15</v>
      </c>
      <c r="F4200" t="s">
        <v>16</v>
      </c>
      <c r="G4200" t="s">
        <v>18</v>
      </c>
      <c r="H4200" t="s">
        <v>22</v>
      </c>
      <c r="I4200">
        <v>71.180000000000007</v>
      </c>
      <c r="J4200">
        <v>23.9</v>
      </c>
      <c r="K4200" t="s">
        <v>24</v>
      </c>
      <c r="L4200" t="s">
        <v>15</v>
      </c>
    </row>
    <row r="4201" spans="1:12" x14ac:dyDescent="0.3">
      <c r="A4201">
        <v>63404</v>
      </c>
      <c r="B4201" t="s">
        <v>13</v>
      </c>
      <c r="C4201">
        <v>44</v>
      </c>
      <c r="D4201" t="s">
        <v>15</v>
      </c>
      <c r="E4201" t="s">
        <v>15</v>
      </c>
      <c r="F4201" t="s">
        <v>16</v>
      </c>
      <c r="G4201" t="s">
        <v>17</v>
      </c>
      <c r="H4201" t="s">
        <v>23</v>
      </c>
      <c r="I4201">
        <v>87.71</v>
      </c>
      <c r="J4201">
        <v>34</v>
      </c>
      <c r="K4201" t="s">
        <v>24</v>
      </c>
      <c r="L4201" t="s">
        <v>15</v>
      </c>
    </row>
    <row r="4202" spans="1:12" x14ac:dyDescent="0.3">
      <c r="A4202">
        <v>13540</v>
      </c>
      <c r="B4202" t="s">
        <v>13</v>
      </c>
      <c r="C4202">
        <v>59</v>
      </c>
      <c r="D4202" t="s">
        <v>15</v>
      </c>
      <c r="E4202" t="s">
        <v>15</v>
      </c>
      <c r="F4202" t="s">
        <v>16</v>
      </c>
      <c r="G4202" t="s">
        <v>18</v>
      </c>
      <c r="H4202" t="s">
        <v>23</v>
      </c>
      <c r="I4202">
        <v>115.68</v>
      </c>
      <c r="J4202">
        <v>27.1</v>
      </c>
      <c r="K4202" t="s">
        <v>27</v>
      </c>
      <c r="L4202" t="s">
        <v>15</v>
      </c>
    </row>
    <row r="4203" spans="1:12" x14ac:dyDescent="0.3">
      <c r="A4203">
        <v>44288</v>
      </c>
      <c r="B4203" t="s">
        <v>12</v>
      </c>
      <c r="C4203">
        <v>43</v>
      </c>
      <c r="D4203" t="s">
        <v>15</v>
      </c>
      <c r="E4203" t="s">
        <v>15</v>
      </c>
      <c r="F4203" t="s">
        <v>16</v>
      </c>
      <c r="G4203" t="s">
        <v>17</v>
      </c>
      <c r="H4203" t="s">
        <v>23</v>
      </c>
      <c r="I4203">
        <v>207.37</v>
      </c>
      <c r="J4203">
        <v>29.5</v>
      </c>
      <c r="K4203" t="s">
        <v>24</v>
      </c>
      <c r="L4203" t="s">
        <v>15</v>
      </c>
    </row>
    <row r="4204" spans="1:12" x14ac:dyDescent="0.3">
      <c r="A4204">
        <v>23194</v>
      </c>
      <c r="B4204" t="s">
        <v>12</v>
      </c>
      <c r="C4204">
        <v>32</v>
      </c>
      <c r="D4204" t="s">
        <v>16</v>
      </c>
      <c r="E4204" t="s">
        <v>15</v>
      </c>
      <c r="F4204" t="s">
        <v>15</v>
      </c>
      <c r="G4204" t="s">
        <v>17</v>
      </c>
      <c r="H4204" t="s">
        <v>23</v>
      </c>
      <c r="I4204">
        <v>74.430000000000007</v>
      </c>
      <c r="K4204" t="s">
        <v>27</v>
      </c>
      <c r="L4204" t="s">
        <v>15</v>
      </c>
    </row>
    <row r="4205" spans="1:12" x14ac:dyDescent="0.3">
      <c r="A4205">
        <v>751</v>
      </c>
      <c r="B4205" t="s">
        <v>13</v>
      </c>
      <c r="C4205">
        <v>5</v>
      </c>
      <c r="D4205" t="s">
        <v>15</v>
      </c>
      <c r="E4205" t="s">
        <v>15</v>
      </c>
      <c r="F4205" t="s">
        <v>15</v>
      </c>
      <c r="G4205" t="s">
        <v>20</v>
      </c>
      <c r="H4205" t="s">
        <v>23</v>
      </c>
      <c r="I4205">
        <v>75.099999999999994</v>
      </c>
      <c r="J4205">
        <v>20.7</v>
      </c>
      <c r="K4205" t="s">
        <v>27</v>
      </c>
      <c r="L4205" t="s">
        <v>15</v>
      </c>
    </row>
    <row r="4206" spans="1:12" x14ac:dyDescent="0.3">
      <c r="A4206">
        <v>7047</v>
      </c>
      <c r="B4206" t="s">
        <v>13</v>
      </c>
      <c r="C4206">
        <v>31</v>
      </c>
      <c r="D4206" t="s">
        <v>15</v>
      </c>
      <c r="E4206" t="s">
        <v>15</v>
      </c>
      <c r="F4206" t="s">
        <v>16</v>
      </c>
      <c r="G4206" t="s">
        <v>17</v>
      </c>
      <c r="H4206" t="s">
        <v>23</v>
      </c>
      <c r="I4206">
        <v>69.72</v>
      </c>
      <c r="J4206">
        <v>39.5</v>
      </c>
      <c r="K4206" t="s">
        <v>26</v>
      </c>
      <c r="L4206" t="s">
        <v>15</v>
      </c>
    </row>
    <row r="4207" spans="1:12" x14ac:dyDescent="0.3">
      <c r="A4207">
        <v>68020</v>
      </c>
      <c r="B4207" t="s">
        <v>12</v>
      </c>
      <c r="C4207">
        <v>47</v>
      </c>
      <c r="D4207" t="s">
        <v>15</v>
      </c>
      <c r="E4207" t="s">
        <v>15</v>
      </c>
      <c r="F4207" t="s">
        <v>16</v>
      </c>
      <c r="G4207" t="s">
        <v>17</v>
      </c>
      <c r="H4207" t="s">
        <v>22</v>
      </c>
      <c r="I4207">
        <v>111.84</v>
      </c>
      <c r="J4207">
        <v>33.700000000000003</v>
      </c>
      <c r="K4207" t="s">
        <v>27</v>
      </c>
      <c r="L4207" t="s">
        <v>15</v>
      </c>
    </row>
    <row r="4208" spans="1:12" x14ac:dyDescent="0.3">
      <c r="A4208">
        <v>11325</v>
      </c>
      <c r="B4208" t="s">
        <v>13</v>
      </c>
      <c r="C4208">
        <v>12</v>
      </c>
      <c r="D4208" t="s">
        <v>15</v>
      </c>
      <c r="E4208" t="s">
        <v>15</v>
      </c>
      <c r="F4208" t="s">
        <v>15</v>
      </c>
      <c r="G4208" t="s">
        <v>20</v>
      </c>
      <c r="H4208" t="s">
        <v>23</v>
      </c>
      <c r="I4208">
        <v>111.08</v>
      </c>
      <c r="J4208">
        <v>23.2</v>
      </c>
      <c r="K4208" t="s">
        <v>25</v>
      </c>
      <c r="L4208" t="s">
        <v>15</v>
      </c>
    </row>
    <row r="4209" spans="1:12" x14ac:dyDescent="0.3">
      <c r="A4209">
        <v>25636</v>
      </c>
      <c r="B4209" t="s">
        <v>12</v>
      </c>
      <c r="C4209">
        <v>40</v>
      </c>
      <c r="D4209" t="s">
        <v>15</v>
      </c>
      <c r="E4209" t="s">
        <v>15</v>
      </c>
      <c r="F4209" t="s">
        <v>16</v>
      </c>
      <c r="G4209" t="s">
        <v>17</v>
      </c>
      <c r="H4209" t="s">
        <v>23</v>
      </c>
      <c r="I4209">
        <v>201.96</v>
      </c>
      <c r="J4209">
        <v>30.1</v>
      </c>
      <c r="K4209" t="s">
        <v>27</v>
      </c>
      <c r="L4209" t="s">
        <v>15</v>
      </c>
    </row>
    <row r="4210" spans="1:12" x14ac:dyDescent="0.3">
      <c r="A4210">
        <v>60602</v>
      </c>
      <c r="B4210" t="s">
        <v>13</v>
      </c>
      <c r="C4210">
        <v>49</v>
      </c>
      <c r="D4210" t="s">
        <v>15</v>
      </c>
      <c r="E4210" t="s">
        <v>15</v>
      </c>
      <c r="F4210" t="s">
        <v>16</v>
      </c>
      <c r="G4210" t="s">
        <v>19</v>
      </c>
      <c r="H4210" t="s">
        <v>22</v>
      </c>
      <c r="I4210">
        <v>68.680000000000007</v>
      </c>
      <c r="J4210">
        <v>28.8</v>
      </c>
      <c r="K4210" t="s">
        <v>25</v>
      </c>
      <c r="L4210" t="s">
        <v>15</v>
      </c>
    </row>
    <row r="4211" spans="1:12" x14ac:dyDescent="0.3">
      <c r="A4211">
        <v>51856</v>
      </c>
      <c r="B4211" t="s">
        <v>12</v>
      </c>
      <c r="C4211">
        <v>38</v>
      </c>
      <c r="D4211" t="s">
        <v>16</v>
      </c>
      <c r="E4211" t="s">
        <v>15</v>
      </c>
      <c r="F4211" t="s">
        <v>16</v>
      </c>
      <c r="G4211" t="s">
        <v>17</v>
      </c>
      <c r="H4211" t="s">
        <v>23</v>
      </c>
      <c r="I4211">
        <v>56.9</v>
      </c>
      <c r="J4211">
        <v>92</v>
      </c>
      <c r="K4211" t="s">
        <v>25</v>
      </c>
      <c r="L4211" t="s">
        <v>15</v>
      </c>
    </row>
    <row r="4212" spans="1:12" x14ac:dyDescent="0.3">
      <c r="A4212">
        <v>13031</v>
      </c>
      <c r="B4212" t="s">
        <v>13</v>
      </c>
      <c r="C4212">
        <v>15</v>
      </c>
      <c r="D4212" t="s">
        <v>15</v>
      </c>
      <c r="E4212" t="s">
        <v>15</v>
      </c>
      <c r="F4212" t="s">
        <v>15</v>
      </c>
      <c r="G4212" t="s">
        <v>20</v>
      </c>
      <c r="H4212" t="s">
        <v>22</v>
      </c>
      <c r="I4212">
        <v>91.16</v>
      </c>
      <c r="J4212">
        <v>38</v>
      </c>
      <c r="K4212" t="s">
        <v>25</v>
      </c>
      <c r="L4212" t="s">
        <v>15</v>
      </c>
    </row>
    <row r="4213" spans="1:12" x14ac:dyDescent="0.3">
      <c r="A4213">
        <v>19498</v>
      </c>
      <c r="B4213" t="s">
        <v>13</v>
      </c>
      <c r="C4213">
        <v>81</v>
      </c>
      <c r="D4213" t="s">
        <v>15</v>
      </c>
      <c r="E4213" t="s">
        <v>16</v>
      </c>
      <c r="F4213" t="s">
        <v>15</v>
      </c>
      <c r="G4213" t="s">
        <v>18</v>
      </c>
      <c r="H4213" t="s">
        <v>22</v>
      </c>
      <c r="I4213">
        <v>99.44</v>
      </c>
      <c r="J4213">
        <v>27.7</v>
      </c>
      <c r="K4213" t="s">
        <v>27</v>
      </c>
      <c r="L4213" t="s">
        <v>15</v>
      </c>
    </row>
    <row r="4214" spans="1:12" x14ac:dyDescent="0.3">
      <c r="A4214">
        <v>51476</v>
      </c>
      <c r="B4214" t="s">
        <v>12</v>
      </c>
      <c r="C4214">
        <v>48</v>
      </c>
      <c r="D4214" t="s">
        <v>15</v>
      </c>
      <c r="E4214" t="s">
        <v>15</v>
      </c>
      <c r="F4214" t="s">
        <v>16</v>
      </c>
      <c r="G4214" t="s">
        <v>17</v>
      </c>
      <c r="H4214" t="s">
        <v>22</v>
      </c>
      <c r="I4214">
        <v>78.849999999999994</v>
      </c>
      <c r="J4214">
        <v>43.2</v>
      </c>
      <c r="K4214" t="s">
        <v>25</v>
      </c>
      <c r="L4214" t="s">
        <v>15</v>
      </c>
    </row>
    <row r="4215" spans="1:12" x14ac:dyDescent="0.3">
      <c r="A4215">
        <v>49762</v>
      </c>
      <c r="B4215" t="s">
        <v>13</v>
      </c>
      <c r="C4215">
        <v>24</v>
      </c>
      <c r="D4215" t="s">
        <v>15</v>
      </c>
      <c r="E4215" t="s">
        <v>15</v>
      </c>
      <c r="F4215" t="s">
        <v>15</v>
      </c>
      <c r="G4215" t="s">
        <v>17</v>
      </c>
      <c r="H4215" t="s">
        <v>23</v>
      </c>
      <c r="I4215">
        <v>123.89</v>
      </c>
      <c r="J4215">
        <v>24.1</v>
      </c>
      <c r="K4215" t="s">
        <v>26</v>
      </c>
      <c r="L4215" t="s">
        <v>15</v>
      </c>
    </row>
    <row r="4216" spans="1:12" x14ac:dyDescent="0.3">
      <c r="A4216">
        <v>23449</v>
      </c>
      <c r="B4216" t="s">
        <v>12</v>
      </c>
      <c r="C4216">
        <v>47</v>
      </c>
      <c r="D4216" t="s">
        <v>15</v>
      </c>
      <c r="E4216" t="s">
        <v>15</v>
      </c>
      <c r="F4216" t="s">
        <v>16</v>
      </c>
      <c r="G4216" t="s">
        <v>18</v>
      </c>
      <c r="H4216" t="s">
        <v>23</v>
      </c>
      <c r="I4216">
        <v>90.44</v>
      </c>
      <c r="J4216">
        <v>28.7</v>
      </c>
      <c r="K4216" t="s">
        <v>25</v>
      </c>
      <c r="L4216" t="s">
        <v>15</v>
      </c>
    </row>
    <row r="4217" spans="1:12" x14ac:dyDescent="0.3">
      <c r="A4217">
        <v>51374</v>
      </c>
      <c r="B4217" t="s">
        <v>13</v>
      </c>
      <c r="C4217">
        <v>13</v>
      </c>
      <c r="D4217" t="s">
        <v>15</v>
      </c>
      <c r="E4217" t="s">
        <v>15</v>
      </c>
      <c r="F4217" t="s">
        <v>15</v>
      </c>
      <c r="G4217" t="s">
        <v>20</v>
      </c>
      <c r="H4217" t="s">
        <v>23</v>
      </c>
      <c r="I4217">
        <v>138.44</v>
      </c>
      <c r="J4217">
        <v>34.799999999999997</v>
      </c>
      <c r="K4217" t="s">
        <v>27</v>
      </c>
      <c r="L4217" t="s">
        <v>15</v>
      </c>
    </row>
    <row r="4218" spans="1:12" x14ac:dyDescent="0.3">
      <c r="A4218">
        <v>41263</v>
      </c>
      <c r="B4218" t="s">
        <v>13</v>
      </c>
      <c r="C4218">
        <v>16</v>
      </c>
      <c r="D4218" t="s">
        <v>15</v>
      </c>
      <c r="E4218" t="s">
        <v>15</v>
      </c>
      <c r="F4218" t="s">
        <v>15</v>
      </c>
      <c r="G4218" t="s">
        <v>17</v>
      </c>
      <c r="H4218" t="s">
        <v>22</v>
      </c>
      <c r="I4218">
        <v>75.06</v>
      </c>
      <c r="J4218">
        <v>23.5</v>
      </c>
      <c r="K4218" t="s">
        <v>25</v>
      </c>
      <c r="L4218" t="s">
        <v>15</v>
      </c>
    </row>
    <row r="4219" spans="1:12" x14ac:dyDescent="0.3">
      <c r="A4219">
        <v>6599</v>
      </c>
      <c r="B4219" t="s">
        <v>12</v>
      </c>
      <c r="C4219">
        <v>64</v>
      </c>
      <c r="D4219" t="s">
        <v>16</v>
      </c>
      <c r="E4219" t="s">
        <v>15</v>
      </c>
      <c r="F4219" t="s">
        <v>16</v>
      </c>
      <c r="G4219" t="s">
        <v>18</v>
      </c>
      <c r="H4219" t="s">
        <v>23</v>
      </c>
      <c r="I4219">
        <v>85.66</v>
      </c>
      <c r="J4219">
        <v>28.5</v>
      </c>
      <c r="K4219" t="s">
        <v>25</v>
      </c>
      <c r="L4219" t="s">
        <v>15</v>
      </c>
    </row>
    <row r="4220" spans="1:12" x14ac:dyDescent="0.3">
      <c r="A4220">
        <v>16320</v>
      </c>
      <c r="B4220" t="s">
        <v>13</v>
      </c>
      <c r="C4220">
        <v>11</v>
      </c>
      <c r="D4220" t="s">
        <v>15</v>
      </c>
      <c r="E4220" t="s">
        <v>15</v>
      </c>
      <c r="F4220" t="s">
        <v>15</v>
      </c>
      <c r="G4220" t="s">
        <v>20</v>
      </c>
      <c r="H4220" t="s">
        <v>22</v>
      </c>
      <c r="I4220">
        <v>102.76</v>
      </c>
      <c r="J4220">
        <v>20.3</v>
      </c>
      <c r="K4220" t="s">
        <v>27</v>
      </c>
      <c r="L4220" t="s">
        <v>15</v>
      </c>
    </row>
    <row r="4221" spans="1:12" x14ac:dyDescent="0.3">
      <c r="A4221">
        <v>64670</v>
      </c>
      <c r="B4221" t="s">
        <v>13</v>
      </c>
      <c r="C4221">
        <v>55</v>
      </c>
      <c r="D4221" t="s">
        <v>15</v>
      </c>
      <c r="E4221" t="s">
        <v>15</v>
      </c>
      <c r="F4221" t="s">
        <v>16</v>
      </c>
      <c r="G4221" t="s">
        <v>19</v>
      </c>
      <c r="H4221" t="s">
        <v>22</v>
      </c>
      <c r="I4221">
        <v>71.790000000000006</v>
      </c>
      <c r="J4221">
        <v>43</v>
      </c>
      <c r="K4221" t="s">
        <v>24</v>
      </c>
      <c r="L4221" t="s">
        <v>15</v>
      </c>
    </row>
    <row r="4222" spans="1:12" x14ac:dyDescent="0.3">
      <c r="A4222">
        <v>35941</v>
      </c>
      <c r="B4222" t="s">
        <v>12</v>
      </c>
      <c r="C4222">
        <v>38</v>
      </c>
      <c r="D4222" t="s">
        <v>15</v>
      </c>
      <c r="E4222" t="s">
        <v>15</v>
      </c>
      <c r="F4222" t="s">
        <v>16</v>
      </c>
      <c r="G4222" t="s">
        <v>17</v>
      </c>
      <c r="H4222" t="s">
        <v>22</v>
      </c>
      <c r="I4222">
        <v>167.16</v>
      </c>
      <c r="J4222">
        <v>18.3</v>
      </c>
      <c r="K4222" t="s">
        <v>25</v>
      </c>
      <c r="L4222" t="s">
        <v>15</v>
      </c>
    </row>
    <row r="4223" spans="1:12" x14ac:dyDescent="0.3">
      <c r="A4223">
        <v>64931</v>
      </c>
      <c r="B4223" t="s">
        <v>12</v>
      </c>
      <c r="C4223">
        <v>37</v>
      </c>
      <c r="D4223" t="s">
        <v>15</v>
      </c>
      <c r="E4223" t="s">
        <v>15</v>
      </c>
      <c r="F4223" t="s">
        <v>16</v>
      </c>
      <c r="G4223" t="s">
        <v>17</v>
      </c>
      <c r="H4223" t="s">
        <v>23</v>
      </c>
      <c r="I4223">
        <v>131.05000000000001</v>
      </c>
      <c r="J4223">
        <v>27.2</v>
      </c>
      <c r="K4223" t="s">
        <v>25</v>
      </c>
      <c r="L4223" t="s">
        <v>15</v>
      </c>
    </row>
    <row r="4224" spans="1:12" x14ac:dyDescent="0.3">
      <c r="A4224">
        <v>27416</v>
      </c>
      <c r="B4224" t="s">
        <v>13</v>
      </c>
      <c r="C4224">
        <v>34</v>
      </c>
      <c r="D4224" t="s">
        <v>15</v>
      </c>
      <c r="E4224" t="s">
        <v>15</v>
      </c>
      <c r="F4224" t="s">
        <v>16</v>
      </c>
      <c r="G4224" t="s">
        <v>17</v>
      </c>
      <c r="H4224" t="s">
        <v>23</v>
      </c>
      <c r="I4224">
        <v>86.92</v>
      </c>
      <c r="J4224">
        <v>22</v>
      </c>
      <c r="K4224" t="s">
        <v>27</v>
      </c>
      <c r="L4224" t="s">
        <v>15</v>
      </c>
    </row>
    <row r="4225" spans="1:12" x14ac:dyDescent="0.3">
      <c r="A4225">
        <v>43433</v>
      </c>
      <c r="B4225" t="s">
        <v>13</v>
      </c>
      <c r="C4225">
        <v>52</v>
      </c>
      <c r="D4225" t="s">
        <v>15</v>
      </c>
      <c r="E4225" t="s">
        <v>15</v>
      </c>
      <c r="F4225" t="s">
        <v>16</v>
      </c>
      <c r="G4225" t="s">
        <v>18</v>
      </c>
      <c r="H4225" t="s">
        <v>23</v>
      </c>
      <c r="I4225">
        <v>59.62</v>
      </c>
      <c r="J4225">
        <v>50.8</v>
      </c>
      <c r="K4225" t="s">
        <v>27</v>
      </c>
      <c r="L4225" t="s">
        <v>15</v>
      </c>
    </row>
    <row r="4226" spans="1:12" x14ac:dyDescent="0.3">
      <c r="A4226">
        <v>21366</v>
      </c>
      <c r="B4226" t="s">
        <v>13</v>
      </c>
      <c r="C4226">
        <v>50</v>
      </c>
      <c r="D4226" t="s">
        <v>15</v>
      </c>
      <c r="E4226" t="s">
        <v>15</v>
      </c>
      <c r="F4226" t="s">
        <v>16</v>
      </c>
      <c r="G4226" t="s">
        <v>17</v>
      </c>
      <c r="H4226" t="s">
        <v>22</v>
      </c>
      <c r="I4226">
        <v>103.72</v>
      </c>
      <c r="J4226">
        <v>35.4</v>
      </c>
      <c r="K4226" t="s">
        <v>24</v>
      </c>
      <c r="L4226" t="s">
        <v>15</v>
      </c>
    </row>
    <row r="4227" spans="1:12" x14ac:dyDescent="0.3">
      <c r="A4227">
        <v>14658</v>
      </c>
      <c r="B4227" t="s">
        <v>13</v>
      </c>
      <c r="C4227">
        <v>37</v>
      </c>
      <c r="D4227" t="s">
        <v>15</v>
      </c>
      <c r="E4227" t="s">
        <v>15</v>
      </c>
      <c r="F4227" t="s">
        <v>16</v>
      </c>
      <c r="G4227" t="s">
        <v>17</v>
      </c>
      <c r="H4227" t="s">
        <v>23</v>
      </c>
      <c r="I4227">
        <v>77.099999999999994</v>
      </c>
      <c r="J4227">
        <v>55.9</v>
      </c>
      <c r="K4227" t="s">
        <v>27</v>
      </c>
      <c r="L4227" t="s">
        <v>15</v>
      </c>
    </row>
    <row r="4228" spans="1:12" x14ac:dyDescent="0.3">
      <c r="A4228">
        <v>7538</v>
      </c>
      <c r="B4228" t="s">
        <v>13</v>
      </c>
      <c r="C4228">
        <v>55</v>
      </c>
      <c r="D4228" t="s">
        <v>15</v>
      </c>
      <c r="E4228" t="s">
        <v>15</v>
      </c>
      <c r="F4228" t="s">
        <v>16</v>
      </c>
      <c r="G4228" t="s">
        <v>18</v>
      </c>
      <c r="H4228" t="s">
        <v>23</v>
      </c>
      <c r="I4228">
        <v>94.75</v>
      </c>
      <c r="J4228">
        <v>27.9</v>
      </c>
      <c r="K4228" t="s">
        <v>26</v>
      </c>
      <c r="L4228" t="s">
        <v>15</v>
      </c>
    </row>
    <row r="4229" spans="1:12" x14ac:dyDescent="0.3">
      <c r="A4229">
        <v>52092</v>
      </c>
      <c r="B4229" t="s">
        <v>13</v>
      </c>
      <c r="C4229">
        <v>2</v>
      </c>
      <c r="D4229" t="s">
        <v>15</v>
      </c>
      <c r="E4229" t="s">
        <v>15</v>
      </c>
      <c r="F4229" t="s">
        <v>15</v>
      </c>
      <c r="G4229" t="s">
        <v>20</v>
      </c>
      <c r="H4229" t="s">
        <v>23</v>
      </c>
      <c r="I4229">
        <v>77.72</v>
      </c>
      <c r="J4229">
        <v>19.8</v>
      </c>
      <c r="K4229" t="s">
        <v>27</v>
      </c>
      <c r="L4229" t="s">
        <v>15</v>
      </c>
    </row>
    <row r="4230" spans="1:12" x14ac:dyDescent="0.3">
      <c r="A4230">
        <v>45372</v>
      </c>
      <c r="B4230" t="s">
        <v>12</v>
      </c>
      <c r="C4230">
        <v>68</v>
      </c>
      <c r="D4230" t="s">
        <v>15</v>
      </c>
      <c r="E4230" t="s">
        <v>15</v>
      </c>
      <c r="F4230" t="s">
        <v>16</v>
      </c>
      <c r="G4230" t="s">
        <v>18</v>
      </c>
      <c r="H4230" t="s">
        <v>23</v>
      </c>
      <c r="I4230">
        <v>76.09</v>
      </c>
      <c r="J4230">
        <v>26</v>
      </c>
      <c r="K4230" t="s">
        <v>26</v>
      </c>
      <c r="L4230" t="s">
        <v>15</v>
      </c>
    </row>
    <row r="4231" spans="1:12" x14ac:dyDescent="0.3">
      <c r="A4231">
        <v>63043</v>
      </c>
      <c r="B4231" t="s">
        <v>13</v>
      </c>
      <c r="C4231">
        <v>27</v>
      </c>
      <c r="D4231" t="s">
        <v>15</v>
      </c>
      <c r="E4231" t="s">
        <v>15</v>
      </c>
      <c r="F4231" t="s">
        <v>15</v>
      </c>
      <c r="G4231" t="s">
        <v>17</v>
      </c>
      <c r="H4231" t="s">
        <v>22</v>
      </c>
      <c r="I4231">
        <v>61.8</v>
      </c>
      <c r="J4231">
        <v>26.8</v>
      </c>
      <c r="K4231" t="s">
        <v>24</v>
      </c>
      <c r="L4231" t="s">
        <v>15</v>
      </c>
    </row>
    <row r="4232" spans="1:12" x14ac:dyDescent="0.3">
      <c r="A4232">
        <v>67</v>
      </c>
      <c r="B4232" t="s">
        <v>13</v>
      </c>
      <c r="C4232">
        <v>17</v>
      </c>
      <c r="D4232" t="s">
        <v>15</v>
      </c>
      <c r="E4232" t="s">
        <v>15</v>
      </c>
      <c r="F4232" t="s">
        <v>15</v>
      </c>
      <c r="G4232" t="s">
        <v>17</v>
      </c>
      <c r="H4232" t="s">
        <v>22</v>
      </c>
      <c r="I4232">
        <v>92.97</v>
      </c>
      <c r="K4232" t="s">
        <v>24</v>
      </c>
      <c r="L4232" t="s">
        <v>15</v>
      </c>
    </row>
    <row r="4233" spans="1:12" x14ac:dyDescent="0.3">
      <c r="A4233">
        <v>68034</v>
      </c>
      <c r="B4233" t="s">
        <v>13</v>
      </c>
      <c r="C4233">
        <v>53</v>
      </c>
      <c r="D4233" t="s">
        <v>16</v>
      </c>
      <c r="E4233" t="s">
        <v>15</v>
      </c>
      <c r="F4233" t="s">
        <v>16</v>
      </c>
      <c r="G4233" t="s">
        <v>19</v>
      </c>
      <c r="H4233" t="s">
        <v>22</v>
      </c>
      <c r="I4233">
        <v>83.73</v>
      </c>
      <c r="J4233">
        <v>32.5</v>
      </c>
      <c r="K4233" t="s">
        <v>25</v>
      </c>
      <c r="L4233" t="s">
        <v>15</v>
      </c>
    </row>
    <row r="4234" spans="1:12" x14ac:dyDescent="0.3">
      <c r="A4234">
        <v>63026</v>
      </c>
      <c r="B4234" t="s">
        <v>12</v>
      </c>
      <c r="C4234">
        <v>5</v>
      </c>
      <c r="D4234" t="s">
        <v>15</v>
      </c>
      <c r="E4234" t="s">
        <v>15</v>
      </c>
      <c r="F4234" t="s">
        <v>15</v>
      </c>
      <c r="G4234" t="s">
        <v>20</v>
      </c>
      <c r="H4234" t="s">
        <v>23</v>
      </c>
      <c r="I4234">
        <v>79.33</v>
      </c>
      <c r="J4234">
        <v>15</v>
      </c>
      <c r="K4234" t="s">
        <v>27</v>
      </c>
      <c r="L4234" t="s">
        <v>15</v>
      </c>
    </row>
    <row r="4235" spans="1:12" x14ac:dyDescent="0.3">
      <c r="A4235">
        <v>18352</v>
      </c>
      <c r="B4235" t="s">
        <v>13</v>
      </c>
      <c r="C4235">
        <v>3</v>
      </c>
      <c r="D4235" t="s">
        <v>15</v>
      </c>
      <c r="E4235" t="s">
        <v>15</v>
      </c>
      <c r="F4235" t="s">
        <v>15</v>
      </c>
      <c r="G4235" t="s">
        <v>20</v>
      </c>
      <c r="H4235" t="s">
        <v>23</v>
      </c>
      <c r="I4235">
        <v>108.32</v>
      </c>
      <c r="J4235">
        <v>14.2</v>
      </c>
      <c r="K4235" t="s">
        <v>27</v>
      </c>
      <c r="L4235" t="s">
        <v>15</v>
      </c>
    </row>
    <row r="4236" spans="1:12" x14ac:dyDescent="0.3">
      <c r="A4236">
        <v>36087</v>
      </c>
      <c r="B4236" t="s">
        <v>13</v>
      </c>
      <c r="C4236">
        <v>20</v>
      </c>
      <c r="D4236" t="s">
        <v>15</v>
      </c>
      <c r="E4236" t="s">
        <v>15</v>
      </c>
      <c r="F4236" t="s">
        <v>15</v>
      </c>
      <c r="G4236" t="s">
        <v>17</v>
      </c>
      <c r="H4236" t="s">
        <v>23</v>
      </c>
      <c r="I4236">
        <v>103.65</v>
      </c>
      <c r="J4236">
        <v>17</v>
      </c>
      <c r="K4236" t="s">
        <v>24</v>
      </c>
      <c r="L4236" t="s">
        <v>15</v>
      </c>
    </row>
    <row r="4237" spans="1:12" x14ac:dyDescent="0.3">
      <c r="A4237">
        <v>27480</v>
      </c>
      <c r="B4237" t="s">
        <v>12</v>
      </c>
      <c r="C4237">
        <v>19</v>
      </c>
      <c r="D4237" t="s">
        <v>15</v>
      </c>
      <c r="E4237" t="s">
        <v>15</v>
      </c>
      <c r="F4237" t="s">
        <v>15</v>
      </c>
      <c r="G4237" t="s">
        <v>17</v>
      </c>
      <c r="H4237" t="s">
        <v>23</v>
      </c>
      <c r="I4237">
        <v>86.19</v>
      </c>
      <c r="J4237">
        <v>26.2</v>
      </c>
      <c r="K4237" t="s">
        <v>25</v>
      </c>
      <c r="L4237" t="s">
        <v>15</v>
      </c>
    </row>
    <row r="4238" spans="1:12" x14ac:dyDescent="0.3">
      <c r="A4238">
        <v>38074</v>
      </c>
      <c r="B4238" t="s">
        <v>13</v>
      </c>
      <c r="C4238">
        <v>31</v>
      </c>
      <c r="D4238" t="s">
        <v>15</v>
      </c>
      <c r="E4238" t="s">
        <v>15</v>
      </c>
      <c r="F4238" t="s">
        <v>16</v>
      </c>
      <c r="G4238" t="s">
        <v>17</v>
      </c>
      <c r="H4238" t="s">
        <v>22</v>
      </c>
      <c r="I4238">
        <v>131.41999999999999</v>
      </c>
      <c r="J4238">
        <v>24.9</v>
      </c>
      <c r="K4238" t="s">
        <v>26</v>
      </c>
      <c r="L4238" t="s">
        <v>15</v>
      </c>
    </row>
    <row r="4239" spans="1:12" x14ac:dyDescent="0.3">
      <c r="A4239">
        <v>66690</v>
      </c>
      <c r="B4239" t="s">
        <v>13</v>
      </c>
      <c r="C4239">
        <v>63</v>
      </c>
      <c r="D4239" t="s">
        <v>15</v>
      </c>
      <c r="E4239" t="s">
        <v>15</v>
      </c>
      <c r="F4239" t="s">
        <v>16</v>
      </c>
      <c r="G4239" t="s">
        <v>18</v>
      </c>
      <c r="H4239" t="s">
        <v>22</v>
      </c>
      <c r="I4239">
        <v>69.459999999999994</v>
      </c>
      <c r="J4239">
        <v>26.6</v>
      </c>
      <c r="K4239" t="s">
        <v>25</v>
      </c>
      <c r="L4239" t="s">
        <v>15</v>
      </c>
    </row>
    <row r="4240" spans="1:12" x14ac:dyDescent="0.3">
      <c r="A4240">
        <v>31131</v>
      </c>
      <c r="B4240" t="s">
        <v>13</v>
      </c>
      <c r="C4240">
        <v>49</v>
      </c>
      <c r="D4240" t="s">
        <v>15</v>
      </c>
      <c r="E4240" t="s">
        <v>16</v>
      </c>
      <c r="F4240" t="s">
        <v>16</v>
      </c>
      <c r="G4240" t="s">
        <v>17</v>
      </c>
      <c r="H4240" t="s">
        <v>23</v>
      </c>
      <c r="I4240">
        <v>76.78</v>
      </c>
      <c r="J4240">
        <v>22.7</v>
      </c>
      <c r="K4240" t="s">
        <v>26</v>
      </c>
      <c r="L4240" t="s">
        <v>15</v>
      </c>
    </row>
    <row r="4241" spans="1:12" x14ac:dyDescent="0.3">
      <c r="A4241">
        <v>26884</v>
      </c>
      <c r="B4241" t="s">
        <v>13</v>
      </c>
      <c r="C4241">
        <v>72</v>
      </c>
      <c r="D4241" t="s">
        <v>15</v>
      </c>
      <c r="E4241" t="s">
        <v>15</v>
      </c>
      <c r="F4241" t="s">
        <v>16</v>
      </c>
      <c r="G4241" t="s">
        <v>18</v>
      </c>
      <c r="H4241" t="s">
        <v>22</v>
      </c>
      <c r="I4241">
        <v>103.78</v>
      </c>
      <c r="J4241">
        <v>32.700000000000003</v>
      </c>
      <c r="K4241" t="s">
        <v>24</v>
      </c>
      <c r="L4241" t="s">
        <v>15</v>
      </c>
    </row>
    <row r="4242" spans="1:12" x14ac:dyDescent="0.3">
      <c r="A4242">
        <v>26935</v>
      </c>
      <c r="B4242" t="s">
        <v>13</v>
      </c>
      <c r="C4242">
        <v>50</v>
      </c>
      <c r="D4242" t="s">
        <v>16</v>
      </c>
      <c r="E4242" t="s">
        <v>15</v>
      </c>
      <c r="F4242" t="s">
        <v>16</v>
      </c>
      <c r="G4242" t="s">
        <v>17</v>
      </c>
      <c r="H4242" t="s">
        <v>22</v>
      </c>
      <c r="I4242">
        <v>213.43</v>
      </c>
      <c r="J4242">
        <v>36.700000000000003</v>
      </c>
      <c r="K4242" t="s">
        <v>26</v>
      </c>
      <c r="L4242" t="s">
        <v>15</v>
      </c>
    </row>
    <row r="4243" spans="1:12" x14ac:dyDescent="0.3">
      <c r="A4243">
        <v>17569</v>
      </c>
      <c r="B4243" t="s">
        <v>12</v>
      </c>
      <c r="C4243">
        <v>41</v>
      </c>
      <c r="D4243" t="s">
        <v>15</v>
      </c>
      <c r="E4243" t="s">
        <v>15</v>
      </c>
      <c r="F4243" t="s">
        <v>16</v>
      </c>
      <c r="G4243" t="s">
        <v>18</v>
      </c>
      <c r="H4243" t="s">
        <v>23</v>
      </c>
      <c r="I4243">
        <v>93.52</v>
      </c>
      <c r="J4243">
        <v>31.5</v>
      </c>
      <c r="K4243" t="s">
        <v>27</v>
      </c>
      <c r="L4243" t="s">
        <v>15</v>
      </c>
    </row>
    <row r="4244" spans="1:12" x14ac:dyDescent="0.3">
      <c r="A4244">
        <v>24585</v>
      </c>
      <c r="B4244" t="s">
        <v>12</v>
      </c>
      <c r="C4244">
        <v>40</v>
      </c>
      <c r="D4244" t="s">
        <v>15</v>
      </c>
      <c r="E4244" t="s">
        <v>15</v>
      </c>
      <c r="F4244" t="s">
        <v>16</v>
      </c>
      <c r="G4244" t="s">
        <v>19</v>
      </c>
      <c r="H4244" t="s">
        <v>22</v>
      </c>
      <c r="I4244">
        <v>115.07</v>
      </c>
      <c r="J4244">
        <v>36.9</v>
      </c>
      <c r="K4244" t="s">
        <v>25</v>
      </c>
      <c r="L4244" t="s">
        <v>15</v>
      </c>
    </row>
    <row r="4245" spans="1:12" x14ac:dyDescent="0.3">
      <c r="A4245">
        <v>53954</v>
      </c>
      <c r="B4245" t="s">
        <v>12</v>
      </c>
      <c r="C4245">
        <v>17</v>
      </c>
      <c r="D4245" t="s">
        <v>15</v>
      </c>
      <c r="E4245" t="s">
        <v>15</v>
      </c>
      <c r="F4245" t="s">
        <v>15</v>
      </c>
      <c r="G4245" t="s">
        <v>17</v>
      </c>
      <c r="H4245" t="s">
        <v>23</v>
      </c>
      <c r="I4245">
        <v>69.45</v>
      </c>
      <c r="J4245">
        <v>27.6</v>
      </c>
      <c r="K4245" t="s">
        <v>27</v>
      </c>
      <c r="L4245" t="s">
        <v>15</v>
      </c>
    </row>
    <row r="4246" spans="1:12" x14ac:dyDescent="0.3">
      <c r="A4246">
        <v>13286</v>
      </c>
      <c r="B4246" t="s">
        <v>12</v>
      </c>
      <c r="C4246">
        <v>3</v>
      </c>
      <c r="D4246" t="s">
        <v>15</v>
      </c>
      <c r="E4246" t="s">
        <v>15</v>
      </c>
      <c r="F4246" t="s">
        <v>15</v>
      </c>
      <c r="G4246" t="s">
        <v>20</v>
      </c>
      <c r="H4246" t="s">
        <v>23</v>
      </c>
      <c r="I4246">
        <v>81</v>
      </c>
      <c r="J4246">
        <v>20.7</v>
      </c>
      <c r="K4246" t="s">
        <v>27</v>
      </c>
      <c r="L4246" t="s">
        <v>15</v>
      </c>
    </row>
    <row r="4247" spans="1:12" x14ac:dyDescent="0.3">
      <c r="A4247">
        <v>7653</v>
      </c>
      <c r="B4247" t="s">
        <v>13</v>
      </c>
      <c r="C4247">
        <v>33</v>
      </c>
      <c r="D4247" t="s">
        <v>15</v>
      </c>
      <c r="E4247" t="s">
        <v>15</v>
      </c>
      <c r="F4247" t="s">
        <v>15</v>
      </c>
      <c r="G4247" t="s">
        <v>17</v>
      </c>
      <c r="H4247" t="s">
        <v>22</v>
      </c>
      <c r="I4247">
        <v>83.16</v>
      </c>
      <c r="J4247">
        <v>20.2</v>
      </c>
      <c r="K4247" t="s">
        <v>27</v>
      </c>
      <c r="L4247" t="s">
        <v>15</v>
      </c>
    </row>
    <row r="4248" spans="1:12" x14ac:dyDescent="0.3">
      <c r="A4248">
        <v>59027</v>
      </c>
      <c r="B4248" t="s">
        <v>13</v>
      </c>
      <c r="C4248">
        <v>12</v>
      </c>
      <c r="D4248" t="s">
        <v>15</v>
      </c>
      <c r="E4248" t="s">
        <v>15</v>
      </c>
      <c r="F4248" t="s">
        <v>15</v>
      </c>
      <c r="G4248" t="s">
        <v>20</v>
      </c>
      <c r="H4248" t="s">
        <v>23</v>
      </c>
      <c r="I4248">
        <v>108.63</v>
      </c>
      <c r="J4248">
        <v>23.4</v>
      </c>
      <c r="K4248" t="s">
        <v>25</v>
      </c>
      <c r="L4248" t="s">
        <v>15</v>
      </c>
    </row>
    <row r="4249" spans="1:12" x14ac:dyDescent="0.3">
      <c r="A4249">
        <v>70318</v>
      </c>
      <c r="B4249" t="s">
        <v>12</v>
      </c>
      <c r="C4249">
        <v>23</v>
      </c>
      <c r="D4249" t="s">
        <v>15</v>
      </c>
      <c r="E4249" t="s">
        <v>15</v>
      </c>
      <c r="F4249" t="s">
        <v>15</v>
      </c>
      <c r="G4249" t="s">
        <v>17</v>
      </c>
      <c r="H4249" t="s">
        <v>23</v>
      </c>
      <c r="I4249">
        <v>88.06</v>
      </c>
      <c r="J4249">
        <v>25.3</v>
      </c>
      <c r="K4249" t="s">
        <v>27</v>
      </c>
      <c r="L4249" t="s">
        <v>15</v>
      </c>
    </row>
    <row r="4250" spans="1:12" x14ac:dyDescent="0.3">
      <c r="A4250">
        <v>15422</v>
      </c>
      <c r="B4250" t="s">
        <v>12</v>
      </c>
      <c r="C4250">
        <v>31</v>
      </c>
      <c r="D4250" t="s">
        <v>15</v>
      </c>
      <c r="E4250" t="s">
        <v>15</v>
      </c>
      <c r="F4250" t="s">
        <v>15</v>
      </c>
      <c r="G4250" t="s">
        <v>19</v>
      </c>
      <c r="H4250" t="s">
        <v>23</v>
      </c>
      <c r="I4250">
        <v>80.569999999999993</v>
      </c>
      <c r="J4250">
        <v>28.2</v>
      </c>
      <c r="K4250" t="s">
        <v>24</v>
      </c>
      <c r="L4250" t="s">
        <v>15</v>
      </c>
    </row>
    <row r="4251" spans="1:12" x14ac:dyDescent="0.3">
      <c r="A4251">
        <v>56692</v>
      </c>
      <c r="B4251" t="s">
        <v>13</v>
      </c>
      <c r="C4251">
        <v>65</v>
      </c>
      <c r="D4251" t="s">
        <v>15</v>
      </c>
      <c r="E4251" t="s">
        <v>15</v>
      </c>
      <c r="F4251" t="s">
        <v>16</v>
      </c>
      <c r="G4251" t="s">
        <v>18</v>
      </c>
      <c r="H4251" t="s">
        <v>22</v>
      </c>
      <c r="I4251">
        <v>248.24</v>
      </c>
      <c r="J4251">
        <v>27</v>
      </c>
      <c r="K4251" t="s">
        <v>26</v>
      </c>
      <c r="L4251" t="s">
        <v>15</v>
      </c>
    </row>
    <row r="4252" spans="1:12" x14ac:dyDescent="0.3">
      <c r="A4252">
        <v>45395</v>
      </c>
      <c r="B4252" t="s">
        <v>13</v>
      </c>
      <c r="C4252">
        <v>43</v>
      </c>
      <c r="D4252" t="s">
        <v>15</v>
      </c>
      <c r="E4252" t="s">
        <v>15</v>
      </c>
      <c r="F4252" t="s">
        <v>16</v>
      </c>
      <c r="G4252" t="s">
        <v>17</v>
      </c>
      <c r="H4252" t="s">
        <v>22</v>
      </c>
      <c r="I4252">
        <v>57.79</v>
      </c>
      <c r="J4252">
        <v>24.8</v>
      </c>
      <c r="K4252" t="s">
        <v>26</v>
      </c>
      <c r="L4252" t="s">
        <v>15</v>
      </c>
    </row>
    <row r="4253" spans="1:12" x14ac:dyDescent="0.3">
      <c r="A4253">
        <v>39977</v>
      </c>
      <c r="B4253" t="s">
        <v>13</v>
      </c>
      <c r="C4253">
        <v>22</v>
      </c>
      <c r="D4253" t="s">
        <v>15</v>
      </c>
      <c r="E4253" t="s">
        <v>15</v>
      </c>
      <c r="F4253" t="s">
        <v>15</v>
      </c>
      <c r="G4253" t="s">
        <v>17</v>
      </c>
      <c r="H4253" t="s">
        <v>22</v>
      </c>
      <c r="I4253">
        <v>87.4</v>
      </c>
      <c r="J4253">
        <v>34.799999999999997</v>
      </c>
      <c r="K4253" t="s">
        <v>25</v>
      </c>
      <c r="L4253" t="s">
        <v>15</v>
      </c>
    </row>
    <row r="4254" spans="1:12" x14ac:dyDescent="0.3">
      <c r="A4254">
        <v>14553</v>
      </c>
      <c r="B4254" t="s">
        <v>12</v>
      </c>
      <c r="C4254">
        <v>7</v>
      </c>
      <c r="D4254" t="s">
        <v>15</v>
      </c>
      <c r="E4254" t="s">
        <v>15</v>
      </c>
      <c r="F4254" t="s">
        <v>15</v>
      </c>
      <c r="G4254" t="s">
        <v>20</v>
      </c>
      <c r="H4254" t="s">
        <v>22</v>
      </c>
      <c r="I4254">
        <v>76.63</v>
      </c>
      <c r="J4254">
        <v>17.3</v>
      </c>
      <c r="K4254" t="s">
        <v>27</v>
      </c>
      <c r="L4254" t="s">
        <v>15</v>
      </c>
    </row>
    <row r="4255" spans="1:12" x14ac:dyDescent="0.3">
      <c r="A4255">
        <v>40998</v>
      </c>
      <c r="B4255" t="s">
        <v>13</v>
      </c>
      <c r="C4255">
        <v>81</v>
      </c>
      <c r="D4255" t="s">
        <v>15</v>
      </c>
      <c r="E4255" t="s">
        <v>15</v>
      </c>
      <c r="F4255" t="s">
        <v>16</v>
      </c>
      <c r="G4255" t="s">
        <v>18</v>
      </c>
      <c r="H4255" t="s">
        <v>23</v>
      </c>
      <c r="I4255">
        <v>58.01</v>
      </c>
      <c r="J4255">
        <v>27.8</v>
      </c>
      <c r="K4255" t="s">
        <v>25</v>
      </c>
      <c r="L4255" t="s">
        <v>15</v>
      </c>
    </row>
    <row r="4256" spans="1:12" x14ac:dyDescent="0.3">
      <c r="A4256">
        <v>71900</v>
      </c>
      <c r="B4256" t="s">
        <v>13</v>
      </c>
      <c r="C4256">
        <v>10</v>
      </c>
      <c r="D4256" t="s">
        <v>15</v>
      </c>
      <c r="E4256" t="s">
        <v>15</v>
      </c>
      <c r="F4256" t="s">
        <v>15</v>
      </c>
      <c r="G4256" t="s">
        <v>20</v>
      </c>
      <c r="H4256" t="s">
        <v>22</v>
      </c>
      <c r="I4256">
        <v>77.430000000000007</v>
      </c>
      <c r="J4256">
        <v>16.2</v>
      </c>
      <c r="K4256" t="s">
        <v>27</v>
      </c>
      <c r="L4256" t="s">
        <v>15</v>
      </c>
    </row>
    <row r="4257" spans="1:12" x14ac:dyDescent="0.3">
      <c r="A4257">
        <v>3318</v>
      </c>
      <c r="B4257" t="s">
        <v>13</v>
      </c>
      <c r="C4257">
        <v>18</v>
      </c>
      <c r="D4257" t="s">
        <v>15</v>
      </c>
      <c r="E4257" t="s">
        <v>15</v>
      </c>
      <c r="F4257" t="s">
        <v>15</v>
      </c>
      <c r="G4257" t="s">
        <v>17</v>
      </c>
      <c r="H4257" t="s">
        <v>23</v>
      </c>
      <c r="I4257">
        <v>101.12</v>
      </c>
      <c r="K4257" t="s">
        <v>26</v>
      </c>
      <c r="L4257" t="s">
        <v>15</v>
      </c>
    </row>
    <row r="4258" spans="1:12" x14ac:dyDescent="0.3">
      <c r="A4258">
        <v>41481</v>
      </c>
      <c r="B4258" t="s">
        <v>13</v>
      </c>
      <c r="C4258">
        <v>5</v>
      </c>
      <c r="D4258" t="s">
        <v>15</v>
      </c>
      <c r="E4258" t="s">
        <v>15</v>
      </c>
      <c r="F4258" t="s">
        <v>15</v>
      </c>
      <c r="G4258" t="s">
        <v>20</v>
      </c>
      <c r="H4258" t="s">
        <v>23</v>
      </c>
      <c r="I4258">
        <v>64.45</v>
      </c>
      <c r="J4258">
        <v>21.7</v>
      </c>
      <c r="K4258" t="s">
        <v>27</v>
      </c>
      <c r="L4258" t="s">
        <v>15</v>
      </c>
    </row>
    <row r="4259" spans="1:12" x14ac:dyDescent="0.3">
      <c r="A4259">
        <v>24854</v>
      </c>
      <c r="B4259" t="s">
        <v>13</v>
      </c>
      <c r="C4259">
        <v>24</v>
      </c>
      <c r="D4259" t="s">
        <v>15</v>
      </c>
      <c r="E4259" t="s">
        <v>15</v>
      </c>
      <c r="F4259" t="s">
        <v>15</v>
      </c>
      <c r="G4259" t="s">
        <v>18</v>
      </c>
      <c r="H4259" t="s">
        <v>22</v>
      </c>
      <c r="I4259">
        <v>79.42</v>
      </c>
      <c r="J4259">
        <v>21.4</v>
      </c>
      <c r="K4259" t="s">
        <v>25</v>
      </c>
      <c r="L4259" t="s">
        <v>15</v>
      </c>
    </row>
    <row r="4260" spans="1:12" x14ac:dyDescent="0.3">
      <c r="A4260">
        <v>22330</v>
      </c>
      <c r="B4260" t="s">
        <v>13</v>
      </c>
      <c r="C4260">
        <v>45</v>
      </c>
      <c r="D4260" t="s">
        <v>15</v>
      </c>
      <c r="E4260" t="s">
        <v>15</v>
      </c>
      <c r="F4260" t="s">
        <v>16</v>
      </c>
      <c r="G4260" t="s">
        <v>18</v>
      </c>
      <c r="H4260" t="s">
        <v>22</v>
      </c>
      <c r="I4260">
        <v>82.94</v>
      </c>
      <c r="J4260">
        <v>29.3</v>
      </c>
      <c r="K4260" t="s">
        <v>27</v>
      </c>
      <c r="L4260" t="s">
        <v>15</v>
      </c>
    </row>
    <row r="4261" spans="1:12" x14ac:dyDescent="0.3">
      <c r="A4261">
        <v>14892</v>
      </c>
      <c r="B4261" t="s">
        <v>13</v>
      </c>
      <c r="C4261">
        <v>46</v>
      </c>
      <c r="D4261" t="s">
        <v>16</v>
      </c>
      <c r="E4261" t="s">
        <v>15</v>
      </c>
      <c r="F4261" t="s">
        <v>16</v>
      </c>
      <c r="G4261" t="s">
        <v>17</v>
      </c>
      <c r="H4261" t="s">
        <v>23</v>
      </c>
      <c r="I4261">
        <v>81.58</v>
      </c>
      <c r="J4261">
        <v>36.200000000000003</v>
      </c>
      <c r="K4261" t="s">
        <v>25</v>
      </c>
      <c r="L4261" t="s">
        <v>15</v>
      </c>
    </row>
    <row r="4262" spans="1:12" x14ac:dyDescent="0.3">
      <c r="A4262">
        <v>36710</v>
      </c>
      <c r="B4262" t="s">
        <v>12</v>
      </c>
      <c r="C4262">
        <v>64</v>
      </c>
      <c r="D4262" t="s">
        <v>15</v>
      </c>
      <c r="E4262" t="s">
        <v>15</v>
      </c>
      <c r="F4262" t="s">
        <v>16</v>
      </c>
      <c r="G4262" t="s">
        <v>17</v>
      </c>
      <c r="H4262" t="s">
        <v>22</v>
      </c>
      <c r="I4262">
        <v>62.21</v>
      </c>
      <c r="J4262">
        <v>28.3</v>
      </c>
      <c r="K4262" t="s">
        <v>27</v>
      </c>
      <c r="L4262" t="s">
        <v>15</v>
      </c>
    </row>
    <row r="4263" spans="1:12" x14ac:dyDescent="0.3">
      <c r="A4263">
        <v>29267</v>
      </c>
      <c r="B4263" t="s">
        <v>12</v>
      </c>
      <c r="C4263">
        <v>25</v>
      </c>
      <c r="D4263" t="s">
        <v>15</v>
      </c>
      <c r="E4263" t="s">
        <v>15</v>
      </c>
      <c r="F4263" t="s">
        <v>15</v>
      </c>
      <c r="G4263" t="s">
        <v>17</v>
      </c>
      <c r="H4263" t="s">
        <v>23</v>
      </c>
      <c r="I4263">
        <v>229.94</v>
      </c>
      <c r="J4263">
        <v>23.5</v>
      </c>
      <c r="K4263" t="s">
        <v>25</v>
      </c>
      <c r="L4263" t="s">
        <v>15</v>
      </c>
    </row>
    <row r="4264" spans="1:12" x14ac:dyDescent="0.3">
      <c r="A4264">
        <v>17098</v>
      </c>
      <c r="B4264" t="s">
        <v>13</v>
      </c>
      <c r="C4264">
        <v>12</v>
      </c>
      <c r="D4264" t="s">
        <v>15</v>
      </c>
      <c r="E4264" t="s">
        <v>15</v>
      </c>
      <c r="F4264" t="s">
        <v>15</v>
      </c>
      <c r="G4264" t="s">
        <v>20</v>
      </c>
      <c r="H4264" t="s">
        <v>22</v>
      </c>
      <c r="I4264">
        <v>116.06</v>
      </c>
      <c r="J4264">
        <v>25.9</v>
      </c>
      <c r="K4264" t="s">
        <v>27</v>
      </c>
      <c r="L4264" t="s">
        <v>15</v>
      </c>
    </row>
    <row r="4265" spans="1:12" x14ac:dyDescent="0.3">
      <c r="A4265">
        <v>61384</v>
      </c>
      <c r="B4265" t="s">
        <v>12</v>
      </c>
      <c r="C4265">
        <v>81</v>
      </c>
      <c r="D4265" t="s">
        <v>16</v>
      </c>
      <c r="E4265" t="s">
        <v>15</v>
      </c>
      <c r="F4265" t="s">
        <v>16</v>
      </c>
      <c r="G4265" t="s">
        <v>17</v>
      </c>
      <c r="H4265" t="s">
        <v>22</v>
      </c>
      <c r="I4265">
        <v>117.77</v>
      </c>
      <c r="J4265">
        <v>27.1</v>
      </c>
      <c r="K4265" t="s">
        <v>25</v>
      </c>
      <c r="L4265" t="s">
        <v>15</v>
      </c>
    </row>
    <row r="4266" spans="1:12" x14ac:dyDescent="0.3">
      <c r="A4266">
        <v>69732</v>
      </c>
      <c r="B4266" t="s">
        <v>12</v>
      </c>
      <c r="C4266">
        <v>65</v>
      </c>
      <c r="D4266" t="s">
        <v>15</v>
      </c>
      <c r="E4266" t="s">
        <v>15</v>
      </c>
      <c r="F4266" t="s">
        <v>16</v>
      </c>
      <c r="G4266" t="s">
        <v>18</v>
      </c>
      <c r="H4266" t="s">
        <v>22</v>
      </c>
      <c r="I4266">
        <v>66.69</v>
      </c>
      <c r="J4266">
        <v>21.5</v>
      </c>
      <c r="K4266" t="s">
        <v>25</v>
      </c>
      <c r="L4266" t="s">
        <v>15</v>
      </c>
    </row>
    <row r="4267" spans="1:12" x14ac:dyDescent="0.3">
      <c r="A4267">
        <v>61238</v>
      </c>
      <c r="B4267" t="s">
        <v>13</v>
      </c>
      <c r="C4267">
        <v>40</v>
      </c>
      <c r="D4267" t="s">
        <v>15</v>
      </c>
      <c r="E4267" t="s">
        <v>15</v>
      </c>
      <c r="F4267" t="s">
        <v>16</v>
      </c>
      <c r="G4267" t="s">
        <v>17</v>
      </c>
      <c r="H4267" t="s">
        <v>23</v>
      </c>
      <c r="I4267">
        <v>122.23</v>
      </c>
      <c r="J4267">
        <v>30.5</v>
      </c>
      <c r="K4267" t="s">
        <v>27</v>
      </c>
      <c r="L4267" t="s">
        <v>15</v>
      </c>
    </row>
    <row r="4268" spans="1:12" x14ac:dyDescent="0.3">
      <c r="A4268">
        <v>18696</v>
      </c>
      <c r="B4268" t="s">
        <v>12</v>
      </c>
      <c r="C4268">
        <v>81</v>
      </c>
      <c r="D4268" t="s">
        <v>15</v>
      </c>
      <c r="E4268" t="s">
        <v>15</v>
      </c>
      <c r="F4268" t="s">
        <v>15</v>
      </c>
      <c r="G4268" t="s">
        <v>17</v>
      </c>
      <c r="H4268" t="s">
        <v>22</v>
      </c>
      <c r="I4268">
        <v>168.68</v>
      </c>
      <c r="J4268">
        <v>23.4</v>
      </c>
      <c r="K4268" t="s">
        <v>24</v>
      </c>
      <c r="L4268" t="s">
        <v>15</v>
      </c>
    </row>
    <row r="4269" spans="1:12" x14ac:dyDescent="0.3">
      <c r="A4269">
        <v>25643</v>
      </c>
      <c r="B4269" t="s">
        <v>12</v>
      </c>
      <c r="C4269">
        <v>36</v>
      </c>
      <c r="D4269" t="s">
        <v>15</v>
      </c>
      <c r="E4269" t="s">
        <v>15</v>
      </c>
      <c r="F4269" t="s">
        <v>16</v>
      </c>
      <c r="G4269" t="s">
        <v>17</v>
      </c>
      <c r="H4269" t="s">
        <v>23</v>
      </c>
      <c r="I4269">
        <v>119.9</v>
      </c>
      <c r="J4269">
        <v>37.6</v>
      </c>
      <c r="K4269" t="s">
        <v>25</v>
      </c>
      <c r="L4269" t="s">
        <v>15</v>
      </c>
    </row>
    <row r="4270" spans="1:12" x14ac:dyDescent="0.3">
      <c r="A4270">
        <v>63333</v>
      </c>
      <c r="B4270" t="s">
        <v>13</v>
      </c>
      <c r="C4270">
        <v>32</v>
      </c>
      <c r="D4270" t="s">
        <v>15</v>
      </c>
      <c r="E4270" t="s">
        <v>15</v>
      </c>
      <c r="F4270" t="s">
        <v>16</v>
      </c>
      <c r="G4270" t="s">
        <v>18</v>
      </c>
      <c r="H4270" t="s">
        <v>22</v>
      </c>
      <c r="I4270">
        <v>110.33</v>
      </c>
      <c r="J4270">
        <v>24</v>
      </c>
      <c r="K4270" t="s">
        <v>26</v>
      </c>
      <c r="L4270" t="s">
        <v>15</v>
      </c>
    </row>
    <row r="4271" spans="1:12" x14ac:dyDescent="0.3">
      <c r="A4271">
        <v>23210</v>
      </c>
      <c r="B4271" t="s">
        <v>12</v>
      </c>
      <c r="C4271">
        <v>31</v>
      </c>
      <c r="D4271" t="s">
        <v>15</v>
      </c>
      <c r="E4271" t="s">
        <v>15</v>
      </c>
      <c r="F4271" t="s">
        <v>15</v>
      </c>
      <c r="G4271" t="s">
        <v>17</v>
      </c>
      <c r="H4271" t="s">
        <v>23</v>
      </c>
      <c r="I4271">
        <v>77.95</v>
      </c>
      <c r="J4271">
        <v>25.1</v>
      </c>
      <c r="K4271" t="s">
        <v>25</v>
      </c>
      <c r="L4271" t="s">
        <v>15</v>
      </c>
    </row>
    <row r="4272" spans="1:12" x14ac:dyDescent="0.3">
      <c r="A4272">
        <v>2647</v>
      </c>
      <c r="B4272" t="s">
        <v>12</v>
      </c>
      <c r="C4272">
        <v>55</v>
      </c>
      <c r="D4272" t="s">
        <v>15</v>
      </c>
      <c r="E4272" t="s">
        <v>15</v>
      </c>
      <c r="F4272" t="s">
        <v>16</v>
      </c>
      <c r="G4272" t="s">
        <v>17</v>
      </c>
      <c r="H4272" t="s">
        <v>23</v>
      </c>
      <c r="I4272">
        <v>80.349999999999994</v>
      </c>
      <c r="J4272">
        <v>28.7</v>
      </c>
      <c r="K4272" t="s">
        <v>26</v>
      </c>
      <c r="L4272" t="s">
        <v>15</v>
      </c>
    </row>
    <row r="4273" spans="1:12" x14ac:dyDescent="0.3">
      <c r="A4273">
        <v>60934</v>
      </c>
      <c r="B4273" t="s">
        <v>12</v>
      </c>
      <c r="C4273">
        <v>39</v>
      </c>
      <c r="D4273" t="s">
        <v>15</v>
      </c>
      <c r="E4273" t="s">
        <v>15</v>
      </c>
      <c r="F4273" t="s">
        <v>16</v>
      </c>
      <c r="G4273" t="s">
        <v>17</v>
      </c>
      <c r="H4273" t="s">
        <v>22</v>
      </c>
      <c r="I4273">
        <v>57.38</v>
      </c>
      <c r="J4273">
        <v>41.8</v>
      </c>
      <c r="K4273" t="s">
        <v>24</v>
      </c>
      <c r="L4273" t="s">
        <v>15</v>
      </c>
    </row>
    <row r="4274" spans="1:12" x14ac:dyDescent="0.3">
      <c r="A4274">
        <v>50412</v>
      </c>
      <c r="B4274" t="s">
        <v>13</v>
      </c>
      <c r="C4274">
        <v>17</v>
      </c>
      <c r="D4274" t="s">
        <v>15</v>
      </c>
      <c r="E4274" t="s">
        <v>15</v>
      </c>
      <c r="F4274" t="s">
        <v>15</v>
      </c>
      <c r="G4274" t="s">
        <v>17</v>
      </c>
      <c r="H4274" t="s">
        <v>22</v>
      </c>
      <c r="I4274">
        <v>96.47</v>
      </c>
      <c r="J4274">
        <v>25.6</v>
      </c>
      <c r="K4274" t="s">
        <v>27</v>
      </c>
      <c r="L4274" t="s">
        <v>15</v>
      </c>
    </row>
    <row r="4275" spans="1:12" x14ac:dyDescent="0.3">
      <c r="A4275">
        <v>1192</v>
      </c>
      <c r="B4275" t="s">
        <v>13</v>
      </c>
      <c r="C4275">
        <v>31</v>
      </c>
      <c r="D4275" t="s">
        <v>15</v>
      </c>
      <c r="E4275" t="s">
        <v>15</v>
      </c>
      <c r="F4275" t="s">
        <v>15</v>
      </c>
      <c r="G4275" t="s">
        <v>19</v>
      </c>
      <c r="H4275" t="s">
        <v>23</v>
      </c>
      <c r="I4275">
        <v>70.66</v>
      </c>
      <c r="J4275">
        <v>27.2</v>
      </c>
      <c r="K4275" t="s">
        <v>25</v>
      </c>
      <c r="L4275" t="s">
        <v>15</v>
      </c>
    </row>
    <row r="4276" spans="1:12" x14ac:dyDescent="0.3">
      <c r="A4276">
        <v>55361</v>
      </c>
      <c r="B4276" t="s">
        <v>13</v>
      </c>
      <c r="C4276">
        <v>36</v>
      </c>
      <c r="D4276" t="s">
        <v>15</v>
      </c>
      <c r="E4276" t="s">
        <v>15</v>
      </c>
      <c r="F4276" t="s">
        <v>16</v>
      </c>
      <c r="G4276" t="s">
        <v>18</v>
      </c>
      <c r="H4276" t="s">
        <v>22</v>
      </c>
      <c r="I4276">
        <v>202.06</v>
      </c>
      <c r="J4276">
        <v>24.4</v>
      </c>
      <c r="K4276" t="s">
        <v>25</v>
      </c>
      <c r="L4276" t="s">
        <v>15</v>
      </c>
    </row>
    <row r="4277" spans="1:12" x14ac:dyDescent="0.3">
      <c r="A4277">
        <v>50141</v>
      </c>
      <c r="B4277" t="s">
        <v>13</v>
      </c>
      <c r="C4277">
        <v>5</v>
      </c>
      <c r="D4277" t="s">
        <v>15</v>
      </c>
      <c r="E4277" t="s">
        <v>15</v>
      </c>
      <c r="F4277" t="s">
        <v>15</v>
      </c>
      <c r="G4277" t="s">
        <v>20</v>
      </c>
      <c r="H4277" t="s">
        <v>22</v>
      </c>
      <c r="I4277">
        <v>91.3</v>
      </c>
      <c r="J4277">
        <v>20.7</v>
      </c>
      <c r="K4277" t="s">
        <v>27</v>
      </c>
      <c r="L4277" t="s">
        <v>15</v>
      </c>
    </row>
    <row r="4278" spans="1:12" x14ac:dyDescent="0.3">
      <c r="A4278">
        <v>12963</v>
      </c>
      <c r="B4278" t="s">
        <v>13</v>
      </c>
      <c r="C4278">
        <v>29</v>
      </c>
      <c r="D4278" t="s">
        <v>15</v>
      </c>
      <c r="E4278" t="s">
        <v>15</v>
      </c>
      <c r="F4278" t="s">
        <v>15</v>
      </c>
      <c r="G4278" t="s">
        <v>18</v>
      </c>
      <c r="H4278" t="s">
        <v>23</v>
      </c>
      <c r="I4278">
        <v>67.56</v>
      </c>
      <c r="J4278">
        <v>19.600000000000001</v>
      </c>
      <c r="K4278" t="s">
        <v>27</v>
      </c>
      <c r="L4278" t="s">
        <v>15</v>
      </c>
    </row>
    <row r="4279" spans="1:12" x14ac:dyDescent="0.3">
      <c r="A4279">
        <v>55337</v>
      </c>
      <c r="B4279" t="s">
        <v>13</v>
      </c>
      <c r="C4279">
        <v>2</v>
      </c>
      <c r="D4279" t="s">
        <v>15</v>
      </c>
      <c r="E4279" t="s">
        <v>15</v>
      </c>
      <c r="F4279" t="s">
        <v>15</v>
      </c>
      <c r="G4279" t="s">
        <v>20</v>
      </c>
      <c r="H4279" t="s">
        <v>23</v>
      </c>
      <c r="I4279">
        <v>126.12</v>
      </c>
      <c r="J4279">
        <v>24.8</v>
      </c>
      <c r="K4279" t="s">
        <v>27</v>
      </c>
      <c r="L4279" t="s">
        <v>15</v>
      </c>
    </row>
    <row r="4280" spans="1:12" x14ac:dyDescent="0.3">
      <c r="A4280">
        <v>23989</v>
      </c>
      <c r="B4280" t="s">
        <v>13</v>
      </c>
      <c r="C4280">
        <v>62</v>
      </c>
      <c r="D4280" t="s">
        <v>15</v>
      </c>
      <c r="E4280" t="s">
        <v>15</v>
      </c>
      <c r="F4280" t="s">
        <v>16</v>
      </c>
      <c r="G4280" t="s">
        <v>18</v>
      </c>
      <c r="H4280" t="s">
        <v>22</v>
      </c>
      <c r="I4280">
        <v>86.4</v>
      </c>
      <c r="J4280">
        <v>32.6</v>
      </c>
      <c r="K4280" t="s">
        <v>26</v>
      </c>
      <c r="L4280" t="s">
        <v>15</v>
      </c>
    </row>
    <row r="4281" spans="1:12" x14ac:dyDescent="0.3">
      <c r="A4281">
        <v>26025</v>
      </c>
      <c r="B4281" t="s">
        <v>13</v>
      </c>
      <c r="C4281">
        <v>45</v>
      </c>
      <c r="D4281" t="s">
        <v>15</v>
      </c>
      <c r="E4281" t="s">
        <v>15</v>
      </c>
      <c r="F4281" t="s">
        <v>16</v>
      </c>
      <c r="G4281" t="s">
        <v>19</v>
      </c>
      <c r="H4281" t="s">
        <v>22</v>
      </c>
      <c r="I4281">
        <v>103.22</v>
      </c>
      <c r="J4281">
        <v>20.5</v>
      </c>
      <c r="K4281" t="s">
        <v>25</v>
      </c>
      <c r="L4281" t="s">
        <v>15</v>
      </c>
    </row>
    <row r="4282" spans="1:12" x14ac:dyDescent="0.3">
      <c r="A4282">
        <v>67711</v>
      </c>
      <c r="B4282" t="s">
        <v>13</v>
      </c>
      <c r="C4282">
        <v>18</v>
      </c>
      <c r="D4282" t="s">
        <v>15</v>
      </c>
      <c r="E4282" t="s">
        <v>15</v>
      </c>
      <c r="F4282" t="s">
        <v>15</v>
      </c>
      <c r="G4282" t="s">
        <v>17</v>
      </c>
      <c r="H4282" t="s">
        <v>23</v>
      </c>
      <c r="I4282">
        <v>88.85</v>
      </c>
      <c r="J4282">
        <v>36.200000000000003</v>
      </c>
      <c r="K4282" t="s">
        <v>27</v>
      </c>
      <c r="L4282" t="s">
        <v>15</v>
      </c>
    </row>
    <row r="4283" spans="1:12" x14ac:dyDescent="0.3">
      <c r="A4283">
        <v>53105</v>
      </c>
      <c r="B4283" t="s">
        <v>13</v>
      </c>
      <c r="C4283">
        <v>29</v>
      </c>
      <c r="D4283" t="s">
        <v>15</v>
      </c>
      <c r="E4283" t="s">
        <v>15</v>
      </c>
      <c r="F4283" t="s">
        <v>16</v>
      </c>
      <c r="G4283" t="s">
        <v>17</v>
      </c>
      <c r="H4283" t="s">
        <v>22</v>
      </c>
      <c r="I4283">
        <v>63.9</v>
      </c>
      <c r="J4283">
        <v>45.4</v>
      </c>
      <c r="K4283" t="s">
        <v>26</v>
      </c>
      <c r="L4283" t="s">
        <v>15</v>
      </c>
    </row>
    <row r="4284" spans="1:12" x14ac:dyDescent="0.3">
      <c r="A4284">
        <v>10696</v>
      </c>
      <c r="B4284" t="s">
        <v>13</v>
      </c>
      <c r="C4284">
        <v>52</v>
      </c>
      <c r="D4284" t="s">
        <v>15</v>
      </c>
      <c r="E4284" t="s">
        <v>15</v>
      </c>
      <c r="F4284" t="s">
        <v>16</v>
      </c>
      <c r="G4284" t="s">
        <v>17</v>
      </c>
      <c r="H4284" t="s">
        <v>22</v>
      </c>
      <c r="I4284">
        <v>81.319999999999993</v>
      </c>
      <c r="J4284">
        <v>27.6</v>
      </c>
      <c r="K4284" t="s">
        <v>24</v>
      </c>
      <c r="L4284" t="s">
        <v>15</v>
      </c>
    </row>
    <row r="4285" spans="1:12" x14ac:dyDescent="0.3">
      <c r="A4285">
        <v>43656</v>
      </c>
      <c r="B4285" t="s">
        <v>12</v>
      </c>
      <c r="C4285">
        <v>59</v>
      </c>
      <c r="D4285" t="s">
        <v>16</v>
      </c>
      <c r="E4285" t="s">
        <v>15</v>
      </c>
      <c r="F4285" t="s">
        <v>16</v>
      </c>
      <c r="G4285" t="s">
        <v>19</v>
      </c>
      <c r="H4285" t="s">
        <v>23</v>
      </c>
      <c r="I4285">
        <v>253.93</v>
      </c>
      <c r="K4285" t="s">
        <v>24</v>
      </c>
      <c r="L4285" t="s">
        <v>15</v>
      </c>
    </row>
    <row r="4286" spans="1:12" x14ac:dyDescent="0.3">
      <c r="A4286">
        <v>52361</v>
      </c>
      <c r="B4286" t="s">
        <v>12</v>
      </c>
      <c r="C4286">
        <v>69</v>
      </c>
      <c r="D4286" t="s">
        <v>16</v>
      </c>
      <c r="E4286" t="s">
        <v>16</v>
      </c>
      <c r="F4286" t="s">
        <v>16</v>
      </c>
      <c r="G4286" t="s">
        <v>17</v>
      </c>
      <c r="H4286" t="s">
        <v>22</v>
      </c>
      <c r="I4286">
        <v>78.11</v>
      </c>
      <c r="J4286">
        <v>34.700000000000003</v>
      </c>
      <c r="K4286" t="s">
        <v>24</v>
      </c>
      <c r="L4286" t="s">
        <v>15</v>
      </c>
    </row>
    <row r="4287" spans="1:12" x14ac:dyDescent="0.3">
      <c r="A4287">
        <v>57343</v>
      </c>
      <c r="B4287" t="s">
        <v>13</v>
      </c>
      <c r="C4287">
        <v>71</v>
      </c>
      <c r="D4287" t="s">
        <v>15</v>
      </c>
      <c r="E4287" t="s">
        <v>15</v>
      </c>
      <c r="F4287" t="s">
        <v>16</v>
      </c>
      <c r="G4287" t="s">
        <v>17</v>
      </c>
      <c r="H4287" t="s">
        <v>22</v>
      </c>
      <c r="I4287">
        <v>134.65</v>
      </c>
      <c r="J4287">
        <v>32.4</v>
      </c>
      <c r="K4287" t="s">
        <v>27</v>
      </c>
      <c r="L4287" t="s">
        <v>15</v>
      </c>
    </row>
    <row r="4288" spans="1:12" x14ac:dyDescent="0.3">
      <c r="A4288">
        <v>23339</v>
      </c>
      <c r="B4288" t="s">
        <v>12</v>
      </c>
      <c r="C4288">
        <v>3</v>
      </c>
      <c r="D4288" t="s">
        <v>15</v>
      </c>
      <c r="E4288" t="s">
        <v>15</v>
      </c>
      <c r="F4288" t="s">
        <v>15</v>
      </c>
      <c r="G4288" t="s">
        <v>20</v>
      </c>
      <c r="H4288" t="s">
        <v>23</v>
      </c>
      <c r="I4288">
        <v>194.75</v>
      </c>
      <c r="K4288" t="s">
        <v>27</v>
      </c>
      <c r="L4288" t="s">
        <v>15</v>
      </c>
    </row>
    <row r="4289" spans="1:12" x14ac:dyDescent="0.3">
      <c r="A4289">
        <v>51408</v>
      </c>
      <c r="B4289" t="s">
        <v>12</v>
      </c>
      <c r="C4289">
        <v>33</v>
      </c>
      <c r="D4289" t="s">
        <v>15</v>
      </c>
      <c r="E4289" t="s">
        <v>15</v>
      </c>
      <c r="F4289" t="s">
        <v>16</v>
      </c>
      <c r="G4289" t="s">
        <v>19</v>
      </c>
      <c r="H4289" t="s">
        <v>23</v>
      </c>
      <c r="I4289">
        <v>77.94</v>
      </c>
      <c r="J4289">
        <v>28.7</v>
      </c>
      <c r="K4289" t="s">
        <v>25</v>
      </c>
      <c r="L4289" t="s">
        <v>15</v>
      </c>
    </row>
    <row r="4290" spans="1:12" x14ac:dyDescent="0.3">
      <c r="A4290">
        <v>47886</v>
      </c>
      <c r="B4290" t="s">
        <v>13</v>
      </c>
      <c r="C4290">
        <v>43</v>
      </c>
      <c r="D4290" t="s">
        <v>16</v>
      </c>
      <c r="E4290" t="s">
        <v>15</v>
      </c>
      <c r="F4290" t="s">
        <v>16</v>
      </c>
      <c r="G4290" t="s">
        <v>19</v>
      </c>
      <c r="H4290" t="s">
        <v>23</v>
      </c>
      <c r="I4290">
        <v>56.94</v>
      </c>
      <c r="J4290">
        <v>45.3</v>
      </c>
      <c r="K4290" t="s">
        <v>27</v>
      </c>
      <c r="L4290" t="s">
        <v>15</v>
      </c>
    </row>
    <row r="4291" spans="1:12" x14ac:dyDescent="0.3">
      <c r="A4291">
        <v>21407</v>
      </c>
      <c r="B4291" t="s">
        <v>12</v>
      </c>
      <c r="C4291">
        <v>39</v>
      </c>
      <c r="D4291" t="s">
        <v>15</v>
      </c>
      <c r="E4291" t="s">
        <v>15</v>
      </c>
      <c r="F4291" t="s">
        <v>16</v>
      </c>
      <c r="G4291" t="s">
        <v>17</v>
      </c>
      <c r="H4291" t="s">
        <v>23</v>
      </c>
      <c r="I4291">
        <v>117.03</v>
      </c>
      <c r="J4291">
        <v>40.299999999999997</v>
      </c>
      <c r="K4291" t="s">
        <v>24</v>
      </c>
      <c r="L4291" t="s">
        <v>15</v>
      </c>
    </row>
    <row r="4292" spans="1:12" x14ac:dyDescent="0.3">
      <c r="A4292">
        <v>34026</v>
      </c>
      <c r="B4292" t="s">
        <v>13</v>
      </c>
      <c r="C4292">
        <v>60</v>
      </c>
      <c r="D4292" t="s">
        <v>15</v>
      </c>
      <c r="E4292" t="s">
        <v>15</v>
      </c>
      <c r="F4292" t="s">
        <v>16</v>
      </c>
      <c r="G4292" t="s">
        <v>17</v>
      </c>
      <c r="H4292" t="s">
        <v>23</v>
      </c>
      <c r="I4292">
        <v>207.84</v>
      </c>
      <c r="J4292">
        <v>38.9</v>
      </c>
      <c r="K4292" t="s">
        <v>25</v>
      </c>
      <c r="L4292" t="s">
        <v>15</v>
      </c>
    </row>
    <row r="4293" spans="1:12" x14ac:dyDescent="0.3">
      <c r="A4293">
        <v>53004</v>
      </c>
      <c r="B4293" t="s">
        <v>13</v>
      </c>
      <c r="C4293">
        <v>54</v>
      </c>
      <c r="D4293" t="s">
        <v>15</v>
      </c>
      <c r="E4293" t="s">
        <v>15</v>
      </c>
      <c r="F4293" t="s">
        <v>16</v>
      </c>
      <c r="G4293" t="s">
        <v>19</v>
      </c>
      <c r="H4293" t="s">
        <v>23</v>
      </c>
      <c r="I4293">
        <v>228.26</v>
      </c>
      <c r="J4293">
        <v>46</v>
      </c>
      <c r="K4293" t="s">
        <v>25</v>
      </c>
      <c r="L4293" t="s">
        <v>15</v>
      </c>
    </row>
    <row r="4294" spans="1:12" x14ac:dyDescent="0.3">
      <c r="A4294">
        <v>18833</v>
      </c>
      <c r="B4294" t="s">
        <v>12</v>
      </c>
      <c r="C4294">
        <v>61</v>
      </c>
      <c r="D4294" t="s">
        <v>15</v>
      </c>
      <c r="E4294" t="s">
        <v>15</v>
      </c>
      <c r="F4294" t="s">
        <v>16</v>
      </c>
      <c r="G4294" t="s">
        <v>18</v>
      </c>
      <c r="H4294" t="s">
        <v>23</v>
      </c>
      <c r="I4294">
        <v>84.43</v>
      </c>
      <c r="J4294">
        <v>32.4</v>
      </c>
      <c r="K4294" t="s">
        <v>26</v>
      </c>
      <c r="L4294" t="s">
        <v>15</v>
      </c>
    </row>
    <row r="4295" spans="1:12" x14ac:dyDescent="0.3">
      <c r="A4295">
        <v>69222</v>
      </c>
      <c r="B4295" t="s">
        <v>12</v>
      </c>
      <c r="C4295">
        <v>0.24</v>
      </c>
      <c r="D4295" t="s">
        <v>15</v>
      </c>
      <c r="E4295" t="s">
        <v>15</v>
      </c>
      <c r="F4295" t="s">
        <v>15</v>
      </c>
      <c r="G4295" t="s">
        <v>20</v>
      </c>
      <c r="H4295" t="s">
        <v>22</v>
      </c>
      <c r="I4295">
        <v>57.09</v>
      </c>
      <c r="J4295">
        <v>19.399999999999999</v>
      </c>
      <c r="K4295" t="s">
        <v>27</v>
      </c>
      <c r="L4295" t="s">
        <v>15</v>
      </c>
    </row>
    <row r="4296" spans="1:12" x14ac:dyDescent="0.3">
      <c r="A4296">
        <v>32610</v>
      </c>
      <c r="B4296" t="s">
        <v>13</v>
      </c>
      <c r="C4296">
        <v>11</v>
      </c>
      <c r="D4296" t="s">
        <v>15</v>
      </c>
      <c r="E4296" t="s">
        <v>15</v>
      </c>
      <c r="F4296" t="s">
        <v>15</v>
      </c>
      <c r="G4296" t="s">
        <v>20</v>
      </c>
      <c r="H4296" t="s">
        <v>22</v>
      </c>
      <c r="I4296">
        <v>94.89</v>
      </c>
      <c r="J4296">
        <v>27.5</v>
      </c>
      <c r="K4296" t="s">
        <v>25</v>
      </c>
      <c r="L4296" t="s">
        <v>15</v>
      </c>
    </row>
    <row r="4297" spans="1:12" x14ac:dyDescent="0.3">
      <c r="A4297">
        <v>57645</v>
      </c>
      <c r="B4297" t="s">
        <v>13</v>
      </c>
      <c r="C4297">
        <v>75</v>
      </c>
      <c r="D4297" t="s">
        <v>15</v>
      </c>
      <c r="E4297" t="s">
        <v>15</v>
      </c>
      <c r="F4297" t="s">
        <v>16</v>
      </c>
      <c r="G4297" t="s">
        <v>19</v>
      </c>
      <c r="H4297" t="s">
        <v>23</v>
      </c>
      <c r="I4297">
        <v>132.46</v>
      </c>
      <c r="J4297">
        <v>26.2</v>
      </c>
      <c r="K4297" t="s">
        <v>27</v>
      </c>
      <c r="L4297" t="s">
        <v>15</v>
      </c>
    </row>
    <row r="4298" spans="1:12" x14ac:dyDescent="0.3">
      <c r="A4298">
        <v>21677</v>
      </c>
      <c r="B4298" t="s">
        <v>13</v>
      </c>
      <c r="C4298">
        <v>64</v>
      </c>
      <c r="D4298" t="s">
        <v>15</v>
      </c>
      <c r="E4298" t="s">
        <v>15</v>
      </c>
      <c r="F4298" t="s">
        <v>16</v>
      </c>
      <c r="G4298" t="s">
        <v>17</v>
      </c>
      <c r="H4298" t="s">
        <v>23</v>
      </c>
      <c r="I4298">
        <v>75.13</v>
      </c>
      <c r="J4298">
        <v>31.1</v>
      </c>
      <c r="K4298" t="s">
        <v>24</v>
      </c>
      <c r="L4298" t="s">
        <v>15</v>
      </c>
    </row>
    <row r="4299" spans="1:12" x14ac:dyDescent="0.3">
      <c r="A4299">
        <v>50410</v>
      </c>
      <c r="B4299" t="s">
        <v>13</v>
      </c>
      <c r="C4299">
        <v>78</v>
      </c>
      <c r="D4299" t="s">
        <v>15</v>
      </c>
      <c r="E4299" t="s">
        <v>15</v>
      </c>
      <c r="F4299" t="s">
        <v>15</v>
      </c>
      <c r="G4299" t="s">
        <v>19</v>
      </c>
      <c r="H4299" t="s">
        <v>23</v>
      </c>
      <c r="I4299">
        <v>76.64</v>
      </c>
      <c r="J4299">
        <v>34.6</v>
      </c>
      <c r="K4299" t="s">
        <v>25</v>
      </c>
      <c r="L4299" t="s">
        <v>15</v>
      </c>
    </row>
    <row r="4300" spans="1:12" x14ac:dyDescent="0.3">
      <c r="A4300">
        <v>25051</v>
      </c>
      <c r="B4300" t="s">
        <v>13</v>
      </c>
      <c r="C4300">
        <v>14</v>
      </c>
      <c r="D4300" t="s">
        <v>15</v>
      </c>
      <c r="E4300" t="s">
        <v>15</v>
      </c>
      <c r="F4300" t="s">
        <v>15</v>
      </c>
      <c r="G4300" t="s">
        <v>17</v>
      </c>
      <c r="H4300" t="s">
        <v>23</v>
      </c>
      <c r="I4300">
        <v>91.32</v>
      </c>
      <c r="J4300">
        <v>24.3</v>
      </c>
      <c r="K4300" t="s">
        <v>25</v>
      </c>
      <c r="L4300" t="s">
        <v>15</v>
      </c>
    </row>
    <row r="4301" spans="1:12" x14ac:dyDescent="0.3">
      <c r="A4301">
        <v>31642</v>
      </c>
      <c r="B4301" t="s">
        <v>13</v>
      </c>
      <c r="C4301">
        <v>66</v>
      </c>
      <c r="D4301" t="s">
        <v>15</v>
      </c>
      <c r="E4301" t="s">
        <v>15</v>
      </c>
      <c r="F4301" t="s">
        <v>16</v>
      </c>
      <c r="G4301" t="s">
        <v>18</v>
      </c>
      <c r="H4301" t="s">
        <v>23</v>
      </c>
      <c r="I4301">
        <v>85.9</v>
      </c>
      <c r="J4301">
        <v>34.6</v>
      </c>
      <c r="K4301" t="s">
        <v>25</v>
      </c>
      <c r="L4301" t="s">
        <v>15</v>
      </c>
    </row>
    <row r="4302" spans="1:12" x14ac:dyDescent="0.3">
      <c r="A4302">
        <v>60455</v>
      </c>
      <c r="B4302" t="s">
        <v>12</v>
      </c>
      <c r="C4302">
        <v>48</v>
      </c>
      <c r="D4302" t="s">
        <v>15</v>
      </c>
      <c r="E4302" t="s">
        <v>15</v>
      </c>
      <c r="F4302" t="s">
        <v>16</v>
      </c>
      <c r="G4302" t="s">
        <v>17</v>
      </c>
      <c r="H4302" t="s">
        <v>22</v>
      </c>
      <c r="I4302">
        <v>76.19</v>
      </c>
      <c r="J4302">
        <v>28.5</v>
      </c>
      <c r="K4302" t="s">
        <v>25</v>
      </c>
      <c r="L4302" t="s">
        <v>15</v>
      </c>
    </row>
    <row r="4303" spans="1:12" x14ac:dyDescent="0.3">
      <c r="A4303">
        <v>52172</v>
      </c>
      <c r="B4303" t="s">
        <v>13</v>
      </c>
      <c r="C4303">
        <v>44</v>
      </c>
      <c r="D4303" t="s">
        <v>15</v>
      </c>
      <c r="E4303" t="s">
        <v>15</v>
      </c>
      <c r="F4303" t="s">
        <v>16</v>
      </c>
      <c r="G4303" t="s">
        <v>17</v>
      </c>
      <c r="H4303" t="s">
        <v>23</v>
      </c>
      <c r="I4303">
        <v>85.77</v>
      </c>
      <c r="J4303">
        <v>32.1</v>
      </c>
      <c r="K4303" t="s">
        <v>27</v>
      </c>
      <c r="L4303" t="s">
        <v>15</v>
      </c>
    </row>
    <row r="4304" spans="1:12" x14ac:dyDescent="0.3">
      <c r="A4304">
        <v>69647</v>
      </c>
      <c r="B4304" t="s">
        <v>12</v>
      </c>
      <c r="C4304">
        <v>30</v>
      </c>
      <c r="D4304" t="s">
        <v>15</v>
      </c>
      <c r="E4304" t="s">
        <v>15</v>
      </c>
      <c r="F4304" t="s">
        <v>15</v>
      </c>
      <c r="G4304" t="s">
        <v>17</v>
      </c>
      <c r="H4304" t="s">
        <v>22</v>
      </c>
      <c r="I4304">
        <v>63.42</v>
      </c>
      <c r="J4304">
        <v>28</v>
      </c>
      <c r="K4304" t="s">
        <v>25</v>
      </c>
      <c r="L4304" t="s">
        <v>15</v>
      </c>
    </row>
    <row r="4305" spans="1:12" x14ac:dyDescent="0.3">
      <c r="A4305">
        <v>24972</v>
      </c>
      <c r="B4305" t="s">
        <v>12</v>
      </c>
      <c r="C4305">
        <v>1.48</v>
      </c>
      <c r="D4305" t="s">
        <v>15</v>
      </c>
      <c r="E4305" t="s">
        <v>15</v>
      </c>
      <c r="F4305" t="s">
        <v>15</v>
      </c>
      <c r="G4305" t="s">
        <v>20</v>
      </c>
      <c r="H4305" t="s">
        <v>23</v>
      </c>
      <c r="I4305">
        <v>112.02</v>
      </c>
      <c r="J4305">
        <v>20.9</v>
      </c>
      <c r="K4305" t="s">
        <v>27</v>
      </c>
      <c r="L4305" t="s">
        <v>15</v>
      </c>
    </row>
    <row r="4306" spans="1:12" x14ac:dyDescent="0.3">
      <c r="A4306">
        <v>13172</v>
      </c>
      <c r="B4306" t="s">
        <v>13</v>
      </c>
      <c r="C4306">
        <v>61</v>
      </c>
      <c r="D4306" t="s">
        <v>15</v>
      </c>
      <c r="E4306" t="s">
        <v>15</v>
      </c>
      <c r="F4306" t="s">
        <v>16</v>
      </c>
      <c r="G4306" t="s">
        <v>18</v>
      </c>
      <c r="H4306" t="s">
        <v>22</v>
      </c>
      <c r="I4306">
        <v>203.76</v>
      </c>
      <c r="J4306">
        <v>33.799999999999997</v>
      </c>
      <c r="K4306" t="s">
        <v>25</v>
      </c>
      <c r="L4306" t="s">
        <v>15</v>
      </c>
    </row>
    <row r="4307" spans="1:12" x14ac:dyDescent="0.3">
      <c r="A4307">
        <v>31911</v>
      </c>
      <c r="B4307" t="s">
        <v>13</v>
      </c>
      <c r="C4307">
        <v>54</v>
      </c>
      <c r="D4307" t="s">
        <v>15</v>
      </c>
      <c r="E4307" t="s">
        <v>15</v>
      </c>
      <c r="F4307" t="s">
        <v>16</v>
      </c>
      <c r="G4307" t="s">
        <v>19</v>
      </c>
      <c r="H4307" t="s">
        <v>22</v>
      </c>
      <c r="I4307">
        <v>98.44</v>
      </c>
      <c r="J4307">
        <v>25.8</v>
      </c>
      <c r="K4307" t="s">
        <v>24</v>
      </c>
      <c r="L4307" t="s">
        <v>15</v>
      </c>
    </row>
    <row r="4308" spans="1:12" x14ac:dyDescent="0.3">
      <c r="A4308">
        <v>34415</v>
      </c>
      <c r="B4308" t="s">
        <v>13</v>
      </c>
      <c r="C4308">
        <v>22</v>
      </c>
      <c r="D4308" t="s">
        <v>15</v>
      </c>
      <c r="E4308" t="s">
        <v>15</v>
      </c>
      <c r="F4308" t="s">
        <v>15</v>
      </c>
      <c r="G4308" t="s">
        <v>19</v>
      </c>
      <c r="H4308" t="s">
        <v>22</v>
      </c>
      <c r="I4308">
        <v>79.569999999999993</v>
      </c>
      <c r="J4308">
        <v>31.8</v>
      </c>
      <c r="K4308" t="s">
        <v>27</v>
      </c>
      <c r="L4308" t="s">
        <v>15</v>
      </c>
    </row>
    <row r="4309" spans="1:12" x14ac:dyDescent="0.3">
      <c r="A4309">
        <v>53219</v>
      </c>
      <c r="B4309" t="s">
        <v>12</v>
      </c>
      <c r="C4309">
        <v>47</v>
      </c>
      <c r="D4309" t="s">
        <v>15</v>
      </c>
      <c r="E4309" t="s">
        <v>15</v>
      </c>
      <c r="F4309" t="s">
        <v>16</v>
      </c>
      <c r="G4309" t="s">
        <v>17</v>
      </c>
      <c r="H4309" t="s">
        <v>22</v>
      </c>
      <c r="I4309">
        <v>63.98</v>
      </c>
      <c r="J4309">
        <v>26.8</v>
      </c>
      <c r="K4309" t="s">
        <v>26</v>
      </c>
      <c r="L4309" t="s">
        <v>15</v>
      </c>
    </row>
    <row r="4310" spans="1:12" x14ac:dyDescent="0.3">
      <c r="A4310">
        <v>7924</v>
      </c>
      <c r="B4310" t="s">
        <v>13</v>
      </c>
      <c r="C4310">
        <v>67</v>
      </c>
      <c r="D4310" t="s">
        <v>15</v>
      </c>
      <c r="E4310" t="s">
        <v>15</v>
      </c>
      <c r="F4310" t="s">
        <v>16</v>
      </c>
      <c r="G4310" t="s">
        <v>17</v>
      </c>
      <c r="H4310" t="s">
        <v>22</v>
      </c>
      <c r="I4310">
        <v>101.46</v>
      </c>
      <c r="J4310">
        <v>25.9</v>
      </c>
      <c r="K4310" t="s">
        <v>24</v>
      </c>
      <c r="L4310" t="s">
        <v>15</v>
      </c>
    </row>
    <row r="4311" spans="1:12" x14ac:dyDescent="0.3">
      <c r="A4311">
        <v>72491</v>
      </c>
      <c r="B4311" t="s">
        <v>12</v>
      </c>
      <c r="C4311">
        <v>53</v>
      </c>
      <c r="D4311" t="s">
        <v>15</v>
      </c>
      <c r="E4311" t="s">
        <v>15</v>
      </c>
      <c r="F4311" t="s">
        <v>16</v>
      </c>
      <c r="G4311" t="s">
        <v>17</v>
      </c>
      <c r="H4311" t="s">
        <v>22</v>
      </c>
      <c r="I4311">
        <v>74.66</v>
      </c>
      <c r="J4311">
        <v>29.2</v>
      </c>
      <c r="K4311" t="s">
        <v>26</v>
      </c>
      <c r="L4311" t="s">
        <v>15</v>
      </c>
    </row>
    <row r="4312" spans="1:12" x14ac:dyDescent="0.3">
      <c r="A4312">
        <v>59058</v>
      </c>
      <c r="B4312" t="s">
        <v>13</v>
      </c>
      <c r="C4312">
        <v>45</v>
      </c>
      <c r="D4312" t="s">
        <v>15</v>
      </c>
      <c r="E4312" t="s">
        <v>15</v>
      </c>
      <c r="F4312" t="s">
        <v>16</v>
      </c>
      <c r="G4312" t="s">
        <v>19</v>
      </c>
      <c r="H4312" t="s">
        <v>23</v>
      </c>
      <c r="I4312">
        <v>68.66</v>
      </c>
      <c r="J4312">
        <v>25.3</v>
      </c>
      <c r="K4312" t="s">
        <v>25</v>
      </c>
      <c r="L4312" t="s">
        <v>15</v>
      </c>
    </row>
    <row r="4313" spans="1:12" x14ac:dyDescent="0.3">
      <c r="A4313">
        <v>52619</v>
      </c>
      <c r="B4313" t="s">
        <v>13</v>
      </c>
      <c r="C4313">
        <v>65</v>
      </c>
      <c r="D4313" t="s">
        <v>15</v>
      </c>
      <c r="E4313" t="s">
        <v>15</v>
      </c>
      <c r="F4313" t="s">
        <v>16</v>
      </c>
      <c r="G4313" t="s">
        <v>17</v>
      </c>
      <c r="H4313" t="s">
        <v>23</v>
      </c>
      <c r="I4313">
        <v>205.78</v>
      </c>
      <c r="J4313">
        <v>41.7</v>
      </c>
      <c r="K4313" t="s">
        <v>25</v>
      </c>
      <c r="L4313" t="s">
        <v>15</v>
      </c>
    </row>
    <row r="4314" spans="1:12" x14ac:dyDescent="0.3">
      <c r="A4314">
        <v>36162</v>
      </c>
      <c r="B4314" t="s">
        <v>12</v>
      </c>
      <c r="C4314">
        <v>39</v>
      </c>
      <c r="D4314" t="s">
        <v>16</v>
      </c>
      <c r="E4314" t="s">
        <v>15</v>
      </c>
      <c r="F4314" t="s">
        <v>16</v>
      </c>
      <c r="G4314" t="s">
        <v>17</v>
      </c>
      <c r="H4314" t="s">
        <v>23</v>
      </c>
      <c r="I4314">
        <v>111.24</v>
      </c>
      <c r="J4314">
        <v>38.799999999999997</v>
      </c>
      <c r="K4314" t="s">
        <v>25</v>
      </c>
      <c r="L4314" t="s">
        <v>15</v>
      </c>
    </row>
    <row r="4315" spans="1:12" x14ac:dyDescent="0.3">
      <c r="A4315">
        <v>68371</v>
      </c>
      <c r="B4315" t="s">
        <v>12</v>
      </c>
      <c r="C4315">
        <v>57</v>
      </c>
      <c r="D4315" t="s">
        <v>15</v>
      </c>
      <c r="E4315" t="s">
        <v>15</v>
      </c>
      <c r="F4315" t="s">
        <v>16</v>
      </c>
      <c r="G4315" t="s">
        <v>17</v>
      </c>
      <c r="H4315" t="s">
        <v>22</v>
      </c>
      <c r="I4315">
        <v>134.76</v>
      </c>
      <c r="J4315">
        <v>29.1</v>
      </c>
      <c r="K4315" t="s">
        <v>27</v>
      </c>
      <c r="L4315" t="s">
        <v>15</v>
      </c>
    </row>
    <row r="4316" spans="1:12" x14ac:dyDescent="0.3">
      <c r="A4316">
        <v>21067</v>
      </c>
      <c r="B4316" t="s">
        <v>13</v>
      </c>
      <c r="C4316">
        <v>45</v>
      </c>
      <c r="D4316" t="s">
        <v>15</v>
      </c>
      <c r="E4316" t="s">
        <v>15</v>
      </c>
      <c r="F4316" t="s">
        <v>16</v>
      </c>
      <c r="G4316" t="s">
        <v>18</v>
      </c>
      <c r="H4316" t="s">
        <v>22</v>
      </c>
      <c r="I4316">
        <v>110.1</v>
      </c>
      <c r="J4316">
        <v>30.9</v>
      </c>
      <c r="K4316" t="s">
        <v>25</v>
      </c>
      <c r="L4316" t="s">
        <v>15</v>
      </c>
    </row>
    <row r="4317" spans="1:12" x14ac:dyDescent="0.3">
      <c r="A4317">
        <v>25718</v>
      </c>
      <c r="B4317" t="s">
        <v>13</v>
      </c>
      <c r="C4317">
        <v>28</v>
      </c>
      <c r="D4317" t="s">
        <v>15</v>
      </c>
      <c r="E4317" t="s">
        <v>15</v>
      </c>
      <c r="F4317" t="s">
        <v>16</v>
      </c>
      <c r="G4317" t="s">
        <v>17</v>
      </c>
      <c r="H4317" t="s">
        <v>22</v>
      </c>
      <c r="I4317">
        <v>100.8</v>
      </c>
      <c r="J4317">
        <v>39.299999999999997</v>
      </c>
      <c r="K4317" t="s">
        <v>24</v>
      </c>
      <c r="L4317" t="s">
        <v>15</v>
      </c>
    </row>
    <row r="4318" spans="1:12" x14ac:dyDescent="0.3">
      <c r="A4318">
        <v>24421</v>
      </c>
      <c r="B4318" t="s">
        <v>12</v>
      </c>
      <c r="C4318">
        <v>30</v>
      </c>
      <c r="D4318" t="s">
        <v>15</v>
      </c>
      <c r="E4318" t="s">
        <v>15</v>
      </c>
      <c r="F4318" t="s">
        <v>15</v>
      </c>
      <c r="G4318" t="s">
        <v>17</v>
      </c>
      <c r="H4318" t="s">
        <v>22</v>
      </c>
      <c r="I4318">
        <v>113.08</v>
      </c>
      <c r="J4318">
        <v>41.8</v>
      </c>
      <c r="K4318" t="s">
        <v>27</v>
      </c>
      <c r="L4318" t="s">
        <v>15</v>
      </c>
    </row>
    <row r="4319" spans="1:12" x14ac:dyDescent="0.3">
      <c r="A4319">
        <v>69528</v>
      </c>
      <c r="B4319" t="s">
        <v>13</v>
      </c>
      <c r="C4319">
        <v>31</v>
      </c>
      <c r="D4319" t="s">
        <v>15</v>
      </c>
      <c r="E4319" t="s">
        <v>15</v>
      </c>
      <c r="F4319" t="s">
        <v>16</v>
      </c>
      <c r="G4319" t="s">
        <v>17</v>
      </c>
      <c r="H4319" t="s">
        <v>22</v>
      </c>
      <c r="I4319">
        <v>56.48</v>
      </c>
      <c r="J4319">
        <v>26.2</v>
      </c>
      <c r="K4319" t="s">
        <v>24</v>
      </c>
      <c r="L4319" t="s">
        <v>15</v>
      </c>
    </row>
    <row r="4320" spans="1:12" x14ac:dyDescent="0.3">
      <c r="A4320">
        <v>56594</v>
      </c>
      <c r="B4320" t="s">
        <v>13</v>
      </c>
      <c r="C4320">
        <v>70</v>
      </c>
      <c r="D4320" t="s">
        <v>15</v>
      </c>
      <c r="E4320" t="s">
        <v>15</v>
      </c>
      <c r="F4320" t="s">
        <v>16</v>
      </c>
      <c r="G4320" t="s">
        <v>17</v>
      </c>
      <c r="H4320" t="s">
        <v>22</v>
      </c>
      <c r="I4320">
        <v>77.77</v>
      </c>
      <c r="J4320">
        <v>33.799999999999997</v>
      </c>
      <c r="K4320" t="s">
        <v>26</v>
      </c>
      <c r="L4320" t="s">
        <v>15</v>
      </c>
    </row>
    <row r="4321" spans="1:12" x14ac:dyDescent="0.3">
      <c r="A4321">
        <v>35095</v>
      </c>
      <c r="B4321" t="s">
        <v>13</v>
      </c>
      <c r="C4321">
        <v>17</v>
      </c>
      <c r="D4321" t="s">
        <v>15</v>
      </c>
      <c r="E4321" t="s">
        <v>15</v>
      </c>
      <c r="F4321" t="s">
        <v>15</v>
      </c>
      <c r="G4321" t="s">
        <v>17</v>
      </c>
      <c r="H4321" t="s">
        <v>22</v>
      </c>
      <c r="I4321">
        <v>104.02</v>
      </c>
      <c r="J4321">
        <v>26.1</v>
      </c>
      <c r="K4321" t="s">
        <v>27</v>
      </c>
      <c r="L4321" t="s">
        <v>15</v>
      </c>
    </row>
    <row r="4322" spans="1:12" x14ac:dyDescent="0.3">
      <c r="A4322">
        <v>30002</v>
      </c>
      <c r="B4322" t="s">
        <v>12</v>
      </c>
      <c r="C4322">
        <v>44</v>
      </c>
      <c r="D4322" t="s">
        <v>16</v>
      </c>
      <c r="E4322" t="s">
        <v>15</v>
      </c>
      <c r="F4322" t="s">
        <v>16</v>
      </c>
      <c r="G4322" t="s">
        <v>18</v>
      </c>
      <c r="H4322" t="s">
        <v>23</v>
      </c>
      <c r="I4322">
        <v>83.59</v>
      </c>
      <c r="J4322">
        <v>24.1</v>
      </c>
      <c r="K4322" t="s">
        <v>25</v>
      </c>
      <c r="L4322" t="s">
        <v>15</v>
      </c>
    </row>
    <row r="4323" spans="1:12" x14ac:dyDescent="0.3">
      <c r="A4323">
        <v>71143</v>
      </c>
      <c r="B4323" t="s">
        <v>12</v>
      </c>
      <c r="C4323">
        <v>65</v>
      </c>
      <c r="D4323" t="s">
        <v>15</v>
      </c>
      <c r="E4323" t="s">
        <v>15</v>
      </c>
      <c r="F4323" t="s">
        <v>16</v>
      </c>
      <c r="G4323" t="s">
        <v>18</v>
      </c>
      <c r="H4323" t="s">
        <v>22</v>
      </c>
      <c r="I4323">
        <v>179.67</v>
      </c>
      <c r="J4323">
        <v>30.7</v>
      </c>
      <c r="K4323" t="s">
        <v>24</v>
      </c>
      <c r="L4323" t="s">
        <v>15</v>
      </c>
    </row>
    <row r="4324" spans="1:12" x14ac:dyDescent="0.3">
      <c r="A4324">
        <v>32669</v>
      </c>
      <c r="B4324" t="s">
        <v>12</v>
      </c>
      <c r="C4324">
        <v>6</v>
      </c>
      <c r="D4324" t="s">
        <v>15</v>
      </c>
      <c r="E4324" t="s">
        <v>15</v>
      </c>
      <c r="F4324" t="s">
        <v>15</v>
      </c>
      <c r="G4324" t="s">
        <v>20</v>
      </c>
      <c r="H4324" t="s">
        <v>22</v>
      </c>
      <c r="I4324">
        <v>91.89</v>
      </c>
      <c r="J4324">
        <v>22.4</v>
      </c>
      <c r="K4324" t="s">
        <v>27</v>
      </c>
      <c r="L4324" t="s">
        <v>15</v>
      </c>
    </row>
    <row r="4325" spans="1:12" x14ac:dyDescent="0.3">
      <c r="A4325">
        <v>17174</v>
      </c>
      <c r="B4325" t="s">
        <v>12</v>
      </c>
      <c r="C4325">
        <v>15</v>
      </c>
      <c r="D4325" t="s">
        <v>15</v>
      </c>
      <c r="E4325" t="s">
        <v>15</v>
      </c>
      <c r="F4325" t="s">
        <v>15</v>
      </c>
      <c r="G4325" t="s">
        <v>20</v>
      </c>
      <c r="H4325" t="s">
        <v>23</v>
      </c>
      <c r="I4325">
        <v>78.900000000000006</v>
      </c>
      <c r="J4325">
        <v>23</v>
      </c>
      <c r="K4325" t="s">
        <v>27</v>
      </c>
      <c r="L4325" t="s">
        <v>15</v>
      </c>
    </row>
    <row r="4326" spans="1:12" x14ac:dyDescent="0.3">
      <c r="A4326">
        <v>2818</v>
      </c>
      <c r="B4326" t="s">
        <v>13</v>
      </c>
      <c r="C4326">
        <v>80</v>
      </c>
      <c r="D4326" t="s">
        <v>15</v>
      </c>
      <c r="E4326" t="s">
        <v>15</v>
      </c>
      <c r="F4326" t="s">
        <v>15</v>
      </c>
      <c r="G4326" t="s">
        <v>18</v>
      </c>
      <c r="H4326" t="s">
        <v>23</v>
      </c>
      <c r="I4326">
        <v>230.74</v>
      </c>
      <c r="J4326">
        <v>30.2</v>
      </c>
      <c r="K4326" t="s">
        <v>24</v>
      </c>
      <c r="L4326" t="s">
        <v>15</v>
      </c>
    </row>
    <row r="4327" spans="1:12" x14ac:dyDescent="0.3">
      <c r="A4327">
        <v>30650</v>
      </c>
      <c r="B4327" t="s">
        <v>12</v>
      </c>
      <c r="C4327">
        <v>54</v>
      </c>
      <c r="D4327" t="s">
        <v>15</v>
      </c>
      <c r="E4327" t="s">
        <v>15</v>
      </c>
      <c r="F4327" t="s">
        <v>16</v>
      </c>
      <c r="G4327" t="s">
        <v>19</v>
      </c>
      <c r="H4327" t="s">
        <v>23</v>
      </c>
      <c r="I4327">
        <v>216.19</v>
      </c>
      <c r="J4327">
        <v>30.3</v>
      </c>
      <c r="K4327" t="s">
        <v>24</v>
      </c>
      <c r="L4327" t="s">
        <v>15</v>
      </c>
    </row>
    <row r="4328" spans="1:12" x14ac:dyDescent="0.3">
      <c r="A4328">
        <v>3013</v>
      </c>
      <c r="B4328" t="s">
        <v>13</v>
      </c>
      <c r="C4328">
        <v>79</v>
      </c>
      <c r="D4328" t="s">
        <v>15</v>
      </c>
      <c r="E4328" t="s">
        <v>15</v>
      </c>
      <c r="F4328" t="s">
        <v>16</v>
      </c>
      <c r="G4328" t="s">
        <v>18</v>
      </c>
      <c r="H4328" t="s">
        <v>23</v>
      </c>
      <c r="I4328">
        <v>83.7</v>
      </c>
      <c r="J4328">
        <v>28.7</v>
      </c>
      <c r="K4328" t="s">
        <v>25</v>
      </c>
      <c r="L4328" t="s">
        <v>15</v>
      </c>
    </row>
    <row r="4329" spans="1:12" x14ac:dyDescent="0.3">
      <c r="A4329">
        <v>42806</v>
      </c>
      <c r="B4329" t="s">
        <v>13</v>
      </c>
      <c r="C4329">
        <v>60</v>
      </c>
      <c r="D4329" t="s">
        <v>16</v>
      </c>
      <c r="E4329" t="s">
        <v>15</v>
      </c>
      <c r="F4329" t="s">
        <v>16</v>
      </c>
      <c r="G4329" t="s">
        <v>17</v>
      </c>
      <c r="H4329" t="s">
        <v>23</v>
      </c>
      <c r="I4329">
        <v>200.66</v>
      </c>
      <c r="J4329">
        <v>36.299999999999997</v>
      </c>
      <c r="K4329" t="s">
        <v>26</v>
      </c>
      <c r="L4329" t="s">
        <v>15</v>
      </c>
    </row>
    <row r="4330" spans="1:12" x14ac:dyDescent="0.3">
      <c r="A4330">
        <v>6390</v>
      </c>
      <c r="B4330" t="s">
        <v>13</v>
      </c>
      <c r="C4330">
        <v>12</v>
      </c>
      <c r="D4330" t="s">
        <v>15</v>
      </c>
      <c r="E4330" t="s">
        <v>15</v>
      </c>
      <c r="F4330" t="s">
        <v>15</v>
      </c>
      <c r="G4330" t="s">
        <v>20</v>
      </c>
      <c r="H4330" t="s">
        <v>23</v>
      </c>
      <c r="I4330">
        <v>73.989999999999995</v>
      </c>
      <c r="J4330">
        <v>16.3</v>
      </c>
      <c r="K4330" t="s">
        <v>27</v>
      </c>
      <c r="L4330" t="s">
        <v>15</v>
      </c>
    </row>
    <row r="4331" spans="1:12" x14ac:dyDescent="0.3">
      <c r="A4331">
        <v>46647</v>
      </c>
      <c r="B4331" t="s">
        <v>13</v>
      </c>
      <c r="C4331">
        <v>36</v>
      </c>
      <c r="D4331" t="s">
        <v>15</v>
      </c>
      <c r="E4331" t="s">
        <v>15</v>
      </c>
      <c r="F4331" t="s">
        <v>15</v>
      </c>
      <c r="G4331" t="s">
        <v>17</v>
      </c>
      <c r="H4331" t="s">
        <v>22</v>
      </c>
      <c r="I4331">
        <v>228.5</v>
      </c>
      <c r="J4331">
        <v>34.5</v>
      </c>
      <c r="K4331" t="s">
        <v>25</v>
      </c>
      <c r="L4331" t="s">
        <v>15</v>
      </c>
    </row>
    <row r="4332" spans="1:12" x14ac:dyDescent="0.3">
      <c r="A4332">
        <v>6625</v>
      </c>
      <c r="B4332" t="s">
        <v>13</v>
      </c>
      <c r="C4332">
        <v>54</v>
      </c>
      <c r="D4332" t="s">
        <v>15</v>
      </c>
      <c r="E4332" t="s">
        <v>15</v>
      </c>
      <c r="F4332" t="s">
        <v>16</v>
      </c>
      <c r="G4332" t="s">
        <v>18</v>
      </c>
      <c r="H4332" t="s">
        <v>22</v>
      </c>
      <c r="I4332">
        <v>70.430000000000007</v>
      </c>
      <c r="J4332">
        <v>20.8</v>
      </c>
      <c r="K4332" t="s">
        <v>26</v>
      </c>
      <c r="L4332" t="s">
        <v>15</v>
      </c>
    </row>
    <row r="4333" spans="1:12" x14ac:dyDescent="0.3">
      <c r="A4333">
        <v>49605</v>
      </c>
      <c r="B4333" t="s">
        <v>12</v>
      </c>
      <c r="C4333">
        <v>63</v>
      </c>
      <c r="D4333" t="s">
        <v>15</v>
      </c>
      <c r="E4333" t="s">
        <v>15</v>
      </c>
      <c r="F4333" t="s">
        <v>16</v>
      </c>
      <c r="G4333" t="s">
        <v>17</v>
      </c>
      <c r="H4333" t="s">
        <v>22</v>
      </c>
      <c r="I4333">
        <v>74.39</v>
      </c>
      <c r="J4333">
        <v>31</v>
      </c>
      <c r="K4333" t="s">
        <v>24</v>
      </c>
      <c r="L4333" t="s">
        <v>15</v>
      </c>
    </row>
    <row r="4334" spans="1:12" x14ac:dyDescent="0.3">
      <c r="A4334">
        <v>72940</v>
      </c>
      <c r="B4334" t="s">
        <v>13</v>
      </c>
      <c r="C4334">
        <v>2</v>
      </c>
      <c r="D4334" t="s">
        <v>15</v>
      </c>
      <c r="E4334" t="s">
        <v>15</v>
      </c>
      <c r="F4334" t="s">
        <v>15</v>
      </c>
      <c r="G4334" t="s">
        <v>20</v>
      </c>
      <c r="H4334" t="s">
        <v>22</v>
      </c>
      <c r="I4334">
        <v>102.92</v>
      </c>
      <c r="J4334">
        <v>17.600000000000001</v>
      </c>
      <c r="K4334" t="s">
        <v>27</v>
      </c>
      <c r="L4334" t="s">
        <v>15</v>
      </c>
    </row>
    <row r="4335" spans="1:12" x14ac:dyDescent="0.3">
      <c r="A4335">
        <v>24783</v>
      </c>
      <c r="B4335" t="s">
        <v>13</v>
      </c>
      <c r="C4335">
        <v>28</v>
      </c>
      <c r="D4335" t="s">
        <v>15</v>
      </c>
      <c r="E4335" t="s">
        <v>15</v>
      </c>
      <c r="F4335" t="s">
        <v>15</v>
      </c>
      <c r="G4335" t="s">
        <v>17</v>
      </c>
      <c r="H4335" t="s">
        <v>22</v>
      </c>
      <c r="I4335">
        <v>87.91</v>
      </c>
      <c r="J4335">
        <v>22.7</v>
      </c>
      <c r="K4335" t="s">
        <v>24</v>
      </c>
      <c r="L4335" t="s">
        <v>15</v>
      </c>
    </row>
    <row r="4336" spans="1:12" x14ac:dyDescent="0.3">
      <c r="A4336">
        <v>22515</v>
      </c>
      <c r="B4336" t="s">
        <v>13</v>
      </c>
      <c r="C4336">
        <v>38</v>
      </c>
      <c r="D4336" t="s">
        <v>16</v>
      </c>
      <c r="E4336" t="s">
        <v>15</v>
      </c>
      <c r="F4336" t="s">
        <v>16</v>
      </c>
      <c r="G4336" t="s">
        <v>17</v>
      </c>
      <c r="H4336" t="s">
        <v>23</v>
      </c>
      <c r="I4336">
        <v>118.55</v>
      </c>
      <c r="J4336">
        <v>38.4</v>
      </c>
      <c r="K4336" t="s">
        <v>26</v>
      </c>
      <c r="L4336" t="s">
        <v>15</v>
      </c>
    </row>
    <row r="4337" spans="1:12" x14ac:dyDescent="0.3">
      <c r="A4337">
        <v>3700</v>
      </c>
      <c r="B4337" t="s">
        <v>12</v>
      </c>
      <c r="C4337">
        <v>37</v>
      </c>
      <c r="D4337" t="s">
        <v>15</v>
      </c>
      <c r="E4337" t="s">
        <v>15</v>
      </c>
      <c r="F4337" t="s">
        <v>16</v>
      </c>
      <c r="G4337" t="s">
        <v>17</v>
      </c>
      <c r="H4337" t="s">
        <v>22</v>
      </c>
      <c r="I4337">
        <v>232.29</v>
      </c>
      <c r="J4337">
        <v>40.799999999999997</v>
      </c>
      <c r="K4337" t="s">
        <v>26</v>
      </c>
      <c r="L4337" t="s">
        <v>15</v>
      </c>
    </row>
    <row r="4338" spans="1:12" x14ac:dyDescent="0.3">
      <c r="A4338">
        <v>53802</v>
      </c>
      <c r="B4338" t="s">
        <v>12</v>
      </c>
      <c r="C4338">
        <v>80</v>
      </c>
      <c r="D4338" t="s">
        <v>15</v>
      </c>
      <c r="E4338" t="s">
        <v>16</v>
      </c>
      <c r="F4338" t="s">
        <v>16</v>
      </c>
      <c r="G4338" t="s">
        <v>17</v>
      </c>
      <c r="H4338" t="s">
        <v>23</v>
      </c>
      <c r="I4338">
        <v>125.32</v>
      </c>
      <c r="J4338">
        <v>32.9</v>
      </c>
      <c r="K4338" t="s">
        <v>27</v>
      </c>
      <c r="L4338" t="s">
        <v>15</v>
      </c>
    </row>
    <row r="4339" spans="1:12" x14ac:dyDescent="0.3">
      <c r="A4339">
        <v>49955</v>
      </c>
      <c r="B4339" t="s">
        <v>12</v>
      </c>
      <c r="C4339">
        <v>43</v>
      </c>
      <c r="D4339" t="s">
        <v>15</v>
      </c>
      <c r="E4339" t="s">
        <v>15</v>
      </c>
      <c r="F4339" t="s">
        <v>15</v>
      </c>
      <c r="G4339" t="s">
        <v>17</v>
      </c>
      <c r="H4339" t="s">
        <v>22</v>
      </c>
      <c r="I4339">
        <v>78.98</v>
      </c>
      <c r="J4339">
        <v>31.3</v>
      </c>
      <c r="K4339" t="s">
        <v>24</v>
      </c>
      <c r="L4339" t="s">
        <v>15</v>
      </c>
    </row>
    <row r="4340" spans="1:12" x14ac:dyDescent="0.3">
      <c r="A4340">
        <v>2456</v>
      </c>
      <c r="B4340" t="s">
        <v>12</v>
      </c>
      <c r="C4340">
        <v>60</v>
      </c>
      <c r="D4340" t="s">
        <v>16</v>
      </c>
      <c r="E4340" t="s">
        <v>15</v>
      </c>
      <c r="F4340" t="s">
        <v>16</v>
      </c>
      <c r="G4340" t="s">
        <v>19</v>
      </c>
      <c r="H4340" t="s">
        <v>23</v>
      </c>
      <c r="I4340">
        <v>100.2</v>
      </c>
      <c r="J4340">
        <v>28.5</v>
      </c>
      <c r="K4340" t="s">
        <v>26</v>
      </c>
      <c r="L4340" t="s">
        <v>15</v>
      </c>
    </row>
    <row r="4341" spans="1:12" x14ac:dyDescent="0.3">
      <c r="A4341">
        <v>71515</v>
      </c>
      <c r="B4341" t="s">
        <v>13</v>
      </c>
      <c r="C4341">
        <v>66</v>
      </c>
      <c r="D4341" t="s">
        <v>15</v>
      </c>
      <c r="E4341" t="s">
        <v>15</v>
      </c>
      <c r="F4341" t="s">
        <v>16</v>
      </c>
      <c r="G4341" t="s">
        <v>17</v>
      </c>
      <c r="H4341" t="s">
        <v>23</v>
      </c>
      <c r="I4341">
        <v>200.91</v>
      </c>
      <c r="J4341">
        <v>27.6</v>
      </c>
      <c r="K4341" t="s">
        <v>25</v>
      </c>
      <c r="L4341" t="s">
        <v>15</v>
      </c>
    </row>
    <row r="4342" spans="1:12" x14ac:dyDescent="0.3">
      <c r="A4342">
        <v>44662</v>
      </c>
      <c r="B4342" t="s">
        <v>13</v>
      </c>
      <c r="C4342">
        <v>45</v>
      </c>
      <c r="D4342" t="s">
        <v>15</v>
      </c>
      <c r="E4342" t="s">
        <v>15</v>
      </c>
      <c r="F4342" t="s">
        <v>16</v>
      </c>
      <c r="G4342" t="s">
        <v>19</v>
      </c>
      <c r="H4342" t="s">
        <v>23</v>
      </c>
      <c r="I4342">
        <v>95.24</v>
      </c>
      <c r="J4342">
        <v>40.200000000000003</v>
      </c>
      <c r="K4342" t="s">
        <v>27</v>
      </c>
      <c r="L4342" t="s">
        <v>15</v>
      </c>
    </row>
    <row r="4343" spans="1:12" x14ac:dyDescent="0.3">
      <c r="A4343">
        <v>38661</v>
      </c>
      <c r="B4343" t="s">
        <v>13</v>
      </c>
      <c r="C4343">
        <v>29</v>
      </c>
      <c r="D4343" t="s">
        <v>15</v>
      </c>
      <c r="E4343" t="s">
        <v>15</v>
      </c>
      <c r="F4343" t="s">
        <v>15</v>
      </c>
      <c r="G4343" t="s">
        <v>17</v>
      </c>
      <c r="H4343" t="s">
        <v>22</v>
      </c>
      <c r="I4343">
        <v>56.64</v>
      </c>
      <c r="J4343">
        <v>24.7</v>
      </c>
      <c r="K4343" t="s">
        <v>25</v>
      </c>
      <c r="L4343" t="s">
        <v>15</v>
      </c>
    </row>
    <row r="4344" spans="1:12" x14ac:dyDescent="0.3">
      <c r="A4344">
        <v>15978</v>
      </c>
      <c r="B4344" t="s">
        <v>12</v>
      </c>
      <c r="C4344">
        <v>4</v>
      </c>
      <c r="D4344" t="s">
        <v>15</v>
      </c>
      <c r="E4344" t="s">
        <v>15</v>
      </c>
      <c r="F4344" t="s">
        <v>15</v>
      </c>
      <c r="G4344" t="s">
        <v>20</v>
      </c>
      <c r="H4344" t="s">
        <v>22</v>
      </c>
      <c r="I4344">
        <v>80.48</v>
      </c>
      <c r="J4344">
        <v>17.7</v>
      </c>
      <c r="K4344" t="s">
        <v>27</v>
      </c>
      <c r="L4344" t="s">
        <v>15</v>
      </c>
    </row>
    <row r="4345" spans="1:12" x14ac:dyDescent="0.3">
      <c r="A4345">
        <v>35210</v>
      </c>
      <c r="B4345" t="s">
        <v>13</v>
      </c>
      <c r="C4345">
        <v>48</v>
      </c>
      <c r="D4345" t="s">
        <v>15</v>
      </c>
      <c r="E4345" t="s">
        <v>15</v>
      </c>
      <c r="F4345" t="s">
        <v>16</v>
      </c>
      <c r="G4345" t="s">
        <v>17</v>
      </c>
      <c r="H4345" t="s">
        <v>22</v>
      </c>
      <c r="I4345">
        <v>112.96</v>
      </c>
      <c r="J4345">
        <v>25.4</v>
      </c>
      <c r="K4345" t="s">
        <v>25</v>
      </c>
      <c r="L4345" t="s">
        <v>15</v>
      </c>
    </row>
    <row r="4346" spans="1:12" x14ac:dyDescent="0.3">
      <c r="A4346">
        <v>49930</v>
      </c>
      <c r="B4346" t="s">
        <v>13</v>
      </c>
      <c r="C4346">
        <v>68</v>
      </c>
      <c r="D4346" t="s">
        <v>15</v>
      </c>
      <c r="E4346" t="s">
        <v>15</v>
      </c>
      <c r="F4346" t="s">
        <v>16</v>
      </c>
      <c r="G4346" t="s">
        <v>17</v>
      </c>
      <c r="H4346" t="s">
        <v>23</v>
      </c>
      <c r="I4346">
        <v>236.04</v>
      </c>
      <c r="J4346">
        <v>28.5</v>
      </c>
      <c r="K4346" t="s">
        <v>25</v>
      </c>
      <c r="L4346" t="s">
        <v>15</v>
      </c>
    </row>
    <row r="4347" spans="1:12" x14ac:dyDescent="0.3">
      <c r="A4347">
        <v>27789</v>
      </c>
      <c r="B4347" t="s">
        <v>13</v>
      </c>
      <c r="C4347">
        <v>57</v>
      </c>
      <c r="D4347" t="s">
        <v>15</v>
      </c>
      <c r="E4347" t="s">
        <v>15</v>
      </c>
      <c r="F4347" t="s">
        <v>16</v>
      </c>
      <c r="G4347" t="s">
        <v>17</v>
      </c>
      <c r="H4347" t="s">
        <v>22</v>
      </c>
      <c r="I4347">
        <v>73</v>
      </c>
      <c r="J4347">
        <v>26.2</v>
      </c>
      <c r="K4347" t="s">
        <v>25</v>
      </c>
      <c r="L4347" t="s">
        <v>15</v>
      </c>
    </row>
    <row r="4348" spans="1:12" x14ac:dyDescent="0.3">
      <c r="A4348">
        <v>45325</v>
      </c>
      <c r="B4348" t="s">
        <v>13</v>
      </c>
      <c r="C4348">
        <v>29</v>
      </c>
      <c r="D4348" t="s">
        <v>15</v>
      </c>
      <c r="E4348" t="s">
        <v>15</v>
      </c>
      <c r="F4348" t="s">
        <v>15</v>
      </c>
      <c r="G4348" t="s">
        <v>17</v>
      </c>
      <c r="H4348" t="s">
        <v>22</v>
      </c>
      <c r="I4348">
        <v>61.13</v>
      </c>
      <c r="J4348">
        <v>26</v>
      </c>
      <c r="K4348" t="s">
        <v>25</v>
      </c>
      <c r="L4348" t="s">
        <v>15</v>
      </c>
    </row>
    <row r="4349" spans="1:12" x14ac:dyDescent="0.3">
      <c r="A4349">
        <v>31092</v>
      </c>
      <c r="B4349" t="s">
        <v>13</v>
      </c>
      <c r="C4349">
        <v>30</v>
      </c>
      <c r="D4349" t="s">
        <v>15</v>
      </c>
      <c r="E4349" t="s">
        <v>15</v>
      </c>
      <c r="F4349" t="s">
        <v>16</v>
      </c>
      <c r="G4349" t="s">
        <v>17</v>
      </c>
      <c r="H4349" t="s">
        <v>22</v>
      </c>
      <c r="I4349">
        <v>88.56</v>
      </c>
      <c r="J4349">
        <v>45.3</v>
      </c>
      <c r="K4349" t="s">
        <v>25</v>
      </c>
      <c r="L4349" t="s">
        <v>15</v>
      </c>
    </row>
    <row r="4350" spans="1:12" x14ac:dyDescent="0.3">
      <c r="A4350">
        <v>40705</v>
      </c>
      <c r="B4350" t="s">
        <v>13</v>
      </c>
      <c r="C4350">
        <v>47</v>
      </c>
      <c r="D4350" t="s">
        <v>15</v>
      </c>
      <c r="E4350" t="s">
        <v>15</v>
      </c>
      <c r="F4350" t="s">
        <v>16</v>
      </c>
      <c r="G4350" t="s">
        <v>18</v>
      </c>
      <c r="H4350" t="s">
        <v>23</v>
      </c>
      <c r="I4350">
        <v>66.16</v>
      </c>
      <c r="J4350">
        <v>31.5</v>
      </c>
      <c r="K4350" t="s">
        <v>25</v>
      </c>
      <c r="L4350" t="s">
        <v>15</v>
      </c>
    </row>
    <row r="4351" spans="1:12" x14ac:dyDescent="0.3">
      <c r="A4351">
        <v>28513</v>
      </c>
      <c r="B4351" t="s">
        <v>13</v>
      </c>
      <c r="C4351">
        <v>73</v>
      </c>
      <c r="D4351" t="s">
        <v>15</v>
      </c>
      <c r="E4351" t="s">
        <v>15</v>
      </c>
      <c r="F4351" t="s">
        <v>16</v>
      </c>
      <c r="G4351" t="s">
        <v>17</v>
      </c>
      <c r="H4351" t="s">
        <v>23</v>
      </c>
      <c r="I4351">
        <v>88.98</v>
      </c>
      <c r="J4351">
        <v>20.6</v>
      </c>
      <c r="K4351" t="s">
        <v>26</v>
      </c>
      <c r="L4351" t="s">
        <v>15</v>
      </c>
    </row>
    <row r="4352" spans="1:12" x14ac:dyDescent="0.3">
      <c r="A4352">
        <v>12367</v>
      </c>
      <c r="B4352" t="s">
        <v>13</v>
      </c>
      <c r="C4352">
        <v>66</v>
      </c>
      <c r="D4352" t="s">
        <v>15</v>
      </c>
      <c r="E4352" t="s">
        <v>15</v>
      </c>
      <c r="F4352" t="s">
        <v>16</v>
      </c>
      <c r="G4352" t="s">
        <v>18</v>
      </c>
      <c r="H4352" t="s">
        <v>22</v>
      </c>
      <c r="I4352">
        <v>94.39</v>
      </c>
      <c r="J4352">
        <v>29.4</v>
      </c>
      <c r="K4352" t="s">
        <v>27</v>
      </c>
      <c r="L4352" t="s">
        <v>15</v>
      </c>
    </row>
    <row r="4353" spans="1:12" x14ac:dyDescent="0.3">
      <c r="A4353">
        <v>63915</v>
      </c>
      <c r="B4353" t="s">
        <v>13</v>
      </c>
      <c r="C4353">
        <v>39</v>
      </c>
      <c r="D4353" t="s">
        <v>15</v>
      </c>
      <c r="E4353" t="s">
        <v>15</v>
      </c>
      <c r="F4353" t="s">
        <v>16</v>
      </c>
      <c r="G4353" t="s">
        <v>17</v>
      </c>
      <c r="H4353" t="s">
        <v>22</v>
      </c>
      <c r="I4353">
        <v>87.39</v>
      </c>
      <c r="J4353">
        <v>57.9</v>
      </c>
      <c r="K4353" t="s">
        <v>25</v>
      </c>
      <c r="L4353" t="s">
        <v>15</v>
      </c>
    </row>
    <row r="4354" spans="1:12" x14ac:dyDescent="0.3">
      <c r="A4354">
        <v>10166</v>
      </c>
      <c r="B4354" t="s">
        <v>12</v>
      </c>
      <c r="C4354">
        <v>66</v>
      </c>
      <c r="D4354" t="s">
        <v>15</v>
      </c>
      <c r="E4354" t="s">
        <v>15</v>
      </c>
      <c r="F4354" t="s">
        <v>15</v>
      </c>
      <c r="G4354" t="s">
        <v>19</v>
      </c>
      <c r="H4354" t="s">
        <v>23</v>
      </c>
      <c r="I4354">
        <v>77.91</v>
      </c>
      <c r="J4354">
        <v>39.1</v>
      </c>
      <c r="K4354" t="s">
        <v>27</v>
      </c>
      <c r="L4354" t="s">
        <v>15</v>
      </c>
    </row>
    <row r="4355" spans="1:12" x14ac:dyDescent="0.3">
      <c r="A4355">
        <v>35999</v>
      </c>
      <c r="B4355" t="s">
        <v>13</v>
      </c>
      <c r="C4355">
        <v>52</v>
      </c>
      <c r="D4355" t="s">
        <v>15</v>
      </c>
      <c r="E4355" t="s">
        <v>15</v>
      </c>
      <c r="F4355" t="s">
        <v>16</v>
      </c>
      <c r="G4355" t="s">
        <v>17</v>
      </c>
      <c r="H4355" t="s">
        <v>22</v>
      </c>
      <c r="I4355">
        <v>86.85</v>
      </c>
      <c r="J4355">
        <v>23.8</v>
      </c>
      <c r="K4355" t="s">
        <v>24</v>
      </c>
      <c r="L4355" t="s">
        <v>15</v>
      </c>
    </row>
    <row r="4356" spans="1:12" x14ac:dyDescent="0.3">
      <c r="A4356">
        <v>8964</v>
      </c>
      <c r="B4356" t="s">
        <v>13</v>
      </c>
      <c r="C4356">
        <v>34</v>
      </c>
      <c r="D4356" t="s">
        <v>15</v>
      </c>
      <c r="E4356" t="s">
        <v>15</v>
      </c>
      <c r="F4356" t="s">
        <v>15</v>
      </c>
      <c r="G4356" t="s">
        <v>17</v>
      </c>
      <c r="H4356" t="s">
        <v>23</v>
      </c>
      <c r="I4356">
        <v>94.37</v>
      </c>
      <c r="J4356">
        <v>38.1</v>
      </c>
      <c r="K4356" t="s">
        <v>25</v>
      </c>
      <c r="L4356" t="s">
        <v>15</v>
      </c>
    </row>
    <row r="4357" spans="1:12" x14ac:dyDescent="0.3">
      <c r="A4357">
        <v>38207</v>
      </c>
      <c r="B4357" t="s">
        <v>13</v>
      </c>
      <c r="C4357">
        <v>79</v>
      </c>
      <c r="D4357" t="s">
        <v>16</v>
      </c>
      <c r="E4357" t="s">
        <v>15</v>
      </c>
      <c r="F4357" t="s">
        <v>16</v>
      </c>
      <c r="G4357" t="s">
        <v>18</v>
      </c>
      <c r="H4357" t="s">
        <v>23</v>
      </c>
      <c r="I4357">
        <v>76.64</v>
      </c>
      <c r="J4357">
        <v>19.5</v>
      </c>
      <c r="K4357" t="s">
        <v>25</v>
      </c>
      <c r="L4357" t="s">
        <v>15</v>
      </c>
    </row>
    <row r="4358" spans="1:12" x14ac:dyDescent="0.3">
      <c r="A4358">
        <v>52681</v>
      </c>
      <c r="B4358" t="s">
        <v>13</v>
      </c>
      <c r="C4358">
        <v>39</v>
      </c>
      <c r="D4358" t="s">
        <v>15</v>
      </c>
      <c r="E4358" t="s">
        <v>15</v>
      </c>
      <c r="F4358" t="s">
        <v>16</v>
      </c>
      <c r="G4358" t="s">
        <v>17</v>
      </c>
      <c r="H4358" t="s">
        <v>22</v>
      </c>
      <c r="I4358">
        <v>254.95</v>
      </c>
      <c r="J4358">
        <v>35.5</v>
      </c>
      <c r="K4358" t="s">
        <v>26</v>
      </c>
      <c r="L4358" t="s">
        <v>15</v>
      </c>
    </row>
    <row r="4359" spans="1:12" x14ac:dyDescent="0.3">
      <c r="A4359">
        <v>38980</v>
      </c>
      <c r="B4359" t="s">
        <v>12</v>
      </c>
      <c r="C4359">
        <v>61</v>
      </c>
      <c r="D4359" t="s">
        <v>15</v>
      </c>
      <c r="E4359" t="s">
        <v>15</v>
      </c>
      <c r="F4359" t="s">
        <v>16</v>
      </c>
      <c r="G4359" t="s">
        <v>19</v>
      </c>
      <c r="H4359" t="s">
        <v>22</v>
      </c>
      <c r="I4359">
        <v>107.33</v>
      </c>
      <c r="J4359">
        <v>26.4</v>
      </c>
      <c r="K4359" t="s">
        <v>24</v>
      </c>
      <c r="L4359" t="s">
        <v>15</v>
      </c>
    </row>
    <row r="4360" spans="1:12" x14ac:dyDescent="0.3">
      <c r="A4360">
        <v>33924</v>
      </c>
      <c r="B4360" t="s">
        <v>13</v>
      </c>
      <c r="C4360">
        <v>26</v>
      </c>
      <c r="D4360" t="s">
        <v>15</v>
      </c>
      <c r="E4360" t="s">
        <v>15</v>
      </c>
      <c r="F4360" t="s">
        <v>15</v>
      </c>
      <c r="G4360" t="s">
        <v>17</v>
      </c>
      <c r="H4360" t="s">
        <v>22</v>
      </c>
      <c r="I4360">
        <v>80.94</v>
      </c>
      <c r="J4360">
        <v>22.2</v>
      </c>
      <c r="K4360" t="s">
        <v>26</v>
      </c>
      <c r="L4360" t="s">
        <v>15</v>
      </c>
    </row>
    <row r="4361" spans="1:12" x14ac:dyDescent="0.3">
      <c r="A4361">
        <v>10135</v>
      </c>
      <c r="B4361" t="s">
        <v>13</v>
      </c>
      <c r="C4361">
        <v>37</v>
      </c>
      <c r="D4361" t="s">
        <v>15</v>
      </c>
      <c r="E4361" t="s">
        <v>15</v>
      </c>
      <c r="F4361" t="s">
        <v>15</v>
      </c>
      <c r="G4361" t="s">
        <v>17</v>
      </c>
      <c r="H4361" t="s">
        <v>23</v>
      </c>
      <c r="I4361">
        <v>112.02</v>
      </c>
      <c r="J4361">
        <v>29.1</v>
      </c>
      <c r="K4361" t="s">
        <v>27</v>
      </c>
      <c r="L4361" t="s">
        <v>15</v>
      </c>
    </row>
    <row r="4362" spans="1:12" x14ac:dyDescent="0.3">
      <c r="A4362">
        <v>46517</v>
      </c>
      <c r="B4362" t="s">
        <v>13</v>
      </c>
      <c r="C4362">
        <v>66</v>
      </c>
      <c r="D4362" t="s">
        <v>15</v>
      </c>
      <c r="E4362" t="s">
        <v>16</v>
      </c>
      <c r="F4362" t="s">
        <v>16</v>
      </c>
      <c r="G4362" t="s">
        <v>17</v>
      </c>
      <c r="H4362" t="s">
        <v>23</v>
      </c>
      <c r="I4362">
        <v>196.58</v>
      </c>
      <c r="J4362">
        <v>41.9</v>
      </c>
      <c r="K4362" t="s">
        <v>24</v>
      </c>
      <c r="L4362" t="s">
        <v>15</v>
      </c>
    </row>
    <row r="4363" spans="1:12" x14ac:dyDescent="0.3">
      <c r="A4363">
        <v>65966</v>
      </c>
      <c r="B4363" t="s">
        <v>13</v>
      </c>
      <c r="C4363">
        <v>16</v>
      </c>
      <c r="D4363" t="s">
        <v>15</v>
      </c>
      <c r="E4363" t="s">
        <v>15</v>
      </c>
      <c r="F4363" t="s">
        <v>15</v>
      </c>
      <c r="G4363" t="s">
        <v>17</v>
      </c>
      <c r="H4363" t="s">
        <v>22</v>
      </c>
      <c r="I4363">
        <v>89.14</v>
      </c>
      <c r="J4363">
        <v>22.6</v>
      </c>
      <c r="K4363" t="s">
        <v>24</v>
      </c>
      <c r="L4363" t="s">
        <v>15</v>
      </c>
    </row>
    <row r="4364" spans="1:12" x14ac:dyDescent="0.3">
      <c r="A4364">
        <v>56575</v>
      </c>
      <c r="B4364" t="s">
        <v>13</v>
      </c>
      <c r="C4364">
        <v>51</v>
      </c>
      <c r="D4364" t="s">
        <v>16</v>
      </c>
      <c r="E4364" t="s">
        <v>15</v>
      </c>
      <c r="F4364" t="s">
        <v>16</v>
      </c>
      <c r="G4364" t="s">
        <v>19</v>
      </c>
      <c r="H4364" t="s">
        <v>22</v>
      </c>
      <c r="I4364">
        <v>69.94</v>
      </c>
      <c r="J4364">
        <v>33.299999999999997</v>
      </c>
      <c r="K4364" t="s">
        <v>26</v>
      </c>
      <c r="L4364" t="s">
        <v>15</v>
      </c>
    </row>
    <row r="4365" spans="1:12" x14ac:dyDescent="0.3">
      <c r="A4365">
        <v>43138</v>
      </c>
      <c r="B4365" t="s">
        <v>12</v>
      </c>
      <c r="C4365">
        <v>15</v>
      </c>
      <c r="D4365" t="s">
        <v>15</v>
      </c>
      <c r="E4365" t="s">
        <v>15</v>
      </c>
      <c r="F4365" t="s">
        <v>15</v>
      </c>
      <c r="G4365" t="s">
        <v>17</v>
      </c>
      <c r="H4365" t="s">
        <v>22</v>
      </c>
      <c r="I4365">
        <v>55.79</v>
      </c>
      <c r="J4365">
        <v>21.3</v>
      </c>
      <c r="K4365" t="s">
        <v>25</v>
      </c>
      <c r="L4365" t="s">
        <v>15</v>
      </c>
    </row>
    <row r="4366" spans="1:12" x14ac:dyDescent="0.3">
      <c r="A4366">
        <v>36633</v>
      </c>
      <c r="B4366" t="s">
        <v>12</v>
      </c>
      <c r="C4366">
        <v>1.72</v>
      </c>
      <c r="D4366" t="s">
        <v>15</v>
      </c>
      <c r="E4366" t="s">
        <v>15</v>
      </c>
      <c r="F4366" t="s">
        <v>15</v>
      </c>
      <c r="G4366" t="s">
        <v>20</v>
      </c>
      <c r="H4366" t="s">
        <v>22</v>
      </c>
      <c r="I4366">
        <v>73.08</v>
      </c>
      <c r="J4366">
        <v>20.399999999999999</v>
      </c>
      <c r="K4366" t="s">
        <v>27</v>
      </c>
      <c r="L4366" t="s">
        <v>15</v>
      </c>
    </row>
    <row r="4367" spans="1:12" x14ac:dyDescent="0.3">
      <c r="A4367">
        <v>11632</v>
      </c>
      <c r="B4367" t="s">
        <v>12</v>
      </c>
      <c r="C4367">
        <v>60</v>
      </c>
      <c r="D4367" t="s">
        <v>15</v>
      </c>
      <c r="E4367" t="s">
        <v>15</v>
      </c>
      <c r="F4367" t="s">
        <v>16</v>
      </c>
      <c r="G4367" t="s">
        <v>17</v>
      </c>
      <c r="H4367" t="s">
        <v>22</v>
      </c>
      <c r="I4367">
        <v>96.02</v>
      </c>
      <c r="J4367">
        <v>28.7</v>
      </c>
      <c r="K4367" t="s">
        <v>27</v>
      </c>
      <c r="L4367" t="s">
        <v>15</v>
      </c>
    </row>
    <row r="4368" spans="1:12" x14ac:dyDescent="0.3">
      <c r="A4368">
        <v>31153</v>
      </c>
      <c r="B4368" t="s">
        <v>12</v>
      </c>
      <c r="C4368">
        <v>66</v>
      </c>
      <c r="D4368" t="s">
        <v>15</v>
      </c>
      <c r="E4368" t="s">
        <v>15</v>
      </c>
      <c r="F4368" t="s">
        <v>16</v>
      </c>
      <c r="G4368" t="s">
        <v>18</v>
      </c>
      <c r="H4368" t="s">
        <v>23</v>
      </c>
      <c r="I4368">
        <v>189.82</v>
      </c>
      <c r="J4368">
        <v>28.8</v>
      </c>
      <c r="K4368" t="s">
        <v>24</v>
      </c>
      <c r="L4368" t="s">
        <v>15</v>
      </c>
    </row>
    <row r="4369" spans="1:12" x14ac:dyDescent="0.3">
      <c r="A4369">
        <v>52247</v>
      </c>
      <c r="B4369" t="s">
        <v>13</v>
      </c>
      <c r="C4369">
        <v>75</v>
      </c>
      <c r="D4369" t="s">
        <v>15</v>
      </c>
      <c r="E4369" t="s">
        <v>15</v>
      </c>
      <c r="F4369" t="s">
        <v>16</v>
      </c>
      <c r="G4369" t="s">
        <v>19</v>
      </c>
      <c r="H4369" t="s">
        <v>22</v>
      </c>
      <c r="I4369">
        <v>89.68</v>
      </c>
      <c r="J4369">
        <v>38.700000000000003</v>
      </c>
      <c r="K4369" t="s">
        <v>25</v>
      </c>
      <c r="L4369" t="s">
        <v>15</v>
      </c>
    </row>
    <row r="4370" spans="1:12" x14ac:dyDescent="0.3">
      <c r="A4370">
        <v>61987</v>
      </c>
      <c r="B4370" t="s">
        <v>13</v>
      </c>
      <c r="C4370">
        <v>40</v>
      </c>
      <c r="D4370" t="s">
        <v>15</v>
      </c>
      <c r="E4370" t="s">
        <v>15</v>
      </c>
      <c r="F4370" t="s">
        <v>16</v>
      </c>
      <c r="G4370" t="s">
        <v>17</v>
      </c>
      <c r="H4370" t="s">
        <v>22</v>
      </c>
      <c r="I4370">
        <v>101.06</v>
      </c>
      <c r="J4370">
        <v>32.299999999999997</v>
      </c>
      <c r="K4370" t="s">
        <v>26</v>
      </c>
      <c r="L4370" t="s">
        <v>15</v>
      </c>
    </row>
    <row r="4371" spans="1:12" x14ac:dyDescent="0.3">
      <c r="A4371">
        <v>64416</v>
      </c>
      <c r="B4371" t="s">
        <v>13</v>
      </c>
      <c r="C4371">
        <v>52</v>
      </c>
      <c r="D4371" t="s">
        <v>15</v>
      </c>
      <c r="E4371" t="s">
        <v>15</v>
      </c>
      <c r="F4371" t="s">
        <v>16</v>
      </c>
      <c r="G4371" t="s">
        <v>19</v>
      </c>
      <c r="H4371" t="s">
        <v>23</v>
      </c>
      <c r="I4371">
        <v>62.66</v>
      </c>
      <c r="J4371">
        <v>37.9</v>
      </c>
      <c r="K4371" t="s">
        <v>27</v>
      </c>
      <c r="L4371" t="s">
        <v>15</v>
      </c>
    </row>
    <row r="4372" spans="1:12" x14ac:dyDescent="0.3">
      <c r="A4372">
        <v>31708</v>
      </c>
      <c r="B4372" t="s">
        <v>13</v>
      </c>
      <c r="C4372">
        <v>13</v>
      </c>
      <c r="D4372" t="s">
        <v>15</v>
      </c>
      <c r="E4372" t="s">
        <v>15</v>
      </c>
      <c r="F4372" t="s">
        <v>15</v>
      </c>
      <c r="G4372" t="s">
        <v>20</v>
      </c>
      <c r="H4372" t="s">
        <v>22</v>
      </c>
      <c r="I4372">
        <v>84.03</v>
      </c>
      <c r="J4372">
        <v>25.3</v>
      </c>
      <c r="K4372" t="s">
        <v>27</v>
      </c>
      <c r="L4372" t="s">
        <v>15</v>
      </c>
    </row>
    <row r="4373" spans="1:12" x14ac:dyDescent="0.3">
      <c r="A4373">
        <v>62296</v>
      </c>
      <c r="B4373" t="s">
        <v>13</v>
      </c>
      <c r="C4373">
        <v>44</v>
      </c>
      <c r="D4373" t="s">
        <v>15</v>
      </c>
      <c r="E4373" t="s">
        <v>15</v>
      </c>
      <c r="F4373" t="s">
        <v>16</v>
      </c>
      <c r="G4373" t="s">
        <v>19</v>
      </c>
      <c r="H4373" t="s">
        <v>23</v>
      </c>
      <c r="I4373">
        <v>108.38</v>
      </c>
      <c r="J4373">
        <v>27.7</v>
      </c>
      <c r="K4373" t="s">
        <v>27</v>
      </c>
      <c r="L4373" t="s">
        <v>15</v>
      </c>
    </row>
    <row r="4374" spans="1:12" x14ac:dyDescent="0.3">
      <c r="A4374">
        <v>53976</v>
      </c>
      <c r="B4374" t="s">
        <v>13</v>
      </c>
      <c r="C4374">
        <v>37</v>
      </c>
      <c r="D4374" t="s">
        <v>15</v>
      </c>
      <c r="E4374" t="s">
        <v>15</v>
      </c>
      <c r="F4374" t="s">
        <v>15</v>
      </c>
      <c r="G4374" t="s">
        <v>17</v>
      </c>
      <c r="H4374" t="s">
        <v>23</v>
      </c>
      <c r="I4374">
        <v>78.790000000000006</v>
      </c>
      <c r="J4374">
        <v>25.1</v>
      </c>
      <c r="K4374" t="s">
        <v>27</v>
      </c>
      <c r="L4374" t="s">
        <v>15</v>
      </c>
    </row>
    <row r="4375" spans="1:12" x14ac:dyDescent="0.3">
      <c r="A4375">
        <v>16446</v>
      </c>
      <c r="B4375" t="s">
        <v>12</v>
      </c>
      <c r="C4375">
        <v>2</v>
      </c>
      <c r="D4375" t="s">
        <v>15</v>
      </c>
      <c r="E4375" t="s">
        <v>15</v>
      </c>
      <c r="F4375" t="s">
        <v>15</v>
      </c>
      <c r="G4375" t="s">
        <v>20</v>
      </c>
      <c r="H4375" t="s">
        <v>23</v>
      </c>
      <c r="I4375">
        <v>76.12</v>
      </c>
      <c r="J4375">
        <v>16.8</v>
      </c>
      <c r="K4375" t="s">
        <v>27</v>
      </c>
      <c r="L4375" t="s">
        <v>15</v>
      </c>
    </row>
    <row r="4376" spans="1:12" x14ac:dyDescent="0.3">
      <c r="A4376">
        <v>51329</v>
      </c>
      <c r="B4376" t="s">
        <v>13</v>
      </c>
      <c r="C4376">
        <v>48</v>
      </c>
      <c r="D4376" t="s">
        <v>15</v>
      </c>
      <c r="E4376" t="s">
        <v>15</v>
      </c>
      <c r="F4376" t="s">
        <v>16</v>
      </c>
      <c r="G4376" t="s">
        <v>17</v>
      </c>
      <c r="H4376" t="s">
        <v>23</v>
      </c>
      <c r="I4376">
        <v>68.010000000000005</v>
      </c>
      <c r="J4376">
        <v>27.7</v>
      </c>
      <c r="K4376" t="s">
        <v>25</v>
      </c>
      <c r="L4376" t="s">
        <v>15</v>
      </c>
    </row>
    <row r="4377" spans="1:12" x14ac:dyDescent="0.3">
      <c r="A4377">
        <v>33560</v>
      </c>
      <c r="B4377" t="s">
        <v>13</v>
      </c>
      <c r="C4377">
        <v>81</v>
      </c>
      <c r="D4377" t="s">
        <v>15</v>
      </c>
      <c r="E4377" t="s">
        <v>16</v>
      </c>
      <c r="F4377" t="s">
        <v>16</v>
      </c>
      <c r="G4377" t="s">
        <v>19</v>
      </c>
      <c r="H4377" t="s">
        <v>22</v>
      </c>
      <c r="I4377">
        <v>90.11</v>
      </c>
      <c r="J4377">
        <v>28.6</v>
      </c>
      <c r="K4377" t="s">
        <v>25</v>
      </c>
      <c r="L4377" t="s">
        <v>15</v>
      </c>
    </row>
    <row r="4378" spans="1:12" x14ac:dyDescent="0.3">
      <c r="A4378">
        <v>37866</v>
      </c>
      <c r="B4378" t="s">
        <v>13</v>
      </c>
      <c r="C4378">
        <v>76</v>
      </c>
      <c r="D4378" t="s">
        <v>15</v>
      </c>
      <c r="E4378" t="s">
        <v>15</v>
      </c>
      <c r="F4378" t="s">
        <v>16</v>
      </c>
      <c r="G4378" t="s">
        <v>18</v>
      </c>
      <c r="H4378" t="s">
        <v>22</v>
      </c>
      <c r="I4378">
        <v>193.61</v>
      </c>
      <c r="J4378">
        <v>37.6</v>
      </c>
      <c r="K4378" t="s">
        <v>25</v>
      </c>
      <c r="L4378" t="s">
        <v>15</v>
      </c>
    </row>
    <row r="4379" spans="1:12" x14ac:dyDescent="0.3">
      <c r="A4379">
        <v>8553</v>
      </c>
      <c r="B4379" t="s">
        <v>13</v>
      </c>
      <c r="C4379">
        <v>58</v>
      </c>
      <c r="D4379" t="s">
        <v>15</v>
      </c>
      <c r="E4379" t="s">
        <v>15</v>
      </c>
      <c r="F4379" t="s">
        <v>16</v>
      </c>
      <c r="G4379" t="s">
        <v>19</v>
      </c>
      <c r="H4379" t="s">
        <v>23</v>
      </c>
      <c r="I4379">
        <v>195.74</v>
      </c>
      <c r="J4379">
        <v>32.700000000000003</v>
      </c>
      <c r="K4379" t="s">
        <v>27</v>
      </c>
      <c r="L4379" t="s">
        <v>15</v>
      </c>
    </row>
    <row r="4380" spans="1:12" x14ac:dyDescent="0.3">
      <c r="A4380">
        <v>5654</v>
      </c>
      <c r="B4380" t="s">
        <v>13</v>
      </c>
      <c r="C4380">
        <v>11</v>
      </c>
      <c r="D4380" t="s">
        <v>15</v>
      </c>
      <c r="E4380" t="s">
        <v>15</v>
      </c>
      <c r="F4380" t="s">
        <v>15</v>
      </c>
      <c r="G4380" t="s">
        <v>20</v>
      </c>
      <c r="H4380" t="s">
        <v>23</v>
      </c>
      <c r="I4380">
        <v>94.77</v>
      </c>
      <c r="J4380">
        <v>22.7</v>
      </c>
      <c r="K4380" t="s">
        <v>27</v>
      </c>
      <c r="L4380" t="s">
        <v>15</v>
      </c>
    </row>
    <row r="4381" spans="1:12" x14ac:dyDescent="0.3">
      <c r="A4381">
        <v>17238</v>
      </c>
      <c r="B4381" t="s">
        <v>13</v>
      </c>
      <c r="C4381">
        <v>9</v>
      </c>
      <c r="D4381" t="s">
        <v>15</v>
      </c>
      <c r="E4381" t="s">
        <v>15</v>
      </c>
      <c r="F4381" t="s">
        <v>15</v>
      </c>
      <c r="G4381" t="s">
        <v>20</v>
      </c>
      <c r="H4381" t="s">
        <v>22</v>
      </c>
      <c r="I4381">
        <v>85</v>
      </c>
      <c r="J4381">
        <v>16</v>
      </c>
      <c r="K4381" t="s">
        <v>27</v>
      </c>
      <c r="L4381" t="s">
        <v>15</v>
      </c>
    </row>
    <row r="4382" spans="1:12" x14ac:dyDescent="0.3">
      <c r="A4382">
        <v>45252</v>
      </c>
      <c r="B4382" t="s">
        <v>12</v>
      </c>
      <c r="C4382">
        <v>54</v>
      </c>
      <c r="D4382" t="s">
        <v>15</v>
      </c>
      <c r="E4382" t="s">
        <v>15</v>
      </c>
      <c r="F4382" t="s">
        <v>16</v>
      </c>
      <c r="G4382" t="s">
        <v>17</v>
      </c>
      <c r="H4382" t="s">
        <v>22</v>
      </c>
      <c r="I4382">
        <v>141.37</v>
      </c>
      <c r="J4382">
        <v>23.5</v>
      </c>
      <c r="K4382" t="s">
        <v>25</v>
      </c>
      <c r="L4382" t="s">
        <v>15</v>
      </c>
    </row>
    <row r="4383" spans="1:12" x14ac:dyDescent="0.3">
      <c r="A4383">
        <v>14444</v>
      </c>
      <c r="B4383" t="s">
        <v>13</v>
      </c>
      <c r="C4383">
        <v>37</v>
      </c>
      <c r="D4383" t="s">
        <v>15</v>
      </c>
      <c r="E4383" t="s">
        <v>15</v>
      </c>
      <c r="F4383" t="s">
        <v>15</v>
      </c>
      <c r="G4383" t="s">
        <v>18</v>
      </c>
      <c r="H4383" t="s">
        <v>22</v>
      </c>
      <c r="I4383">
        <v>90.71</v>
      </c>
      <c r="J4383">
        <v>45.8</v>
      </c>
      <c r="K4383" t="s">
        <v>27</v>
      </c>
      <c r="L4383" t="s">
        <v>15</v>
      </c>
    </row>
    <row r="4384" spans="1:12" x14ac:dyDescent="0.3">
      <c r="A4384">
        <v>46503</v>
      </c>
      <c r="B4384" t="s">
        <v>13</v>
      </c>
      <c r="C4384">
        <v>16</v>
      </c>
      <c r="D4384" t="s">
        <v>15</v>
      </c>
      <c r="E4384" t="s">
        <v>15</v>
      </c>
      <c r="F4384" t="s">
        <v>15</v>
      </c>
      <c r="G4384" t="s">
        <v>17</v>
      </c>
      <c r="H4384" t="s">
        <v>23</v>
      </c>
      <c r="I4384">
        <v>106.8</v>
      </c>
      <c r="J4384">
        <v>20.8</v>
      </c>
      <c r="K4384" t="s">
        <v>25</v>
      </c>
      <c r="L4384" t="s">
        <v>15</v>
      </c>
    </row>
    <row r="4385" spans="1:12" x14ac:dyDescent="0.3">
      <c r="A4385">
        <v>18578</v>
      </c>
      <c r="B4385" t="s">
        <v>12</v>
      </c>
      <c r="C4385">
        <v>11</v>
      </c>
      <c r="D4385" t="s">
        <v>15</v>
      </c>
      <c r="E4385" t="s">
        <v>15</v>
      </c>
      <c r="F4385" t="s">
        <v>15</v>
      </c>
      <c r="G4385" t="s">
        <v>20</v>
      </c>
      <c r="H4385" t="s">
        <v>23</v>
      </c>
      <c r="I4385">
        <v>121.66</v>
      </c>
      <c r="J4385">
        <v>16.7</v>
      </c>
      <c r="K4385" t="s">
        <v>27</v>
      </c>
      <c r="L4385" t="s">
        <v>15</v>
      </c>
    </row>
    <row r="4386" spans="1:12" x14ac:dyDescent="0.3">
      <c r="A4386">
        <v>917</v>
      </c>
      <c r="B4386" t="s">
        <v>13</v>
      </c>
      <c r="C4386">
        <v>32</v>
      </c>
      <c r="D4386" t="s">
        <v>15</v>
      </c>
      <c r="E4386" t="s">
        <v>15</v>
      </c>
      <c r="F4386" t="s">
        <v>16</v>
      </c>
      <c r="G4386" t="s">
        <v>17</v>
      </c>
      <c r="H4386" t="s">
        <v>22</v>
      </c>
      <c r="I4386">
        <v>85.18</v>
      </c>
      <c r="J4386">
        <v>22.2</v>
      </c>
      <c r="K4386" t="s">
        <v>26</v>
      </c>
      <c r="L4386" t="s">
        <v>15</v>
      </c>
    </row>
    <row r="4387" spans="1:12" x14ac:dyDescent="0.3">
      <c r="A4387">
        <v>60981</v>
      </c>
      <c r="B4387" t="s">
        <v>13</v>
      </c>
      <c r="C4387">
        <v>26</v>
      </c>
      <c r="D4387" t="s">
        <v>15</v>
      </c>
      <c r="E4387" t="s">
        <v>15</v>
      </c>
      <c r="F4387" t="s">
        <v>15</v>
      </c>
      <c r="G4387" t="s">
        <v>17</v>
      </c>
      <c r="H4387" t="s">
        <v>23</v>
      </c>
      <c r="I4387">
        <v>130.07</v>
      </c>
      <c r="J4387">
        <v>33.1</v>
      </c>
      <c r="K4387" t="s">
        <v>25</v>
      </c>
      <c r="L4387" t="s">
        <v>15</v>
      </c>
    </row>
    <row r="4388" spans="1:12" x14ac:dyDescent="0.3">
      <c r="A4388">
        <v>28873</v>
      </c>
      <c r="B4388" t="s">
        <v>13</v>
      </c>
      <c r="C4388">
        <v>21</v>
      </c>
      <c r="D4388" t="s">
        <v>15</v>
      </c>
      <c r="E4388" t="s">
        <v>15</v>
      </c>
      <c r="F4388" t="s">
        <v>15</v>
      </c>
      <c r="G4388" t="s">
        <v>17</v>
      </c>
      <c r="H4388" t="s">
        <v>23</v>
      </c>
      <c r="I4388">
        <v>74.239999999999995</v>
      </c>
      <c r="J4388">
        <v>32.700000000000003</v>
      </c>
      <c r="K4388" t="s">
        <v>25</v>
      </c>
      <c r="L4388" t="s">
        <v>15</v>
      </c>
    </row>
    <row r="4389" spans="1:12" x14ac:dyDescent="0.3">
      <c r="A4389">
        <v>25446</v>
      </c>
      <c r="B4389" t="s">
        <v>13</v>
      </c>
      <c r="C4389">
        <v>45</v>
      </c>
      <c r="D4389" t="s">
        <v>15</v>
      </c>
      <c r="E4389" t="s">
        <v>15</v>
      </c>
      <c r="F4389" t="s">
        <v>16</v>
      </c>
      <c r="G4389" t="s">
        <v>19</v>
      </c>
      <c r="H4389" t="s">
        <v>22</v>
      </c>
      <c r="I4389">
        <v>79.98</v>
      </c>
      <c r="J4389">
        <v>41.4</v>
      </c>
      <c r="K4389" t="s">
        <v>25</v>
      </c>
      <c r="L4389" t="s">
        <v>15</v>
      </c>
    </row>
    <row r="4390" spans="1:12" x14ac:dyDescent="0.3">
      <c r="A4390">
        <v>54127</v>
      </c>
      <c r="B4390" t="s">
        <v>13</v>
      </c>
      <c r="C4390">
        <v>40</v>
      </c>
      <c r="D4390" t="s">
        <v>15</v>
      </c>
      <c r="E4390" t="s">
        <v>15</v>
      </c>
      <c r="F4390" t="s">
        <v>16</v>
      </c>
      <c r="G4390" t="s">
        <v>18</v>
      </c>
      <c r="H4390" t="s">
        <v>22</v>
      </c>
      <c r="I4390">
        <v>106.76</v>
      </c>
      <c r="J4390">
        <v>24.1</v>
      </c>
      <c r="K4390" t="s">
        <v>24</v>
      </c>
      <c r="L4390" t="s">
        <v>15</v>
      </c>
    </row>
    <row r="4391" spans="1:12" x14ac:dyDescent="0.3">
      <c r="A4391">
        <v>63478</v>
      </c>
      <c r="B4391" t="s">
        <v>13</v>
      </c>
      <c r="C4391">
        <v>41</v>
      </c>
      <c r="D4391" t="s">
        <v>15</v>
      </c>
      <c r="E4391" t="s">
        <v>15</v>
      </c>
      <c r="F4391" t="s">
        <v>16</v>
      </c>
      <c r="G4391" t="s">
        <v>17</v>
      </c>
      <c r="H4391" t="s">
        <v>22</v>
      </c>
      <c r="I4391">
        <v>76.34</v>
      </c>
      <c r="J4391">
        <v>28</v>
      </c>
      <c r="K4391" t="s">
        <v>27</v>
      </c>
      <c r="L4391" t="s">
        <v>15</v>
      </c>
    </row>
    <row r="4392" spans="1:12" x14ac:dyDescent="0.3">
      <c r="A4392">
        <v>15464</v>
      </c>
      <c r="B4392" t="s">
        <v>13</v>
      </c>
      <c r="C4392">
        <v>71</v>
      </c>
      <c r="D4392" t="s">
        <v>16</v>
      </c>
      <c r="E4392" t="s">
        <v>16</v>
      </c>
      <c r="F4392" t="s">
        <v>16</v>
      </c>
      <c r="G4392" t="s">
        <v>17</v>
      </c>
      <c r="H4392" t="s">
        <v>23</v>
      </c>
      <c r="I4392">
        <v>221.24</v>
      </c>
      <c r="J4392">
        <v>24.2</v>
      </c>
      <c r="K4392" t="s">
        <v>27</v>
      </c>
      <c r="L4392" t="s">
        <v>15</v>
      </c>
    </row>
    <row r="4393" spans="1:12" x14ac:dyDescent="0.3">
      <c r="A4393">
        <v>63312</v>
      </c>
      <c r="B4393" t="s">
        <v>12</v>
      </c>
      <c r="C4393">
        <v>16</v>
      </c>
      <c r="D4393" t="s">
        <v>15</v>
      </c>
      <c r="E4393" t="s">
        <v>15</v>
      </c>
      <c r="F4393" t="s">
        <v>15</v>
      </c>
      <c r="G4393" t="s">
        <v>17</v>
      </c>
      <c r="H4393" t="s">
        <v>22</v>
      </c>
      <c r="I4393">
        <v>80.55</v>
      </c>
      <c r="J4393">
        <v>23.5</v>
      </c>
      <c r="K4393" t="s">
        <v>26</v>
      </c>
      <c r="L4393" t="s">
        <v>15</v>
      </c>
    </row>
    <row r="4394" spans="1:12" x14ac:dyDescent="0.3">
      <c r="A4394">
        <v>55681</v>
      </c>
      <c r="B4394" t="s">
        <v>13</v>
      </c>
      <c r="C4394">
        <v>7</v>
      </c>
      <c r="D4394" t="s">
        <v>15</v>
      </c>
      <c r="E4394" t="s">
        <v>15</v>
      </c>
      <c r="F4394" t="s">
        <v>15</v>
      </c>
      <c r="G4394" t="s">
        <v>20</v>
      </c>
      <c r="H4394" t="s">
        <v>23</v>
      </c>
      <c r="I4394">
        <v>63.98</v>
      </c>
      <c r="J4394">
        <v>23</v>
      </c>
      <c r="K4394" t="s">
        <v>27</v>
      </c>
      <c r="L4394" t="s">
        <v>15</v>
      </c>
    </row>
    <row r="4395" spans="1:12" x14ac:dyDescent="0.3">
      <c r="A4395">
        <v>63804</v>
      </c>
      <c r="B4395" t="s">
        <v>13</v>
      </c>
      <c r="C4395">
        <v>27</v>
      </c>
      <c r="D4395" t="s">
        <v>15</v>
      </c>
      <c r="E4395" t="s">
        <v>15</v>
      </c>
      <c r="F4395" t="s">
        <v>15</v>
      </c>
      <c r="G4395" t="s">
        <v>17</v>
      </c>
      <c r="H4395" t="s">
        <v>23</v>
      </c>
      <c r="I4395">
        <v>55.93</v>
      </c>
      <c r="J4395">
        <v>20.3</v>
      </c>
      <c r="K4395" t="s">
        <v>26</v>
      </c>
      <c r="L4395" t="s">
        <v>15</v>
      </c>
    </row>
    <row r="4396" spans="1:12" x14ac:dyDescent="0.3">
      <c r="A4396">
        <v>10321</v>
      </c>
      <c r="B4396" t="s">
        <v>13</v>
      </c>
      <c r="C4396">
        <v>22</v>
      </c>
      <c r="D4396" t="s">
        <v>15</v>
      </c>
      <c r="E4396" t="s">
        <v>15</v>
      </c>
      <c r="F4396" t="s">
        <v>16</v>
      </c>
      <c r="G4396" t="s">
        <v>17</v>
      </c>
      <c r="H4396" t="s">
        <v>23</v>
      </c>
      <c r="I4396">
        <v>73.94</v>
      </c>
      <c r="J4396">
        <v>24.8</v>
      </c>
      <c r="K4396" t="s">
        <v>27</v>
      </c>
      <c r="L4396" t="s">
        <v>15</v>
      </c>
    </row>
    <row r="4397" spans="1:12" x14ac:dyDescent="0.3">
      <c r="A4397">
        <v>56339</v>
      </c>
      <c r="B4397" t="s">
        <v>13</v>
      </c>
      <c r="C4397">
        <v>79</v>
      </c>
      <c r="D4397" t="s">
        <v>15</v>
      </c>
      <c r="E4397" t="s">
        <v>15</v>
      </c>
      <c r="F4397" t="s">
        <v>16</v>
      </c>
      <c r="G4397" t="s">
        <v>18</v>
      </c>
      <c r="H4397" t="s">
        <v>23</v>
      </c>
      <c r="I4397">
        <v>65.58</v>
      </c>
      <c r="J4397">
        <v>26.1</v>
      </c>
      <c r="K4397" t="s">
        <v>27</v>
      </c>
      <c r="L4397" t="s">
        <v>15</v>
      </c>
    </row>
    <row r="4398" spans="1:12" x14ac:dyDescent="0.3">
      <c r="A4398">
        <v>56277</v>
      </c>
      <c r="B4398" t="s">
        <v>13</v>
      </c>
      <c r="C4398">
        <v>38</v>
      </c>
      <c r="D4398" t="s">
        <v>15</v>
      </c>
      <c r="E4398" t="s">
        <v>15</v>
      </c>
      <c r="F4398" t="s">
        <v>16</v>
      </c>
      <c r="G4398" t="s">
        <v>17</v>
      </c>
      <c r="H4398" t="s">
        <v>23</v>
      </c>
      <c r="I4398">
        <v>83.8</v>
      </c>
      <c r="J4398">
        <v>24.2</v>
      </c>
      <c r="K4398" t="s">
        <v>26</v>
      </c>
      <c r="L4398" t="s">
        <v>15</v>
      </c>
    </row>
    <row r="4399" spans="1:12" x14ac:dyDescent="0.3">
      <c r="A4399">
        <v>33657</v>
      </c>
      <c r="B4399" t="s">
        <v>13</v>
      </c>
      <c r="C4399">
        <v>64</v>
      </c>
      <c r="D4399" t="s">
        <v>15</v>
      </c>
      <c r="E4399" t="s">
        <v>15</v>
      </c>
      <c r="F4399" t="s">
        <v>16</v>
      </c>
      <c r="G4399" t="s">
        <v>17</v>
      </c>
      <c r="H4399" t="s">
        <v>22</v>
      </c>
      <c r="I4399">
        <v>95.87</v>
      </c>
      <c r="J4399">
        <v>19.3</v>
      </c>
      <c r="K4399" t="s">
        <v>24</v>
      </c>
      <c r="L4399" t="s">
        <v>15</v>
      </c>
    </row>
    <row r="4400" spans="1:12" x14ac:dyDescent="0.3">
      <c r="A4400">
        <v>7054</v>
      </c>
      <c r="B4400" t="s">
        <v>12</v>
      </c>
      <c r="C4400">
        <v>4</v>
      </c>
      <c r="D4400" t="s">
        <v>15</v>
      </c>
      <c r="E4400" t="s">
        <v>15</v>
      </c>
      <c r="F4400" t="s">
        <v>15</v>
      </c>
      <c r="G4400" t="s">
        <v>20</v>
      </c>
      <c r="H4400" t="s">
        <v>23</v>
      </c>
      <c r="I4400">
        <v>112.83</v>
      </c>
      <c r="J4400">
        <v>18.2</v>
      </c>
      <c r="K4400" t="s">
        <v>27</v>
      </c>
      <c r="L4400" t="s">
        <v>15</v>
      </c>
    </row>
    <row r="4401" spans="1:12" x14ac:dyDescent="0.3">
      <c r="A4401">
        <v>72393</v>
      </c>
      <c r="B4401" t="s">
        <v>13</v>
      </c>
      <c r="C4401">
        <v>23</v>
      </c>
      <c r="D4401" t="s">
        <v>15</v>
      </c>
      <c r="E4401" t="s">
        <v>15</v>
      </c>
      <c r="F4401" t="s">
        <v>16</v>
      </c>
      <c r="G4401" t="s">
        <v>19</v>
      </c>
      <c r="H4401" t="s">
        <v>23</v>
      </c>
      <c r="I4401">
        <v>84.93</v>
      </c>
      <c r="J4401">
        <v>24.2</v>
      </c>
      <c r="K4401" t="s">
        <v>25</v>
      </c>
      <c r="L4401" t="s">
        <v>15</v>
      </c>
    </row>
    <row r="4402" spans="1:12" x14ac:dyDescent="0.3">
      <c r="A4402">
        <v>68059</v>
      </c>
      <c r="B4402" t="s">
        <v>12</v>
      </c>
      <c r="C4402">
        <v>35</v>
      </c>
      <c r="D4402" t="s">
        <v>15</v>
      </c>
      <c r="E4402" t="s">
        <v>15</v>
      </c>
      <c r="F4402" t="s">
        <v>16</v>
      </c>
      <c r="G4402" t="s">
        <v>19</v>
      </c>
      <c r="H4402" t="s">
        <v>23</v>
      </c>
      <c r="I4402">
        <v>103.08</v>
      </c>
      <c r="J4402">
        <v>41.5</v>
      </c>
      <c r="K4402" t="s">
        <v>26</v>
      </c>
      <c r="L4402" t="s">
        <v>15</v>
      </c>
    </row>
    <row r="4403" spans="1:12" x14ac:dyDescent="0.3">
      <c r="A4403">
        <v>14996</v>
      </c>
      <c r="B4403" t="s">
        <v>12</v>
      </c>
      <c r="C4403">
        <v>66</v>
      </c>
      <c r="D4403" t="s">
        <v>15</v>
      </c>
      <c r="E4403" t="s">
        <v>15</v>
      </c>
      <c r="F4403" t="s">
        <v>16</v>
      </c>
      <c r="G4403" t="s">
        <v>18</v>
      </c>
      <c r="H4403" t="s">
        <v>23</v>
      </c>
      <c r="I4403">
        <v>85.98</v>
      </c>
      <c r="J4403">
        <v>28</v>
      </c>
      <c r="K4403" t="s">
        <v>27</v>
      </c>
      <c r="L4403" t="s">
        <v>15</v>
      </c>
    </row>
    <row r="4404" spans="1:12" x14ac:dyDescent="0.3">
      <c r="A4404">
        <v>841</v>
      </c>
      <c r="B4404" t="s">
        <v>12</v>
      </c>
      <c r="C4404">
        <v>34</v>
      </c>
      <c r="D4404" t="s">
        <v>15</v>
      </c>
      <c r="E4404" t="s">
        <v>15</v>
      </c>
      <c r="F4404" t="s">
        <v>16</v>
      </c>
      <c r="G4404" t="s">
        <v>17</v>
      </c>
      <c r="H4404" t="s">
        <v>22</v>
      </c>
      <c r="I4404">
        <v>83.75</v>
      </c>
      <c r="J4404">
        <v>37</v>
      </c>
      <c r="K4404" t="s">
        <v>25</v>
      </c>
      <c r="L4404" t="s">
        <v>15</v>
      </c>
    </row>
    <row r="4405" spans="1:12" x14ac:dyDescent="0.3">
      <c r="A4405">
        <v>22880</v>
      </c>
      <c r="B4405" t="s">
        <v>13</v>
      </c>
      <c r="C4405">
        <v>19</v>
      </c>
      <c r="D4405" t="s">
        <v>15</v>
      </c>
      <c r="E4405" t="s">
        <v>15</v>
      </c>
      <c r="F4405" t="s">
        <v>15</v>
      </c>
      <c r="G4405" t="s">
        <v>17</v>
      </c>
      <c r="H4405" t="s">
        <v>22</v>
      </c>
      <c r="I4405">
        <v>125.43</v>
      </c>
      <c r="J4405">
        <v>32.200000000000003</v>
      </c>
      <c r="K4405" t="s">
        <v>27</v>
      </c>
      <c r="L4405" t="s">
        <v>15</v>
      </c>
    </row>
    <row r="4406" spans="1:12" x14ac:dyDescent="0.3">
      <c r="A4406">
        <v>1552</v>
      </c>
      <c r="B4406" t="s">
        <v>12</v>
      </c>
      <c r="C4406">
        <v>73</v>
      </c>
      <c r="D4406" t="s">
        <v>15</v>
      </c>
      <c r="E4406" t="s">
        <v>15</v>
      </c>
      <c r="F4406" t="s">
        <v>16</v>
      </c>
      <c r="G4406" t="s">
        <v>17</v>
      </c>
      <c r="H4406" t="s">
        <v>22</v>
      </c>
      <c r="I4406">
        <v>101.58</v>
      </c>
      <c r="J4406">
        <v>35.9</v>
      </c>
      <c r="K4406" t="s">
        <v>25</v>
      </c>
      <c r="L4406" t="s">
        <v>15</v>
      </c>
    </row>
    <row r="4407" spans="1:12" x14ac:dyDescent="0.3">
      <c r="A4407">
        <v>68853</v>
      </c>
      <c r="B4407" t="s">
        <v>13</v>
      </c>
      <c r="C4407">
        <v>70</v>
      </c>
      <c r="D4407" t="s">
        <v>15</v>
      </c>
      <c r="E4407" t="s">
        <v>15</v>
      </c>
      <c r="F4407" t="s">
        <v>16</v>
      </c>
      <c r="G4407" t="s">
        <v>17</v>
      </c>
      <c r="H4407" t="s">
        <v>23</v>
      </c>
      <c r="I4407">
        <v>149.80000000000001</v>
      </c>
      <c r="J4407">
        <v>47.6</v>
      </c>
      <c r="K4407" t="s">
        <v>27</v>
      </c>
      <c r="L4407" t="s">
        <v>15</v>
      </c>
    </row>
    <row r="4408" spans="1:12" x14ac:dyDescent="0.3">
      <c r="A4408">
        <v>49190</v>
      </c>
      <c r="B4408" t="s">
        <v>13</v>
      </c>
      <c r="C4408">
        <v>45</v>
      </c>
      <c r="D4408" t="s">
        <v>15</v>
      </c>
      <c r="E4408" t="s">
        <v>15</v>
      </c>
      <c r="F4408" t="s">
        <v>16</v>
      </c>
      <c r="G4408" t="s">
        <v>17</v>
      </c>
      <c r="H4408" t="s">
        <v>23</v>
      </c>
      <c r="I4408">
        <v>112.55</v>
      </c>
      <c r="J4408">
        <v>32.1</v>
      </c>
      <c r="K4408" t="s">
        <v>25</v>
      </c>
      <c r="L4408" t="s">
        <v>15</v>
      </c>
    </row>
    <row r="4409" spans="1:12" x14ac:dyDescent="0.3">
      <c r="A4409">
        <v>49277</v>
      </c>
      <c r="B4409" t="s">
        <v>13</v>
      </c>
      <c r="C4409">
        <v>34</v>
      </c>
      <c r="D4409" t="s">
        <v>15</v>
      </c>
      <c r="E4409" t="s">
        <v>15</v>
      </c>
      <c r="F4409" t="s">
        <v>15</v>
      </c>
      <c r="G4409" t="s">
        <v>17</v>
      </c>
      <c r="H4409" t="s">
        <v>22</v>
      </c>
      <c r="I4409">
        <v>70.87</v>
      </c>
      <c r="J4409">
        <v>55.7</v>
      </c>
      <c r="K4409" t="s">
        <v>24</v>
      </c>
      <c r="L4409" t="s">
        <v>15</v>
      </c>
    </row>
    <row r="4410" spans="1:12" x14ac:dyDescent="0.3">
      <c r="A4410">
        <v>711</v>
      </c>
      <c r="B4410" t="s">
        <v>12</v>
      </c>
      <c r="C4410">
        <v>81</v>
      </c>
      <c r="D4410" t="s">
        <v>15</v>
      </c>
      <c r="E4410" t="s">
        <v>15</v>
      </c>
      <c r="F4410" t="s">
        <v>16</v>
      </c>
      <c r="G4410" t="s">
        <v>17</v>
      </c>
      <c r="H4410" t="s">
        <v>23</v>
      </c>
      <c r="I4410">
        <v>92.96</v>
      </c>
      <c r="J4410">
        <v>22.2</v>
      </c>
      <c r="K4410" t="s">
        <v>25</v>
      </c>
      <c r="L4410" t="s">
        <v>15</v>
      </c>
    </row>
    <row r="4411" spans="1:12" x14ac:dyDescent="0.3">
      <c r="A4411">
        <v>1953</v>
      </c>
      <c r="B4411" t="s">
        <v>13</v>
      </c>
      <c r="C4411">
        <v>0.72</v>
      </c>
      <c r="D4411" t="s">
        <v>15</v>
      </c>
      <c r="E4411" t="s">
        <v>15</v>
      </c>
      <c r="F4411" t="s">
        <v>15</v>
      </c>
      <c r="G4411" t="s">
        <v>20</v>
      </c>
      <c r="H4411" t="s">
        <v>23</v>
      </c>
      <c r="I4411">
        <v>112.19</v>
      </c>
      <c r="J4411">
        <v>20.100000000000001</v>
      </c>
      <c r="K4411" t="s">
        <v>27</v>
      </c>
      <c r="L4411" t="s">
        <v>15</v>
      </c>
    </row>
    <row r="4412" spans="1:12" x14ac:dyDescent="0.3">
      <c r="A4412">
        <v>34900</v>
      </c>
      <c r="B4412" t="s">
        <v>12</v>
      </c>
      <c r="C4412">
        <v>13</v>
      </c>
      <c r="D4412" t="s">
        <v>15</v>
      </c>
      <c r="E4412" t="s">
        <v>15</v>
      </c>
      <c r="F4412" t="s">
        <v>15</v>
      </c>
      <c r="G4412" t="s">
        <v>21</v>
      </c>
      <c r="H4412" t="s">
        <v>22</v>
      </c>
      <c r="I4412">
        <v>85.08</v>
      </c>
      <c r="J4412">
        <v>14.6</v>
      </c>
      <c r="K4412" t="s">
        <v>27</v>
      </c>
      <c r="L4412" t="s">
        <v>15</v>
      </c>
    </row>
    <row r="4413" spans="1:12" x14ac:dyDescent="0.3">
      <c r="A4413">
        <v>13237</v>
      </c>
      <c r="B4413" t="s">
        <v>12</v>
      </c>
      <c r="C4413">
        <v>57</v>
      </c>
      <c r="D4413" t="s">
        <v>15</v>
      </c>
      <c r="E4413" t="s">
        <v>16</v>
      </c>
      <c r="F4413" t="s">
        <v>16</v>
      </c>
      <c r="G4413" t="s">
        <v>18</v>
      </c>
      <c r="H4413" t="s">
        <v>22</v>
      </c>
      <c r="I4413">
        <v>112.37</v>
      </c>
      <c r="J4413">
        <v>28.4</v>
      </c>
      <c r="K4413" t="s">
        <v>25</v>
      </c>
      <c r="L4413" t="s">
        <v>15</v>
      </c>
    </row>
    <row r="4414" spans="1:12" x14ac:dyDescent="0.3">
      <c r="A4414">
        <v>61684</v>
      </c>
      <c r="B4414" t="s">
        <v>13</v>
      </c>
      <c r="C4414">
        <v>38</v>
      </c>
      <c r="D4414" t="s">
        <v>15</v>
      </c>
      <c r="E4414" t="s">
        <v>15</v>
      </c>
      <c r="F4414" t="s">
        <v>16</v>
      </c>
      <c r="G4414" t="s">
        <v>17</v>
      </c>
      <c r="H4414" t="s">
        <v>22</v>
      </c>
      <c r="I4414">
        <v>151.26</v>
      </c>
      <c r="J4414">
        <v>20.6</v>
      </c>
      <c r="K4414" t="s">
        <v>25</v>
      </c>
      <c r="L4414" t="s">
        <v>15</v>
      </c>
    </row>
    <row r="4415" spans="1:12" x14ac:dyDescent="0.3">
      <c r="A4415">
        <v>28382</v>
      </c>
      <c r="B4415" t="s">
        <v>12</v>
      </c>
      <c r="C4415">
        <v>21</v>
      </c>
      <c r="D4415" t="s">
        <v>15</v>
      </c>
      <c r="E4415" t="s">
        <v>15</v>
      </c>
      <c r="F4415" t="s">
        <v>15</v>
      </c>
      <c r="G4415" t="s">
        <v>17</v>
      </c>
      <c r="H4415" t="s">
        <v>22</v>
      </c>
      <c r="I4415">
        <v>73.81</v>
      </c>
      <c r="J4415">
        <v>19.8</v>
      </c>
      <c r="K4415" t="s">
        <v>27</v>
      </c>
      <c r="L4415" t="s">
        <v>15</v>
      </c>
    </row>
    <row r="4416" spans="1:12" x14ac:dyDescent="0.3">
      <c r="A4416">
        <v>13768</v>
      </c>
      <c r="B4416" t="s">
        <v>13</v>
      </c>
      <c r="C4416">
        <v>38</v>
      </c>
      <c r="D4416" t="s">
        <v>15</v>
      </c>
      <c r="E4416" t="s">
        <v>15</v>
      </c>
      <c r="F4416" t="s">
        <v>16</v>
      </c>
      <c r="G4416" t="s">
        <v>17</v>
      </c>
      <c r="H4416" t="s">
        <v>22</v>
      </c>
      <c r="I4416">
        <v>77.2</v>
      </c>
      <c r="J4416">
        <v>23.4</v>
      </c>
      <c r="K4416" t="s">
        <v>27</v>
      </c>
      <c r="L4416" t="s">
        <v>15</v>
      </c>
    </row>
    <row r="4417" spans="1:12" x14ac:dyDescent="0.3">
      <c r="A4417">
        <v>32726</v>
      </c>
      <c r="B4417" t="s">
        <v>13</v>
      </c>
      <c r="C4417">
        <v>41</v>
      </c>
      <c r="D4417" t="s">
        <v>15</v>
      </c>
      <c r="E4417" t="s">
        <v>15</v>
      </c>
      <c r="F4417" t="s">
        <v>15</v>
      </c>
      <c r="G4417" t="s">
        <v>17</v>
      </c>
      <c r="H4417" t="s">
        <v>22</v>
      </c>
      <c r="I4417">
        <v>76.08</v>
      </c>
      <c r="J4417">
        <v>25.1</v>
      </c>
      <c r="K4417" t="s">
        <v>25</v>
      </c>
      <c r="L4417" t="s">
        <v>15</v>
      </c>
    </row>
    <row r="4418" spans="1:12" x14ac:dyDescent="0.3">
      <c r="A4418">
        <v>65729</v>
      </c>
      <c r="B4418" t="s">
        <v>13</v>
      </c>
      <c r="C4418">
        <v>26</v>
      </c>
      <c r="D4418" t="s">
        <v>15</v>
      </c>
      <c r="E4418" t="s">
        <v>15</v>
      </c>
      <c r="F4418" t="s">
        <v>16</v>
      </c>
      <c r="G4418" t="s">
        <v>17</v>
      </c>
      <c r="H4418" t="s">
        <v>23</v>
      </c>
      <c r="I4418">
        <v>123.98</v>
      </c>
      <c r="J4418">
        <v>30.1</v>
      </c>
      <c r="K4418" t="s">
        <v>25</v>
      </c>
      <c r="L4418" t="s">
        <v>15</v>
      </c>
    </row>
    <row r="4419" spans="1:12" x14ac:dyDescent="0.3">
      <c r="A4419">
        <v>6422</v>
      </c>
      <c r="B4419" t="s">
        <v>13</v>
      </c>
      <c r="C4419">
        <v>48</v>
      </c>
      <c r="D4419" t="s">
        <v>15</v>
      </c>
      <c r="E4419" t="s">
        <v>15</v>
      </c>
      <c r="F4419" t="s">
        <v>16</v>
      </c>
      <c r="G4419" t="s">
        <v>18</v>
      </c>
      <c r="H4419" t="s">
        <v>22</v>
      </c>
      <c r="I4419">
        <v>108.51</v>
      </c>
      <c r="J4419">
        <v>33.299999999999997</v>
      </c>
      <c r="K4419" t="s">
        <v>27</v>
      </c>
      <c r="L4419" t="s">
        <v>15</v>
      </c>
    </row>
    <row r="4420" spans="1:12" x14ac:dyDescent="0.3">
      <c r="A4420">
        <v>11382</v>
      </c>
      <c r="B4420" t="s">
        <v>12</v>
      </c>
      <c r="C4420">
        <v>18</v>
      </c>
      <c r="D4420" t="s">
        <v>15</v>
      </c>
      <c r="E4420" t="s">
        <v>15</v>
      </c>
      <c r="F4420" t="s">
        <v>15</v>
      </c>
      <c r="G4420" t="s">
        <v>17</v>
      </c>
      <c r="H4420" t="s">
        <v>23</v>
      </c>
      <c r="I4420">
        <v>98.07</v>
      </c>
      <c r="J4420">
        <v>24</v>
      </c>
      <c r="K4420" t="s">
        <v>25</v>
      </c>
      <c r="L4420" t="s">
        <v>15</v>
      </c>
    </row>
    <row r="4421" spans="1:12" x14ac:dyDescent="0.3">
      <c r="A4421">
        <v>31703</v>
      </c>
      <c r="B4421" t="s">
        <v>12</v>
      </c>
      <c r="C4421">
        <v>66</v>
      </c>
      <c r="D4421" t="s">
        <v>15</v>
      </c>
      <c r="E4421" t="s">
        <v>15</v>
      </c>
      <c r="F4421" t="s">
        <v>16</v>
      </c>
      <c r="G4421" t="s">
        <v>18</v>
      </c>
      <c r="H4421" t="s">
        <v>22</v>
      </c>
      <c r="I4421">
        <v>85.82</v>
      </c>
      <c r="J4421">
        <v>27.8</v>
      </c>
      <c r="K4421" t="s">
        <v>25</v>
      </c>
      <c r="L4421" t="s">
        <v>15</v>
      </c>
    </row>
    <row r="4422" spans="1:12" x14ac:dyDescent="0.3">
      <c r="A4422">
        <v>33439</v>
      </c>
      <c r="B4422" t="s">
        <v>13</v>
      </c>
      <c r="C4422">
        <v>27</v>
      </c>
      <c r="D4422" t="s">
        <v>15</v>
      </c>
      <c r="E4422" t="s">
        <v>15</v>
      </c>
      <c r="F4422" t="s">
        <v>15</v>
      </c>
      <c r="G4422" t="s">
        <v>17</v>
      </c>
      <c r="H4422" t="s">
        <v>23</v>
      </c>
      <c r="I4422">
        <v>86.21</v>
      </c>
      <c r="J4422">
        <v>21.4</v>
      </c>
      <c r="K4422" t="s">
        <v>27</v>
      </c>
      <c r="L4422" t="s">
        <v>15</v>
      </c>
    </row>
    <row r="4423" spans="1:12" x14ac:dyDescent="0.3">
      <c r="A4423">
        <v>5647</v>
      </c>
      <c r="B4423" t="s">
        <v>13</v>
      </c>
      <c r="C4423">
        <v>18</v>
      </c>
      <c r="D4423" t="s">
        <v>15</v>
      </c>
      <c r="E4423" t="s">
        <v>15</v>
      </c>
      <c r="F4423" t="s">
        <v>15</v>
      </c>
      <c r="G4423" t="s">
        <v>17</v>
      </c>
      <c r="H4423" t="s">
        <v>22</v>
      </c>
      <c r="I4423">
        <v>99.01</v>
      </c>
      <c r="J4423">
        <v>25.5</v>
      </c>
      <c r="K4423" t="s">
        <v>24</v>
      </c>
      <c r="L4423" t="s">
        <v>15</v>
      </c>
    </row>
    <row r="4424" spans="1:12" x14ac:dyDescent="0.3">
      <c r="A4424">
        <v>1847</v>
      </c>
      <c r="B4424" t="s">
        <v>13</v>
      </c>
      <c r="C4424">
        <v>20</v>
      </c>
      <c r="D4424" t="s">
        <v>15</v>
      </c>
      <c r="E4424" t="s">
        <v>15</v>
      </c>
      <c r="F4424" t="s">
        <v>15</v>
      </c>
      <c r="G4424" t="s">
        <v>19</v>
      </c>
      <c r="H4424" t="s">
        <v>23</v>
      </c>
      <c r="I4424">
        <v>79.53</v>
      </c>
      <c r="K4424" t="s">
        <v>25</v>
      </c>
      <c r="L4424" t="s">
        <v>15</v>
      </c>
    </row>
    <row r="4425" spans="1:12" x14ac:dyDescent="0.3">
      <c r="A4425">
        <v>12900</v>
      </c>
      <c r="B4425" t="s">
        <v>12</v>
      </c>
      <c r="C4425">
        <v>11</v>
      </c>
      <c r="D4425" t="s">
        <v>15</v>
      </c>
      <c r="E4425" t="s">
        <v>15</v>
      </c>
      <c r="F4425" t="s">
        <v>15</v>
      </c>
      <c r="G4425" t="s">
        <v>20</v>
      </c>
      <c r="H4425" t="s">
        <v>23</v>
      </c>
      <c r="I4425">
        <v>80.08</v>
      </c>
      <c r="J4425">
        <v>21.8</v>
      </c>
      <c r="K4425" t="s">
        <v>25</v>
      </c>
      <c r="L4425" t="s">
        <v>15</v>
      </c>
    </row>
    <row r="4426" spans="1:12" x14ac:dyDescent="0.3">
      <c r="A4426">
        <v>28367</v>
      </c>
      <c r="B4426" t="s">
        <v>13</v>
      </c>
      <c r="C4426">
        <v>7</v>
      </c>
      <c r="D4426" t="s">
        <v>15</v>
      </c>
      <c r="E4426" t="s">
        <v>15</v>
      </c>
      <c r="F4426" t="s">
        <v>15</v>
      </c>
      <c r="G4426" t="s">
        <v>20</v>
      </c>
      <c r="H4426" t="s">
        <v>23</v>
      </c>
      <c r="I4426">
        <v>69.47</v>
      </c>
      <c r="J4426">
        <v>18.899999999999999</v>
      </c>
      <c r="K4426" t="s">
        <v>27</v>
      </c>
      <c r="L4426" t="s">
        <v>15</v>
      </c>
    </row>
    <row r="4427" spans="1:12" x14ac:dyDescent="0.3">
      <c r="A4427">
        <v>71551</v>
      </c>
      <c r="B4427" t="s">
        <v>13</v>
      </c>
      <c r="C4427">
        <v>54</v>
      </c>
      <c r="D4427" t="s">
        <v>15</v>
      </c>
      <c r="E4427" t="s">
        <v>15</v>
      </c>
      <c r="F4427" t="s">
        <v>15</v>
      </c>
      <c r="G4427" t="s">
        <v>17</v>
      </c>
      <c r="H4427" t="s">
        <v>22</v>
      </c>
      <c r="I4427">
        <v>85.07</v>
      </c>
      <c r="J4427">
        <v>21.9</v>
      </c>
      <c r="K4427" t="s">
        <v>27</v>
      </c>
      <c r="L4427" t="s">
        <v>15</v>
      </c>
    </row>
    <row r="4428" spans="1:12" x14ac:dyDescent="0.3">
      <c r="A4428">
        <v>13846</v>
      </c>
      <c r="B4428" t="s">
        <v>12</v>
      </c>
      <c r="C4428">
        <v>43</v>
      </c>
      <c r="D4428" t="s">
        <v>15</v>
      </c>
      <c r="E4428" t="s">
        <v>15</v>
      </c>
      <c r="F4428" t="s">
        <v>16</v>
      </c>
      <c r="G4428" t="s">
        <v>19</v>
      </c>
      <c r="H4428" t="s">
        <v>23</v>
      </c>
      <c r="I4428">
        <v>88</v>
      </c>
      <c r="J4428">
        <v>30.6</v>
      </c>
      <c r="K4428" t="s">
        <v>25</v>
      </c>
      <c r="L4428" t="s">
        <v>15</v>
      </c>
    </row>
    <row r="4429" spans="1:12" x14ac:dyDescent="0.3">
      <c r="A4429">
        <v>61667</v>
      </c>
      <c r="B4429" t="s">
        <v>13</v>
      </c>
      <c r="C4429">
        <v>61</v>
      </c>
      <c r="D4429" t="s">
        <v>15</v>
      </c>
      <c r="E4429" t="s">
        <v>15</v>
      </c>
      <c r="F4429" t="s">
        <v>16</v>
      </c>
      <c r="G4429" t="s">
        <v>17</v>
      </c>
      <c r="H4429" t="s">
        <v>23</v>
      </c>
      <c r="I4429">
        <v>144.13999999999999</v>
      </c>
      <c r="J4429">
        <v>29.8</v>
      </c>
      <c r="K4429" t="s">
        <v>25</v>
      </c>
      <c r="L4429" t="s">
        <v>15</v>
      </c>
    </row>
    <row r="4430" spans="1:12" x14ac:dyDescent="0.3">
      <c r="A4430">
        <v>46079</v>
      </c>
      <c r="B4430" t="s">
        <v>12</v>
      </c>
      <c r="C4430">
        <v>31</v>
      </c>
      <c r="D4430" t="s">
        <v>15</v>
      </c>
      <c r="E4430" t="s">
        <v>15</v>
      </c>
      <c r="F4430" t="s">
        <v>15</v>
      </c>
      <c r="G4430" t="s">
        <v>17</v>
      </c>
      <c r="H4430" t="s">
        <v>22</v>
      </c>
      <c r="I4430">
        <v>78.8</v>
      </c>
      <c r="J4430">
        <v>28.7</v>
      </c>
      <c r="K4430" t="s">
        <v>26</v>
      </c>
      <c r="L4430" t="s">
        <v>15</v>
      </c>
    </row>
    <row r="4431" spans="1:12" x14ac:dyDescent="0.3">
      <c r="A4431">
        <v>7871</v>
      </c>
      <c r="B4431" t="s">
        <v>13</v>
      </c>
      <c r="C4431">
        <v>40</v>
      </c>
      <c r="D4431" t="s">
        <v>15</v>
      </c>
      <c r="E4431" t="s">
        <v>15</v>
      </c>
      <c r="F4431" t="s">
        <v>16</v>
      </c>
      <c r="G4431" t="s">
        <v>17</v>
      </c>
      <c r="H4431" t="s">
        <v>22</v>
      </c>
      <c r="I4431">
        <v>86.78</v>
      </c>
      <c r="J4431">
        <v>35.5</v>
      </c>
      <c r="K4431" t="s">
        <v>26</v>
      </c>
      <c r="L4431" t="s">
        <v>15</v>
      </c>
    </row>
    <row r="4432" spans="1:12" x14ac:dyDescent="0.3">
      <c r="A4432">
        <v>60964</v>
      </c>
      <c r="B4432" t="s">
        <v>13</v>
      </c>
      <c r="C4432">
        <v>71</v>
      </c>
      <c r="D4432" t="s">
        <v>16</v>
      </c>
      <c r="E4432" t="s">
        <v>15</v>
      </c>
      <c r="F4432" t="s">
        <v>16</v>
      </c>
      <c r="G4432" t="s">
        <v>19</v>
      </c>
      <c r="H4432" t="s">
        <v>23</v>
      </c>
      <c r="I4432">
        <v>105.72</v>
      </c>
      <c r="J4432">
        <v>29.1</v>
      </c>
      <c r="K4432" t="s">
        <v>24</v>
      </c>
      <c r="L4432" t="s">
        <v>15</v>
      </c>
    </row>
    <row r="4433" spans="1:12" x14ac:dyDescent="0.3">
      <c r="A4433">
        <v>72562</v>
      </c>
      <c r="B4433" t="s">
        <v>13</v>
      </c>
      <c r="C4433">
        <v>57</v>
      </c>
      <c r="D4433" t="s">
        <v>15</v>
      </c>
      <c r="E4433" t="s">
        <v>15</v>
      </c>
      <c r="F4433" t="s">
        <v>16</v>
      </c>
      <c r="G4433" t="s">
        <v>17</v>
      </c>
      <c r="H4433" t="s">
        <v>23</v>
      </c>
      <c r="I4433">
        <v>64.37</v>
      </c>
      <c r="J4433">
        <v>32.799999999999997</v>
      </c>
      <c r="K4433" t="s">
        <v>25</v>
      </c>
      <c r="L4433" t="s">
        <v>15</v>
      </c>
    </row>
    <row r="4434" spans="1:12" x14ac:dyDescent="0.3">
      <c r="A4434">
        <v>63773</v>
      </c>
      <c r="B4434" t="s">
        <v>13</v>
      </c>
      <c r="C4434">
        <v>13</v>
      </c>
      <c r="D4434" t="s">
        <v>15</v>
      </c>
      <c r="E4434" t="s">
        <v>15</v>
      </c>
      <c r="F4434" t="s">
        <v>15</v>
      </c>
      <c r="G4434" t="s">
        <v>20</v>
      </c>
      <c r="H4434" t="s">
        <v>23</v>
      </c>
      <c r="I4434">
        <v>146.1</v>
      </c>
      <c r="J4434">
        <v>22.8</v>
      </c>
      <c r="K4434" t="s">
        <v>25</v>
      </c>
      <c r="L4434" t="s">
        <v>15</v>
      </c>
    </row>
    <row r="4435" spans="1:12" x14ac:dyDescent="0.3">
      <c r="A4435">
        <v>53998</v>
      </c>
      <c r="B4435" t="s">
        <v>13</v>
      </c>
      <c r="C4435">
        <v>21</v>
      </c>
      <c r="D4435" t="s">
        <v>15</v>
      </c>
      <c r="E4435" t="s">
        <v>15</v>
      </c>
      <c r="F4435" t="s">
        <v>15</v>
      </c>
      <c r="G4435" t="s">
        <v>17</v>
      </c>
      <c r="H4435" t="s">
        <v>22</v>
      </c>
      <c r="I4435">
        <v>58.66</v>
      </c>
      <c r="J4435">
        <v>31.3</v>
      </c>
      <c r="K4435" t="s">
        <v>25</v>
      </c>
      <c r="L4435" t="s">
        <v>15</v>
      </c>
    </row>
    <row r="4436" spans="1:12" x14ac:dyDescent="0.3">
      <c r="A4436">
        <v>16617</v>
      </c>
      <c r="B4436" t="s">
        <v>13</v>
      </c>
      <c r="C4436">
        <v>63</v>
      </c>
      <c r="D4436" t="s">
        <v>16</v>
      </c>
      <c r="E4436" t="s">
        <v>15</v>
      </c>
      <c r="F4436" t="s">
        <v>16</v>
      </c>
      <c r="G4436" t="s">
        <v>19</v>
      </c>
      <c r="H4436" t="s">
        <v>22</v>
      </c>
      <c r="I4436">
        <v>192.5</v>
      </c>
      <c r="J4436">
        <v>29</v>
      </c>
      <c r="K4436" t="s">
        <v>25</v>
      </c>
      <c r="L4436" t="s">
        <v>15</v>
      </c>
    </row>
    <row r="4437" spans="1:12" x14ac:dyDescent="0.3">
      <c r="A4437">
        <v>54117</v>
      </c>
      <c r="B4437" t="s">
        <v>12</v>
      </c>
      <c r="C4437">
        <v>7</v>
      </c>
      <c r="D4437" t="s">
        <v>15</v>
      </c>
      <c r="E4437" t="s">
        <v>15</v>
      </c>
      <c r="F4437" t="s">
        <v>15</v>
      </c>
      <c r="G4437" t="s">
        <v>20</v>
      </c>
      <c r="H4437" t="s">
        <v>23</v>
      </c>
      <c r="I4437">
        <v>103.5</v>
      </c>
      <c r="J4437">
        <v>19</v>
      </c>
      <c r="K4437" t="s">
        <v>27</v>
      </c>
      <c r="L4437" t="s">
        <v>15</v>
      </c>
    </row>
    <row r="4438" spans="1:12" x14ac:dyDescent="0.3">
      <c r="A4438">
        <v>5987</v>
      </c>
      <c r="B4438" t="s">
        <v>13</v>
      </c>
      <c r="C4438">
        <v>78</v>
      </c>
      <c r="D4438" t="s">
        <v>15</v>
      </c>
      <c r="E4438" t="s">
        <v>15</v>
      </c>
      <c r="F4438" t="s">
        <v>16</v>
      </c>
      <c r="G4438" t="s">
        <v>17</v>
      </c>
      <c r="H4438" t="s">
        <v>22</v>
      </c>
      <c r="I4438">
        <v>89.42</v>
      </c>
      <c r="J4438">
        <v>24.1</v>
      </c>
      <c r="K4438" t="s">
        <v>25</v>
      </c>
      <c r="L4438" t="s">
        <v>15</v>
      </c>
    </row>
    <row r="4439" spans="1:12" x14ac:dyDescent="0.3">
      <c r="A4439">
        <v>72215</v>
      </c>
      <c r="B4439" t="s">
        <v>13</v>
      </c>
      <c r="C4439">
        <v>66</v>
      </c>
      <c r="D4439" t="s">
        <v>15</v>
      </c>
      <c r="E4439" t="s">
        <v>15</v>
      </c>
      <c r="F4439" t="s">
        <v>16</v>
      </c>
      <c r="G4439" t="s">
        <v>18</v>
      </c>
      <c r="H4439" t="s">
        <v>23</v>
      </c>
      <c r="I4439">
        <v>212.92</v>
      </c>
      <c r="J4439">
        <v>21.4</v>
      </c>
      <c r="K4439" t="s">
        <v>25</v>
      </c>
      <c r="L4439" t="s">
        <v>15</v>
      </c>
    </row>
    <row r="4440" spans="1:12" x14ac:dyDescent="0.3">
      <c r="A4440">
        <v>39796</v>
      </c>
      <c r="B4440" t="s">
        <v>12</v>
      </c>
      <c r="C4440">
        <v>41</v>
      </c>
      <c r="D4440" t="s">
        <v>15</v>
      </c>
      <c r="E4440" t="s">
        <v>15</v>
      </c>
      <c r="F4440" t="s">
        <v>15</v>
      </c>
      <c r="G4440" t="s">
        <v>18</v>
      </c>
      <c r="H4440" t="s">
        <v>23</v>
      </c>
      <c r="I4440">
        <v>60.73</v>
      </c>
      <c r="J4440">
        <v>28</v>
      </c>
      <c r="K4440" t="s">
        <v>25</v>
      </c>
      <c r="L4440" t="s">
        <v>15</v>
      </c>
    </row>
    <row r="4441" spans="1:12" x14ac:dyDescent="0.3">
      <c r="A4441">
        <v>12345</v>
      </c>
      <c r="B4441" t="s">
        <v>12</v>
      </c>
      <c r="C4441">
        <v>11</v>
      </c>
      <c r="D4441" t="s">
        <v>15</v>
      </c>
      <c r="E4441" t="s">
        <v>15</v>
      </c>
      <c r="F4441" t="s">
        <v>15</v>
      </c>
      <c r="G4441" t="s">
        <v>20</v>
      </c>
      <c r="H4441" t="s">
        <v>22</v>
      </c>
      <c r="I4441">
        <v>73.180000000000007</v>
      </c>
      <c r="J4441">
        <v>27.6</v>
      </c>
      <c r="K4441" t="s">
        <v>25</v>
      </c>
      <c r="L4441" t="s">
        <v>15</v>
      </c>
    </row>
    <row r="4442" spans="1:12" x14ac:dyDescent="0.3">
      <c r="A4442">
        <v>65636</v>
      </c>
      <c r="B4442" t="s">
        <v>12</v>
      </c>
      <c r="C4442">
        <v>55</v>
      </c>
      <c r="D4442" t="s">
        <v>15</v>
      </c>
      <c r="E4442" t="s">
        <v>15</v>
      </c>
      <c r="F4442" t="s">
        <v>16</v>
      </c>
      <c r="G4442" t="s">
        <v>17</v>
      </c>
      <c r="H4442" t="s">
        <v>22</v>
      </c>
      <c r="I4442">
        <v>82.26</v>
      </c>
      <c r="J4442">
        <v>28.7</v>
      </c>
      <c r="K4442" t="s">
        <v>27</v>
      </c>
      <c r="L4442" t="s">
        <v>15</v>
      </c>
    </row>
    <row r="4443" spans="1:12" x14ac:dyDescent="0.3">
      <c r="A4443">
        <v>47356</v>
      </c>
      <c r="B4443" t="s">
        <v>13</v>
      </c>
      <c r="C4443">
        <v>42</v>
      </c>
      <c r="D4443" t="s">
        <v>15</v>
      </c>
      <c r="E4443" t="s">
        <v>15</v>
      </c>
      <c r="F4443" t="s">
        <v>16</v>
      </c>
      <c r="G4443" t="s">
        <v>17</v>
      </c>
      <c r="H4443" t="s">
        <v>22</v>
      </c>
      <c r="I4443">
        <v>87.4</v>
      </c>
      <c r="J4443">
        <v>24.5</v>
      </c>
      <c r="K4443" t="s">
        <v>24</v>
      </c>
      <c r="L4443" t="s">
        <v>15</v>
      </c>
    </row>
    <row r="4444" spans="1:12" x14ac:dyDescent="0.3">
      <c r="A4444">
        <v>27859</v>
      </c>
      <c r="B4444" t="s">
        <v>12</v>
      </c>
      <c r="C4444">
        <v>51</v>
      </c>
      <c r="D4444" t="s">
        <v>15</v>
      </c>
      <c r="E4444" t="s">
        <v>15</v>
      </c>
      <c r="F4444" t="s">
        <v>16</v>
      </c>
      <c r="G4444" t="s">
        <v>17</v>
      </c>
      <c r="H4444" t="s">
        <v>23</v>
      </c>
      <c r="I4444">
        <v>86.95</v>
      </c>
      <c r="J4444">
        <v>25</v>
      </c>
      <c r="K4444" t="s">
        <v>24</v>
      </c>
      <c r="L4444" t="s">
        <v>15</v>
      </c>
    </row>
    <row r="4445" spans="1:12" x14ac:dyDescent="0.3">
      <c r="A4445">
        <v>41715</v>
      </c>
      <c r="B4445" t="s">
        <v>13</v>
      </c>
      <c r="C4445">
        <v>79</v>
      </c>
      <c r="D4445" t="s">
        <v>16</v>
      </c>
      <c r="E4445" t="s">
        <v>15</v>
      </c>
      <c r="F4445" t="s">
        <v>16</v>
      </c>
      <c r="G4445" t="s">
        <v>18</v>
      </c>
      <c r="H4445" t="s">
        <v>23</v>
      </c>
      <c r="I4445">
        <v>74</v>
      </c>
      <c r="J4445">
        <v>29.6</v>
      </c>
      <c r="K4445" t="s">
        <v>25</v>
      </c>
      <c r="L4445" t="s">
        <v>15</v>
      </c>
    </row>
    <row r="4446" spans="1:12" x14ac:dyDescent="0.3">
      <c r="A4446">
        <v>38617</v>
      </c>
      <c r="B4446" t="s">
        <v>12</v>
      </c>
      <c r="C4446">
        <v>28</v>
      </c>
      <c r="D4446" t="s">
        <v>15</v>
      </c>
      <c r="E4446" t="s">
        <v>15</v>
      </c>
      <c r="F4446" t="s">
        <v>16</v>
      </c>
      <c r="G4446" t="s">
        <v>18</v>
      </c>
      <c r="H4446" t="s">
        <v>22</v>
      </c>
      <c r="I4446">
        <v>73.98</v>
      </c>
      <c r="J4446">
        <v>29.9</v>
      </c>
      <c r="K4446" t="s">
        <v>25</v>
      </c>
      <c r="L4446" t="s">
        <v>15</v>
      </c>
    </row>
    <row r="4447" spans="1:12" x14ac:dyDescent="0.3">
      <c r="A4447">
        <v>32638</v>
      </c>
      <c r="B4447" t="s">
        <v>13</v>
      </c>
      <c r="C4447">
        <v>73</v>
      </c>
      <c r="D4447" t="s">
        <v>16</v>
      </c>
      <c r="E4447" t="s">
        <v>15</v>
      </c>
      <c r="F4447" t="s">
        <v>16</v>
      </c>
      <c r="G4447" t="s">
        <v>18</v>
      </c>
      <c r="H4447" t="s">
        <v>23</v>
      </c>
      <c r="I4447">
        <v>124.78</v>
      </c>
      <c r="J4447">
        <v>35.6</v>
      </c>
      <c r="K4447" t="s">
        <v>25</v>
      </c>
      <c r="L4447" t="s">
        <v>15</v>
      </c>
    </row>
    <row r="4448" spans="1:12" x14ac:dyDescent="0.3">
      <c r="A4448">
        <v>47799</v>
      </c>
      <c r="B4448" t="s">
        <v>13</v>
      </c>
      <c r="C4448">
        <v>42</v>
      </c>
      <c r="D4448" t="s">
        <v>15</v>
      </c>
      <c r="E4448" t="s">
        <v>15</v>
      </c>
      <c r="F4448" t="s">
        <v>16</v>
      </c>
      <c r="G4448" t="s">
        <v>17</v>
      </c>
      <c r="H4448" t="s">
        <v>22</v>
      </c>
      <c r="I4448">
        <v>191.94</v>
      </c>
      <c r="J4448">
        <v>27.9</v>
      </c>
      <c r="K4448" t="s">
        <v>25</v>
      </c>
      <c r="L4448" t="s">
        <v>15</v>
      </c>
    </row>
    <row r="4449" spans="1:12" x14ac:dyDescent="0.3">
      <c r="A4449">
        <v>41942</v>
      </c>
      <c r="B4449" t="s">
        <v>13</v>
      </c>
      <c r="C4449">
        <v>37</v>
      </c>
      <c r="D4449" t="s">
        <v>15</v>
      </c>
      <c r="E4449" t="s">
        <v>15</v>
      </c>
      <c r="F4449" t="s">
        <v>16</v>
      </c>
      <c r="G4449" t="s">
        <v>17</v>
      </c>
      <c r="H4449" t="s">
        <v>22</v>
      </c>
      <c r="I4449">
        <v>247.87</v>
      </c>
      <c r="J4449">
        <v>42.6</v>
      </c>
      <c r="K4449" t="s">
        <v>25</v>
      </c>
      <c r="L4449" t="s">
        <v>15</v>
      </c>
    </row>
    <row r="4450" spans="1:12" x14ac:dyDescent="0.3">
      <c r="A4450">
        <v>69010</v>
      </c>
      <c r="B4450" t="s">
        <v>12</v>
      </c>
      <c r="C4450">
        <v>78</v>
      </c>
      <c r="D4450" t="s">
        <v>15</v>
      </c>
      <c r="E4450" t="s">
        <v>15</v>
      </c>
      <c r="F4450" t="s">
        <v>16</v>
      </c>
      <c r="G4450" t="s">
        <v>17</v>
      </c>
      <c r="H4450" t="s">
        <v>23</v>
      </c>
      <c r="I4450">
        <v>83.2</v>
      </c>
      <c r="J4450">
        <v>21.2</v>
      </c>
      <c r="K4450" t="s">
        <v>24</v>
      </c>
      <c r="L4450" t="s">
        <v>15</v>
      </c>
    </row>
    <row r="4451" spans="1:12" x14ac:dyDescent="0.3">
      <c r="A4451">
        <v>47144</v>
      </c>
      <c r="B4451" t="s">
        <v>13</v>
      </c>
      <c r="C4451">
        <v>74</v>
      </c>
      <c r="D4451" t="s">
        <v>15</v>
      </c>
      <c r="E4451" t="s">
        <v>15</v>
      </c>
      <c r="F4451" t="s">
        <v>16</v>
      </c>
      <c r="G4451" t="s">
        <v>18</v>
      </c>
      <c r="H4451" t="s">
        <v>22</v>
      </c>
      <c r="I4451">
        <v>88.62</v>
      </c>
      <c r="J4451">
        <v>28.5</v>
      </c>
      <c r="K4451" t="s">
        <v>24</v>
      </c>
      <c r="L4451" t="s">
        <v>15</v>
      </c>
    </row>
    <row r="4452" spans="1:12" x14ac:dyDescent="0.3">
      <c r="A4452">
        <v>65103</v>
      </c>
      <c r="B4452" t="s">
        <v>13</v>
      </c>
      <c r="C4452">
        <v>59</v>
      </c>
      <c r="D4452" t="s">
        <v>15</v>
      </c>
      <c r="E4452" t="s">
        <v>15</v>
      </c>
      <c r="F4452" t="s">
        <v>16</v>
      </c>
      <c r="G4452" t="s">
        <v>17</v>
      </c>
      <c r="H4452" t="s">
        <v>22</v>
      </c>
      <c r="I4452">
        <v>81.510000000000005</v>
      </c>
      <c r="J4452">
        <v>25.6</v>
      </c>
      <c r="K4452" t="s">
        <v>24</v>
      </c>
      <c r="L4452" t="s">
        <v>15</v>
      </c>
    </row>
    <row r="4453" spans="1:12" x14ac:dyDescent="0.3">
      <c r="A4453">
        <v>6472</v>
      </c>
      <c r="B4453" t="s">
        <v>13</v>
      </c>
      <c r="C4453">
        <v>78</v>
      </c>
      <c r="D4453" t="s">
        <v>15</v>
      </c>
      <c r="E4453" t="s">
        <v>15</v>
      </c>
      <c r="F4453" t="s">
        <v>16</v>
      </c>
      <c r="G4453" t="s">
        <v>19</v>
      </c>
      <c r="H4453" t="s">
        <v>22</v>
      </c>
      <c r="I4453">
        <v>101.76</v>
      </c>
      <c r="K4453" t="s">
        <v>26</v>
      </c>
      <c r="L4453" t="s">
        <v>15</v>
      </c>
    </row>
    <row r="4454" spans="1:12" x14ac:dyDescent="0.3">
      <c r="A4454">
        <v>27596</v>
      </c>
      <c r="B4454" t="s">
        <v>13</v>
      </c>
      <c r="C4454">
        <v>82</v>
      </c>
      <c r="D4454" t="s">
        <v>16</v>
      </c>
      <c r="E4454" t="s">
        <v>15</v>
      </c>
      <c r="F4454" t="s">
        <v>16</v>
      </c>
      <c r="G4454" t="s">
        <v>17</v>
      </c>
      <c r="H4454" t="s">
        <v>22</v>
      </c>
      <c r="I4454">
        <v>115.71</v>
      </c>
      <c r="J4454">
        <v>31.1</v>
      </c>
      <c r="K4454" t="s">
        <v>24</v>
      </c>
      <c r="L4454" t="s">
        <v>15</v>
      </c>
    </row>
    <row r="4455" spans="1:12" x14ac:dyDescent="0.3">
      <c r="A4455">
        <v>59522</v>
      </c>
      <c r="B4455" t="s">
        <v>12</v>
      </c>
      <c r="C4455">
        <v>71</v>
      </c>
      <c r="D4455" t="s">
        <v>16</v>
      </c>
      <c r="E4455" t="s">
        <v>15</v>
      </c>
      <c r="F4455" t="s">
        <v>16</v>
      </c>
      <c r="G4455" t="s">
        <v>17</v>
      </c>
      <c r="H4455" t="s">
        <v>23</v>
      </c>
      <c r="I4455">
        <v>229.73</v>
      </c>
      <c r="J4455">
        <v>30.4</v>
      </c>
      <c r="K4455" t="s">
        <v>25</v>
      </c>
      <c r="L4455" t="s">
        <v>15</v>
      </c>
    </row>
    <row r="4456" spans="1:12" x14ac:dyDescent="0.3">
      <c r="A4456">
        <v>51512</v>
      </c>
      <c r="B4456" t="s">
        <v>13</v>
      </c>
      <c r="C4456">
        <v>19</v>
      </c>
      <c r="D4456" t="s">
        <v>15</v>
      </c>
      <c r="E4456" t="s">
        <v>15</v>
      </c>
      <c r="F4456" t="s">
        <v>15</v>
      </c>
      <c r="G4456" t="s">
        <v>17</v>
      </c>
      <c r="H4456" t="s">
        <v>23</v>
      </c>
      <c r="I4456">
        <v>57.4</v>
      </c>
      <c r="J4456">
        <v>22.9</v>
      </c>
      <c r="K4456" t="s">
        <v>27</v>
      </c>
      <c r="L4456" t="s">
        <v>15</v>
      </c>
    </row>
    <row r="4457" spans="1:12" x14ac:dyDescent="0.3">
      <c r="A4457">
        <v>53821</v>
      </c>
      <c r="B4457" t="s">
        <v>12</v>
      </c>
      <c r="C4457">
        <v>18</v>
      </c>
      <c r="D4457" t="s">
        <v>15</v>
      </c>
      <c r="E4457" t="s">
        <v>15</v>
      </c>
      <c r="F4457" t="s">
        <v>15</v>
      </c>
      <c r="G4457" t="s">
        <v>17</v>
      </c>
      <c r="H4457" t="s">
        <v>23</v>
      </c>
      <c r="I4457">
        <v>100.47</v>
      </c>
      <c r="J4457">
        <v>31.9</v>
      </c>
      <c r="K4457" t="s">
        <v>25</v>
      </c>
      <c r="L4457" t="s">
        <v>15</v>
      </c>
    </row>
    <row r="4458" spans="1:12" x14ac:dyDescent="0.3">
      <c r="A4458">
        <v>51532</v>
      </c>
      <c r="B4458" t="s">
        <v>13</v>
      </c>
      <c r="C4458">
        <v>53</v>
      </c>
      <c r="D4458" t="s">
        <v>15</v>
      </c>
      <c r="E4458" t="s">
        <v>15</v>
      </c>
      <c r="F4458" t="s">
        <v>16</v>
      </c>
      <c r="G4458" t="s">
        <v>19</v>
      </c>
      <c r="H4458" t="s">
        <v>23</v>
      </c>
      <c r="I4458">
        <v>81.36</v>
      </c>
      <c r="J4458">
        <v>48.8</v>
      </c>
      <c r="K4458" t="s">
        <v>25</v>
      </c>
      <c r="L4458" t="s">
        <v>15</v>
      </c>
    </row>
    <row r="4459" spans="1:12" x14ac:dyDescent="0.3">
      <c r="A4459">
        <v>50070</v>
      </c>
      <c r="B4459" t="s">
        <v>13</v>
      </c>
      <c r="C4459">
        <v>62</v>
      </c>
      <c r="D4459" t="s">
        <v>16</v>
      </c>
      <c r="E4459" t="s">
        <v>15</v>
      </c>
      <c r="F4459" t="s">
        <v>16</v>
      </c>
      <c r="G4459" t="s">
        <v>18</v>
      </c>
      <c r="H4459" t="s">
        <v>23</v>
      </c>
      <c r="I4459">
        <v>261.67</v>
      </c>
      <c r="J4459">
        <v>43</v>
      </c>
      <c r="K4459" t="s">
        <v>24</v>
      </c>
      <c r="L4459" t="s">
        <v>15</v>
      </c>
    </row>
    <row r="4460" spans="1:12" x14ac:dyDescent="0.3">
      <c r="A4460">
        <v>41654</v>
      </c>
      <c r="B4460" t="s">
        <v>12</v>
      </c>
      <c r="C4460">
        <v>3</v>
      </c>
      <c r="D4460" t="s">
        <v>15</v>
      </c>
      <c r="E4460" t="s">
        <v>15</v>
      </c>
      <c r="F4460" t="s">
        <v>15</v>
      </c>
      <c r="G4460" t="s">
        <v>20</v>
      </c>
      <c r="H4460" t="s">
        <v>23</v>
      </c>
      <c r="I4460">
        <v>110.2</v>
      </c>
      <c r="J4460">
        <v>21.8</v>
      </c>
      <c r="K4460" t="s">
        <v>27</v>
      </c>
      <c r="L4460" t="s">
        <v>15</v>
      </c>
    </row>
    <row r="4461" spans="1:12" x14ac:dyDescent="0.3">
      <c r="A4461">
        <v>5714</v>
      </c>
      <c r="B4461" t="s">
        <v>13</v>
      </c>
      <c r="C4461">
        <v>49</v>
      </c>
      <c r="D4461" t="s">
        <v>16</v>
      </c>
      <c r="E4461" t="s">
        <v>15</v>
      </c>
      <c r="F4461" t="s">
        <v>16</v>
      </c>
      <c r="G4461" t="s">
        <v>19</v>
      </c>
      <c r="H4461" t="s">
        <v>23</v>
      </c>
      <c r="I4461">
        <v>98.9</v>
      </c>
      <c r="J4461">
        <v>35.5</v>
      </c>
      <c r="K4461" t="s">
        <v>25</v>
      </c>
      <c r="L4461" t="s">
        <v>15</v>
      </c>
    </row>
    <row r="4462" spans="1:12" x14ac:dyDescent="0.3">
      <c r="A4462">
        <v>2304</v>
      </c>
      <c r="B4462" t="s">
        <v>12</v>
      </c>
      <c r="C4462">
        <v>51</v>
      </c>
      <c r="D4462" t="s">
        <v>15</v>
      </c>
      <c r="E4462" t="s">
        <v>15</v>
      </c>
      <c r="F4462" t="s">
        <v>16</v>
      </c>
      <c r="G4462" t="s">
        <v>19</v>
      </c>
      <c r="H4462" t="s">
        <v>23</v>
      </c>
      <c r="I4462">
        <v>95.19</v>
      </c>
      <c r="J4462">
        <v>24.3</v>
      </c>
      <c r="K4462" t="s">
        <v>26</v>
      </c>
      <c r="L4462" t="s">
        <v>15</v>
      </c>
    </row>
    <row r="4463" spans="1:12" x14ac:dyDescent="0.3">
      <c r="A4463">
        <v>8543</v>
      </c>
      <c r="B4463" t="s">
        <v>13</v>
      </c>
      <c r="C4463">
        <v>53</v>
      </c>
      <c r="D4463" t="s">
        <v>15</v>
      </c>
      <c r="E4463" t="s">
        <v>15</v>
      </c>
      <c r="F4463" t="s">
        <v>16</v>
      </c>
      <c r="G4463" t="s">
        <v>17</v>
      </c>
      <c r="H4463" t="s">
        <v>23</v>
      </c>
      <c r="I4463">
        <v>105.28</v>
      </c>
      <c r="J4463">
        <v>23.1</v>
      </c>
      <c r="K4463" t="s">
        <v>25</v>
      </c>
      <c r="L4463" t="s">
        <v>15</v>
      </c>
    </row>
    <row r="4464" spans="1:12" x14ac:dyDescent="0.3">
      <c r="A4464">
        <v>45279</v>
      </c>
      <c r="B4464" t="s">
        <v>13</v>
      </c>
      <c r="C4464">
        <v>10</v>
      </c>
      <c r="D4464" t="s">
        <v>15</v>
      </c>
      <c r="E4464" t="s">
        <v>15</v>
      </c>
      <c r="F4464" t="s">
        <v>15</v>
      </c>
      <c r="G4464" t="s">
        <v>20</v>
      </c>
      <c r="H4464" t="s">
        <v>23</v>
      </c>
      <c r="I4464">
        <v>83.03</v>
      </c>
      <c r="J4464">
        <v>18.5</v>
      </c>
      <c r="K4464" t="s">
        <v>27</v>
      </c>
      <c r="L4464" t="s">
        <v>15</v>
      </c>
    </row>
    <row r="4465" spans="1:12" x14ac:dyDescent="0.3">
      <c r="A4465">
        <v>57870</v>
      </c>
      <c r="B4465" t="s">
        <v>12</v>
      </c>
      <c r="C4465">
        <v>54</v>
      </c>
      <c r="D4465" t="s">
        <v>15</v>
      </c>
      <c r="E4465" t="s">
        <v>15</v>
      </c>
      <c r="F4465" t="s">
        <v>16</v>
      </c>
      <c r="G4465" t="s">
        <v>17</v>
      </c>
      <c r="H4465" t="s">
        <v>23</v>
      </c>
      <c r="I4465">
        <v>89.41</v>
      </c>
      <c r="J4465">
        <v>42.4</v>
      </c>
      <c r="K4465" t="s">
        <v>26</v>
      </c>
      <c r="L4465" t="s">
        <v>15</v>
      </c>
    </row>
    <row r="4466" spans="1:12" x14ac:dyDescent="0.3">
      <c r="A4466">
        <v>56961</v>
      </c>
      <c r="B4466" t="s">
        <v>13</v>
      </c>
      <c r="C4466">
        <v>40</v>
      </c>
      <c r="D4466" t="s">
        <v>15</v>
      </c>
      <c r="E4466" t="s">
        <v>15</v>
      </c>
      <c r="F4466" t="s">
        <v>15</v>
      </c>
      <c r="G4466" t="s">
        <v>19</v>
      </c>
      <c r="H4466" t="s">
        <v>23</v>
      </c>
      <c r="I4466">
        <v>70.56</v>
      </c>
      <c r="J4466">
        <v>32.299999999999997</v>
      </c>
      <c r="K4466" t="s">
        <v>25</v>
      </c>
      <c r="L4466" t="s">
        <v>15</v>
      </c>
    </row>
    <row r="4467" spans="1:12" x14ac:dyDescent="0.3">
      <c r="A4467">
        <v>8623</v>
      </c>
      <c r="B4467" t="s">
        <v>13</v>
      </c>
      <c r="C4467">
        <v>3</v>
      </c>
      <c r="D4467" t="s">
        <v>15</v>
      </c>
      <c r="E4467" t="s">
        <v>15</v>
      </c>
      <c r="F4467" t="s">
        <v>15</v>
      </c>
      <c r="G4467" t="s">
        <v>20</v>
      </c>
      <c r="H4467" t="s">
        <v>22</v>
      </c>
      <c r="I4467">
        <v>78.790000000000006</v>
      </c>
      <c r="J4467">
        <v>22.6</v>
      </c>
      <c r="K4467" t="s">
        <v>27</v>
      </c>
      <c r="L4467" t="s">
        <v>15</v>
      </c>
    </row>
    <row r="4468" spans="1:12" x14ac:dyDescent="0.3">
      <c r="A4468">
        <v>21346</v>
      </c>
      <c r="B4468" t="s">
        <v>13</v>
      </c>
      <c r="C4468">
        <v>12</v>
      </c>
      <c r="D4468" t="s">
        <v>15</v>
      </c>
      <c r="E4468" t="s">
        <v>15</v>
      </c>
      <c r="F4468" t="s">
        <v>15</v>
      </c>
      <c r="G4468" t="s">
        <v>20</v>
      </c>
      <c r="H4468" t="s">
        <v>23</v>
      </c>
      <c r="I4468">
        <v>70.13</v>
      </c>
      <c r="J4468">
        <v>17.8</v>
      </c>
      <c r="K4468" t="s">
        <v>27</v>
      </c>
      <c r="L4468" t="s">
        <v>15</v>
      </c>
    </row>
    <row r="4469" spans="1:12" x14ac:dyDescent="0.3">
      <c r="A4469">
        <v>36922</v>
      </c>
      <c r="B4469" t="s">
        <v>12</v>
      </c>
      <c r="C4469">
        <v>56</v>
      </c>
      <c r="D4469" t="s">
        <v>15</v>
      </c>
      <c r="E4469" t="s">
        <v>15</v>
      </c>
      <c r="F4469" t="s">
        <v>16</v>
      </c>
      <c r="G4469" t="s">
        <v>17</v>
      </c>
      <c r="H4469" t="s">
        <v>23</v>
      </c>
      <c r="I4469">
        <v>62.68</v>
      </c>
      <c r="J4469">
        <v>18.399999999999999</v>
      </c>
      <c r="K4469" t="s">
        <v>25</v>
      </c>
      <c r="L4469" t="s">
        <v>15</v>
      </c>
    </row>
    <row r="4470" spans="1:12" x14ac:dyDescent="0.3">
      <c r="A4470">
        <v>19814</v>
      </c>
      <c r="B4470" t="s">
        <v>13</v>
      </c>
      <c r="C4470">
        <v>43</v>
      </c>
      <c r="D4470" t="s">
        <v>15</v>
      </c>
      <c r="E4470" t="s">
        <v>15</v>
      </c>
      <c r="F4470" t="s">
        <v>15</v>
      </c>
      <c r="G4470" t="s">
        <v>17</v>
      </c>
      <c r="H4470" t="s">
        <v>22</v>
      </c>
      <c r="I4470">
        <v>71.77</v>
      </c>
      <c r="J4470">
        <v>26.9</v>
      </c>
      <c r="K4470" t="s">
        <v>25</v>
      </c>
      <c r="L4470" t="s">
        <v>15</v>
      </c>
    </row>
    <row r="4471" spans="1:12" x14ac:dyDescent="0.3">
      <c r="A4471">
        <v>22151</v>
      </c>
      <c r="B4471" t="s">
        <v>13</v>
      </c>
      <c r="C4471">
        <v>28</v>
      </c>
      <c r="D4471" t="s">
        <v>15</v>
      </c>
      <c r="E4471" t="s">
        <v>15</v>
      </c>
      <c r="F4471" t="s">
        <v>15</v>
      </c>
      <c r="G4471" t="s">
        <v>19</v>
      </c>
      <c r="H4471" t="s">
        <v>23</v>
      </c>
      <c r="I4471">
        <v>77.989999999999995</v>
      </c>
      <c r="J4471">
        <v>32</v>
      </c>
      <c r="K4471" t="s">
        <v>26</v>
      </c>
      <c r="L4471" t="s">
        <v>15</v>
      </c>
    </row>
    <row r="4472" spans="1:12" x14ac:dyDescent="0.3">
      <c r="A4472">
        <v>47802</v>
      </c>
      <c r="B4472" t="s">
        <v>12</v>
      </c>
      <c r="C4472">
        <v>28</v>
      </c>
      <c r="D4472" t="s">
        <v>15</v>
      </c>
      <c r="E4472" t="s">
        <v>15</v>
      </c>
      <c r="F4472" t="s">
        <v>15</v>
      </c>
      <c r="G4472" t="s">
        <v>17</v>
      </c>
      <c r="H4472" t="s">
        <v>22</v>
      </c>
      <c r="I4472">
        <v>256.74</v>
      </c>
      <c r="J4472">
        <v>23.4</v>
      </c>
      <c r="K4472" t="s">
        <v>24</v>
      </c>
      <c r="L4472" t="s">
        <v>15</v>
      </c>
    </row>
    <row r="4473" spans="1:12" x14ac:dyDescent="0.3">
      <c r="A4473">
        <v>25404</v>
      </c>
      <c r="B4473" t="s">
        <v>12</v>
      </c>
      <c r="C4473">
        <v>56</v>
      </c>
      <c r="D4473" t="s">
        <v>15</v>
      </c>
      <c r="E4473" t="s">
        <v>15</v>
      </c>
      <c r="F4473" t="s">
        <v>16</v>
      </c>
      <c r="G4473" t="s">
        <v>17</v>
      </c>
      <c r="H4473" t="s">
        <v>23</v>
      </c>
      <c r="I4473">
        <v>93.72</v>
      </c>
      <c r="J4473">
        <v>31.4</v>
      </c>
      <c r="K4473" t="s">
        <v>25</v>
      </c>
      <c r="L4473" t="s">
        <v>15</v>
      </c>
    </row>
    <row r="4474" spans="1:12" x14ac:dyDescent="0.3">
      <c r="A4474">
        <v>43487</v>
      </c>
      <c r="B4474" t="s">
        <v>13</v>
      </c>
      <c r="C4474">
        <v>14</v>
      </c>
      <c r="D4474" t="s">
        <v>15</v>
      </c>
      <c r="E4474" t="s">
        <v>15</v>
      </c>
      <c r="F4474" t="s">
        <v>15</v>
      </c>
      <c r="G4474" t="s">
        <v>20</v>
      </c>
      <c r="H4474" t="s">
        <v>22</v>
      </c>
      <c r="I4474">
        <v>63.74</v>
      </c>
      <c r="J4474">
        <v>22.4</v>
      </c>
      <c r="K4474" t="s">
        <v>27</v>
      </c>
      <c r="L4474" t="s">
        <v>15</v>
      </c>
    </row>
    <row r="4475" spans="1:12" x14ac:dyDescent="0.3">
      <c r="A4475">
        <v>58313</v>
      </c>
      <c r="B4475" t="s">
        <v>13</v>
      </c>
      <c r="C4475">
        <v>63</v>
      </c>
      <c r="D4475" t="s">
        <v>15</v>
      </c>
      <c r="E4475" t="s">
        <v>15</v>
      </c>
      <c r="F4475" t="s">
        <v>16</v>
      </c>
      <c r="G4475" t="s">
        <v>18</v>
      </c>
      <c r="H4475" t="s">
        <v>22</v>
      </c>
      <c r="I4475">
        <v>60.67</v>
      </c>
      <c r="J4475">
        <v>28.9</v>
      </c>
      <c r="K4475" t="s">
        <v>24</v>
      </c>
      <c r="L4475" t="s">
        <v>15</v>
      </c>
    </row>
    <row r="4476" spans="1:12" x14ac:dyDescent="0.3">
      <c r="A4476">
        <v>16629</v>
      </c>
      <c r="B4476" t="s">
        <v>13</v>
      </c>
      <c r="C4476">
        <v>29</v>
      </c>
      <c r="D4476" t="s">
        <v>15</v>
      </c>
      <c r="E4476" t="s">
        <v>15</v>
      </c>
      <c r="F4476" t="s">
        <v>16</v>
      </c>
      <c r="G4476" t="s">
        <v>17</v>
      </c>
      <c r="H4476" t="s">
        <v>22</v>
      </c>
      <c r="I4476">
        <v>112.08</v>
      </c>
      <c r="J4476">
        <v>27.4</v>
      </c>
      <c r="K4476" t="s">
        <v>25</v>
      </c>
      <c r="L4476" t="s">
        <v>15</v>
      </c>
    </row>
    <row r="4477" spans="1:12" x14ac:dyDescent="0.3">
      <c r="A4477">
        <v>60675</v>
      </c>
      <c r="B4477" t="s">
        <v>13</v>
      </c>
      <c r="C4477">
        <v>48</v>
      </c>
      <c r="D4477" t="s">
        <v>16</v>
      </c>
      <c r="E4477" t="s">
        <v>15</v>
      </c>
      <c r="F4477" t="s">
        <v>16</v>
      </c>
      <c r="G4477" t="s">
        <v>19</v>
      </c>
      <c r="H4477" t="s">
        <v>23</v>
      </c>
      <c r="I4477">
        <v>221.08</v>
      </c>
      <c r="J4477">
        <v>57.2</v>
      </c>
      <c r="K4477" t="s">
        <v>25</v>
      </c>
      <c r="L4477" t="s">
        <v>15</v>
      </c>
    </row>
    <row r="4478" spans="1:12" x14ac:dyDescent="0.3">
      <c r="A4478">
        <v>1119</v>
      </c>
      <c r="B4478" t="s">
        <v>12</v>
      </c>
      <c r="C4478">
        <v>47</v>
      </c>
      <c r="D4478" t="s">
        <v>15</v>
      </c>
      <c r="E4478" t="s">
        <v>16</v>
      </c>
      <c r="F4478" t="s">
        <v>16</v>
      </c>
      <c r="G4478" t="s">
        <v>19</v>
      </c>
      <c r="H4478" t="s">
        <v>22</v>
      </c>
      <c r="I4478">
        <v>101.81</v>
      </c>
      <c r="J4478">
        <v>28.4</v>
      </c>
      <c r="K4478" t="s">
        <v>26</v>
      </c>
      <c r="L4478" t="s">
        <v>15</v>
      </c>
    </row>
    <row r="4479" spans="1:12" x14ac:dyDescent="0.3">
      <c r="A4479">
        <v>64864</v>
      </c>
      <c r="B4479" t="s">
        <v>12</v>
      </c>
      <c r="C4479">
        <v>63</v>
      </c>
      <c r="D4479" t="s">
        <v>16</v>
      </c>
      <c r="E4479" t="s">
        <v>15</v>
      </c>
      <c r="F4479" t="s">
        <v>16</v>
      </c>
      <c r="G4479" t="s">
        <v>17</v>
      </c>
      <c r="H4479" t="s">
        <v>23</v>
      </c>
      <c r="I4479">
        <v>60.17</v>
      </c>
      <c r="J4479">
        <v>23.5</v>
      </c>
      <c r="K4479" t="s">
        <v>26</v>
      </c>
      <c r="L4479" t="s">
        <v>15</v>
      </c>
    </row>
    <row r="4480" spans="1:12" x14ac:dyDescent="0.3">
      <c r="A4480">
        <v>55244</v>
      </c>
      <c r="B4480" t="s">
        <v>12</v>
      </c>
      <c r="C4480">
        <v>40</v>
      </c>
      <c r="D4480" t="s">
        <v>15</v>
      </c>
      <c r="E4480" t="s">
        <v>15</v>
      </c>
      <c r="F4480" t="s">
        <v>16</v>
      </c>
      <c r="G4480" t="s">
        <v>18</v>
      </c>
      <c r="H4480" t="s">
        <v>23</v>
      </c>
      <c r="I4480">
        <v>65.290000000000006</v>
      </c>
      <c r="J4480">
        <v>28.3</v>
      </c>
      <c r="K4480" t="s">
        <v>25</v>
      </c>
      <c r="L4480" t="s">
        <v>15</v>
      </c>
    </row>
    <row r="4481" spans="1:12" x14ac:dyDescent="0.3">
      <c r="A4481">
        <v>23568</v>
      </c>
      <c r="B4481" t="s">
        <v>13</v>
      </c>
      <c r="C4481">
        <v>40</v>
      </c>
      <c r="D4481" t="s">
        <v>15</v>
      </c>
      <c r="E4481" t="s">
        <v>15</v>
      </c>
      <c r="F4481" t="s">
        <v>16</v>
      </c>
      <c r="G4481" t="s">
        <v>17</v>
      </c>
      <c r="H4481" t="s">
        <v>22</v>
      </c>
      <c r="I4481">
        <v>153.24</v>
      </c>
      <c r="J4481">
        <v>38.200000000000003</v>
      </c>
      <c r="K4481" t="s">
        <v>27</v>
      </c>
      <c r="L4481" t="s">
        <v>15</v>
      </c>
    </row>
    <row r="4482" spans="1:12" x14ac:dyDescent="0.3">
      <c r="A4482">
        <v>56979</v>
      </c>
      <c r="B4482" t="s">
        <v>12</v>
      </c>
      <c r="C4482">
        <v>55</v>
      </c>
      <c r="D4482" t="s">
        <v>15</v>
      </c>
      <c r="E4482" t="s">
        <v>15</v>
      </c>
      <c r="F4482" t="s">
        <v>16</v>
      </c>
      <c r="G4482" t="s">
        <v>17</v>
      </c>
      <c r="H4482" t="s">
        <v>23</v>
      </c>
      <c r="I4482">
        <v>61.42</v>
      </c>
      <c r="J4482">
        <v>33.299999999999997</v>
      </c>
      <c r="K4482" t="s">
        <v>26</v>
      </c>
      <c r="L4482" t="s">
        <v>15</v>
      </c>
    </row>
    <row r="4483" spans="1:12" x14ac:dyDescent="0.3">
      <c r="A4483">
        <v>66006</v>
      </c>
      <c r="B4483" t="s">
        <v>13</v>
      </c>
      <c r="C4483">
        <v>43</v>
      </c>
      <c r="D4483" t="s">
        <v>15</v>
      </c>
      <c r="E4483" t="s">
        <v>15</v>
      </c>
      <c r="F4483" t="s">
        <v>16</v>
      </c>
      <c r="G4483" t="s">
        <v>17</v>
      </c>
      <c r="H4483" t="s">
        <v>22</v>
      </c>
      <c r="I4483">
        <v>86.67</v>
      </c>
      <c r="J4483">
        <v>33.299999999999997</v>
      </c>
      <c r="K4483" t="s">
        <v>25</v>
      </c>
      <c r="L4483" t="s">
        <v>15</v>
      </c>
    </row>
    <row r="4484" spans="1:12" x14ac:dyDescent="0.3">
      <c r="A4484">
        <v>40447</v>
      </c>
      <c r="B4484" t="s">
        <v>13</v>
      </c>
      <c r="C4484">
        <v>59</v>
      </c>
      <c r="D4484" t="s">
        <v>15</v>
      </c>
      <c r="E4484" t="s">
        <v>15</v>
      </c>
      <c r="F4484" t="s">
        <v>16</v>
      </c>
      <c r="G4484" t="s">
        <v>17</v>
      </c>
      <c r="H4484" t="s">
        <v>23</v>
      </c>
      <c r="I4484">
        <v>82.42</v>
      </c>
      <c r="J4484">
        <v>28.8</v>
      </c>
      <c r="K4484" t="s">
        <v>25</v>
      </c>
      <c r="L4484" t="s">
        <v>15</v>
      </c>
    </row>
    <row r="4485" spans="1:12" x14ac:dyDescent="0.3">
      <c r="A4485">
        <v>62798</v>
      </c>
      <c r="B4485" t="s">
        <v>13</v>
      </c>
      <c r="C4485">
        <v>78</v>
      </c>
      <c r="D4485" t="s">
        <v>16</v>
      </c>
      <c r="E4485" t="s">
        <v>15</v>
      </c>
      <c r="F4485" t="s">
        <v>16</v>
      </c>
      <c r="G4485" t="s">
        <v>17</v>
      </c>
      <c r="H4485" t="s">
        <v>23</v>
      </c>
      <c r="I4485">
        <v>100.54</v>
      </c>
      <c r="J4485">
        <v>32.1</v>
      </c>
      <c r="K4485" t="s">
        <v>26</v>
      </c>
      <c r="L4485" t="s">
        <v>15</v>
      </c>
    </row>
    <row r="4486" spans="1:12" x14ac:dyDescent="0.3">
      <c r="A4486">
        <v>38397</v>
      </c>
      <c r="B4486" t="s">
        <v>13</v>
      </c>
      <c r="C4486">
        <v>27</v>
      </c>
      <c r="D4486" t="s">
        <v>15</v>
      </c>
      <c r="E4486" t="s">
        <v>15</v>
      </c>
      <c r="F4486" t="s">
        <v>15</v>
      </c>
      <c r="G4486" t="s">
        <v>17</v>
      </c>
      <c r="H4486" t="s">
        <v>22</v>
      </c>
      <c r="I4486">
        <v>111.48</v>
      </c>
      <c r="J4486">
        <v>28.9</v>
      </c>
      <c r="K4486" t="s">
        <v>25</v>
      </c>
      <c r="L4486" t="s">
        <v>15</v>
      </c>
    </row>
    <row r="4487" spans="1:12" x14ac:dyDescent="0.3">
      <c r="A4487">
        <v>66945</v>
      </c>
      <c r="B4487" t="s">
        <v>13</v>
      </c>
      <c r="C4487">
        <v>49</v>
      </c>
      <c r="D4487" t="s">
        <v>15</v>
      </c>
      <c r="E4487" t="s">
        <v>15</v>
      </c>
      <c r="F4487" t="s">
        <v>16</v>
      </c>
      <c r="G4487" t="s">
        <v>17</v>
      </c>
      <c r="H4487" t="s">
        <v>22</v>
      </c>
      <c r="I4487">
        <v>85.33</v>
      </c>
      <c r="J4487">
        <v>25.5</v>
      </c>
      <c r="K4487" t="s">
        <v>25</v>
      </c>
      <c r="L4487" t="s">
        <v>15</v>
      </c>
    </row>
    <row r="4488" spans="1:12" x14ac:dyDescent="0.3">
      <c r="A4488">
        <v>44992</v>
      </c>
      <c r="B4488" t="s">
        <v>12</v>
      </c>
      <c r="C4488">
        <v>14</v>
      </c>
      <c r="D4488" t="s">
        <v>15</v>
      </c>
      <c r="E4488" t="s">
        <v>15</v>
      </c>
      <c r="F4488" t="s">
        <v>15</v>
      </c>
      <c r="G4488" t="s">
        <v>17</v>
      </c>
      <c r="H4488" t="s">
        <v>22</v>
      </c>
      <c r="I4488">
        <v>126.57</v>
      </c>
      <c r="J4488">
        <v>25.9</v>
      </c>
      <c r="K4488" t="s">
        <v>24</v>
      </c>
      <c r="L4488" t="s">
        <v>15</v>
      </c>
    </row>
    <row r="4489" spans="1:12" x14ac:dyDescent="0.3">
      <c r="A4489">
        <v>50009</v>
      </c>
      <c r="B4489" t="s">
        <v>13</v>
      </c>
      <c r="C4489">
        <v>17</v>
      </c>
      <c r="D4489" t="s">
        <v>15</v>
      </c>
      <c r="E4489" t="s">
        <v>15</v>
      </c>
      <c r="F4489" t="s">
        <v>15</v>
      </c>
      <c r="G4489" t="s">
        <v>17</v>
      </c>
      <c r="H4489" t="s">
        <v>22</v>
      </c>
      <c r="I4489">
        <v>81.510000000000005</v>
      </c>
      <c r="J4489">
        <v>19.5</v>
      </c>
      <c r="K4489" t="s">
        <v>24</v>
      </c>
      <c r="L4489" t="s">
        <v>15</v>
      </c>
    </row>
    <row r="4490" spans="1:12" x14ac:dyDescent="0.3">
      <c r="A4490">
        <v>5170</v>
      </c>
      <c r="B4490" t="s">
        <v>12</v>
      </c>
      <c r="C4490">
        <v>42</v>
      </c>
      <c r="D4490" t="s">
        <v>15</v>
      </c>
      <c r="E4490" t="s">
        <v>15</v>
      </c>
      <c r="F4490" t="s">
        <v>16</v>
      </c>
      <c r="G4490" t="s">
        <v>19</v>
      </c>
      <c r="H4490" t="s">
        <v>23</v>
      </c>
      <c r="I4490">
        <v>67.97</v>
      </c>
      <c r="J4490">
        <v>23.8</v>
      </c>
      <c r="K4490" t="s">
        <v>27</v>
      </c>
      <c r="L4490" t="s">
        <v>15</v>
      </c>
    </row>
    <row r="4491" spans="1:12" x14ac:dyDescent="0.3">
      <c r="A4491">
        <v>16263</v>
      </c>
      <c r="B4491" t="s">
        <v>13</v>
      </c>
      <c r="C4491">
        <v>36</v>
      </c>
      <c r="D4491" t="s">
        <v>15</v>
      </c>
      <c r="E4491" t="s">
        <v>15</v>
      </c>
      <c r="F4491" t="s">
        <v>16</v>
      </c>
      <c r="G4491" t="s">
        <v>18</v>
      </c>
      <c r="H4491" t="s">
        <v>22</v>
      </c>
      <c r="I4491">
        <v>77.92</v>
      </c>
      <c r="J4491">
        <v>24.9</v>
      </c>
      <c r="K4491" t="s">
        <v>27</v>
      </c>
      <c r="L4491" t="s">
        <v>15</v>
      </c>
    </row>
    <row r="4492" spans="1:12" x14ac:dyDescent="0.3">
      <c r="A4492">
        <v>16024</v>
      </c>
      <c r="B4492" t="s">
        <v>12</v>
      </c>
      <c r="C4492">
        <v>19</v>
      </c>
      <c r="D4492" t="s">
        <v>15</v>
      </c>
      <c r="E4492" t="s">
        <v>15</v>
      </c>
      <c r="F4492" t="s">
        <v>15</v>
      </c>
      <c r="G4492" t="s">
        <v>17</v>
      </c>
      <c r="H4492" t="s">
        <v>22</v>
      </c>
      <c r="I4492">
        <v>80.540000000000006</v>
      </c>
      <c r="J4492">
        <v>18.5</v>
      </c>
      <c r="K4492" t="s">
        <v>26</v>
      </c>
      <c r="L4492" t="s">
        <v>15</v>
      </c>
    </row>
    <row r="4493" spans="1:12" x14ac:dyDescent="0.3">
      <c r="A4493">
        <v>47057</v>
      </c>
      <c r="B4493" t="s">
        <v>12</v>
      </c>
      <c r="C4493">
        <v>55</v>
      </c>
      <c r="D4493" t="s">
        <v>15</v>
      </c>
      <c r="E4493" t="s">
        <v>15</v>
      </c>
      <c r="F4493" t="s">
        <v>16</v>
      </c>
      <c r="G4493" t="s">
        <v>18</v>
      </c>
      <c r="H4493" t="s">
        <v>22</v>
      </c>
      <c r="I4493">
        <v>76.47</v>
      </c>
      <c r="J4493">
        <v>30.6</v>
      </c>
      <c r="K4493" t="s">
        <v>27</v>
      </c>
      <c r="L4493" t="s">
        <v>15</v>
      </c>
    </row>
    <row r="4494" spans="1:12" x14ac:dyDescent="0.3">
      <c r="A4494">
        <v>34045</v>
      </c>
      <c r="B4494" t="s">
        <v>13</v>
      </c>
      <c r="C4494">
        <v>8</v>
      </c>
      <c r="D4494" t="s">
        <v>15</v>
      </c>
      <c r="E4494" t="s">
        <v>15</v>
      </c>
      <c r="F4494" t="s">
        <v>15</v>
      </c>
      <c r="G4494" t="s">
        <v>20</v>
      </c>
      <c r="H4494" t="s">
        <v>22</v>
      </c>
      <c r="I4494">
        <v>87.15</v>
      </c>
      <c r="J4494">
        <v>16.100000000000001</v>
      </c>
      <c r="K4494" t="s">
        <v>27</v>
      </c>
      <c r="L4494" t="s">
        <v>15</v>
      </c>
    </row>
    <row r="4495" spans="1:12" x14ac:dyDescent="0.3">
      <c r="A4495">
        <v>59691</v>
      </c>
      <c r="B4495" t="s">
        <v>13</v>
      </c>
      <c r="C4495">
        <v>56</v>
      </c>
      <c r="D4495" t="s">
        <v>15</v>
      </c>
      <c r="E4495" t="s">
        <v>15</v>
      </c>
      <c r="F4495" t="s">
        <v>16</v>
      </c>
      <c r="G4495" t="s">
        <v>19</v>
      </c>
      <c r="H4495" t="s">
        <v>22</v>
      </c>
      <c r="I4495">
        <v>86.07</v>
      </c>
      <c r="J4495">
        <v>32.5</v>
      </c>
      <c r="K4495" t="s">
        <v>27</v>
      </c>
      <c r="L4495" t="s">
        <v>15</v>
      </c>
    </row>
    <row r="4496" spans="1:12" x14ac:dyDescent="0.3">
      <c r="A4496">
        <v>49261</v>
      </c>
      <c r="B4496" t="s">
        <v>12</v>
      </c>
      <c r="C4496">
        <v>54</v>
      </c>
      <c r="D4496" t="s">
        <v>15</v>
      </c>
      <c r="E4496" t="s">
        <v>15</v>
      </c>
      <c r="F4496" t="s">
        <v>15</v>
      </c>
      <c r="G4496" t="s">
        <v>17</v>
      </c>
      <c r="H4496" t="s">
        <v>23</v>
      </c>
      <c r="I4496">
        <v>106.52</v>
      </c>
      <c r="J4496">
        <v>27.4</v>
      </c>
      <c r="K4496" t="s">
        <v>24</v>
      </c>
      <c r="L4496" t="s">
        <v>15</v>
      </c>
    </row>
    <row r="4497" spans="1:12" x14ac:dyDescent="0.3">
      <c r="A4497">
        <v>30734</v>
      </c>
      <c r="B4497" t="s">
        <v>12</v>
      </c>
      <c r="C4497">
        <v>15</v>
      </c>
      <c r="D4497" t="s">
        <v>15</v>
      </c>
      <c r="E4497" t="s">
        <v>15</v>
      </c>
      <c r="F4497" t="s">
        <v>15</v>
      </c>
      <c r="G4497" t="s">
        <v>20</v>
      </c>
      <c r="H4497" t="s">
        <v>23</v>
      </c>
      <c r="I4497">
        <v>94.24</v>
      </c>
      <c r="J4497">
        <v>30.2</v>
      </c>
      <c r="K4497" t="s">
        <v>27</v>
      </c>
      <c r="L4497" t="s">
        <v>15</v>
      </c>
    </row>
    <row r="4498" spans="1:12" x14ac:dyDescent="0.3">
      <c r="A4498">
        <v>72184</v>
      </c>
      <c r="B4498" t="s">
        <v>13</v>
      </c>
      <c r="C4498">
        <v>43</v>
      </c>
      <c r="D4498" t="s">
        <v>15</v>
      </c>
      <c r="E4498" t="s">
        <v>15</v>
      </c>
      <c r="F4498" t="s">
        <v>16</v>
      </c>
      <c r="G4498" t="s">
        <v>18</v>
      </c>
      <c r="H4498" t="s">
        <v>22</v>
      </c>
      <c r="I4498">
        <v>89.73</v>
      </c>
      <c r="J4498">
        <v>23.5</v>
      </c>
      <c r="K4498" t="s">
        <v>24</v>
      </c>
      <c r="L4498" t="s">
        <v>15</v>
      </c>
    </row>
    <row r="4499" spans="1:12" x14ac:dyDescent="0.3">
      <c r="A4499">
        <v>37440</v>
      </c>
      <c r="B4499" t="s">
        <v>12</v>
      </c>
      <c r="C4499">
        <v>52</v>
      </c>
      <c r="D4499" t="s">
        <v>15</v>
      </c>
      <c r="E4499" t="s">
        <v>15</v>
      </c>
      <c r="F4499" t="s">
        <v>16</v>
      </c>
      <c r="G4499" t="s">
        <v>19</v>
      </c>
      <c r="H4499" t="s">
        <v>22</v>
      </c>
      <c r="I4499">
        <v>208.39</v>
      </c>
      <c r="J4499">
        <v>36</v>
      </c>
      <c r="K4499" t="s">
        <v>24</v>
      </c>
      <c r="L4499" t="s">
        <v>15</v>
      </c>
    </row>
    <row r="4500" spans="1:12" x14ac:dyDescent="0.3">
      <c r="A4500">
        <v>54400</v>
      </c>
      <c r="B4500" t="s">
        <v>13</v>
      </c>
      <c r="C4500">
        <v>62</v>
      </c>
      <c r="D4500" t="s">
        <v>15</v>
      </c>
      <c r="E4500" t="s">
        <v>15</v>
      </c>
      <c r="F4500" t="s">
        <v>16</v>
      </c>
      <c r="G4500" t="s">
        <v>18</v>
      </c>
      <c r="H4500" t="s">
        <v>23</v>
      </c>
      <c r="I4500">
        <v>128.61000000000001</v>
      </c>
      <c r="J4500">
        <v>24.8</v>
      </c>
      <c r="K4500" t="s">
        <v>25</v>
      </c>
      <c r="L4500" t="s">
        <v>15</v>
      </c>
    </row>
    <row r="4501" spans="1:12" x14ac:dyDescent="0.3">
      <c r="A4501">
        <v>56547</v>
      </c>
      <c r="B4501" t="s">
        <v>12</v>
      </c>
      <c r="C4501">
        <v>54</v>
      </c>
      <c r="D4501" t="s">
        <v>15</v>
      </c>
      <c r="E4501" t="s">
        <v>15</v>
      </c>
      <c r="F4501" t="s">
        <v>16</v>
      </c>
      <c r="G4501" t="s">
        <v>17</v>
      </c>
      <c r="H4501" t="s">
        <v>23</v>
      </c>
      <c r="I4501">
        <v>57.56</v>
      </c>
      <c r="J4501">
        <v>27.5</v>
      </c>
      <c r="K4501" t="s">
        <v>25</v>
      </c>
      <c r="L4501" t="s">
        <v>15</v>
      </c>
    </row>
    <row r="4502" spans="1:12" x14ac:dyDescent="0.3">
      <c r="A4502">
        <v>13598</v>
      </c>
      <c r="B4502" t="s">
        <v>12</v>
      </c>
      <c r="C4502">
        <v>60</v>
      </c>
      <c r="D4502" t="s">
        <v>15</v>
      </c>
      <c r="E4502" t="s">
        <v>15</v>
      </c>
      <c r="F4502" t="s">
        <v>16</v>
      </c>
      <c r="G4502" t="s">
        <v>18</v>
      </c>
      <c r="H4502" t="s">
        <v>22</v>
      </c>
      <c r="I4502">
        <v>227.23</v>
      </c>
      <c r="J4502">
        <v>40</v>
      </c>
      <c r="K4502" t="s">
        <v>24</v>
      </c>
      <c r="L4502" t="s">
        <v>15</v>
      </c>
    </row>
    <row r="4503" spans="1:12" x14ac:dyDescent="0.3">
      <c r="A4503">
        <v>24246</v>
      </c>
      <c r="B4503" t="s">
        <v>12</v>
      </c>
      <c r="C4503">
        <v>7</v>
      </c>
      <c r="D4503" t="s">
        <v>15</v>
      </c>
      <c r="E4503" t="s">
        <v>15</v>
      </c>
      <c r="F4503" t="s">
        <v>15</v>
      </c>
      <c r="G4503" t="s">
        <v>20</v>
      </c>
      <c r="H4503" t="s">
        <v>22</v>
      </c>
      <c r="I4503">
        <v>77.760000000000005</v>
      </c>
      <c r="J4503">
        <v>18.100000000000001</v>
      </c>
      <c r="K4503" t="s">
        <v>27</v>
      </c>
      <c r="L4503" t="s">
        <v>15</v>
      </c>
    </row>
    <row r="4504" spans="1:12" x14ac:dyDescent="0.3">
      <c r="A4504">
        <v>29276</v>
      </c>
      <c r="B4504" t="s">
        <v>12</v>
      </c>
      <c r="C4504">
        <v>3</v>
      </c>
      <c r="D4504" t="s">
        <v>15</v>
      </c>
      <c r="E4504" t="s">
        <v>15</v>
      </c>
      <c r="F4504" t="s">
        <v>15</v>
      </c>
      <c r="G4504" t="s">
        <v>20</v>
      </c>
      <c r="H4504" t="s">
        <v>22</v>
      </c>
      <c r="I4504">
        <v>72.760000000000005</v>
      </c>
      <c r="J4504">
        <v>18.8</v>
      </c>
      <c r="K4504" t="s">
        <v>27</v>
      </c>
      <c r="L4504" t="s">
        <v>15</v>
      </c>
    </row>
    <row r="4505" spans="1:12" x14ac:dyDescent="0.3">
      <c r="A4505">
        <v>20979</v>
      </c>
      <c r="B4505" t="s">
        <v>13</v>
      </c>
      <c r="C4505">
        <v>39</v>
      </c>
      <c r="D4505" t="s">
        <v>15</v>
      </c>
      <c r="E4505" t="s">
        <v>15</v>
      </c>
      <c r="F4505" t="s">
        <v>15</v>
      </c>
      <c r="G4505" t="s">
        <v>17</v>
      </c>
      <c r="H4505" t="s">
        <v>23</v>
      </c>
      <c r="I4505">
        <v>90.11</v>
      </c>
      <c r="J4505">
        <v>23.6</v>
      </c>
      <c r="K4505" t="s">
        <v>25</v>
      </c>
      <c r="L4505" t="s">
        <v>15</v>
      </c>
    </row>
    <row r="4506" spans="1:12" x14ac:dyDescent="0.3">
      <c r="A4506">
        <v>46048</v>
      </c>
      <c r="B4506" t="s">
        <v>12</v>
      </c>
      <c r="C4506">
        <v>60</v>
      </c>
      <c r="D4506" t="s">
        <v>15</v>
      </c>
      <c r="E4506" t="s">
        <v>15</v>
      </c>
      <c r="F4506" t="s">
        <v>16</v>
      </c>
      <c r="G4506" t="s">
        <v>19</v>
      </c>
      <c r="H4506" t="s">
        <v>23</v>
      </c>
      <c r="I4506">
        <v>203.27</v>
      </c>
      <c r="J4506">
        <v>29.7</v>
      </c>
      <c r="K4506" t="s">
        <v>25</v>
      </c>
      <c r="L4506" t="s">
        <v>15</v>
      </c>
    </row>
    <row r="4507" spans="1:12" x14ac:dyDescent="0.3">
      <c r="A4507">
        <v>35217</v>
      </c>
      <c r="B4507" t="s">
        <v>13</v>
      </c>
      <c r="C4507">
        <v>60</v>
      </c>
      <c r="D4507" t="s">
        <v>16</v>
      </c>
      <c r="E4507" t="s">
        <v>15</v>
      </c>
      <c r="F4507" t="s">
        <v>16</v>
      </c>
      <c r="G4507" t="s">
        <v>17</v>
      </c>
      <c r="H4507" t="s">
        <v>22</v>
      </c>
      <c r="I4507">
        <v>234.5</v>
      </c>
      <c r="J4507">
        <v>43.7</v>
      </c>
      <c r="K4507" t="s">
        <v>25</v>
      </c>
      <c r="L4507" t="s">
        <v>15</v>
      </c>
    </row>
    <row r="4508" spans="1:12" x14ac:dyDescent="0.3">
      <c r="A4508">
        <v>11816</v>
      </c>
      <c r="B4508" t="s">
        <v>13</v>
      </c>
      <c r="C4508">
        <v>46</v>
      </c>
      <c r="D4508" t="s">
        <v>15</v>
      </c>
      <c r="E4508" t="s">
        <v>15</v>
      </c>
      <c r="F4508" t="s">
        <v>16</v>
      </c>
      <c r="G4508" t="s">
        <v>18</v>
      </c>
      <c r="H4508" t="s">
        <v>22</v>
      </c>
      <c r="I4508">
        <v>71.12</v>
      </c>
      <c r="J4508">
        <v>27.3</v>
      </c>
      <c r="K4508" t="s">
        <v>25</v>
      </c>
      <c r="L4508" t="s">
        <v>15</v>
      </c>
    </row>
    <row r="4509" spans="1:12" x14ac:dyDescent="0.3">
      <c r="A4509">
        <v>48721</v>
      </c>
      <c r="B4509" t="s">
        <v>12</v>
      </c>
      <c r="C4509">
        <v>26</v>
      </c>
      <c r="D4509" t="s">
        <v>15</v>
      </c>
      <c r="E4509" t="s">
        <v>15</v>
      </c>
      <c r="F4509" t="s">
        <v>15</v>
      </c>
      <c r="G4509" t="s">
        <v>17</v>
      </c>
      <c r="H4509" t="s">
        <v>22</v>
      </c>
      <c r="I4509">
        <v>190.67</v>
      </c>
      <c r="J4509">
        <v>20.2</v>
      </c>
      <c r="K4509" t="s">
        <v>25</v>
      </c>
      <c r="L4509" t="s">
        <v>15</v>
      </c>
    </row>
    <row r="4510" spans="1:12" x14ac:dyDescent="0.3">
      <c r="A4510">
        <v>24163</v>
      </c>
      <c r="B4510" t="s">
        <v>13</v>
      </c>
      <c r="C4510">
        <v>12</v>
      </c>
      <c r="D4510" t="s">
        <v>15</v>
      </c>
      <c r="E4510" t="s">
        <v>15</v>
      </c>
      <c r="F4510" t="s">
        <v>15</v>
      </c>
      <c r="G4510" t="s">
        <v>20</v>
      </c>
      <c r="H4510" t="s">
        <v>23</v>
      </c>
      <c r="I4510">
        <v>116.04</v>
      </c>
      <c r="J4510">
        <v>23.8</v>
      </c>
      <c r="K4510" t="s">
        <v>27</v>
      </c>
      <c r="L4510" t="s">
        <v>15</v>
      </c>
    </row>
    <row r="4511" spans="1:12" x14ac:dyDescent="0.3">
      <c r="A4511">
        <v>8022</v>
      </c>
      <c r="B4511" t="s">
        <v>12</v>
      </c>
      <c r="C4511">
        <v>16</v>
      </c>
      <c r="D4511" t="s">
        <v>15</v>
      </c>
      <c r="E4511" t="s">
        <v>15</v>
      </c>
      <c r="F4511" t="s">
        <v>15</v>
      </c>
      <c r="G4511" t="s">
        <v>17</v>
      </c>
      <c r="H4511" t="s">
        <v>22</v>
      </c>
      <c r="I4511">
        <v>82.95</v>
      </c>
      <c r="J4511">
        <v>21.4</v>
      </c>
      <c r="K4511" t="s">
        <v>25</v>
      </c>
      <c r="L4511" t="s">
        <v>15</v>
      </c>
    </row>
    <row r="4512" spans="1:12" x14ac:dyDescent="0.3">
      <c r="A4512">
        <v>10950</v>
      </c>
      <c r="B4512" t="s">
        <v>13</v>
      </c>
      <c r="C4512">
        <v>2</v>
      </c>
      <c r="D4512" t="s">
        <v>15</v>
      </c>
      <c r="E4512" t="s">
        <v>15</v>
      </c>
      <c r="F4512" t="s">
        <v>15</v>
      </c>
      <c r="G4512" t="s">
        <v>20</v>
      </c>
      <c r="H4512" t="s">
        <v>22</v>
      </c>
      <c r="I4512">
        <v>112.75</v>
      </c>
      <c r="J4512">
        <v>25.1</v>
      </c>
      <c r="K4512" t="s">
        <v>27</v>
      </c>
      <c r="L4512" t="s">
        <v>15</v>
      </c>
    </row>
    <row r="4513" spans="1:12" x14ac:dyDescent="0.3">
      <c r="A4513">
        <v>21830</v>
      </c>
      <c r="B4513" t="s">
        <v>13</v>
      </c>
      <c r="C4513">
        <v>82</v>
      </c>
      <c r="D4513" t="s">
        <v>15</v>
      </c>
      <c r="E4513" t="s">
        <v>15</v>
      </c>
      <c r="F4513" t="s">
        <v>16</v>
      </c>
      <c r="G4513" t="s">
        <v>17</v>
      </c>
      <c r="H4513" t="s">
        <v>22</v>
      </c>
      <c r="I4513">
        <v>82.63</v>
      </c>
      <c r="J4513">
        <v>17.899999999999999</v>
      </c>
      <c r="K4513" t="s">
        <v>26</v>
      </c>
      <c r="L4513" t="s">
        <v>15</v>
      </c>
    </row>
    <row r="4514" spans="1:12" x14ac:dyDescent="0.3">
      <c r="A4514">
        <v>26594</v>
      </c>
      <c r="B4514" t="s">
        <v>13</v>
      </c>
      <c r="C4514">
        <v>32</v>
      </c>
      <c r="D4514" t="s">
        <v>15</v>
      </c>
      <c r="E4514" t="s">
        <v>15</v>
      </c>
      <c r="F4514" t="s">
        <v>16</v>
      </c>
      <c r="G4514" t="s">
        <v>17</v>
      </c>
      <c r="H4514" t="s">
        <v>22</v>
      </c>
      <c r="I4514">
        <v>92.75</v>
      </c>
      <c r="J4514">
        <v>34.5</v>
      </c>
      <c r="K4514" t="s">
        <v>26</v>
      </c>
      <c r="L4514" t="s">
        <v>15</v>
      </c>
    </row>
    <row r="4515" spans="1:12" x14ac:dyDescent="0.3">
      <c r="A4515">
        <v>14789</v>
      </c>
      <c r="B4515" t="s">
        <v>13</v>
      </c>
      <c r="C4515">
        <v>62</v>
      </c>
      <c r="D4515" t="s">
        <v>15</v>
      </c>
      <c r="E4515" t="s">
        <v>15</v>
      </c>
      <c r="F4515" t="s">
        <v>16</v>
      </c>
      <c r="G4515" t="s">
        <v>17</v>
      </c>
      <c r="H4515" t="s">
        <v>23</v>
      </c>
      <c r="I4515">
        <v>117.63</v>
      </c>
      <c r="J4515">
        <v>27.1</v>
      </c>
      <c r="K4515" t="s">
        <v>24</v>
      </c>
      <c r="L4515" t="s">
        <v>15</v>
      </c>
    </row>
    <row r="4516" spans="1:12" x14ac:dyDescent="0.3">
      <c r="A4516">
        <v>46670</v>
      </c>
      <c r="B4516" t="s">
        <v>13</v>
      </c>
      <c r="C4516">
        <v>75</v>
      </c>
      <c r="D4516" t="s">
        <v>16</v>
      </c>
      <c r="E4516" t="s">
        <v>15</v>
      </c>
      <c r="F4516" t="s">
        <v>16</v>
      </c>
      <c r="G4516" t="s">
        <v>18</v>
      </c>
      <c r="H4516" t="s">
        <v>23</v>
      </c>
      <c r="I4516">
        <v>197.06</v>
      </c>
      <c r="J4516">
        <v>26.1</v>
      </c>
      <c r="K4516" t="s">
        <v>25</v>
      </c>
      <c r="L4516" t="s">
        <v>15</v>
      </c>
    </row>
    <row r="4517" spans="1:12" x14ac:dyDescent="0.3">
      <c r="A4517">
        <v>31426</v>
      </c>
      <c r="B4517" t="s">
        <v>13</v>
      </c>
      <c r="C4517">
        <v>81</v>
      </c>
      <c r="D4517" t="s">
        <v>16</v>
      </c>
      <c r="E4517" t="s">
        <v>15</v>
      </c>
      <c r="F4517" t="s">
        <v>16</v>
      </c>
      <c r="G4517" t="s">
        <v>19</v>
      </c>
      <c r="H4517" t="s">
        <v>22</v>
      </c>
      <c r="I4517">
        <v>216.07</v>
      </c>
      <c r="J4517">
        <v>43.4</v>
      </c>
      <c r="K4517" t="s">
        <v>25</v>
      </c>
      <c r="L4517" t="s">
        <v>15</v>
      </c>
    </row>
    <row r="4518" spans="1:12" x14ac:dyDescent="0.3">
      <c r="A4518">
        <v>64435</v>
      </c>
      <c r="B4518" t="s">
        <v>13</v>
      </c>
      <c r="C4518">
        <v>37</v>
      </c>
      <c r="D4518" t="s">
        <v>15</v>
      </c>
      <c r="E4518" t="s">
        <v>15</v>
      </c>
      <c r="F4518" t="s">
        <v>16</v>
      </c>
      <c r="G4518" t="s">
        <v>17</v>
      </c>
      <c r="H4518" t="s">
        <v>23</v>
      </c>
      <c r="I4518">
        <v>76.03</v>
      </c>
      <c r="J4518">
        <v>33.200000000000003</v>
      </c>
      <c r="K4518" t="s">
        <v>25</v>
      </c>
      <c r="L4518" t="s">
        <v>15</v>
      </c>
    </row>
    <row r="4519" spans="1:12" x14ac:dyDescent="0.3">
      <c r="A4519">
        <v>68789</v>
      </c>
      <c r="B4519" t="s">
        <v>13</v>
      </c>
      <c r="C4519">
        <v>28</v>
      </c>
      <c r="D4519" t="s">
        <v>15</v>
      </c>
      <c r="E4519" t="s">
        <v>15</v>
      </c>
      <c r="F4519" t="s">
        <v>15</v>
      </c>
      <c r="G4519" t="s">
        <v>17</v>
      </c>
      <c r="H4519" t="s">
        <v>22</v>
      </c>
      <c r="I4519">
        <v>62.44</v>
      </c>
      <c r="J4519">
        <v>37.200000000000003</v>
      </c>
      <c r="K4519" t="s">
        <v>27</v>
      </c>
      <c r="L4519" t="s">
        <v>15</v>
      </c>
    </row>
    <row r="4520" spans="1:12" x14ac:dyDescent="0.3">
      <c r="A4520">
        <v>56254</v>
      </c>
      <c r="B4520" t="s">
        <v>13</v>
      </c>
      <c r="C4520">
        <v>25</v>
      </c>
      <c r="D4520" t="s">
        <v>15</v>
      </c>
      <c r="E4520" t="s">
        <v>15</v>
      </c>
      <c r="F4520" t="s">
        <v>15</v>
      </c>
      <c r="G4520" t="s">
        <v>17</v>
      </c>
      <c r="H4520" t="s">
        <v>23</v>
      </c>
      <c r="I4520">
        <v>108.82</v>
      </c>
      <c r="J4520">
        <v>41.3</v>
      </c>
      <c r="K4520" t="s">
        <v>26</v>
      </c>
      <c r="L4520" t="s">
        <v>15</v>
      </c>
    </row>
    <row r="4521" spans="1:12" x14ac:dyDescent="0.3">
      <c r="A4521">
        <v>17478</v>
      </c>
      <c r="B4521" t="s">
        <v>12</v>
      </c>
      <c r="C4521">
        <v>44</v>
      </c>
      <c r="D4521" t="s">
        <v>15</v>
      </c>
      <c r="E4521" t="s">
        <v>15</v>
      </c>
      <c r="F4521" t="s">
        <v>16</v>
      </c>
      <c r="G4521" t="s">
        <v>19</v>
      </c>
      <c r="H4521" t="s">
        <v>22</v>
      </c>
      <c r="I4521">
        <v>101.66</v>
      </c>
      <c r="J4521">
        <v>35.4</v>
      </c>
      <c r="K4521" t="s">
        <v>25</v>
      </c>
      <c r="L4521" t="s">
        <v>15</v>
      </c>
    </row>
    <row r="4522" spans="1:12" x14ac:dyDescent="0.3">
      <c r="A4522">
        <v>59908</v>
      </c>
      <c r="B4522" t="s">
        <v>13</v>
      </c>
      <c r="C4522">
        <v>11</v>
      </c>
      <c r="D4522" t="s">
        <v>15</v>
      </c>
      <c r="E4522" t="s">
        <v>15</v>
      </c>
      <c r="F4522" t="s">
        <v>15</v>
      </c>
      <c r="G4522" t="s">
        <v>20</v>
      </c>
      <c r="H4522" t="s">
        <v>23</v>
      </c>
      <c r="I4522">
        <v>121.15</v>
      </c>
      <c r="J4522">
        <v>26.1</v>
      </c>
      <c r="K4522" t="s">
        <v>27</v>
      </c>
      <c r="L4522" t="s">
        <v>15</v>
      </c>
    </row>
    <row r="4523" spans="1:12" x14ac:dyDescent="0.3">
      <c r="A4523">
        <v>34130</v>
      </c>
      <c r="B4523" t="s">
        <v>12</v>
      </c>
      <c r="C4523">
        <v>54</v>
      </c>
      <c r="D4523" t="s">
        <v>16</v>
      </c>
      <c r="E4523" t="s">
        <v>15</v>
      </c>
      <c r="F4523" t="s">
        <v>16</v>
      </c>
      <c r="G4523" t="s">
        <v>17</v>
      </c>
      <c r="H4523" t="s">
        <v>23</v>
      </c>
      <c r="I4523">
        <v>116.44</v>
      </c>
      <c r="J4523">
        <v>24.5</v>
      </c>
      <c r="K4523" t="s">
        <v>25</v>
      </c>
      <c r="L4523" t="s">
        <v>15</v>
      </c>
    </row>
    <row r="4524" spans="1:12" x14ac:dyDescent="0.3">
      <c r="A4524">
        <v>22282</v>
      </c>
      <c r="B4524" t="s">
        <v>12</v>
      </c>
      <c r="C4524">
        <v>52</v>
      </c>
      <c r="D4524" t="s">
        <v>16</v>
      </c>
      <c r="E4524" t="s">
        <v>15</v>
      </c>
      <c r="F4524" t="s">
        <v>16</v>
      </c>
      <c r="G4524" t="s">
        <v>19</v>
      </c>
      <c r="H4524" t="s">
        <v>23</v>
      </c>
      <c r="I4524">
        <v>116.62</v>
      </c>
      <c r="K4524" t="s">
        <v>26</v>
      </c>
      <c r="L4524" t="s">
        <v>15</v>
      </c>
    </row>
    <row r="4525" spans="1:12" x14ac:dyDescent="0.3">
      <c r="A4525">
        <v>21110</v>
      </c>
      <c r="B4525" t="s">
        <v>13</v>
      </c>
      <c r="C4525">
        <v>43</v>
      </c>
      <c r="D4525" t="s">
        <v>15</v>
      </c>
      <c r="E4525" t="s">
        <v>15</v>
      </c>
      <c r="F4525" t="s">
        <v>16</v>
      </c>
      <c r="G4525" t="s">
        <v>17</v>
      </c>
      <c r="H4525" t="s">
        <v>22</v>
      </c>
      <c r="I4525">
        <v>93.3</v>
      </c>
      <c r="J4525">
        <v>32.700000000000003</v>
      </c>
      <c r="K4525" t="s">
        <v>25</v>
      </c>
      <c r="L4525" t="s">
        <v>15</v>
      </c>
    </row>
    <row r="4526" spans="1:12" x14ac:dyDescent="0.3">
      <c r="A4526">
        <v>71622</v>
      </c>
      <c r="B4526" t="s">
        <v>13</v>
      </c>
      <c r="C4526">
        <v>56</v>
      </c>
      <c r="D4526" t="s">
        <v>15</v>
      </c>
      <c r="E4526" t="s">
        <v>15</v>
      </c>
      <c r="F4526" t="s">
        <v>16</v>
      </c>
      <c r="G4526" t="s">
        <v>17</v>
      </c>
      <c r="H4526" t="s">
        <v>22</v>
      </c>
      <c r="I4526">
        <v>144.33000000000001</v>
      </c>
      <c r="J4526">
        <v>29.2</v>
      </c>
      <c r="K4526" t="s">
        <v>25</v>
      </c>
      <c r="L4526" t="s">
        <v>15</v>
      </c>
    </row>
    <row r="4527" spans="1:12" x14ac:dyDescent="0.3">
      <c r="A4527">
        <v>10056</v>
      </c>
      <c r="B4527" t="s">
        <v>13</v>
      </c>
      <c r="C4527">
        <v>37</v>
      </c>
      <c r="D4527" t="s">
        <v>15</v>
      </c>
      <c r="E4527" t="s">
        <v>15</v>
      </c>
      <c r="F4527" t="s">
        <v>16</v>
      </c>
      <c r="G4527" t="s">
        <v>17</v>
      </c>
      <c r="H4527" t="s">
        <v>22</v>
      </c>
      <c r="I4527">
        <v>98.02</v>
      </c>
      <c r="J4527">
        <v>20.399999999999999</v>
      </c>
      <c r="K4527" t="s">
        <v>25</v>
      </c>
      <c r="L4527" t="s">
        <v>15</v>
      </c>
    </row>
    <row r="4528" spans="1:12" x14ac:dyDescent="0.3">
      <c r="A4528">
        <v>2424</v>
      </c>
      <c r="B4528" t="s">
        <v>12</v>
      </c>
      <c r="C4528">
        <v>60</v>
      </c>
      <c r="D4528" t="s">
        <v>15</v>
      </c>
      <c r="E4528" t="s">
        <v>15</v>
      </c>
      <c r="F4528" t="s">
        <v>16</v>
      </c>
      <c r="G4528" t="s">
        <v>17</v>
      </c>
      <c r="H4528" t="s">
        <v>22</v>
      </c>
      <c r="I4528">
        <v>80.67</v>
      </c>
      <c r="J4528">
        <v>33.5</v>
      </c>
      <c r="K4528" t="s">
        <v>27</v>
      </c>
      <c r="L4528" t="s">
        <v>15</v>
      </c>
    </row>
    <row r="4529" spans="1:12" x14ac:dyDescent="0.3">
      <c r="A4529">
        <v>24736</v>
      </c>
      <c r="B4529" t="s">
        <v>13</v>
      </c>
      <c r="C4529">
        <v>4</v>
      </c>
      <c r="D4529" t="s">
        <v>15</v>
      </c>
      <c r="E4529" t="s">
        <v>15</v>
      </c>
      <c r="F4529" t="s">
        <v>15</v>
      </c>
      <c r="G4529" t="s">
        <v>20</v>
      </c>
      <c r="H4529" t="s">
        <v>22</v>
      </c>
      <c r="I4529">
        <v>94.27</v>
      </c>
      <c r="J4529">
        <v>14</v>
      </c>
      <c r="K4529" t="s">
        <v>27</v>
      </c>
      <c r="L4529" t="s">
        <v>15</v>
      </c>
    </row>
    <row r="4530" spans="1:12" x14ac:dyDescent="0.3">
      <c r="A4530">
        <v>8920</v>
      </c>
      <c r="B4530" t="s">
        <v>13</v>
      </c>
      <c r="C4530">
        <v>51</v>
      </c>
      <c r="D4530" t="s">
        <v>15</v>
      </c>
      <c r="E4530" t="s">
        <v>15</v>
      </c>
      <c r="F4530" t="s">
        <v>16</v>
      </c>
      <c r="G4530" t="s">
        <v>18</v>
      </c>
      <c r="H4530" t="s">
        <v>23</v>
      </c>
      <c r="I4530">
        <v>76.349999999999994</v>
      </c>
      <c r="J4530">
        <v>33.5</v>
      </c>
      <c r="K4530" t="s">
        <v>24</v>
      </c>
      <c r="L4530" t="s">
        <v>15</v>
      </c>
    </row>
    <row r="4531" spans="1:12" x14ac:dyDescent="0.3">
      <c r="A4531">
        <v>62715</v>
      </c>
      <c r="B4531" t="s">
        <v>12</v>
      </c>
      <c r="C4531">
        <v>82</v>
      </c>
      <c r="D4531" t="s">
        <v>15</v>
      </c>
      <c r="E4531" t="s">
        <v>16</v>
      </c>
      <c r="F4531" t="s">
        <v>16</v>
      </c>
      <c r="G4531" t="s">
        <v>17</v>
      </c>
      <c r="H4531" t="s">
        <v>22</v>
      </c>
      <c r="I4531">
        <v>57.56</v>
      </c>
      <c r="J4531">
        <v>27.5</v>
      </c>
      <c r="K4531" t="s">
        <v>25</v>
      </c>
      <c r="L4531" t="s">
        <v>15</v>
      </c>
    </row>
    <row r="4532" spans="1:12" x14ac:dyDescent="0.3">
      <c r="A4532">
        <v>70615</v>
      </c>
      <c r="B4532" t="s">
        <v>13</v>
      </c>
      <c r="C4532">
        <v>56</v>
      </c>
      <c r="D4532" t="s">
        <v>15</v>
      </c>
      <c r="E4532" t="s">
        <v>15</v>
      </c>
      <c r="F4532" t="s">
        <v>16</v>
      </c>
      <c r="G4532" t="s">
        <v>19</v>
      </c>
      <c r="H4532" t="s">
        <v>22</v>
      </c>
      <c r="I4532">
        <v>179.14</v>
      </c>
      <c r="J4532">
        <v>35.299999999999997</v>
      </c>
      <c r="K4532" t="s">
        <v>27</v>
      </c>
      <c r="L4532" t="s">
        <v>15</v>
      </c>
    </row>
    <row r="4533" spans="1:12" x14ac:dyDescent="0.3">
      <c r="A4533">
        <v>43507</v>
      </c>
      <c r="B4533" t="s">
        <v>13</v>
      </c>
      <c r="C4533">
        <v>60</v>
      </c>
      <c r="D4533" t="s">
        <v>15</v>
      </c>
      <c r="E4533" t="s">
        <v>15</v>
      </c>
      <c r="F4533" t="s">
        <v>16</v>
      </c>
      <c r="G4533" t="s">
        <v>17</v>
      </c>
      <c r="H4533" t="s">
        <v>23</v>
      </c>
      <c r="I4533">
        <v>63.49</v>
      </c>
      <c r="J4533">
        <v>30.1</v>
      </c>
      <c r="K4533" t="s">
        <v>25</v>
      </c>
      <c r="L4533" t="s">
        <v>15</v>
      </c>
    </row>
    <row r="4534" spans="1:12" x14ac:dyDescent="0.3">
      <c r="A4534">
        <v>43035</v>
      </c>
      <c r="B4534" t="s">
        <v>12</v>
      </c>
      <c r="C4534">
        <v>35</v>
      </c>
      <c r="D4534" t="s">
        <v>15</v>
      </c>
      <c r="E4534" t="s">
        <v>15</v>
      </c>
      <c r="F4534" t="s">
        <v>16</v>
      </c>
      <c r="G4534" t="s">
        <v>17</v>
      </c>
      <c r="H4534" t="s">
        <v>23</v>
      </c>
      <c r="I4534">
        <v>145.18</v>
      </c>
      <c r="J4534">
        <v>32.6</v>
      </c>
      <c r="K4534" t="s">
        <v>26</v>
      </c>
      <c r="L4534" t="s">
        <v>15</v>
      </c>
    </row>
    <row r="4535" spans="1:12" x14ac:dyDescent="0.3">
      <c r="A4535">
        <v>44799</v>
      </c>
      <c r="B4535" t="s">
        <v>13</v>
      </c>
      <c r="C4535">
        <v>32</v>
      </c>
      <c r="D4535" t="s">
        <v>15</v>
      </c>
      <c r="E4535" t="s">
        <v>15</v>
      </c>
      <c r="F4535" t="s">
        <v>16</v>
      </c>
      <c r="G4535" t="s">
        <v>17</v>
      </c>
      <c r="H4535" t="s">
        <v>23</v>
      </c>
      <c r="I4535">
        <v>66.3</v>
      </c>
      <c r="J4535">
        <v>47.5</v>
      </c>
      <c r="K4535" t="s">
        <v>25</v>
      </c>
      <c r="L4535" t="s">
        <v>15</v>
      </c>
    </row>
    <row r="4536" spans="1:12" x14ac:dyDescent="0.3">
      <c r="A4536">
        <v>49053</v>
      </c>
      <c r="B4536" t="s">
        <v>13</v>
      </c>
      <c r="C4536">
        <v>45</v>
      </c>
      <c r="D4536" t="s">
        <v>15</v>
      </c>
      <c r="E4536" t="s">
        <v>15</v>
      </c>
      <c r="F4536" t="s">
        <v>15</v>
      </c>
      <c r="G4536" t="s">
        <v>17</v>
      </c>
      <c r="H4536" t="s">
        <v>23</v>
      </c>
      <c r="I4536">
        <v>120.56</v>
      </c>
      <c r="J4536">
        <v>31.6</v>
      </c>
      <c r="K4536" t="s">
        <v>25</v>
      </c>
      <c r="L4536" t="s">
        <v>15</v>
      </c>
    </row>
    <row r="4537" spans="1:12" x14ac:dyDescent="0.3">
      <c r="A4537">
        <v>33102</v>
      </c>
      <c r="B4537" t="s">
        <v>12</v>
      </c>
      <c r="C4537">
        <v>10</v>
      </c>
      <c r="D4537" t="s">
        <v>15</v>
      </c>
      <c r="E4537" t="s">
        <v>15</v>
      </c>
      <c r="F4537" t="s">
        <v>15</v>
      </c>
      <c r="G4537" t="s">
        <v>20</v>
      </c>
      <c r="H4537" t="s">
        <v>23</v>
      </c>
      <c r="I4537">
        <v>69.2</v>
      </c>
      <c r="J4537">
        <v>23.5</v>
      </c>
      <c r="K4537" t="s">
        <v>24</v>
      </c>
      <c r="L4537" t="s">
        <v>15</v>
      </c>
    </row>
    <row r="4538" spans="1:12" x14ac:dyDescent="0.3">
      <c r="A4538">
        <v>59405</v>
      </c>
      <c r="B4538" t="s">
        <v>13</v>
      </c>
      <c r="C4538">
        <v>68</v>
      </c>
      <c r="D4538" t="s">
        <v>16</v>
      </c>
      <c r="E4538" t="s">
        <v>15</v>
      </c>
      <c r="F4538" t="s">
        <v>16</v>
      </c>
      <c r="G4538" t="s">
        <v>17</v>
      </c>
      <c r="H4538" t="s">
        <v>22</v>
      </c>
      <c r="I4538">
        <v>150.74</v>
      </c>
      <c r="J4538">
        <v>40.299999999999997</v>
      </c>
      <c r="K4538" t="s">
        <v>27</v>
      </c>
      <c r="L4538" t="s">
        <v>15</v>
      </c>
    </row>
    <row r="4539" spans="1:12" x14ac:dyDescent="0.3">
      <c r="A4539">
        <v>18283</v>
      </c>
      <c r="B4539" t="s">
        <v>13</v>
      </c>
      <c r="C4539">
        <v>51</v>
      </c>
      <c r="D4539" t="s">
        <v>15</v>
      </c>
      <c r="E4539" t="s">
        <v>15</v>
      </c>
      <c r="F4539" t="s">
        <v>16</v>
      </c>
      <c r="G4539" t="s">
        <v>19</v>
      </c>
      <c r="H4539" t="s">
        <v>22</v>
      </c>
      <c r="I4539">
        <v>81.38</v>
      </c>
      <c r="J4539">
        <v>34.1</v>
      </c>
      <c r="K4539" t="s">
        <v>26</v>
      </c>
      <c r="L4539" t="s">
        <v>15</v>
      </c>
    </row>
    <row r="4540" spans="1:12" x14ac:dyDescent="0.3">
      <c r="A4540">
        <v>4929</v>
      </c>
      <c r="B4540" t="s">
        <v>12</v>
      </c>
      <c r="C4540">
        <v>8</v>
      </c>
      <c r="D4540" t="s">
        <v>15</v>
      </c>
      <c r="E4540" t="s">
        <v>15</v>
      </c>
      <c r="F4540" t="s">
        <v>15</v>
      </c>
      <c r="G4540" t="s">
        <v>20</v>
      </c>
      <c r="H4540" t="s">
        <v>22</v>
      </c>
      <c r="I4540">
        <v>78.48</v>
      </c>
      <c r="J4540">
        <v>16.100000000000001</v>
      </c>
      <c r="K4540" t="s">
        <v>27</v>
      </c>
      <c r="L4540" t="s">
        <v>15</v>
      </c>
    </row>
    <row r="4541" spans="1:12" x14ac:dyDescent="0.3">
      <c r="A4541">
        <v>37289</v>
      </c>
      <c r="B4541" t="s">
        <v>13</v>
      </c>
      <c r="C4541">
        <v>63</v>
      </c>
      <c r="D4541" t="s">
        <v>15</v>
      </c>
      <c r="E4541" t="s">
        <v>15</v>
      </c>
      <c r="F4541" t="s">
        <v>16</v>
      </c>
      <c r="G4541" t="s">
        <v>18</v>
      </c>
      <c r="H4541" t="s">
        <v>23</v>
      </c>
      <c r="I4541">
        <v>203.87</v>
      </c>
      <c r="J4541">
        <v>26.4</v>
      </c>
      <c r="K4541" t="s">
        <v>25</v>
      </c>
      <c r="L4541" t="s">
        <v>15</v>
      </c>
    </row>
    <row r="4542" spans="1:12" x14ac:dyDescent="0.3">
      <c r="A4542">
        <v>6202</v>
      </c>
      <c r="B4542" t="s">
        <v>12</v>
      </c>
      <c r="C4542">
        <v>4</v>
      </c>
      <c r="D4542" t="s">
        <v>15</v>
      </c>
      <c r="E4542" t="s">
        <v>15</v>
      </c>
      <c r="F4542" t="s">
        <v>15</v>
      </c>
      <c r="G4542" t="s">
        <v>20</v>
      </c>
      <c r="H4542" t="s">
        <v>22</v>
      </c>
      <c r="I4542">
        <v>87</v>
      </c>
      <c r="J4542">
        <v>19</v>
      </c>
      <c r="K4542" t="s">
        <v>27</v>
      </c>
      <c r="L4542" t="s">
        <v>15</v>
      </c>
    </row>
    <row r="4543" spans="1:12" x14ac:dyDescent="0.3">
      <c r="A4543">
        <v>24106</v>
      </c>
      <c r="B4543" t="s">
        <v>13</v>
      </c>
      <c r="C4543">
        <v>33</v>
      </c>
      <c r="D4543" t="s">
        <v>15</v>
      </c>
      <c r="E4543" t="s">
        <v>15</v>
      </c>
      <c r="F4543" t="s">
        <v>16</v>
      </c>
      <c r="G4543" t="s">
        <v>17</v>
      </c>
      <c r="H4543" t="s">
        <v>23</v>
      </c>
      <c r="I4543">
        <v>84.68</v>
      </c>
      <c r="J4543">
        <v>34.700000000000003</v>
      </c>
      <c r="K4543" t="s">
        <v>24</v>
      </c>
      <c r="L4543" t="s">
        <v>15</v>
      </c>
    </row>
    <row r="4544" spans="1:12" x14ac:dyDescent="0.3">
      <c r="A4544">
        <v>32126</v>
      </c>
      <c r="B4544" t="s">
        <v>13</v>
      </c>
      <c r="C4544">
        <v>56</v>
      </c>
      <c r="D4544" t="s">
        <v>15</v>
      </c>
      <c r="E4544" t="s">
        <v>16</v>
      </c>
      <c r="F4544" t="s">
        <v>16</v>
      </c>
      <c r="G4544" t="s">
        <v>17</v>
      </c>
      <c r="H4544" t="s">
        <v>22</v>
      </c>
      <c r="I4544">
        <v>91.89</v>
      </c>
      <c r="J4544">
        <v>23.3</v>
      </c>
      <c r="K4544" t="s">
        <v>26</v>
      </c>
      <c r="L4544" t="s">
        <v>15</v>
      </c>
    </row>
    <row r="4545" spans="1:12" x14ac:dyDescent="0.3">
      <c r="A4545">
        <v>56322</v>
      </c>
      <c r="B4545" t="s">
        <v>12</v>
      </c>
      <c r="C4545">
        <v>49</v>
      </c>
      <c r="D4545" t="s">
        <v>15</v>
      </c>
      <c r="E4545" t="s">
        <v>16</v>
      </c>
      <c r="F4545" t="s">
        <v>16</v>
      </c>
      <c r="G4545" t="s">
        <v>19</v>
      </c>
      <c r="H4545" t="s">
        <v>23</v>
      </c>
      <c r="I4545">
        <v>88.97</v>
      </c>
      <c r="J4545">
        <v>32.6</v>
      </c>
      <c r="K4545" t="s">
        <v>25</v>
      </c>
      <c r="L4545" t="s">
        <v>15</v>
      </c>
    </row>
    <row r="4546" spans="1:12" x14ac:dyDescent="0.3">
      <c r="A4546">
        <v>54869</v>
      </c>
      <c r="B4546" t="s">
        <v>13</v>
      </c>
      <c r="C4546">
        <v>30</v>
      </c>
      <c r="D4546" t="s">
        <v>15</v>
      </c>
      <c r="E4546" t="s">
        <v>15</v>
      </c>
      <c r="F4546" t="s">
        <v>16</v>
      </c>
      <c r="G4546" t="s">
        <v>17</v>
      </c>
      <c r="H4546" t="s">
        <v>22</v>
      </c>
      <c r="I4546">
        <v>116.98</v>
      </c>
      <c r="J4546">
        <v>26</v>
      </c>
      <c r="K4546" t="s">
        <v>25</v>
      </c>
      <c r="L4546" t="s">
        <v>15</v>
      </c>
    </row>
    <row r="4547" spans="1:12" x14ac:dyDescent="0.3">
      <c r="A4547">
        <v>40887</v>
      </c>
      <c r="B4547" t="s">
        <v>12</v>
      </c>
      <c r="C4547">
        <v>16</v>
      </c>
      <c r="D4547" t="s">
        <v>15</v>
      </c>
      <c r="E4547" t="s">
        <v>15</v>
      </c>
      <c r="F4547" t="s">
        <v>15</v>
      </c>
      <c r="G4547" t="s">
        <v>20</v>
      </c>
      <c r="H4547" t="s">
        <v>22</v>
      </c>
      <c r="I4547">
        <v>135.82</v>
      </c>
      <c r="J4547">
        <v>35.1</v>
      </c>
      <c r="K4547" t="s">
        <v>25</v>
      </c>
      <c r="L4547" t="s">
        <v>15</v>
      </c>
    </row>
    <row r="4548" spans="1:12" x14ac:dyDescent="0.3">
      <c r="A4548">
        <v>29764</v>
      </c>
      <c r="B4548" t="s">
        <v>13</v>
      </c>
      <c r="C4548">
        <v>1.8</v>
      </c>
      <c r="D4548" t="s">
        <v>15</v>
      </c>
      <c r="E4548" t="s">
        <v>15</v>
      </c>
      <c r="F4548" t="s">
        <v>15</v>
      </c>
      <c r="G4548" t="s">
        <v>20</v>
      </c>
      <c r="H4548" t="s">
        <v>23</v>
      </c>
      <c r="I4548">
        <v>96.62</v>
      </c>
      <c r="J4548">
        <v>18.600000000000001</v>
      </c>
      <c r="K4548" t="s">
        <v>27</v>
      </c>
      <c r="L4548" t="s">
        <v>15</v>
      </c>
    </row>
    <row r="4549" spans="1:12" x14ac:dyDescent="0.3">
      <c r="A4549">
        <v>38287</v>
      </c>
      <c r="B4549" t="s">
        <v>12</v>
      </c>
      <c r="C4549">
        <v>54</v>
      </c>
      <c r="D4549" t="s">
        <v>15</v>
      </c>
      <c r="E4549" t="s">
        <v>15</v>
      </c>
      <c r="F4549" t="s">
        <v>16</v>
      </c>
      <c r="G4549" t="s">
        <v>17</v>
      </c>
      <c r="H4549" t="s">
        <v>23</v>
      </c>
      <c r="I4549">
        <v>106.53</v>
      </c>
      <c r="J4549">
        <v>30.4</v>
      </c>
      <c r="K4549" t="s">
        <v>24</v>
      </c>
      <c r="L4549" t="s">
        <v>15</v>
      </c>
    </row>
    <row r="4550" spans="1:12" x14ac:dyDescent="0.3">
      <c r="A4550">
        <v>53426</v>
      </c>
      <c r="B4550" t="s">
        <v>12</v>
      </c>
      <c r="C4550">
        <v>49</v>
      </c>
      <c r="D4550" t="s">
        <v>15</v>
      </c>
      <c r="E4550" t="s">
        <v>15</v>
      </c>
      <c r="F4550" t="s">
        <v>16</v>
      </c>
      <c r="G4550" t="s">
        <v>17</v>
      </c>
      <c r="H4550" t="s">
        <v>23</v>
      </c>
      <c r="I4550">
        <v>58.42</v>
      </c>
      <c r="J4550">
        <v>32.799999999999997</v>
      </c>
      <c r="K4550" t="s">
        <v>24</v>
      </c>
      <c r="L4550" t="s">
        <v>15</v>
      </c>
    </row>
    <row r="4551" spans="1:12" x14ac:dyDescent="0.3">
      <c r="A4551">
        <v>14943</v>
      </c>
      <c r="B4551" t="s">
        <v>13</v>
      </c>
      <c r="C4551">
        <v>17</v>
      </c>
      <c r="D4551" t="s">
        <v>15</v>
      </c>
      <c r="E4551" t="s">
        <v>15</v>
      </c>
      <c r="F4551" t="s">
        <v>15</v>
      </c>
      <c r="G4551" t="s">
        <v>17</v>
      </c>
      <c r="H4551" t="s">
        <v>23</v>
      </c>
      <c r="I4551">
        <v>79.62</v>
      </c>
      <c r="J4551">
        <v>21.6</v>
      </c>
      <c r="K4551" t="s">
        <v>25</v>
      </c>
      <c r="L4551" t="s">
        <v>15</v>
      </c>
    </row>
    <row r="4552" spans="1:12" x14ac:dyDescent="0.3">
      <c r="A4552">
        <v>65351</v>
      </c>
      <c r="B4552" t="s">
        <v>12</v>
      </c>
      <c r="C4552">
        <v>11</v>
      </c>
      <c r="D4552" t="s">
        <v>15</v>
      </c>
      <c r="E4552" t="s">
        <v>15</v>
      </c>
      <c r="F4552" t="s">
        <v>15</v>
      </c>
      <c r="G4552" t="s">
        <v>20</v>
      </c>
      <c r="H4552" t="s">
        <v>22</v>
      </c>
      <c r="I4552">
        <v>141.84</v>
      </c>
      <c r="J4552">
        <v>23.3</v>
      </c>
      <c r="K4552" t="s">
        <v>27</v>
      </c>
      <c r="L4552" t="s">
        <v>15</v>
      </c>
    </row>
    <row r="4553" spans="1:12" x14ac:dyDescent="0.3">
      <c r="A4553">
        <v>61830</v>
      </c>
      <c r="B4553" t="s">
        <v>12</v>
      </c>
      <c r="C4553">
        <v>51</v>
      </c>
      <c r="D4553" t="s">
        <v>15</v>
      </c>
      <c r="E4553" t="s">
        <v>15</v>
      </c>
      <c r="F4553" t="s">
        <v>16</v>
      </c>
      <c r="G4553" t="s">
        <v>17</v>
      </c>
      <c r="H4553" t="s">
        <v>23</v>
      </c>
      <c r="I4553">
        <v>78.05</v>
      </c>
      <c r="J4553">
        <v>31.4</v>
      </c>
      <c r="K4553" t="s">
        <v>25</v>
      </c>
      <c r="L4553" t="s">
        <v>15</v>
      </c>
    </row>
    <row r="4554" spans="1:12" x14ac:dyDescent="0.3">
      <c r="A4554">
        <v>71777</v>
      </c>
      <c r="B4554" t="s">
        <v>12</v>
      </c>
      <c r="C4554">
        <v>74</v>
      </c>
      <c r="D4554" t="s">
        <v>16</v>
      </c>
      <c r="E4554" t="s">
        <v>16</v>
      </c>
      <c r="F4554" t="s">
        <v>16</v>
      </c>
      <c r="G4554" t="s">
        <v>17</v>
      </c>
      <c r="H4554" t="s">
        <v>23</v>
      </c>
      <c r="I4554">
        <v>77.16</v>
      </c>
      <c r="J4554">
        <v>26.3</v>
      </c>
      <c r="K4554" t="s">
        <v>25</v>
      </c>
      <c r="L4554" t="s">
        <v>15</v>
      </c>
    </row>
    <row r="4555" spans="1:12" x14ac:dyDescent="0.3">
      <c r="A4555">
        <v>69059</v>
      </c>
      <c r="B4555" t="s">
        <v>13</v>
      </c>
      <c r="C4555">
        <v>42</v>
      </c>
      <c r="D4555" t="s">
        <v>15</v>
      </c>
      <c r="E4555" t="s">
        <v>15</v>
      </c>
      <c r="F4555" t="s">
        <v>16</v>
      </c>
      <c r="G4555" t="s">
        <v>17</v>
      </c>
      <c r="H4555" t="s">
        <v>22</v>
      </c>
      <c r="I4555">
        <v>86.3</v>
      </c>
      <c r="J4555">
        <v>20.100000000000001</v>
      </c>
      <c r="K4555" t="s">
        <v>25</v>
      </c>
      <c r="L4555" t="s">
        <v>15</v>
      </c>
    </row>
    <row r="4556" spans="1:12" x14ac:dyDescent="0.3">
      <c r="A4556">
        <v>11908</v>
      </c>
      <c r="B4556" t="s">
        <v>13</v>
      </c>
      <c r="C4556">
        <v>69</v>
      </c>
      <c r="D4556" t="s">
        <v>15</v>
      </c>
      <c r="E4556" t="s">
        <v>15</v>
      </c>
      <c r="F4556" t="s">
        <v>16</v>
      </c>
      <c r="G4556" t="s">
        <v>18</v>
      </c>
      <c r="H4556" t="s">
        <v>22</v>
      </c>
      <c r="I4556">
        <v>83.55</v>
      </c>
      <c r="J4556">
        <v>28.3</v>
      </c>
      <c r="K4556" t="s">
        <v>24</v>
      </c>
      <c r="L4556" t="s">
        <v>15</v>
      </c>
    </row>
    <row r="4557" spans="1:12" x14ac:dyDescent="0.3">
      <c r="A4557">
        <v>24955</v>
      </c>
      <c r="B4557" t="s">
        <v>13</v>
      </c>
      <c r="C4557">
        <v>22</v>
      </c>
      <c r="D4557" t="s">
        <v>15</v>
      </c>
      <c r="E4557" t="s">
        <v>15</v>
      </c>
      <c r="F4557" t="s">
        <v>15</v>
      </c>
      <c r="G4557" t="s">
        <v>17</v>
      </c>
      <c r="H4557" t="s">
        <v>23</v>
      </c>
      <c r="I4557">
        <v>102</v>
      </c>
      <c r="J4557">
        <v>40.4</v>
      </c>
      <c r="K4557" t="s">
        <v>26</v>
      </c>
      <c r="L4557" t="s">
        <v>15</v>
      </c>
    </row>
    <row r="4558" spans="1:12" x14ac:dyDescent="0.3">
      <c r="A4558">
        <v>61477</v>
      </c>
      <c r="B4558" t="s">
        <v>13</v>
      </c>
      <c r="C4558">
        <v>25</v>
      </c>
      <c r="D4558" t="s">
        <v>15</v>
      </c>
      <c r="E4558" t="s">
        <v>15</v>
      </c>
      <c r="F4558" t="s">
        <v>15</v>
      </c>
      <c r="G4558" t="s">
        <v>17</v>
      </c>
      <c r="H4558" t="s">
        <v>22</v>
      </c>
      <c r="I4558">
        <v>68.069999999999993</v>
      </c>
      <c r="J4558">
        <v>18.600000000000001</v>
      </c>
      <c r="K4558" t="s">
        <v>26</v>
      </c>
      <c r="L4558" t="s">
        <v>15</v>
      </c>
    </row>
    <row r="4559" spans="1:12" x14ac:dyDescent="0.3">
      <c r="A4559">
        <v>724</v>
      </c>
      <c r="B4559" t="s">
        <v>12</v>
      </c>
      <c r="C4559">
        <v>17</v>
      </c>
      <c r="D4559" t="s">
        <v>15</v>
      </c>
      <c r="E4559" t="s">
        <v>15</v>
      </c>
      <c r="F4559" t="s">
        <v>15</v>
      </c>
      <c r="G4559" t="s">
        <v>17</v>
      </c>
      <c r="H4559" t="s">
        <v>23</v>
      </c>
      <c r="I4559">
        <v>81.77</v>
      </c>
      <c r="J4559">
        <v>44.7</v>
      </c>
      <c r="K4559" t="s">
        <v>25</v>
      </c>
      <c r="L4559" t="s">
        <v>15</v>
      </c>
    </row>
    <row r="4560" spans="1:12" x14ac:dyDescent="0.3">
      <c r="A4560">
        <v>22614</v>
      </c>
      <c r="B4560" t="s">
        <v>12</v>
      </c>
      <c r="C4560">
        <v>64</v>
      </c>
      <c r="D4560" t="s">
        <v>15</v>
      </c>
      <c r="E4560" t="s">
        <v>15</v>
      </c>
      <c r="F4560" t="s">
        <v>15</v>
      </c>
      <c r="G4560" t="s">
        <v>18</v>
      </c>
      <c r="H4560" t="s">
        <v>23</v>
      </c>
      <c r="I4560">
        <v>82.62</v>
      </c>
      <c r="J4560">
        <v>25.3</v>
      </c>
      <c r="K4560" t="s">
        <v>26</v>
      </c>
      <c r="L4560" t="s">
        <v>15</v>
      </c>
    </row>
    <row r="4561" spans="1:12" x14ac:dyDescent="0.3">
      <c r="A4561">
        <v>61997</v>
      </c>
      <c r="B4561" t="s">
        <v>13</v>
      </c>
      <c r="C4561">
        <v>50</v>
      </c>
      <c r="D4561" t="s">
        <v>15</v>
      </c>
      <c r="E4561" t="s">
        <v>15</v>
      </c>
      <c r="F4561" t="s">
        <v>16</v>
      </c>
      <c r="G4561" t="s">
        <v>17</v>
      </c>
      <c r="H4561" t="s">
        <v>22</v>
      </c>
      <c r="I4561">
        <v>102.03</v>
      </c>
      <c r="J4561">
        <v>28.3</v>
      </c>
      <c r="K4561" t="s">
        <v>27</v>
      </c>
      <c r="L4561" t="s">
        <v>15</v>
      </c>
    </row>
    <row r="4562" spans="1:12" x14ac:dyDescent="0.3">
      <c r="A4562">
        <v>6605</v>
      </c>
      <c r="B4562" t="s">
        <v>12</v>
      </c>
      <c r="C4562">
        <v>52</v>
      </c>
      <c r="D4562" t="s">
        <v>16</v>
      </c>
      <c r="E4562" t="s">
        <v>15</v>
      </c>
      <c r="F4562" t="s">
        <v>16</v>
      </c>
      <c r="G4562" t="s">
        <v>19</v>
      </c>
      <c r="H4562" t="s">
        <v>22</v>
      </c>
      <c r="I4562">
        <v>235.06</v>
      </c>
      <c r="J4562">
        <v>39.9</v>
      </c>
      <c r="K4562" t="s">
        <v>24</v>
      </c>
      <c r="L4562" t="s">
        <v>15</v>
      </c>
    </row>
    <row r="4563" spans="1:12" x14ac:dyDescent="0.3">
      <c r="A4563">
        <v>46987</v>
      </c>
      <c r="B4563" t="s">
        <v>13</v>
      </c>
      <c r="C4563">
        <v>65</v>
      </c>
      <c r="D4563" t="s">
        <v>15</v>
      </c>
      <c r="E4563" t="s">
        <v>16</v>
      </c>
      <c r="F4563" t="s">
        <v>16</v>
      </c>
      <c r="G4563" t="s">
        <v>17</v>
      </c>
      <c r="H4563" t="s">
        <v>23</v>
      </c>
      <c r="I4563">
        <v>57.52</v>
      </c>
      <c r="K4563" t="s">
        <v>24</v>
      </c>
      <c r="L4563" t="s">
        <v>15</v>
      </c>
    </row>
    <row r="4564" spans="1:12" x14ac:dyDescent="0.3">
      <c r="A4564">
        <v>70428</v>
      </c>
      <c r="B4564" t="s">
        <v>13</v>
      </c>
      <c r="C4564">
        <v>37</v>
      </c>
      <c r="D4564" t="s">
        <v>15</v>
      </c>
      <c r="E4564" t="s">
        <v>15</v>
      </c>
      <c r="F4564" t="s">
        <v>16</v>
      </c>
      <c r="G4564" t="s">
        <v>19</v>
      </c>
      <c r="H4564" t="s">
        <v>22</v>
      </c>
      <c r="I4564">
        <v>76.98</v>
      </c>
      <c r="J4564">
        <v>34.700000000000003</v>
      </c>
      <c r="K4564" t="s">
        <v>25</v>
      </c>
      <c r="L4564" t="s">
        <v>15</v>
      </c>
    </row>
    <row r="4565" spans="1:12" x14ac:dyDescent="0.3">
      <c r="A4565">
        <v>2267</v>
      </c>
      <c r="B4565" t="s">
        <v>13</v>
      </c>
      <c r="C4565">
        <v>31</v>
      </c>
      <c r="D4565" t="s">
        <v>15</v>
      </c>
      <c r="E4565" t="s">
        <v>15</v>
      </c>
      <c r="F4565" t="s">
        <v>16</v>
      </c>
      <c r="G4565" t="s">
        <v>18</v>
      </c>
      <c r="H4565" t="s">
        <v>22</v>
      </c>
      <c r="I4565">
        <v>82.31</v>
      </c>
      <c r="J4565">
        <v>31.9</v>
      </c>
      <c r="K4565" t="s">
        <v>25</v>
      </c>
      <c r="L4565" t="s">
        <v>15</v>
      </c>
    </row>
    <row r="4566" spans="1:12" x14ac:dyDescent="0.3">
      <c r="A4566">
        <v>25476</v>
      </c>
      <c r="B4566" t="s">
        <v>13</v>
      </c>
      <c r="C4566">
        <v>52</v>
      </c>
      <c r="D4566" t="s">
        <v>15</v>
      </c>
      <c r="E4566" t="s">
        <v>15</v>
      </c>
      <c r="F4566" t="s">
        <v>16</v>
      </c>
      <c r="G4566" t="s">
        <v>17</v>
      </c>
      <c r="H4566" t="s">
        <v>22</v>
      </c>
      <c r="I4566">
        <v>83.84</v>
      </c>
      <c r="J4566">
        <v>35</v>
      </c>
      <c r="K4566" t="s">
        <v>27</v>
      </c>
      <c r="L4566" t="s">
        <v>15</v>
      </c>
    </row>
    <row r="4567" spans="1:12" x14ac:dyDescent="0.3">
      <c r="A4567">
        <v>52960</v>
      </c>
      <c r="B4567" t="s">
        <v>13</v>
      </c>
      <c r="C4567">
        <v>56</v>
      </c>
      <c r="D4567" t="s">
        <v>15</v>
      </c>
      <c r="E4567" t="s">
        <v>15</v>
      </c>
      <c r="F4567" t="s">
        <v>16</v>
      </c>
      <c r="G4567" t="s">
        <v>18</v>
      </c>
      <c r="H4567" t="s">
        <v>22</v>
      </c>
      <c r="I4567">
        <v>98.14</v>
      </c>
      <c r="J4567">
        <v>32.700000000000003</v>
      </c>
      <c r="K4567" t="s">
        <v>24</v>
      </c>
      <c r="L4567" t="s">
        <v>15</v>
      </c>
    </row>
    <row r="4568" spans="1:12" x14ac:dyDescent="0.3">
      <c r="A4568">
        <v>56600</v>
      </c>
      <c r="B4568" t="s">
        <v>13</v>
      </c>
      <c r="C4568">
        <v>43</v>
      </c>
      <c r="D4568" t="s">
        <v>15</v>
      </c>
      <c r="E4568" t="s">
        <v>15</v>
      </c>
      <c r="F4568" t="s">
        <v>16</v>
      </c>
      <c r="G4568" t="s">
        <v>17</v>
      </c>
      <c r="H4568" t="s">
        <v>23</v>
      </c>
      <c r="I4568">
        <v>84.04</v>
      </c>
      <c r="J4568">
        <v>30.6</v>
      </c>
      <c r="K4568" t="s">
        <v>27</v>
      </c>
      <c r="L4568" t="s">
        <v>15</v>
      </c>
    </row>
    <row r="4569" spans="1:12" x14ac:dyDescent="0.3">
      <c r="A4569">
        <v>9394</v>
      </c>
      <c r="B4569" t="s">
        <v>12</v>
      </c>
      <c r="C4569">
        <v>11</v>
      </c>
      <c r="D4569" t="s">
        <v>15</v>
      </c>
      <c r="E4569" t="s">
        <v>15</v>
      </c>
      <c r="F4569" t="s">
        <v>15</v>
      </c>
      <c r="G4569" t="s">
        <v>20</v>
      </c>
      <c r="H4569" t="s">
        <v>23</v>
      </c>
      <c r="I4569">
        <v>92.24</v>
      </c>
      <c r="J4569">
        <v>27.9</v>
      </c>
      <c r="K4569" t="s">
        <v>27</v>
      </c>
      <c r="L4569" t="s">
        <v>15</v>
      </c>
    </row>
    <row r="4570" spans="1:12" x14ac:dyDescent="0.3">
      <c r="A4570">
        <v>42400</v>
      </c>
      <c r="B4570" t="s">
        <v>13</v>
      </c>
      <c r="C4570">
        <v>2</v>
      </c>
      <c r="D4570" t="s">
        <v>15</v>
      </c>
      <c r="E4570" t="s">
        <v>15</v>
      </c>
      <c r="F4570" t="s">
        <v>15</v>
      </c>
      <c r="G4570" t="s">
        <v>20</v>
      </c>
      <c r="H4570" t="s">
        <v>22</v>
      </c>
      <c r="I4570">
        <v>94.92</v>
      </c>
      <c r="J4570">
        <v>20.399999999999999</v>
      </c>
      <c r="K4570" t="s">
        <v>27</v>
      </c>
      <c r="L4570" t="s">
        <v>15</v>
      </c>
    </row>
    <row r="4571" spans="1:12" x14ac:dyDescent="0.3">
      <c r="A4571">
        <v>36210</v>
      </c>
      <c r="B4571" t="s">
        <v>13</v>
      </c>
      <c r="C4571">
        <v>16</v>
      </c>
      <c r="D4571" t="s">
        <v>15</v>
      </c>
      <c r="E4571" t="s">
        <v>15</v>
      </c>
      <c r="F4571" t="s">
        <v>15</v>
      </c>
      <c r="G4571" t="s">
        <v>17</v>
      </c>
      <c r="H4571" t="s">
        <v>23</v>
      </c>
      <c r="I4571">
        <v>112.7</v>
      </c>
      <c r="J4571">
        <v>29.6</v>
      </c>
      <c r="K4571" t="s">
        <v>25</v>
      </c>
      <c r="L4571" t="s">
        <v>15</v>
      </c>
    </row>
    <row r="4572" spans="1:12" x14ac:dyDescent="0.3">
      <c r="A4572">
        <v>34416</v>
      </c>
      <c r="B4572" t="s">
        <v>12</v>
      </c>
      <c r="C4572">
        <v>23</v>
      </c>
      <c r="D4572" t="s">
        <v>15</v>
      </c>
      <c r="E4572" t="s">
        <v>15</v>
      </c>
      <c r="F4572" t="s">
        <v>15</v>
      </c>
      <c r="G4572" t="s">
        <v>17</v>
      </c>
      <c r="H4572" t="s">
        <v>22</v>
      </c>
      <c r="I4572">
        <v>74.34</v>
      </c>
      <c r="J4572">
        <v>23.5</v>
      </c>
      <c r="K4572" t="s">
        <v>25</v>
      </c>
      <c r="L4572" t="s">
        <v>15</v>
      </c>
    </row>
    <row r="4573" spans="1:12" x14ac:dyDescent="0.3">
      <c r="A4573">
        <v>37192</v>
      </c>
      <c r="B4573" t="s">
        <v>13</v>
      </c>
      <c r="C4573">
        <v>40</v>
      </c>
      <c r="D4573" t="s">
        <v>15</v>
      </c>
      <c r="E4573" t="s">
        <v>15</v>
      </c>
      <c r="F4573" t="s">
        <v>16</v>
      </c>
      <c r="G4573" t="s">
        <v>17</v>
      </c>
      <c r="H4573" t="s">
        <v>22</v>
      </c>
      <c r="I4573">
        <v>72.989999999999995</v>
      </c>
      <c r="J4573">
        <v>46.4</v>
      </c>
      <c r="K4573" t="s">
        <v>27</v>
      </c>
      <c r="L4573" t="s">
        <v>15</v>
      </c>
    </row>
    <row r="4574" spans="1:12" x14ac:dyDescent="0.3">
      <c r="A4574">
        <v>20237</v>
      </c>
      <c r="B4574" t="s">
        <v>12</v>
      </c>
      <c r="C4574">
        <v>15</v>
      </c>
      <c r="D4574" t="s">
        <v>15</v>
      </c>
      <c r="E4574" t="s">
        <v>15</v>
      </c>
      <c r="F4574" t="s">
        <v>15</v>
      </c>
      <c r="G4574" t="s">
        <v>17</v>
      </c>
      <c r="H4574" t="s">
        <v>22</v>
      </c>
      <c r="I4574">
        <v>104.9</v>
      </c>
      <c r="J4574">
        <v>27.4</v>
      </c>
      <c r="K4574" t="s">
        <v>25</v>
      </c>
      <c r="L4574" t="s">
        <v>15</v>
      </c>
    </row>
    <row r="4575" spans="1:12" x14ac:dyDescent="0.3">
      <c r="A4575">
        <v>60635</v>
      </c>
      <c r="B4575" t="s">
        <v>12</v>
      </c>
      <c r="C4575">
        <v>48</v>
      </c>
      <c r="D4575" t="s">
        <v>15</v>
      </c>
      <c r="E4575" t="s">
        <v>15</v>
      </c>
      <c r="F4575" t="s">
        <v>16</v>
      </c>
      <c r="G4575" t="s">
        <v>17</v>
      </c>
      <c r="H4575" t="s">
        <v>23</v>
      </c>
      <c r="I4575">
        <v>99.96</v>
      </c>
      <c r="J4575">
        <v>25.2</v>
      </c>
      <c r="K4575" t="s">
        <v>25</v>
      </c>
      <c r="L4575" t="s">
        <v>15</v>
      </c>
    </row>
    <row r="4576" spans="1:12" x14ac:dyDescent="0.3">
      <c r="A4576">
        <v>32571</v>
      </c>
      <c r="B4576" t="s">
        <v>12</v>
      </c>
      <c r="C4576">
        <v>33</v>
      </c>
      <c r="D4576" t="s">
        <v>15</v>
      </c>
      <c r="E4576" t="s">
        <v>15</v>
      </c>
      <c r="F4576" t="s">
        <v>16</v>
      </c>
      <c r="G4576" t="s">
        <v>17</v>
      </c>
      <c r="H4576" t="s">
        <v>22</v>
      </c>
      <c r="I4576">
        <v>85.27</v>
      </c>
      <c r="J4576">
        <v>25.8</v>
      </c>
      <c r="K4576" t="s">
        <v>27</v>
      </c>
      <c r="L4576" t="s">
        <v>15</v>
      </c>
    </row>
    <row r="4577" spans="1:12" x14ac:dyDescent="0.3">
      <c r="A4577">
        <v>52368</v>
      </c>
      <c r="B4577" t="s">
        <v>12</v>
      </c>
      <c r="C4577">
        <v>46</v>
      </c>
      <c r="D4577" t="s">
        <v>15</v>
      </c>
      <c r="E4577" t="s">
        <v>15</v>
      </c>
      <c r="F4577" t="s">
        <v>16</v>
      </c>
      <c r="G4577" t="s">
        <v>17</v>
      </c>
      <c r="H4577" t="s">
        <v>22</v>
      </c>
      <c r="I4577">
        <v>60.32</v>
      </c>
      <c r="J4577">
        <v>33.299999999999997</v>
      </c>
      <c r="K4577" t="s">
        <v>26</v>
      </c>
      <c r="L4577" t="s">
        <v>15</v>
      </c>
    </row>
    <row r="4578" spans="1:12" x14ac:dyDescent="0.3">
      <c r="A4578">
        <v>66786</v>
      </c>
      <c r="B4578" t="s">
        <v>13</v>
      </c>
      <c r="C4578">
        <v>53</v>
      </c>
      <c r="D4578" t="s">
        <v>15</v>
      </c>
      <c r="E4578" t="s">
        <v>15</v>
      </c>
      <c r="F4578" t="s">
        <v>16</v>
      </c>
      <c r="G4578" t="s">
        <v>17</v>
      </c>
      <c r="H4578" t="s">
        <v>23</v>
      </c>
      <c r="I4578">
        <v>94.14</v>
      </c>
      <c r="J4578">
        <v>27.7</v>
      </c>
      <c r="K4578" t="s">
        <v>26</v>
      </c>
      <c r="L4578" t="s">
        <v>15</v>
      </c>
    </row>
    <row r="4579" spans="1:12" x14ac:dyDescent="0.3">
      <c r="A4579">
        <v>12668</v>
      </c>
      <c r="B4579" t="s">
        <v>12</v>
      </c>
      <c r="C4579">
        <v>68</v>
      </c>
      <c r="D4579" t="s">
        <v>15</v>
      </c>
      <c r="E4579" t="s">
        <v>15</v>
      </c>
      <c r="F4579" t="s">
        <v>16</v>
      </c>
      <c r="G4579" t="s">
        <v>18</v>
      </c>
      <c r="H4579" t="s">
        <v>22</v>
      </c>
      <c r="I4579">
        <v>195.43</v>
      </c>
      <c r="J4579">
        <v>28.9</v>
      </c>
      <c r="K4579" t="s">
        <v>25</v>
      </c>
      <c r="L4579" t="s">
        <v>15</v>
      </c>
    </row>
    <row r="4580" spans="1:12" x14ac:dyDescent="0.3">
      <c r="A4580">
        <v>64155</v>
      </c>
      <c r="B4580" t="s">
        <v>12</v>
      </c>
      <c r="C4580">
        <v>60</v>
      </c>
      <c r="D4580" t="s">
        <v>15</v>
      </c>
      <c r="E4580" t="s">
        <v>15</v>
      </c>
      <c r="F4580" t="s">
        <v>16</v>
      </c>
      <c r="G4580" t="s">
        <v>19</v>
      </c>
      <c r="H4580" t="s">
        <v>23</v>
      </c>
      <c r="I4580">
        <v>200.25</v>
      </c>
      <c r="J4580">
        <v>33.1</v>
      </c>
      <c r="K4580" t="s">
        <v>25</v>
      </c>
      <c r="L4580" t="s">
        <v>15</v>
      </c>
    </row>
    <row r="4581" spans="1:12" x14ac:dyDescent="0.3">
      <c r="A4581">
        <v>17885</v>
      </c>
      <c r="B4581" t="s">
        <v>12</v>
      </c>
      <c r="C4581">
        <v>57</v>
      </c>
      <c r="D4581" t="s">
        <v>15</v>
      </c>
      <c r="E4581" t="s">
        <v>15</v>
      </c>
      <c r="F4581" t="s">
        <v>15</v>
      </c>
      <c r="G4581" t="s">
        <v>19</v>
      </c>
      <c r="H4581" t="s">
        <v>23</v>
      </c>
      <c r="I4581">
        <v>90.31</v>
      </c>
      <c r="J4581">
        <v>38.1</v>
      </c>
      <c r="K4581" t="s">
        <v>26</v>
      </c>
      <c r="L4581" t="s">
        <v>15</v>
      </c>
    </row>
    <row r="4582" spans="1:12" x14ac:dyDescent="0.3">
      <c r="A4582">
        <v>18930</v>
      </c>
      <c r="B4582" t="s">
        <v>13</v>
      </c>
      <c r="C4582">
        <v>51</v>
      </c>
      <c r="D4582" t="s">
        <v>15</v>
      </c>
      <c r="E4582" t="s">
        <v>15</v>
      </c>
      <c r="F4582" t="s">
        <v>16</v>
      </c>
      <c r="G4582" t="s">
        <v>19</v>
      </c>
      <c r="H4582" t="s">
        <v>22</v>
      </c>
      <c r="I4582">
        <v>95.33</v>
      </c>
      <c r="J4582">
        <v>27.9</v>
      </c>
      <c r="K4582" t="s">
        <v>25</v>
      </c>
      <c r="L4582" t="s">
        <v>15</v>
      </c>
    </row>
    <row r="4583" spans="1:12" x14ac:dyDescent="0.3">
      <c r="A4583">
        <v>15728</v>
      </c>
      <c r="B4583" t="s">
        <v>13</v>
      </c>
      <c r="C4583">
        <v>0.4</v>
      </c>
      <c r="D4583" t="s">
        <v>15</v>
      </c>
      <c r="E4583" t="s">
        <v>15</v>
      </c>
      <c r="F4583" t="s">
        <v>15</v>
      </c>
      <c r="G4583" t="s">
        <v>20</v>
      </c>
      <c r="H4583" t="s">
        <v>23</v>
      </c>
      <c r="I4583">
        <v>85.65</v>
      </c>
      <c r="J4583">
        <v>17.399999999999999</v>
      </c>
      <c r="K4583" t="s">
        <v>27</v>
      </c>
      <c r="L4583" t="s">
        <v>15</v>
      </c>
    </row>
    <row r="4584" spans="1:12" x14ac:dyDescent="0.3">
      <c r="A4584">
        <v>71846</v>
      </c>
      <c r="B4584" t="s">
        <v>13</v>
      </c>
      <c r="C4584">
        <v>76</v>
      </c>
      <c r="D4584" t="s">
        <v>15</v>
      </c>
      <c r="E4584" t="s">
        <v>15</v>
      </c>
      <c r="F4584" t="s">
        <v>16</v>
      </c>
      <c r="G4584" t="s">
        <v>19</v>
      </c>
      <c r="H4584" t="s">
        <v>22</v>
      </c>
      <c r="I4584">
        <v>223.64</v>
      </c>
      <c r="J4584">
        <v>27.1</v>
      </c>
      <c r="K4584" t="s">
        <v>26</v>
      </c>
      <c r="L4584" t="s">
        <v>15</v>
      </c>
    </row>
    <row r="4585" spans="1:12" x14ac:dyDescent="0.3">
      <c r="A4585">
        <v>37515</v>
      </c>
      <c r="B4585" t="s">
        <v>13</v>
      </c>
      <c r="C4585">
        <v>46</v>
      </c>
      <c r="D4585" t="s">
        <v>15</v>
      </c>
      <c r="E4585" t="s">
        <v>15</v>
      </c>
      <c r="F4585" t="s">
        <v>16</v>
      </c>
      <c r="G4585" t="s">
        <v>19</v>
      </c>
      <c r="H4585" t="s">
        <v>23</v>
      </c>
      <c r="I4585">
        <v>76.430000000000007</v>
      </c>
      <c r="J4585">
        <v>22.7</v>
      </c>
      <c r="K4585" t="s">
        <v>27</v>
      </c>
      <c r="L4585" t="s">
        <v>15</v>
      </c>
    </row>
    <row r="4586" spans="1:12" x14ac:dyDescent="0.3">
      <c r="A4586">
        <v>25763</v>
      </c>
      <c r="B4586" t="s">
        <v>13</v>
      </c>
      <c r="C4586">
        <v>23</v>
      </c>
      <c r="D4586" t="s">
        <v>15</v>
      </c>
      <c r="E4586" t="s">
        <v>15</v>
      </c>
      <c r="F4586" t="s">
        <v>15</v>
      </c>
      <c r="G4586" t="s">
        <v>17</v>
      </c>
      <c r="H4586" t="s">
        <v>22</v>
      </c>
      <c r="I4586">
        <v>98.66</v>
      </c>
      <c r="J4586">
        <v>28.3</v>
      </c>
      <c r="K4586" t="s">
        <v>27</v>
      </c>
      <c r="L4586" t="s">
        <v>15</v>
      </c>
    </row>
    <row r="4587" spans="1:12" x14ac:dyDescent="0.3">
      <c r="A4587">
        <v>16566</v>
      </c>
      <c r="B4587" t="s">
        <v>12</v>
      </c>
      <c r="C4587">
        <v>9</v>
      </c>
      <c r="D4587" t="s">
        <v>15</v>
      </c>
      <c r="E4587" t="s">
        <v>15</v>
      </c>
      <c r="F4587" t="s">
        <v>15</v>
      </c>
      <c r="G4587" t="s">
        <v>20</v>
      </c>
      <c r="H4587" t="s">
        <v>22</v>
      </c>
      <c r="I4587">
        <v>75.84</v>
      </c>
      <c r="J4587">
        <v>21.5</v>
      </c>
      <c r="K4587" t="s">
        <v>27</v>
      </c>
      <c r="L4587" t="s">
        <v>15</v>
      </c>
    </row>
    <row r="4588" spans="1:12" x14ac:dyDescent="0.3">
      <c r="A4588">
        <v>30836</v>
      </c>
      <c r="B4588" t="s">
        <v>13</v>
      </c>
      <c r="C4588">
        <v>53</v>
      </c>
      <c r="D4588" t="s">
        <v>15</v>
      </c>
      <c r="E4588" t="s">
        <v>15</v>
      </c>
      <c r="F4588" t="s">
        <v>16</v>
      </c>
      <c r="G4588" t="s">
        <v>17</v>
      </c>
      <c r="H4588" t="s">
        <v>22</v>
      </c>
      <c r="I4588">
        <v>85.46</v>
      </c>
      <c r="J4588">
        <v>30</v>
      </c>
      <c r="K4588" t="s">
        <v>25</v>
      </c>
      <c r="L4588" t="s">
        <v>15</v>
      </c>
    </row>
    <row r="4589" spans="1:12" x14ac:dyDescent="0.3">
      <c r="A4589">
        <v>68060</v>
      </c>
      <c r="B4589" t="s">
        <v>12</v>
      </c>
      <c r="C4589">
        <v>4</v>
      </c>
      <c r="D4589" t="s">
        <v>15</v>
      </c>
      <c r="E4589" t="s">
        <v>15</v>
      </c>
      <c r="F4589" t="s">
        <v>15</v>
      </c>
      <c r="G4589" t="s">
        <v>20</v>
      </c>
      <c r="H4589" t="s">
        <v>22</v>
      </c>
      <c r="I4589">
        <v>81.33</v>
      </c>
      <c r="J4589">
        <v>18.600000000000001</v>
      </c>
      <c r="K4589" t="s">
        <v>27</v>
      </c>
      <c r="L4589" t="s">
        <v>15</v>
      </c>
    </row>
    <row r="4590" spans="1:12" x14ac:dyDescent="0.3">
      <c r="A4590">
        <v>51958</v>
      </c>
      <c r="B4590" t="s">
        <v>13</v>
      </c>
      <c r="C4590">
        <v>62</v>
      </c>
      <c r="D4590" t="s">
        <v>16</v>
      </c>
      <c r="E4590" t="s">
        <v>15</v>
      </c>
      <c r="F4590" t="s">
        <v>15</v>
      </c>
      <c r="G4590" t="s">
        <v>17</v>
      </c>
      <c r="H4590" t="s">
        <v>22</v>
      </c>
      <c r="I4590">
        <v>199.78</v>
      </c>
      <c r="J4590">
        <v>45.2</v>
      </c>
      <c r="K4590" t="s">
        <v>27</v>
      </c>
      <c r="L4590" t="s">
        <v>15</v>
      </c>
    </row>
    <row r="4591" spans="1:12" x14ac:dyDescent="0.3">
      <c r="A4591">
        <v>45285</v>
      </c>
      <c r="B4591" t="s">
        <v>12</v>
      </c>
      <c r="C4591">
        <v>37</v>
      </c>
      <c r="D4591" t="s">
        <v>15</v>
      </c>
      <c r="E4591" t="s">
        <v>15</v>
      </c>
      <c r="F4591" t="s">
        <v>16</v>
      </c>
      <c r="G4591" t="s">
        <v>17</v>
      </c>
      <c r="H4591" t="s">
        <v>22</v>
      </c>
      <c r="I4591">
        <v>176.42</v>
      </c>
      <c r="J4591">
        <v>39.700000000000003</v>
      </c>
      <c r="K4591" t="s">
        <v>27</v>
      </c>
      <c r="L4591" t="s">
        <v>15</v>
      </c>
    </row>
    <row r="4592" spans="1:12" x14ac:dyDescent="0.3">
      <c r="A4592">
        <v>19271</v>
      </c>
      <c r="B4592" t="s">
        <v>13</v>
      </c>
      <c r="C4592">
        <v>82</v>
      </c>
      <c r="D4592" t="s">
        <v>16</v>
      </c>
      <c r="E4592" t="s">
        <v>16</v>
      </c>
      <c r="F4592" t="s">
        <v>16</v>
      </c>
      <c r="G4592" t="s">
        <v>18</v>
      </c>
      <c r="H4592" t="s">
        <v>22</v>
      </c>
      <c r="I4592">
        <v>101.56</v>
      </c>
      <c r="J4592">
        <v>31.5</v>
      </c>
      <c r="K4592" t="s">
        <v>25</v>
      </c>
      <c r="L4592" t="s">
        <v>15</v>
      </c>
    </row>
    <row r="4593" spans="1:12" x14ac:dyDescent="0.3">
      <c r="A4593">
        <v>6576</v>
      </c>
      <c r="B4593" t="s">
        <v>13</v>
      </c>
      <c r="C4593">
        <v>33</v>
      </c>
      <c r="D4593" t="s">
        <v>15</v>
      </c>
      <c r="E4593" t="s">
        <v>15</v>
      </c>
      <c r="F4593" t="s">
        <v>16</v>
      </c>
      <c r="G4593" t="s">
        <v>17</v>
      </c>
      <c r="H4593" t="s">
        <v>22</v>
      </c>
      <c r="I4593">
        <v>84.48</v>
      </c>
      <c r="J4593">
        <v>23.2</v>
      </c>
      <c r="K4593" t="s">
        <v>24</v>
      </c>
      <c r="L4593" t="s">
        <v>15</v>
      </c>
    </row>
    <row r="4594" spans="1:12" x14ac:dyDescent="0.3">
      <c r="A4594">
        <v>6850</v>
      </c>
      <c r="B4594" t="s">
        <v>12</v>
      </c>
      <c r="C4594">
        <v>3</v>
      </c>
      <c r="D4594" t="s">
        <v>15</v>
      </c>
      <c r="E4594" t="s">
        <v>15</v>
      </c>
      <c r="F4594" t="s">
        <v>15</v>
      </c>
      <c r="G4594" t="s">
        <v>20</v>
      </c>
      <c r="H4594" t="s">
        <v>22</v>
      </c>
      <c r="I4594">
        <v>93.21</v>
      </c>
      <c r="J4594">
        <v>27.3</v>
      </c>
      <c r="K4594" t="s">
        <v>27</v>
      </c>
      <c r="L4594" t="s">
        <v>15</v>
      </c>
    </row>
    <row r="4595" spans="1:12" x14ac:dyDescent="0.3">
      <c r="A4595">
        <v>25798</v>
      </c>
      <c r="B4595" t="s">
        <v>12</v>
      </c>
      <c r="C4595">
        <v>14</v>
      </c>
      <c r="D4595" t="s">
        <v>15</v>
      </c>
      <c r="E4595" t="s">
        <v>15</v>
      </c>
      <c r="F4595" t="s">
        <v>15</v>
      </c>
      <c r="G4595" t="s">
        <v>17</v>
      </c>
      <c r="H4595" t="s">
        <v>22</v>
      </c>
      <c r="I4595">
        <v>72.88</v>
      </c>
      <c r="J4595">
        <v>26.5</v>
      </c>
      <c r="K4595" t="s">
        <v>25</v>
      </c>
      <c r="L4595" t="s">
        <v>15</v>
      </c>
    </row>
    <row r="4596" spans="1:12" x14ac:dyDescent="0.3">
      <c r="A4596">
        <v>28611</v>
      </c>
      <c r="B4596" t="s">
        <v>12</v>
      </c>
      <c r="C4596">
        <v>16</v>
      </c>
      <c r="D4596" t="s">
        <v>15</v>
      </c>
      <c r="E4596" t="s">
        <v>15</v>
      </c>
      <c r="F4596" t="s">
        <v>15</v>
      </c>
      <c r="G4596" t="s">
        <v>17</v>
      </c>
      <c r="H4596" t="s">
        <v>22</v>
      </c>
      <c r="I4596">
        <v>84.1</v>
      </c>
      <c r="J4596">
        <v>19.3</v>
      </c>
      <c r="K4596" t="s">
        <v>27</v>
      </c>
      <c r="L4596" t="s">
        <v>15</v>
      </c>
    </row>
    <row r="4597" spans="1:12" x14ac:dyDescent="0.3">
      <c r="A4597">
        <v>15061</v>
      </c>
      <c r="B4597" t="s">
        <v>12</v>
      </c>
      <c r="C4597">
        <v>40</v>
      </c>
      <c r="D4597" t="s">
        <v>15</v>
      </c>
      <c r="E4597" t="s">
        <v>15</v>
      </c>
      <c r="F4597" t="s">
        <v>16</v>
      </c>
      <c r="G4597" t="s">
        <v>19</v>
      </c>
      <c r="H4597" t="s">
        <v>23</v>
      </c>
      <c r="I4597">
        <v>72.84</v>
      </c>
      <c r="J4597">
        <v>26.1</v>
      </c>
      <c r="K4597" t="s">
        <v>27</v>
      </c>
      <c r="L4597" t="s">
        <v>15</v>
      </c>
    </row>
    <row r="4598" spans="1:12" x14ac:dyDescent="0.3">
      <c r="A4598">
        <v>40323</v>
      </c>
      <c r="B4598" t="s">
        <v>13</v>
      </c>
      <c r="C4598">
        <v>18</v>
      </c>
      <c r="D4598" t="s">
        <v>15</v>
      </c>
      <c r="E4598" t="s">
        <v>15</v>
      </c>
      <c r="F4598" t="s">
        <v>15</v>
      </c>
      <c r="G4598" t="s">
        <v>17</v>
      </c>
      <c r="H4598" t="s">
        <v>22</v>
      </c>
      <c r="I4598">
        <v>70.89</v>
      </c>
      <c r="J4598">
        <v>19.8</v>
      </c>
      <c r="K4598" t="s">
        <v>25</v>
      </c>
      <c r="L4598" t="s">
        <v>15</v>
      </c>
    </row>
    <row r="4599" spans="1:12" x14ac:dyDescent="0.3">
      <c r="A4599">
        <v>40842</v>
      </c>
      <c r="B4599" t="s">
        <v>13</v>
      </c>
      <c r="C4599">
        <v>29</v>
      </c>
      <c r="D4599" t="s">
        <v>15</v>
      </c>
      <c r="E4599" t="s">
        <v>15</v>
      </c>
      <c r="F4599" t="s">
        <v>16</v>
      </c>
      <c r="G4599" t="s">
        <v>17</v>
      </c>
      <c r="H4599" t="s">
        <v>23</v>
      </c>
      <c r="I4599">
        <v>108.14</v>
      </c>
      <c r="J4599">
        <v>25.1</v>
      </c>
      <c r="K4599" t="s">
        <v>24</v>
      </c>
      <c r="L4599" t="s">
        <v>15</v>
      </c>
    </row>
    <row r="4600" spans="1:12" x14ac:dyDescent="0.3">
      <c r="A4600">
        <v>23765</v>
      </c>
      <c r="B4600" t="s">
        <v>13</v>
      </c>
      <c r="C4600">
        <v>56</v>
      </c>
      <c r="D4600" t="s">
        <v>15</v>
      </c>
      <c r="E4600" t="s">
        <v>15</v>
      </c>
      <c r="F4600" t="s">
        <v>16</v>
      </c>
      <c r="G4600" t="s">
        <v>19</v>
      </c>
      <c r="H4600" t="s">
        <v>23</v>
      </c>
      <c r="I4600">
        <v>244.3</v>
      </c>
      <c r="J4600">
        <v>37.299999999999997</v>
      </c>
      <c r="K4600" t="s">
        <v>25</v>
      </c>
      <c r="L4600" t="s">
        <v>15</v>
      </c>
    </row>
    <row r="4601" spans="1:12" x14ac:dyDescent="0.3">
      <c r="A4601">
        <v>66287</v>
      </c>
      <c r="B4601" t="s">
        <v>12</v>
      </c>
      <c r="C4601">
        <v>33</v>
      </c>
      <c r="D4601" t="s">
        <v>15</v>
      </c>
      <c r="E4601" t="s">
        <v>15</v>
      </c>
      <c r="F4601" t="s">
        <v>16</v>
      </c>
      <c r="G4601" t="s">
        <v>17</v>
      </c>
      <c r="H4601" t="s">
        <v>23</v>
      </c>
      <c r="I4601">
        <v>88.04</v>
      </c>
      <c r="J4601">
        <v>30.3</v>
      </c>
      <c r="K4601" t="s">
        <v>24</v>
      </c>
      <c r="L4601" t="s">
        <v>15</v>
      </c>
    </row>
    <row r="4602" spans="1:12" x14ac:dyDescent="0.3">
      <c r="A4602">
        <v>50804</v>
      </c>
      <c r="B4602" t="s">
        <v>12</v>
      </c>
      <c r="C4602">
        <v>2</v>
      </c>
      <c r="D4602" t="s">
        <v>15</v>
      </c>
      <c r="E4602" t="s">
        <v>15</v>
      </c>
      <c r="F4602" t="s">
        <v>15</v>
      </c>
      <c r="G4602" t="s">
        <v>20</v>
      </c>
      <c r="H4602" t="s">
        <v>23</v>
      </c>
      <c r="I4602">
        <v>65.84</v>
      </c>
      <c r="J4602">
        <v>16.100000000000001</v>
      </c>
      <c r="K4602" t="s">
        <v>27</v>
      </c>
      <c r="L4602" t="s">
        <v>15</v>
      </c>
    </row>
    <row r="4603" spans="1:12" x14ac:dyDescent="0.3">
      <c r="A4603">
        <v>25927</v>
      </c>
      <c r="B4603" t="s">
        <v>12</v>
      </c>
      <c r="C4603">
        <v>36</v>
      </c>
      <c r="D4603" t="s">
        <v>15</v>
      </c>
      <c r="E4603" t="s">
        <v>15</v>
      </c>
      <c r="F4603" t="s">
        <v>16</v>
      </c>
      <c r="G4603" t="s">
        <v>17</v>
      </c>
      <c r="H4603" t="s">
        <v>23</v>
      </c>
      <c r="I4603">
        <v>106.73</v>
      </c>
      <c r="J4603">
        <v>25.1</v>
      </c>
      <c r="K4603" t="s">
        <v>25</v>
      </c>
      <c r="L4603" t="s">
        <v>15</v>
      </c>
    </row>
    <row r="4604" spans="1:12" x14ac:dyDescent="0.3">
      <c r="A4604">
        <v>41970</v>
      </c>
      <c r="B4604" t="s">
        <v>12</v>
      </c>
      <c r="C4604">
        <v>30</v>
      </c>
      <c r="D4604" t="s">
        <v>15</v>
      </c>
      <c r="E4604" t="s">
        <v>15</v>
      </c>
      <c r="F4604" t="s">
        <v>15</v>
      </c>
      <c r="G4604" t="s">
        <v>17</v>
      </c>
      <c r="H4604" t="s">
        <v>22</v>
      </c>
      <c r="I4604">
        <v>106.03</v>
      </c>
      <c r="J4604">
        <v>26.7</v>
      </c>
      <c r="K4604" t="s">
        <v>27</v>
      </c>
      <c r="L4604" t="s">
        <v>15</v>
      </c>
    </row>
    <row r="4605" spans="1:12" x14ac:dyDescent="0.3">
      <c r="A4605">
        <v>54206</v>
      </c>
      <c r="B4605" t="s">
        <v>13</v>
      </c>
      <c r="C4605">
        <v>31</v>
      </c>
      <c r="D4605" t="s">
        <v>15</v>
      </c>
      <c r="E4605" t="s">
        <v>15</v>
      </c>
      <c r="F4605" t="s">
        <v>15</v>
      </c>
      <c r="G4605" t="s">
        <v>19</v>
      </c>
      <c r="H4605" t="s">
        <v>22</v>
      </c>
      <c r="I4605">
        <v>80.88</v>
      </c>
      <c r="J4605">
        <v>29.3</v>
      </c>
      <c r="K4605" t="s">
        <v>24</v>
      </c>
      <c r="L4605" t="s">
        <v>15</v>
      </c>
    </row>
    <row r="4606" spans="1:12" x14ac:dyDescent="0.3">
      <c r="A4606">
        <v>46691</v>
      </c>
      <c r="B4606" t="s">
        <v>12</v>
      </c>
      <c r="C4606">
        <v>16</v>
      </c>
      <c r="D4606" t="s">
        <v>15</v>
      </c>
      <c r="E4606" t="s">
        <v>15</v>
      </c>
      <c r="F4606" t="s">
        <v>15</v>
      </c>
      <c r="G4606" t="s">
        <v>20</v>
      </c>
      <c r="H4606" t="s">
        <v>22</v>
      </c>
      <c r="I4606">
        <v>140.1</v>
      </c>
      <c r="J4606">
        <v>38.700000000000003</v>
      </c>
      <c r="K4606" t="s">
        <v>25</v>
      </c>
      <c r="L4606" t="s">
        <v>15</v>
      </c>
    </row>
    <row r="4607" spans="1:12" x14ac:dyDescent="0.3">
      <c r="A4607">
        <v>37553</v>
      </c>
      <c r="B4607" t="s">
        <v>12</v>
      </c>
      <c r="C4607">
        <v>58</v>
      </c>
      <c r="D4607" t="s">
        <v>15</v>
      </c>
      <c r="E4607" t="s">
        <v>15</v>
      </c>
      <c r="F4607" t="s">
        <v>16</v>
      </c>
      <c r="G4607" t="s">
        <v>17</v>
      </c>
      <c r="H4607" t="s">
        <v>22</v>
      </c>
      <c r="I4607">
        <v>127.4</v>
      </c>
      <c r="J4607">
        <v>35.799999999999997</v>
      </c>
      <c r="K4607" t="s">
        <v>24</v>
      </c>
      <c r="L4607" t="s">
        <v>15</v>
      </c>
    </row>
    <row r="4608" spans="1:12" x14ac:dyDescent="0.3">
      <c r="A4608">
        <v>27507</v>
      </c>
      <c r="B4608" t="s">
        <v>13</v>
      </c>
      <c r="C4608">
        <v>19</v>
      </c>
      <c r="D4608" t="s">
        <v>15</v>
      </c>
      <c r="E4608" t="s">
        <v>15</v>
      </c>
      <c r="F4608" t="s">
        <v>15</v>
      </c>
      <c r="G4608" t="s">
        <v>17</v>
      </c>
      <c r="H4608" t="s">
        <v>22</v>
      </c>
      <c r="I4608">
        <v>87.72</v>
      </c>
      <c r="J4608">
        <v>21.7</v>
      </c>
      <c r="K4608" t="s">
        <v>25</v>
      </c>
      <c r="L4608" t="s">
        <v>15</v>
      </c>
    </row>
    <row r="4609" spans="1:12" x14ac:dyDescent="0.3">
      <c r="A4609">
        <v>68209</v>
      </c>
      <c r="B4609" t="s">
        <v>12</v>
      </c>
      <c r="C4609">
        <v>47</v>
      </c>
      <c r="D4609" t="s">
        <v>15</v>
      </c>
      <c r="E4609" t="s">
        <v>15</v>
      </c>
      <c r="F4609" t="s">
        <v>16</v>
      </c>
      <c r="G4609" t="s">
        <v>19</v>
      </c>
      <c r="H4609" t="s">
        <v>23</v>
      </c>
      <c r="I4609">
        <v>58.23</v>
      </c>
      <c r="J4609">
        <v>31.4</v>
      </c>
      <c r="K4609" t="s">
        <v>24</v>
      </c>
      <c r="L4609" t="s">
        <v>15</v>
      </c>
    </row>
    <row r="4610" spans="1:12" x14ac:dyDescent="0.3">
      <c r="A4610">
        <v>42841</v>
      </c>
      <c r="B4610" t="s">
        <v>12</v>
      </c>
      <c r="C4610">
        <v>59</v>
      </c>
      <c r="D4610" t="s">
        <v>15</v>
      </c>
      <c r="E4610" t="s">
        <v>15</v>
      </c>
      <c r="F4610" t="s">
        <v>16</v>
      </c>
      <c r="G4610" t="s">
        <v>17</v>
      </c>
      <c r="H4610" t="s">
        <v>23</v>
      </c>
      <c r="I4610">
        <v>69.37</v>
      </c>
      <c r="J4610">
        <v>26.9</v>
      </c>
      <c r="K4610" t="s">
        <v>24</v>
      </c>
      <c r="L4610" t="s">
        <v>15</v>
      </c>
    </row>
    <row r="4611" spans="1:12" x14ac:dyDescent="0.3">
      <c r="A4611">
        <v>51889</v>
      </c>
      <c r="B4611" t="s">
        <v>13</v>
      </c>
      <c r="C4611">
        <v>40</v>
      </c>
      <c r="D4611" t="s">
        <v>15</v>
      </c>
      <c r="E4611" t="s">
        <v>15</v>
      </c>
      <c r="F4611" t="s">
        <v>16</v>
      </c>
      <c r="G4611" t="s">
        <v>17</v>
      </c>
      <c r="H4611" t="s">
        <v>22</v>
      </c>
      <c r="I4611">
        <v>58.64</v>
      </c>
      <c r="J4611">
        <v>33</v>
      </c>
      <c r="K4611" t="s">
        <v>25</v>
      </c>
      <c r="L4611" t="s">
        <v>15</v>
      </c>
    </row>
    <row r="4612" spans="1:12" x14ac:dyDescent="0.3">
      <c r="A4612">
        <v>72725</v>
      </c>
      <c r="B4612" t="s">
        <v>13</v>
      </c>
      <c r="C4612">
        <v>26</v>
      </c>
      <c r="D4612" t="s">
        <v>15</v>
      </c>
      <c r="E4612" t="s">
        <v>15</v>
      </c>
      <c r="F4612" t="s">
        <v>15</v>
      </c>
      <c r="G4612" t="s">
        <v>19</v>
      </c>
      <c r="H4612" t="s">
        <v>22</v>
      </c>
      <c r="I4612">
        <v>59.67</v>
      </c>
      <c r="J4612">
        <v>24.5</v>
      </c>
      <c r="K4612" t="s">
        <v>26</v>
      </c>
      <c r="L4612" t="s">
        <v>15</v>
      </c>
    </row>
    <row r="4613" spans="1:12" x14ac:dyDescent="0.3">
      <c r="A4613">
        <v>18605</v>
      </c>
      <c r="B4613" t="s">
        <v>13</v>
      </c>
      <c r="C4613">
        <v>17</v>
      </c>
      <c r="D4613" t="s">
        <v>15</v>
      </c>
      <c r="E4613" t="s">
        <v>15</v>
      </c>
      <c r="F4613" t="s">
        <v>15</v>
      </c>
      <c r="G4613" t="s">
        <v>21</v>
      </c>
      <c r="H4613" t="s">
        <v>22</v>
      </c>
      <c r="I4613">
        <v>78.08</v>
      </c>
      <c r="J4613">
        <v>44.9</v>
      </c>
      <c r="K4613" t="s">
        <v>25</v>
      </c>
      <c r="L4613" t="s">
        <v>15</v>
      </c>
    </row>
    <row r="4614" spans="1:12" x14ac:dyDescent="0.3">
      <c r="A4614">
        <v>23599</v>
      </c>
      <c r="B4614" t="s">
        <v>13</v>
      </c>
      <c r="C4614">
        <v>30</v>
      </c>
      <c r="D4614" t="s">
        <v>15</v>
      </c>
      <c r="E4614" t="s">
        <v>15</v>
      </c>
      <c r="F4614" t="s">
        <v>15</v>
      </c>
      <c r="G4614" t="s">
        <v>17</v>
      </c>
      <c r="H4614" t="s">
        <v>22</v>
      </c>
      <c r="I4614">
        <v>105.08</v>
      </c>
      <c r="J4614">
        <v>25.5</v>
      </c>
      <c r="K4614" t="s">
        <v>25</v>
      </c>
      <c r="L4614" t="s">
        <v>15</v>
      </c>
    </row>
    <row r="4615" spans="1:12" x14ac:dyDescent="0.3">
      <c r="A4615">
        <v>45530</v>
      </c>
      <c r="B4615" t="s">
        <v>13</v>
      </c>
      <c r="C4615">
        <v>19</v>
      </c>
      <c r="D4615" t="s">
        <v>15</v>
      </c>
      <c r="E4615" t="s">
        <v>15</v>
      </c>
      <c r="F4615" t="s">
        <v>15</v>
      </c>
      <c r="G4615" t="s">
        <v>17</v>
      </c>
      <c r="H4615" t="s">
        <v>22</v>
      </c>
      <c r="I4615">
        <v>89.3</v>
      </c>
      <c r="J4615">
        <v>22.1</v>
      </c>
      <c r="K4615" t="s">
        <v>25</v>
      </c>
      <c r="L4615" t="s">
        <v>15</v>
      </c>
    </row>
    <row r="4616" spans="1:12" x14ac:dyDescent="0.3">
      <c r="A4616">
        <v>56425</v>
      </c>
      <c r="B4616" t="s">
        <v>13</v>
      </c>
      <c r="C4616">
        <v>78</v>
      </c>
      <c r="D4616" t="s">
        <v>15</v>
      </c>
      <c r="E4616" t="s">
        <v>15</v>
      </c>
      <c r="F4616" t="s">
        <v>16</v>
      </c>
      <c r="G4616" t="s">
        <v>19</v>
      </c>
      <c r="H4616" t="s">
        <v>23</v>
      </c>
      <c r="I4616">
        <v>61.38</v>
      </c>
      <c r="J4616">
        <v>24.3</v>
      </c>
      <c r="K4616" t="s">
        <v>27</v>
      </c>
      <c r="L4616" t="s">
        <v>15</v>
      </c>
    </row>
    <row r="4617" spans="1:12" x14ac:dyDescent="0.3">
      <c r="A4617">
        <v>69972</v>
      </c>
      <c r="B4617" t="s">
        <v>13</v>
      </c>
      <c r="C4617">
        <v>55</v>
      </c>
      <c r="D4617" t="s">
        <v>15</v>
      </c>
      <c r="E4617" t="s">
        <v>15</v>
      </c>
      <c r="F4617" t="s">
        <v>16</v>
      </c>
      <c r="G4617" t="s">
        <v>17</v>
      </c>
      <c r="H4617" t="s">
        <v>23</v>
      </c>
      <c r="I4617">
        <v>56.11</v>
      </c>
      <c r="J4617">
        <v>32.4</v>
      </c>
      <c r="K4617" t="s">
        <v>24</v>
      </c>
      <c r="L4617" t="s">
        <v>15</v>
      </c>
    </row>
    <row r="4618" spans="1:12" x14ac:dyDescent="0.3">
      <c r="A4618">
        <v>5774</v>
      </c>
      <c r="B4618" t="s">
        <v>12</v>
      </c>
      <c r="C4618">
        <v>59</v>
      </c>
      <c r="D4618" t="s">
        <v>15</v>
      </c>
      <c r="E4618" t="s">
        <v>15</v>
      </c>
      <c r="F4618" t="s">
        <v>16</v>
      </c>
      <c r="G4618" t="s">
        <v>17</v>
      </c>
      <c r="H4618" t="s">
        <v>22</v>
      </c>
      <c r="I4618">
        <v>223.16</v>
      </c>
      <c r="K4618" t="s">
        <v>27</v>
      </c>
      <c r="L4618" t="s">
        <v>15</v>
      </c>
    </row>
    <row r="4619" spans="1:12" x14ac:dyDescent="0.3">
      <c r="A4619">
        <v>13307</v>
      </c>
      <c r="B4619" t="s">
        <v>12</v>
      </c>
      <c r="C4619">
        <v>57</v>
      </c>
      <c r="D4619" t="s">
        <v>15</v>
      </c>
      <c r="E4619" t="s">
        <v>15</v>
      </c>
      <c r="F4619" t="s">
        <v>16</v>
      </c>
      <c r="G4619" t="s">
        <v>19</v>
      </c>
      <c r="H4619" t="s">
        <v>22</v>
      </c>
      <c r="I4619">
        <v>75.53</v>
      </c>
      <c r="J4619">
        <v>33.1</v>
      </c>
      <c r="K4619" t="s">
        <v>24</v>
      </c>
      <c r="L4619" t="s">
        <v>15</v>
      </c>
    </row>
    <row r="4620" spans="1:12" x14ac:dyDescent="0.3">
      <c r="A4620">
        <v>72188</v>
      </c>
      <c r="B4620" t="s">
        <v>12</v>
      </c>
      <c r="C4620">
        <v>33</v>
      </c>
      <c r="D4620" t="s">
        <v>15</v>
      </c>
      <c r="E4620" t="s">
        <v>15</v>
      </c>
      <c r="F4620" t="s">
        <v>15</v>
      </c>
      <c r="G4620" t="s">
        <v>17</v>
      </c>
      <c r="H4620" t="s">
        <v>22</v>
      </c>
      <c r="I4620">
        <v>107.47</v>
      </c>
      <c r="J4620">
        <v>26.7</v>
      </c>
      <c r="K4620" t="s">
        <v>25</v>
      </c>
      <c r="L4620" t="s">
        <v>15</v>
      </c>
    </row>
    <row r="4621" spans="1:12" x14ac:dyDescent="0.3">
      <c r="A4621">
        <v>60226</v>
      </c>
      <c r="B4621" t="s">
        <v>13</v>
      </c>
      <c r="C4621">
        <v>35</v>
      </c>
      <c r="D4621" t="s">
        <v>15</v>
      </c>
      <c r="E4621" t="s">
        <v>15</v>
      </c>
      <c r="F4621" t="s">
        <v>16</v>
      </c>
      <c r="G4621" t="s">
        <v>17</v>
      </c>
      <c r="H4621" t="s">
        <v>22</v>
      </c>
      <c r="I4621">
        <v>76</v>
      </c>
      <c r="J4621">
        <v>37.9</v>
      </c>
      <c r="K4621" t="s">
        <v>27</v>
      </c>
      <c r="L4621" t="s">
        <v>15</v>
      </c>
    </row>
    <row r="4622" spans="1:12" x14ac:dyDescent="0.3">
      <c r="A4622">
        <v>34940</v>
      </c>
      <c r="B4622" t="s">
        <v>12</v>
      </c>
      <c r="C4622">
        <v>32</v>
      </c>
      <c r="D4622" t="s">
        <v>15</v>
      </c>
      <c r="E4622" t="s">
        <v>15</v>
      </c>
      <c r="F4622" t="s">
        <v>16</v>
      </c>
      <c r="G4622" t="s">
        <v>17</v>
      </c>
      <c r="H4622" t="s">
        <v>22</v>
      </c>
      <c r="I4622">
        <v>90.28</v>
      </c>
      <c r="J4622">
        <v>39.6</v>
      </c>
      <c r="K4622" t="s">
        <v>25</v>
      </c>
      <c r="L4622" t="s">
        <v>15</v>
      </c>
    </row>
    <row r="4623" spans="1:12" x14ac:dyDescent="0.3">
      <c r="A4623">
        <v>4403</v>
      </c>
      <c r="B4623" t="s">
        <v>13</v>
      </c>
      <c r="C4623">
        <v>55</v>
      </c>
      <c r="D4623" t="s">
        <v>15</v>
      </c>
      <c r="E4623" t="s">
        <v>15</v>
      </c>
      <c r="F4623" t="s">
        <v>16</v>
      </c>
      <c r="G4623" t="s">
        <v>17</v>
      </c>
      <c r="H4623" t="s">
        <v>22</v>
      </c>
      <c r="I4623">
        <v>65.22</v>
      </c>
      <c r="J4623">
        <v>19.8</v>
      </c>
      <c r="K4623" t="s">
        <v>25</v>
      </c>
      <c r="L4623" t="s">
        <v>15</v>
      </c>
    </row>
    <row r="4624" spans="1:12" x14ac:dyDescent="0.3">
      <c r="A4624">
        <v>33051</v>
      </c>
      <c r="B4624" t="s">
        <v>12</v>
      </c>
      <c r="C4624">
        <v>28</v>
      </c>
      <c r="D4624" t="s">
        <v>15</v>
      </c>
      <c r="E4624" t="s">
        <v>15</v>
      </c>
      <c r="F4624" t="s">
        <v>15</v>
      </c>
      <c r="G4624" t="s">
        <v>17</v>
      </c>
      <c r="H4624" t="s">
        <v>22</v>
      </c>
      <c r="I4624">
        <v>86.24</v>
      </c>
      <c r="J4624">
        <v>30</v>
      </c>
      <c r="K4624" t="s">
        <v>27</v>
      </c>
      <c r="L4624" t="s">
        <v>15</v>
      </c>
    </row>
    <row r="4625" spans="1:12" x14ac:dyDescent="0.3">
      <c r="A4625">
        <v>37668</v>
      </c>
      <c r="B4625" t="s">
        <v>12</v>
      </c>
      <c r="C4625">
        <v>25</v>
      </c>
      <c r="D4625" t="s">
        <v>15</v>
      </c>
      <c r="E4625" t="s">
        <v>15</v>
      </c>
      <c r="F4625" t="s">
        <v>16</v>
      </c>
      <c r="G4625" t="s">
        <v>19</v>
      </c>
      <c r="H4625" t="s">
        <v>22</v>
      </c>
      <c r="I4625">
        <v>166.38</v>
      </c>
      <c r="J4625">
        <v>23.1</v>
      </c>
      <c r="K4625" t="s">
        <v>25</v>
      </c>
      <c r="L4625" t="s">
        <v>15</v>
      </c>
    </row>
    <row r="4626" spans="1:12" x14ac:dyDescent="0.3">
      <c r="A4626">
        <v>27276</v>
      </c>
      <c r="B4626" t="s">
        <v>13</v>
      </c>
      <c r="C4626">
        <v>45</v>
      </c>
      <c r="D4626" t="s">
        <v>15</v>
      </c>
      <c r="E4626" t="s">
        <v>15</v>
      </c>
      <c r="F4626" t="s">
        <v>16</v>
      </c>
      <c r="G4626" t="s">
        <v>17</v>
      </c>
      <c r="H4626" t="s">
        <v>22</v>
      </c>
      <c r="I4626">
        <v>78.91</v>
      </c>
      <c r="J4626">
        <v>34.299999999999997</v>
      </c>
      <c r="K4626" t="s">
        <v>27</v>
      </c>
      <c r="L4626" t="s">
        <v>15</v>
      </c>
    </row>
    <row r="4627" spans="1:12" x14ac:dyDescent="0.3">
      <c r="A4627">
        <v>37808</v>
      </c>
      <c r="B4627" t="s">
        <v>13</v>
      </c>
      <c r="C4627">
        <v>34</v>
      </c>
      <c r="D4627" t="s">
        <v>15</v>
      </c>
      <c r="E4627" t="s">
        <v>15</v>
      </c>
      <c r="F4627" t="s">
        <v>15</v>
      </c>
      <c r="G4627" t="s">
        <v>19</v>
      </c>
      <c r="H4627" t="s">
        <v>22</v>
      </c>
      <c r="I4627">
        <v>226.28</v>
      </c>
      <c r="J4627">
        <v>38.4</v>
      </c>
      <c r="K4627" t="s">
        <v>27</v>
      </c>
      <c r="L4627" t="s">
        <v>15</v>
      </c>
    </row>
    <row r="4628" spans="1:12" x14ac:dyDescent="0.3">
      <c r="A4628">
        <v>21678</v>
      </c>
      <c r="B4628" t="s">
        <v>12</v>
      </c>
      <c r="C4628">
        <v>33</v>
      </c>
      <c r="D4628" t="s">
        <v>15</v>
      </c>
      <c r="E4628" t="s">
        <v>15</v>
      </c>
      <c r="F4628" t="s">
        <v>16</v>
      </c>
      <c r="G4628" t="s">
        <v>17</v>
      </c>
      <c r="H4628" t="s">
        <v>22</v>
      </c>
      <c r="I4628">
        <v>90.73</v>
      </c>
      <c r="J4628">
        <v>32.799999999999997</v>
      </c>
      <c r="K4628" t="s">
        <v>26</v>
      </c>
      <c r="L4628" t="s">
        <v>15</v>
      </c>
    </row>
    <row r="4629" spans="1:12" x14ac:dyDescent="0.3">
      <c r="A4629">
        <v>40087</v>
      </c>
      <c r="B4629" t="s">
        <v>12</v>
      </c>
      <c r="C4629">
        <v>65</v>
      </c>
      <c r="D4629" t="s">
        <v>15</v>
      </c>
      <c r="E4629" t="s">
        <v>15</v>
      </c>
      <c r="F4629" t="s">
        <v>16</v>
      </c>
      <c r="G4629" t="s">
        <v>17</v>
      </c>
      <c r="H4629" t="s">
        <v>23</v>
      </c>
      <c r="I4629">
        <v>172.86</v>
      </c>
      <c r="J4629">
        <v>34.4</v>
      </c>
      <c r="K4629" t="s">
        <v>25</v>
      </c>
      <c r="L4629" t="s">
        <v>15</v>
      </c>
    </row>
    <row r="4630" spans="1:12" x14ac:dyDescent="0.3">
      <c r="A4630">
        <v>38658</v>
      </c>
      <c r="B4630" t="s">
        <v>13</v>
      </c>
      <c r="C4630">
        <v>62</v>
      </c>
      <c r="D4630" t="s">
        <v>15</v>
      </c>
      <c r="E4630" t="s">
        <v>15</v>
      </c>
      <c r="F4630" t="s">
        <v>16</v>
      </c>
      <c r="G4630" t="s">
        <v>18</v>
      </c>
      <c r="H4630" t="s">
        <v>23</v>
      </c>
      <c r="I4630">
        <v>213.92</v>
      </c>
      <c r="J4630">
        <v>44.6</v>
      </c>
      <c r="K4630" t="s">
        <v>25</v>
      </c>
      <c r="L4630" t="s">
        <v>15</v>
      </c>
    </row>
    <row r="4631" spans="1:12" x14ac:dyDescent="0.3">
      <c r="A4631">
        <v>30353</v>
      </c>
      <c r="B4631" t="s">
        <v>12</v>
      </c>
      <c r="C4631">
        <v>36</v>
      </c>
      <c r="D4631" t="s">
        <v>15</v>
      </c>
      <c r="E4631" t="s">
        <v>15</v>
      </c>
      <c r="F4631" t="s">
        <v>16</v>
      </c>
      <c r="G4631" t="s">
        <v>17</v>
      </c>
      <c r="H4631" t="s">
        <v>22</v>
      </c>
      <c r="I4631">
        <v>92.23</v>
      </c>
      <c r="J4631">
        <v>32.799999999999997</v>
      </c>
      <c r="K4631" t="s">
        <v>25</v>
      </c>
      <c r="L4631" t="s">
        <v>15</v>
      </c>
    </row>
    <row r="4632" spans="1:12" x14ac:dyDescent="0.3">
      <c r="A4632">
        <v>28803</v>
      </c>
      <c r="B4632" t="s">
        <v>12</v>
      </c>
      <c r="C4632">
        <v>31</v>
      </c>
      <c r="D4632" t="s">
        <v>15</v>
      </c>
      <c r="E4632" t="s">
        <v>15</v>
      </c>
      <c r="F4632" t="s">
        <v>16</v>
      </c>
      <c r="G4632" t="s">
        <v>17</v>
      </c>
      <c r="H4632" t="s">
        <v>22</v>
      </c>
      <c r="I4632">
        <v>79.81</v>
      </c>
      <c r="J4632">
        <v>26.4</v>
      </c>
      <c r="K4632" t="s">
        <v>25</v>
      </c>
      <c r="L4632" t="s">
        <v>15</v>
      </c>
    </row>
    <row r="4633" spans="1:12" x14ac:dyDescent="0.3">
      <c r="A4633">
        <v>10445</v>
      </c>
      <c r="B4633" t="s">
        <v>12</v>
      </c>
      <c r="C4633">
        <v>54</v>
      </c>
      <c r="D4633" t="s">
        <v>15</v>
      </c>
      <c r="E4633" t="s">
        <v>15</v>
      </c>
      <c r="F4633" t="s">
        <v>16</v>
      </c>
      <c r="G4633" t="s">
        <v>19</v>
      </c>
      <c r="H4633" t="s">
        <v>23</v>
      </c>
      <c r="I4633">
        <v>81.78</v>
      </c>
      <c r="J4633">
        <v>27.3</v>
      </c>
      <c r="K4633" t="s">
        <v>27</v>
      </c>
      <c r="L4633" t="s">
        <v>15</v>
      </c>
    </row>
    <row r="4634" spans="1:12" x14ac:dyDescent="0.3">
      <c r="A4634">
        <v>12812</v>
      </c>
      <c r="B4634" t="s">
        <v>13</v>
      </c>
      <c r="C4634">
        <v>53</v>
      </c>
      <c r="D4634" t="s">
        <v>15</v>
      </c>
      <c r="E4634" t="s">
        <v>15</v>
      </c>
      <c r="F4634" t="s">
        <v>16</v>
      </c>
      <c r="G4634" t="s">
        <v>17</v>
      </c>
      <c r="H4634" t="s">
        <v>23</v>
      </c>
      <c r="I4634">
        <v>102</v>
      </c>
      <c r="J4634">
        <v>32.4</v>
      </c>
      <c r="K4634" t="s">
        <v>25</v>
      </c>
      <c r="L4634" t="s">
        <v>15</v>
      </c>
    </row>
    <row r="4635" spans="1:12" x14ac:dyDescent="0.3">
      <c r="A4635">
        <v>72289</v>
      </c>
      <c r="B4635" t="s">
        <v>13</v>
      </c>
      <c r="C4635">
        <v>44</v>
      </c>
      <c r="D4635" t="s">
        <v>15</v>
      </c>
      <c r="E4635" t="s">
        <v>15</v>
      </c>
      <c r="F4635" t="s">
        <v>16</v>
      </c>
      <c r="G4635" t="s">
        <v>17</v>
      </c>
      <c r="H4635" t="s">
        <v>23</v>
      </c>
      <c r="I4635">
        <v>68.42</v>
      </c>
      <c r="J4635">
        <v>43.2</v>
      </c>
      <c r="K4635" t="s">
        <v>26</v>
      </c>
      <c r="L4635" t="s">
        <v>15</v>
      </c>
    </row>
    <row r="4636" spans="1:12" x14ac:dyDescent="0.3">
      <c r="A4636">
        <v>30433</v>
      </c>
      <c r="B4636" t="s">
        <v>12</v>
      </c>
      <c r="C4636">
        <v>77</v>
      </c>
      <c r="D4636" t="s">
        <v>15</v>
      </c>
      <c r="E4636" t="s">
        <v>15</v>
      </c>
      <c r="F4636" t="s">
        <v>16</v>
      </c>
      <c r="G4636" t="s">
        <v>17</v>
      </c>
      <c r="H4636" t="s">
        <v>22</v>
      </c>
      <c r="I4636">
        <v>94.68</v>
      </c>
      <c r="J4636">
        <v>33.6</v>
      </c>
      <c r="K4636" t="s">
        <v>27</v>
      </c>
      <c r="L4636" t="s">
        <v>15</v>
      </c>
    </row>
    <row r="4637" spans="1:12" x14ac:dyDescent="0.3">
      <c r="A4637">
        <v>37640</v>
      </c>
      <c r="B4637" t="s">
        <v>13</v>
      </c>
      <c r="C4637">
        <v>67</v>
      </c>
      <c r="D4637" t="s">
        <v>15</v>
      </c>
      <c r="E4637" t="s">
        <v>15</v>
      </c>
      <c r="F4637" t="s">
        <v>16</v>
      </c>
      <c r="G4637" t="s">
        <v>19</v>
      </c>
      <c r="H4637" t="s">
        <v>23</v>
      </c>
      <c r="I4637">
        <v>125.33</v>
      </c>
      <c r="J4637">
        <v>26.4</v>
      </c>
      <c r="K4637" t="s">
        <v>27</v>
      </c>
      <c r="L4637" t="s">
        <v>15</v>
      </c>
    </row>
    <row r="4638" spans="1:12" x14ac:dyDescent="0.3">
      <c r="A4638">
        <v>54378</v>
      </c>
      <c r="B4638" t="s">
        <v>13</v>
      </c>
      <c r="C4638">
        <v>48</v>
      </c>
      <c r="D4638" t="s">
        <v>15</v>
      </c>
      <c r="E4638" t="s">
        <v>15</v>
      </c>
      <c r="F4638" t="s">
        <v>16</v>
      </c>
      <c r="G4638" t="s">
        <v>18</v>
      </c>
      <c r="H4638" t="s">
        <v>22</v>
      </c>
      <c r="I4638">
        <v>212.19</v>
      </c>
      <c r="J4638">
        <v>46.9</v>
      </c>
      <c r="K4638" t="s">
        <v>25</v>
      </c>
      <c r="L4638" t="s">
        <v>15</v>
      </c>
    </row>
    <row r="4639" spans="1:12" x14ac:dyDescent="0.3">
      <c r="A4639">
        <v>34138</v>
      </c>
      <c r="B4639" t="s">
        <v>12</v>
      </c>
      <c r="C4639">
        <v>42</v>
      </c>
      <c r="D4639" t="s">
        <v>15</v>
      </c>
      <c r="E4639" t="s">
        <v>15</v>
      </c>
      <c r="F4639" t="s">
        <v>16</v>
      </c>
      <c r="G4639" t="s">
        <v>17</v>
      </c>
      <c r="H4639" t="s">
        <v>22</v>
      </c>
      <c r="I4639">
        <v>89</v>
      </c>
      <c r="J4639">
        <v>36.299999999999997</v>
      </c>
      <c r="K4639" t="s">
        <v>24</v>
      </c>
      <c r="L4639" t="s">
        <v>15</v>
      </c>
    </row>
    <row r="4640" spans="1:12" x14ac:dyDescent="0.3">
      <c r="A4640">
        <v>72160</v>
      </c>
      <c r="B4640" t="s">
        <v>12</v>
      </c>
      <c r="C4640">
        <v>72</v>
      </c>
      <c r="D4640" t="s">
        <v>16</v>
      </c>
      <c r="E4640" t="s">
        <v>16</v>
      </c>
      <c r="F4640" t="s">
        <v>16</v>
      </c>
      <c r="G4640" t="s">
        <v>17</v>
      </c>
      <c r="H4640" t="s">
        <v>23</v>
      </c>
      <c r="I4640">
        <v>60.98</v>
      </c>
      <c r="J4640">
        <v>34.9</v>
      </c>
      <c r="K4640" t="s">
        <v>24</v>
      </c>
      <c r="L4640" t="s">
        <v>15</v>
      </c>
    </row>
    <row r="4641" spans="1:12" x14ac:dyDescent="0.3">
      <c r="A4641">
        <v>44447</v>
      </c>
      <c r="B4641" t="s">
        <v>12</v>
      </c>
      <c r="C4641">
        <v>49</v>
      </c>
      <c r="D4641" t="s">
        <v>15</v>
      </c>
      <c r="E4641" t="s">
        <v>15</v>
      </c>
      <c r="F4641" t="s">
        <v>16</v>
      </c>
      <c r="G4641" t="s">
        <v>17</v>
      </c>
      <c r="H4641" t="s">
        <v>22</v>
      </c>
      <c r="I4641">
        <v>58.19</v>
      </c>
      <c r="J4641">
        <v>29.6</v>
      </c>
      <c r="K4641" t="s">
        <v>26</v>
      </c>
      <c r="L4641" t="s">
        <v>15</v>
      </c>
    </row>
    <row r="4642" spans="1:12" x14ac:dyDescent="0.3">
      <c r="A4642">
        <v>5927</v>
      </c>
      <c r="B4642" t="s">
        <v>13</v>
      </c>
      <c r="C4642">
        <v>1.32</v>
      </c>
      <c r="D4642" t="s">
        <v>15</v>
      </c>
      <c r="E4642" t="s">
        <v>15</v>
      </c>
      <c r="F4642" t="s">
        <v>15</v>
      </c>
      <c r="G4642" t="s">
        <v>20</v>
      </c>
      <c r="H4642" t="s">
        <v>23</v>
      </c>
      <c r="I4642">
        <v>67.680000000000007</v>
      </c>
      <c r="J4642">
        <v>16.5</v>
      </c>
      <c r="K4642" t="s">
        <v>27</v>
      </c>
      <c r="L4642" t="s">
        <v>15</v>
      </c>
    </row>
    <row r="4643" spans="1:12" x14ac:dyDescent="0.3">
      <c r="A4643">
        <v>44233</v>
      </c>
      <c r="B4643" t="s">
        <v>13</v>
      </c>
      <c r="C4643">
        <v>45</v>
      </c>
      <c r="D4643" t="s">
        <v>15</v>
      </c>
      <c r="E4643" t="s">
        <v>15</v>
      </c>
      <c r="F4643" t="s">
        <v>16</v>
      </c>
      <c r="G4643" t="s">
        <v>19</v>
      </c>
      <c r="H4643" t="s">
        <v>23</v>
      </c>
      <c r="I4643">
        <v>84.99</v>
      </c>
      <c r="J4643">
        <v>35.4</v>
      </c>
      <c r="K4643" t="s">
        <v>27</v>
      </c>
      <c r="L4643" t="s">
        <v>15</v>
      </c>
    </row>
    <row r="4644" spans="1:12" x14ac:dyDescent="0.3">
      <c r="A4644">
        <v>56021</v>
      </c>
      <c r="B4644" t="s">
        <v>13</v>
      </c>
      <c r="C4644">
        <v>63</v>
      </c>
      <c r="D4644" t="s">
        <v>16</v>
      </c>
      <c r="E4644" t="s">
        <v>15</v>
      </c>
      <c r="F4644" t="s">
        <v>16</v>
      </c>
      <c r="G4644" t="s">
        <v>17</v>
      </c>
      <c r="H4644" t="s">
        <v>22</v>
      </c>
      <c r="I4644">
        <v>62.13</v>
      </c>
      <c r="J4644">
        <v>23.6</v>
      </c>
      <c r="K4644" t="s">
        <v>25</v>
      </c>
      <c r="L4644" t="s">
        <v>15</v>
      </c>
    </row>
    <row r="4645" spans="1:12" x14ac:dyDescent="0.3">
      <c r="A4645">
        <v>65038</v>
      </c>
      <c r="B4645" t="s">
        <v>13</v>
      </c>
      <c r="C4645">
        <v>33</v>
      </c>
      <c r="D4645" t="s">
        <v>15</v>
      </c>
      <c r="E4645" t="s">
        <v>15</v>
      </c>
      <c r="F4645" t="s">
        <v>16</v>
      </c>
      <c r="G4645" t="s">
        <v>17</v>
      </c>
      <c r="H4645" t="s">
        <v>23</v>
      </c>
      <c r="I4645">
        <v>57.1</v>
      </c>
      <c r="J4645">
        <v>33.1</v>
      </c>
      <c r="K4645" t="s">
        <v>25</v>
      </c>
      <c r="L4645" t="s">
        <v>15</v>
      </c>
    </row>
    <row r="4646" spans="1:12" x14ac:dyDescent="0.3">
      <c r="A4646">
        <v>3595</v>
      </c>
      <c r="B4646" t="s">
        <v>12</v>
      </c>
      <c r="C4646">
        <v>32</v>
      </c>
      <c r="D4646" t="s">
        <v>15</v>
      </c>
      <c r="E4646" t="s">
        <v>15</v>
      </c>
      <c r="F4646" t="s">
        <v>16</v>
      </c>
      <c r="G4646" t="s">
        <v>17</v>
      </c>
      <c r="H4646" t="s">
        <v>22</v>
      </c>
      <c r="I4646">
        <v>97.95</v>
      </c>
      <c r="J4646">
        <v>40.200000000000003</v>
      </c>
      <c r="K4646" t="s">
        <v>26</v>
      </c>
      <c r="L4646" t="s">
        <v>15</v>
      </c>
    </row>
    <row r="4647" spans="1:12" x14ac:dyDescent="0.3">
      <c r="A4647">
        <v>25783</v>
      </c>
      <c r="B4647" t="s">
        <v>13</v>
      </c>
      <c r="C4647">
        <v>0.48</v>
      </c>
      <c r="D4647" t="s">
        <v>15</v>
      </c>
      <c r="E4647" t="s">
        <v>15</v>
      </c>
      <c r="F4647" t="s">
        <v>15</v>
      </c>
      <c r="G4647" t="s">
        <v>20</v>
      </c>
      <c r="H4647" t="s">
        <v>23</v>
      </c>
      <c r="I4647">
        <v>94.06</v>
      </c>
      <c r="J4647">
        <v>14.8</v>
      </c>
      <c r="K4647" t="s">
        <v>27</v>
      </c>
      <c r="L4647" t="s">
        <v>15</v>
      </c>
    </row>
    <row r="4648" spans="1:12" x14ac:dyDescent="0.3">
      <c r="A4648">
        <v>68268</v>
      </c>
      <c r="B4648" t="s">
        <v>13</v>
      </c>
      <c r="C4648">
        <v>63</v>
      </c>
      <c r="D4648" t="s">
        <v>15</v>
      </c>
      <c r="E4648" t="s">
        <v>15</v>
      </c>
      <c r="F4648" t="s">
        <v>16</v>
      </c>
      <c r="G4648" t="s">
        <v>18</v>
      </c>
      <c r="H4648" t="s">
        <v>22</v>
      </c>
      <c r="I4648">
        <v>93.88</v>
      </c>
      <c r="J4648">
        <v>34.799999999999997</v>
      </c>
      <c r="K4648" t="s">
        <v>27</v>
      </c>
      <c r="L4648" t="s">
        <v>15</v>
      </c>
    </row>
    <row r="4649" spans="1:12" x14ac:dyDescent="0.3">
      <c r="A4649">
        <v>7564</v>
      </c>
      <c r="B4649" t="s">
        <v>12</v>
      </c>
      <c r="C4649">
        <v>70</v>
      </c>
      <c r="D4649" t="s">
        <v>15</v>
      </c>
      <c r="E4649" t="s">
        <v>15</v>
      </c>
      <c r="F4649" t="s">
        <v>16</v>
      </c>
      <c r="G4649" t="s">
        <v>17</v>
      </c>
      <c r="H4649" t="s">
        <v>23</v>
      </c>
      <c r="I4649">
        <v>90.3</v>
      </c>
      <c r="J4649">
        <v>33.5</v>
      </c>
      <c r="K4649" t="s">
        <v>24</v>
      </c>
      <c r="L4649" t="s">
        <v>15</v>
      </c>
    </row>
    <row r="4650" spans="1:12" x14ac:dyDescent="0.3">
      <c r="A4650">
        <v>26723</v>
      </c>
      <c r="B4650" t="s">
        <v>13</v>
      </c>
      <c r="C4650">
        <v>57</v>
      </c>
      <c r="D4650" t="s">
        <v>15</v>
      </c>
      <c r="E4650" t="s">
        <v>15</v>
      </c>
      <c r="F4650" t="s">
        <v>16</v>
      </c>
      <c r="G4650" t="s">
        <v>17</v>
      </c>
      <c r="H4650" t="s">
        <v>22</v>
      </c>
      <c r="I4650">
        <v>83.14</v>
      </c>
      <c r="J4650">
        <v>31.9</v>
      </c>
      <c r="K4650" t="s">
        <v>25</v>
      </c>
      <c r="L4650" t="s">
        <v>15</v>
      </c>
    </row>
    <row r="4651" spans="1:12" x14ac:dyDescent="0.3">
      <c r="A4651">
        <v>9995</v>
      </c>
      <c r="B4651" t="s">
        <v>12</v>
      </c>
      <c r="C4651">
        <v>8</v>
      </c>
      <c r="D4651" t="s">
        <v>15</v>
      </c>
      <c r="E4651" t="s">
        <v>15</v>
      </c>
      <c r="F4651" t="s">
        <v>15</v>
      </c>
      <c r="G4651" t="s">
        <v>20</v>
      </c>
      <c r="H4651" t="s">
        <v>22</v>
      </c>
      <c r="I4651">
        <v>118.66</v>
      </c>
      <c r="J4651">
        <v>16.100000000000001</v>
      </c>
      <c r="K4651" t="s">
        <v>27</v>
      </c>
      <c r="L4651" t="s">
        <v>15</v>
      </c>
    </row>
    <row r="4652" spans="1:12" x14ac:dyDescent="0.3">
      <c r="A4652">
        <v>68074</v>
      </c>
      <c r="B4652" t="s">
        <v>12</v>
      </c>
      <c r="C4652">
        <v>54</v>
      </c>
      <c r="D4652" t="s">
        <v>15</v>
      </c>
      <c r="E4652" t="s">
        <v>15</v>
      </c>
      <c r="F4652" t="s">
        <v>16</v>
      </c>
      <c r="G4652" t="s">
        <v>17</v>
      </c>
      <c r="H4652" t="s">
        <v>23</v>
      </c>
      <c r="I4652">
        <v>100.47</v>
      </c>
      <c r="J4652">
        <v>50.2</v>
      </c>
      <c r="K4652" t="s">
        <v>24</v>
      </c>
      <c r="L4652" t="s">
        <v>15</v>
      </c>
    </row>
    <row r="4653" spans="1:12" x14ac:dyDescent="0.3">
      <c r="A4653">
        <v>8385</v>
      </c>
      <c r="B4653" t="s">
        <v>12</v>
      </c>
      <c r="C4653">
        <v>37</v>
      </c>
      <c r="D4653" t="s">
        <v>15</v>
      </c>
      <c r="E4653" t="s">
        <v>15</v>
      </c>
      <c r="F4653" t="s">
        <v>16</v>
      </c>
      <c r="G4653" t="s">
        <v>17</v>
      </c>
      <c r="H4653" t="s">
        <v>22</v>
      </c>
      <c r="I4653">
        <v>90.78</v>
      </c>
      <c r="J4653">
        <v>35.9</v>
      </c>
      <c r="K4653" t="s">
        <v>27</v>
      </c>
      <c r="L4653" t="s">
        <v>15</v>
      </c>
    </row>
    <row r="4654" spans="1:12" x14ac:dyDescent="0.3">
      <c r="A4654">
        <v>21796</v>
      </c>
      <c r="B4654" t="s">
        <v>12</v>
      </c>
      <c r="C4654">
        <v>59</v>
      </c>
      <c r="D4654" t="s">
        <v>15</v>
      </c>
      <c r="E4654" t="s">
        <v>15</v>
      </c>
      <c r="F4654" t="s">
        <v>16</v>
      </c>
      <c r="G4654" t="s">
        <v>17</v>
      </c>
      <c r="H4654" t="s">
        <v>22</v>
      </c>
      <c r="I4654">
        <v>66.459999999999994</v>
      </c>
      <c r="J4654">
        <v>39.6</v>
      </c>
      <c r="K4654" t="s">
        <v>24</v>
      </c>
      <c r="L4654" t="s">
        <v>15</v>
      </c>
    </row>
    <row r="4655" spans="1:12" x14ac:dyDescent="0.3">
      <c r="A4655">
        <v>53115</v>
      </c>
      <c r="B4655" t="s">
        <v>13</v>
      </c>
      <c r="C4655">
        <v>78</v>
      </c>
      <c r="D4655" t="s">
        <v>15</v>
      </c>
      <c r="E4655" t="s">
        <v>15</v>
      </c>
      <c r="F4655" t="s">
        <v>16</v>
      </c>
      <c r="G4655" t="s">
        <v>19</v>
      </c>
      <c r="H4655" t="s">
        <v>22</v>
      </c>
      <c r="I4655">
        <v>73.56</v>
      </c>
      <c r="J4655">
        <v>27.5</v>
      </c>
      <c r="K4655" t="s">
        <v>24</v>
      </c>
      <c r="L4655" t="s">
        <v>15</v>
      </c>
    </row>
    <row r="4656" spans="1:12" x14ac:dyDescent="0.3">
      <c r="A4656">
        <v>27623</v>
      </c>
      <c r="B4656" t="s">
        <v>13</v>
      </c>
      <c r="C4656">
        <v>59</v>
      </c>
      <c r="D4656" t="s">
        <v>15</v>
      </c>
      <c r="E4656" t="s">
        <v>15</v>
      </c>
      <c r="F4656" t="s">
        <v>16</v>
      </c>
      <c r="G4656" t="s">
        <v>17</v>
      </c>
      <c r="H4656" t="s">
        <v>22</v>
      </c>
      <c r="I4656">
        <v>200.8</v>
      </c>
      <c r="J4656">
        <v>32.299999999999997</v>
      </c>
      <c r="K4656" t="s">
        <v>27</v>
      </c>
      <c r="L4656" t="s">
        <v>15</v>
      </c>
    </row>
    <row r="4657" spans="1:12" x14ac:dyDescent="0.3">
      <c r="A4657">
        <v>70823</v>
      </c>
      <c r="B4657" t="s">
        <v>13</v>
      </c>
      <c r="C4657">
        <v>10</v>
      </c>
      <c r="D4657" t="s">
        <v>15</v>
      </c>
      <c r="E4657" t="s">
        <v>15</v>
      </c>
      <c r="F4657" t="s">
        <v>15</v>
      </c>
      <c r="G4657" t="s">
        <v>20</v>
      </c>
      <c r="H4657" t="s">
        <v>22</v>
      </c>
      <c r="I4657">
        <v>57.28</v>
      </c>
      <c r="J4657">
        <v>15.4</v>
      </c>
      <c r="K4657" t="s">
        <v>25</v>
      </c>
      <c r="L4657" t="s">
        <v>15</v>
      </c>
    </row>
    <row r="4658" spans="1:12" x14ac:dyDescent="0.3">
      <c r="A4658">
        <v>5173</v>
      </c>
      <c r="B4658" t="s">
        <v>12</v>
      </c>
      <c r="C4658">
        <v>21</v>
      </c>
      <c r="D4658" t="s">
        <v>15</v>
      </c>
      <c r="E4658" t="s">
        <v>15</v>
      </c>
      <c r="F4658" t="s">
        <v>15</v>
      </c>
      <c r="G4658" t="s">
        <v>17</v>
      </c>
      <c r="H4658" t="s">
        <v>23</v>
      </c>
      <c r="I4658">
        <v>92.87</v>
      </c>
      <c r="J4658">
        <v>28.4</v>
      </c>
      <c r="K4658" t="s">
        <v>26</v>
      </c>
      <c r="L4658" t="s">
        <v>15</v>
      </c>
    </row>
    <row r="4659" spans="1:12" x14ac:dyDescent="0.3">
      <c r="A4659">
        <v>21852</v>
      </c>
      <c r="B4659" t="s">
        <v>12</v>
      </c>
      <c r="C4659">
        <v>2</v>
      </c>
      <c r="D4659" t="s">
        <v>15</v>
      </c>
      <c r="E4659" t="s">
        <v>15</v>
      </c>
      <c r="F4659" t="s">
        <v>15</v>
      </c>
      <c r="G4659" t="s">
        <v>20</v>
      </c>
      <c r="H4659" t="s">
        <v>23</v>
      </c>
      <c r="I4659">
        <v>96.47</v>
      </c>
      <c r="J4659">
        <v>19.5</v>
      </c>
      <c r="K4659" t="s">
        <v>27</v>
      </c>
      <c r="L4659" t="s">
        <v>15</v>
      </c>
    </row>
    <row r="4660" spans="1:12" x14ac:dyDescent="0.3">
      <c r="A4660">
        <v>24711</v>
      </c>
      <c r="B4660" t="s">
        <v>13</v>
      </c>
      <c r="C4660">
        <v>55</v>
      </c>
      <c r="D4660" t="s">
        <v>15</v>
      </c>
      <c r="E4660" t="s">
        <v>15</v>
      </c>
      <c r="F4660" t="s">
        <v>16</v>
      </c>
      <c r="G4660" t="s">
        <v>19</v>
      </c>
      <c r="H4660" t="s">
        <v>22</v>
      </c>
      <c r="I4660">
        <v>99.44</v>
      </c>
      <c r="J4660">
        <v>25</v>
      </c>
      <c r="K4660" t="s">
        <v>24</v>
      </c>
      <c r="L4660" t="s">
        <v>15</v>
      </c>
    </row>
    <row r="4661" spans="1:12" x14ac:dyDescent="0.3">
      <c r="A4661">
        <v>21967</v>
      </c>
      <c r="B4661" t="s">
        <v>13</v>
      </c>
      <c r="C4661">
        <v>20</v>
      </c>
      <c r="D4661" t="s">
        <v>15</v>
      </c>
      <c r="E4661" t="s">
        <v>15</v>
      </c>
      <c r="F4661" t="s">
        <v>16</v>
      </c>
      <c r="G4661" t="s">
        <v>17</v>
      </c>
      <c r="H4661" t="s">
        <v>22</v>
      </c>
      <c r="I4661">
        <v>77.959999999999994</v>
      </c>
      <c r="J4661">
        <v>26.3</v>
      </c>
      <c r="K4661" t="s">
        <v>26</v>
      </c>
      <c r="L4661" t="s">
        <v>15</v>
      </c>
    </row>
    <row r="4662" spans="1:12" x14ac:dyDescent="0.3">
      <c r="A4662">
        <v>36793</v>
      </c>
      <c r="B4662" t="s">
        <v>13</v>
      </c>
      <c r="C4662">
        <v>38</v>
      </c>
      <c r="D4662" t="s">
        <v>16</v>
      </c>
      <c r="E4662" t="s">
        <v>15</v>
      </c>
      <c r="F4662" t="s">
        <v>16</v>
      </c>
      <c r="G4662" t="s">
        <v>17</v>
      </c>
      <c r="H4662" t="s">
        <v>23</v>
      </c>
      <c r="I4662">
        <v>60.13</v>
      </c>
      <c r="J4662">
        <v>39.6</v>
      </c>
      <c r="K4662" t="s">
        <v>25</v>
      </c>
      <c r="L4662" t="s">
        <v>15</v>
      </c>
    </row>
    <row r="4663" spans="1:12" x14ac:dyDescent="0.3">
      <c r="A4663">
        <v>37492</v>
      </c>
      <c r="B4663" t="s">
        <v>13</v>
      </c>
      <c r="C4663">
        <v>33</v>
      </c>
      <c r="D4663" t="s">
        <v>15</v>
      </c>
      <c r="E4663" t="s">
        <v>15</v>
      </c>
      <c r="F4663" t="s">
        <v>16</v>
      </c>
      <c r="G4663" t="s">
        <v>17</v>
      </c>
      <c r="H4663" t="s">
        <v>23</v>
      </c>
      <c r="I4663">
        <v>88.17</v>
      </c>
      <c r="J4663">
        <v>38.6</v>
      </c>
      <c r="K4663" t="s">
        <v>24</v>
      </c>
      <c r="L4663" t="s">
        <v>15</v>
      </c>
    </row>
    <row r="4664" spans="1:12" x14ac:dyDescent="0.3">
      <c r="A4664">
        <v>45658</v>
      </c>
      <c r="B4664" t="s">
        <v>12</v>
      </c>
      <c r="C4664">
        <v>14</v>
      </c>
      <c r="D4664" t="s">
        <v>15</v>
      </c>
      <c r="E4664" t="s">
        <v>15</v>
      </c>
      <c r="F4664" t="s">
        <v>15</v>
      </c>
      <c r="G4664" t="s">
        <v>17</v>
      </c>
      <c r="H4664" t="s">
        <v>23</v>
      </c>
      <c r="I4664">
        <v>84.41</v>
      </c>
      <c r="J4664">
        <v>33.9</v>
      </c>
      <c r="K4664" t="s">
        <v>25</v>
      </c>
      <c r="L4664" t="s">
        <v>15</v>
      </c>
    </row>
    <row r="4665" spans="1:12" x14ac:dyDescent="0.3">
      <c r="A4665">
        <v>6264</v>
      </c>
      <c r="B4665" t="s">
        <v>12</v>
      </c>
      <c r="C4665">
        <v>32</v>
      </c>
      <c r="D4665" t="s">
        <v>15</v>
      </c>
      <c r="E4665" t="s">
        <v>15</v>
      </c>
      <c r="F4665" t="s">
        <v>16</v>
      </c>
      <c r="G4665" t="s">
        <v>17</v>
      </c>
      <c r="H4665" t="s">
        <v>23</v>
      </c>
      <c r="I4665">
        <v>72.34</v>
      </c>
      <c r="J4665">
        <v>32.200000000000003</v>
      </c>
      <c r="K4665" t="s">
        <v>27</v>
      </c>
      <c r="L4665" t="s">
        <v>15</v>
      </c>
    </row>
    <row r="4666" spans="1:12" x14ac:dyDescent="0.3">
      <c r="A4666">
        <v>37507</v>
      </c>
      <c r="B4666" t="s">
        <v>13</v>
      </c>
      <c r="C4666">
        <v>32</v>
      </c>
      <c r="D4666" t="s">
        <v>15</v>
      </c>
      <c r="E4666" t="s">
        <v>15</v>
      </c>
      <c r="F4666" t="s">
        <v>15</v>
      </c>
      <c r="G4666" t="s">
        <v>17</v>
      </c>
      <c r="H4666" t="s">
        <v>23</v>
      </c>
      <c r="I4666">
        <v>68.72</v>
      </c>
      <c r="J4666">
        <v>25.1</v>
      </c>
      <c r="K4666" t="s">
        <v>25</v>
      </c>
      <c r="L4666" t="s">
        <v>15</v>
      </c>
    </row>
    <row r="4667" spans="1:12" x14ac:dyDescent="0.3">
      <c r="A4667">
        <v>50557</v>
      </c>
      <c r="B4667" t="s">
        <v>13</v>
      </c>
      <c r="C4667">
        <v>68</v>
      </c>
      <c r="D4667" t="s">
        <v>15</v>
      </c>
      <c r="E4667" t="s">
        <v>15</v>
      </c>
      <c r="F4667" t="s">
        <v>16</v>
      </c>
      <c r="G4667" t="s">
        <v>18</v>
      </c>
      <c r="H4667" t="s">
        <v>22</v>
      </c>
      <c r="I4667">
        <v>222.58</v>
      </c>
      <c r="J4667">
        <v>37.4</v>
      </c>
      <c r="K4667" t="s">
        <v>26</v>
      </c>
      <c r="L4667" t="s">
        <v>15</v>
      </c>
    </row>
    <row r="4668" spans="1:12" x14ac:dyDescent="0.3">
      <c r="A4668">
        <v>21973</v>
      </c>
      <c r="B4668" t="s">
        <v>12</v>
      </c>
      <c r="C4668">
        <v>70</v>
      </c>
      <c r="D4668" t="s">
        <v>15</v>
      </c>
      <c r="E4668" t="s">
        <v>15</v>
      </c>
      <c r="F4668" t="s">
        <v>16</v>
      </c>
      <c r="G4668" t="s">
        <v>17</v>
      </c>
      <c r="H4668" t="s">
        <v>23</v>
      </c>
      <c r="I4668">
        <v>66.06</v>
      </c>
      <c r="J4668">
        <v>30.1</v>
      </c>
      <c r="K4668" t="s">
        <v>24</v>
      </c>
      <c r="L4668" t="s">
        <v>15</v>
      </c>
    </row>
    <row r="4669" spans="1:12" x14ac:dyDescent="0.3">
      <c r="A4669">
        <v>53346</v>
      </c>
      <c r="B4669" t="s">
        <v>13</v>
      </c>
      <c r="C4669">
        <v>24</v>
      </c>
      <c r="D4669" t="s">
        <v>15</v>
      </c>
      <c r="E4669" t="s">
        <v>15</v>
      </c>
      <c r="F4669" t="s">
        <v>16</v>
      </c>
      <c r="G4669" t="s">
        <v>17</v>
      </c>
      <c r="H4669" t="s">
        <v>23</v>
      </c>
      <c r="I4669">
        <v>156.43</v>
      </c>
      <c r="J4669">
        <v>27</v>
      </c>
      <c r="K4669" t="s">
        <v>24</v>
      </c>
      <c r="L4669" t="s">
        <v>15</v>
      </c>
    </row>
    <row r="4670" spans="1:12" x14ac:dyDescent="0.3">
      <c r="A4670">
        <v>41210</v>
      </c>
      <c r="B4670" t="s">
        <v>12</v>
      </c>
      <c r="C4670">
        <v>44</v>
      </c>
      <c r="D4670" t="s">
        <v>15</v>
      </c>
      <c r="E4670" t="s">
        <v>15</v>
      </c>
      <c r="F4670" t="s">
        <v>15</v>
      </c>
      <c r="G4670" t="s">
        <v>18</v>
      </c>
      <c r="H4670" t="s">
        <v>22</v>
      </c>
      <c r="I4670">
        <v>105.76</v>
      </c>
      <c r="J4670">
        <v>32.4</v>
      </c>
      <c r="K4670" t="s">
        <v>24</v>
      </c>
      <c r="L4670" t="s">
        <v>15</v>
      </c>
    </row>
    <row r="4671" spans="1:12" x14ac:dyDescent="0.3">
      <c r="A4671">
        <v>29078</v>
      </c>
      <c r="B4671" t="s">
        <v>12</v>
      </c>
      <c r="C4671">
        <v>39</v>
      </c>
      <c r="D4671" t="s">
        <v>15</v>
      </c>
      <c r="E4671" t="s">
        <v>15</v>
      </c>
      <c r="F4671" t="s">
        <v>16</v>
      </c>
      <c r="G4671" t="s">
        <v>19</v>
      </c>
      <c r="H4671" t="s">
        <v>23</v>
      </c>
      <c r="I4671">
        <v>73.069999999999993</v>
      </c>
      <c r="J4671">
        <v>26.8</v>
      </c>
      <c r="K4671" t="s">
        <v>26</v>
      </c>
      <c r="L4671" t="s">
        <v>15</v>
      </c>
    </row>
    <row r="4672" spans="1:12" x14ac:dyDescent="0.3">
      <c r="A4672">
        <v>24873</v>
      </c>
      <c r="B4672" t="s">
        <v>13</v>
      </c>
      <c r="C4672">
        <v>81</v>
      </c>
      <c r="D4672" t="s">
        <v>15</v>
      </c>
      <c r="E4672" t="s">
        <v>15</v>
      </c>
      <c r="F4672" t="s">
        <v>16</v>
      </c>
      <c r="G4672" t="s">
        <v>17</v>
      </c>
      <c r="H4672" t="s">
        <v>23</v>
      </c>
      <c r="I4672">
        <v>99.48</v>
      </c>
      <c r="J4672">
        <v>27.2</v>
      </c>
      <c r="K4672" t="s">
        <v>25</v>
      </c>
      <c r="L4672" t="s">
        <v>15</v>
      </c>
    </row>
    <row r="4673" spans="1:12" x14ac:dyDescent="0.3">
      <c r="A4673">
        <v>15387</v>
      </c>
      <c r="B4673" t="s">
        <v>12</v>
      </c>
      <c r="C4673">
        <v>19</v>
      </c>
      <c r="D4673" t="s">
        <v>15</v>
      </c>
      <c r="E4673" t="s">
        <v>15</v>
      </c>
      <c r="F4673" t="s">
        <v>15</v>
      </c>
      <c r="G4673" t="s">
        <v>17</v>
      </c>
      <c r="H4673" t="s">
        <v>23</v>
      </c>
      <c r="I4673">
        <v>79.599999999999994</v>
      </c>
      <c r="J4673">
        <v>36.700000000000003</v>
      </c>
      <c r="K4673" t="s">
        <v>27</v>
      </c>
      <c r="L4673" t="s">
        <v>15</v>
      </c>
    </row>
    <row r="4674" spans="1:12" x14ac:dyDescent="0.3">
      <c r="A4674">
        <v>63880</v>
      </c>
      <c r="B4674" t="s">
        <v>13</v>
      </c>
      <c r="C4674">
        <v>69</v>
      </c>
      <c r="D4674" t="s">
        <v>15</v>
      </c>
      <c r="E4674" t="s">
        <v>15</v>
      </c>
      <c r="F4674" t="s">
        <v>16</v>
      </c>
      <c r="G4674" t="s">
        <v>18</v>
      </c>
      <c r="H4674" t="s">
        <v>22</v>
      </c>
      <c r="I4674">
        <v>70</v>
      </c>
      <c r="J4674">
        <v>36</v>
      </c>
      <c r="K4674" t="s">
        <v>25</v>
      </c>
      <c r="L4674" t="s">
        <v>15</v>
      </c>
    </row>
    <row r="4675" spans="1:12" x14ac:dyDescent="0.3">
      <c r="A4675">
        <v>49833</v>
      </c>
      <c r="B4675" t="s">
        <v>13</v>
      </c>
      <c r="C4675">
        <v>42</v>
      </c>
      <c r="D4675" t="s">
        <v>15</v>
      </c>
      <c r="E4675" t="s">
        <v>15</v>
      </c>
      <c r="F4675" t="s">
        <v>16</v>
      </c>
      <c r="G4675" t="s">
        <v>19</v>
      </c>
      <c r="H4675" t="s">
        <v>23</v>
      </c>
      <c r="I4675">
        <v>112.98</v>
      </c>
      <c r="J4675">
        <v>37.200000000000003</v>
      </c>
      <c r="K4675" t="s">
        <v>24</v>
      </c>
      <c r="L4675" t="s">
        <v>15</v>
      </c>
    </row>
    <row r="4676" spans="1:12" x14ac:dyDescent="0.3">
      <c r="A4676">
        <v>43773</v>
      </c>
      <c r="B4676" t="s">
        <v>12</v>
      </c>
      <c r="C4676">
        <v>8</v>
      </c>
      <c r="D4676" t="s">
        <v>15</v>
      </c>
      <c r="E4676" t="s">
        <v>15</v>
      </c>
      <c r="F4676" t="s">
        <v>15</v>
      </c>
      <c r="G4676" t="s">
        <v>20</v>
      </c>
      <c r="H4676" t="s">
        <v>22</v>
      </c>
      <c r="I4676">
        <v>61.07</v>
      </c>
      <c r="J4676">
        <v>19.100000000000001</v>
      </c>
      <c r="K4676" t="s">
        <v>27</v>
      </c>
      <c r="L4676" t="s">
        <v>15</v>
      </c>
    </row>
    <row r="4677" spans="1:12" x14ac:dyDescent="0.3">
      <c r="A4677">
        <v>53095</v>
      </c>
      <c r="B4677" t="s">
        <v>12</v>
      </c>
      <c r="C4677">
        <v>8</v>
      </c>
      <c r="D4677" t="s">
        <v>15</v>
      </c>
      <c r="E4677" t="s">
        <v>15</v>
      </c>
      <c r="F4677" t="s">
        <v>15</v>
      </c>
      <c r="G4677" t="s">
        <v>20</v>
      </c>
      <c r="H4677" t="s">
        <v>23</v>
      </c>
      <c r="I4677">
        <v>63.43</v>
      </c>
      <c r="J4677">
        <v>21.8</v>
      </c>
      <c r="K4677" t="s">
        <v>27</v>
      </c>
      <c r="L4677" t="s">
        <v>15</v>
      </c>
    </row>
    <row r="4678" spans="1:12" x14ac:dyDescent="0.3">
      <c r="A4678">
        <v>56185</v>
      </c>
      <c r="B4678" t="s">
        <v>13</v>
      </c>
      <c r="C4678">
        <v>28</v>
      </c>
      <c r="D4678" t="s">
        <v>15</v>
      </c>
      <c r="E4678" t="s">
        <v>15</v>
      </c>
      <c r="F4678" t="s">
        <v>15</v>
      </c>
      <c r="G4678" t="s">
        <v>17</v>
      </c>
      <c r="H4678" t="s">
        <v>22</v>
      </c>
      <c r="I4678">
        <v>73.2</v>
      </c>
      <c r="J4678">
        <v>26.5</v>
      </c>
      <c r="K4678" t="s">
        <v>26</v>
      </c>
      <c r="L4678" t="s">
        <v>15</v>
      </c>
    </row>
    <row r="4679" spans="1:12" x14ac:dyDescent="0.3">
      <c r="A4679">
        <v>57043</v>
      </c>
      <c r="B4679" t="s">
        <v>13</v>
      </c>
      <c r="C4679">
        <v>66</v>
      </c>
      <c r="D4679" t="s">
        <v>15</v>
      </c>
      <c r="E4679" t="s">
        <v>15</v>
      </c>
      <c r="F4679" t="s">
        <v>16</v>
      </c>
      <c r="G4679" t="s">
        <v>18</v>
      </c>
      <c r="H4679" t="s">
        <v>22</v>
      </c>
      <c r="I4679">
        <v>102.73</v>
      </c>
      <c r="J4679">
        <v>35</v>
      </c>
      <c r="K4679" t="s">
        <v>24</v>
      </c>
      <c r="L4679" t="s">
        <v>15</v>
      </c>
    </row>
    <row r="4680" spans="1:12" x14ac:dyDescent="0.3">
      <c r="A4680">
        <v>55545</v>
      </c>
      <c r="B4680" t="s">
        <v>13</v>
      </c>
      <c r="C4680">
        <v>66</v>
      </c>
      <c r="D4680" t="s">
        <v>15</v>
      </c>
      <c r="E4680" t="s">
        <v>15</v>
      </c>
      <c r="F4680" t="s">
        <v>16</v>
      </c>
      <c r="G4680" t="s">
        <v>18</v>
      </c>
      <c r="H4680" t="s">
        <v>23</v>
      </c>
      <c r="I4680">
        <v>74.88</v>
      </c>
      <c r="J4680">
        <v>32.6</v>
      </c>
      <c r="K4680" t="s">
        <v>25</v>
      </c>
      <c r="L4680" t="s">
        <v>15</v>
      </c>
    </row>
    <row r="4681" spans="1:12" x14ac:dyDescent="0.3">
      <c r="A4681">
        <v>60899</v>
      </c>
      <c r="B4681" t="s">
        <v>13</v>
      </c>
      <c r="C4681">
        <v>47</v>
      </c>
      <c r="D4681" t="s">
        <v>15</v>
      </c>
      <c r="E4681" t="s">
        <v>15</v>
      </c>
      <c r="F4681" t="s">
        <v>16</v>
      </c>
      <c r="G4681" t="s">
        <v>17</v>
      </c>
      <c r="H4681" t="s">
        <v>22</v>
      </c>
      <c r="I4681">
        <v>122.43</v>
      </c>
      <c r="J4681">
        <v>23.9</v>
      </c>
      <c r="K4681" t="s">
        <v>25</v>
      </c>
      <c r="L4681" t="s">
        <v>15</v>
      </c>
    </row>
    <row r="4682" spans="1:12" x14ac:dyDescent="0.3">
      <c r="A4682">
        <v>16136</v>
      </c>
      <c r="B4682" t="s">
        <v>13</v>
      </c>
      <c r="C4682">
        <v>78</v>
      </c>
      <c r="D4682" t="s">
        <v>15</v>
      </c>
      <c r="E4682" t="s">
        <v>15</v>
      </c>
      <c r="F4682" t="s">
        <v>16</v>
      </c>
      <c r="G4682" t="s">
        <v>18</v>
      </c>
      <c r="H4682" t="s">
        <v>22</v>
      </c>
      <c r="I4682">
        <v>84.21</v>
      </c>
      <c r="J4682">
        <v>33.700000000000003</v>
      </c>
      <c r="K4682" t="s">
        <v>25</v>
      </c>
      <c r="L4682" t="s">
        <v>15</v>
      </c>
    </row>
    <row r="4683" spans="1:12" x14ac:dyDescent="0.3">
      <c r="A4683">
        <v>11843</v>
      </c>
      <c r="B4683" t="s">
        <v>13</v>
      </c>
      <c r="C4683">
        <v>65</v>
      </c>
      <c r="D4683" t="s">
        <v>15</v>
      </c>
      <c r="E4683" t="s">
        <v>15</v>
      </c>
      <c r="F4683" t="s">
        <v>16</v>
      </c>
      <c r="G4683" t="s">
        <v>18</v>
      </c>
      <c r="H4683" t="s">
        <v>23</v>
      </c>
      <c r="I4683">
        <v>80.42</v>
      </c>
      <c r="J4683">
        <v>29.4</v>
      </c>
      <c r="K4683" t="s">
        <v>24</v>
      </c>
      <c r="L4683" t="s">
        <v>15</v>
      </c>
    </row>
    <row r="4684" spans="1:12" x14ac:dyDescent="0.3">
      <c r="A4684">
        <v>3609</v>
      </c>
      <c r="B4684" t="s">
        <v>12</v>
      </c>
      <c r="C4684">
        <v>78</v>
      </c>
      <c r="D4684" t="s">
        <v>15</v>
      </c>
      <c r="E4684" t="s">
        <v>15</v>
      </c>
      <c r="F4684" t="s">
        <v>16</v>
      </c>
      <c r="G4684" t="s">
        <v>17</v>
      </c>
      <c r="H4684" t="s">
        <v>22</v>
      </c>
      <c r="I4684">
        <v>80.44</v>
      </c>
      <c r="J4684">
        <v>29</v>
      </c>
      <c r="K4684" t="s">
        <v>25</v>
      </c>
      <c r="L4684" t="s">
        <v>15</v>
      </c>
    </row>
    <row r="4685" spans="1:12" x14ac:dyDescent="0.3">
      <c r="A4685">
        <v>29172</v>
      </c>
      <c r="B4685" t="s">
        <v>13</v>
      </c>
      <c r="C4685">
        <v>68</v>
      </c>
      <c r="D4685" t="s">
        <v>15</v>
      </c>
      <c r="E4685" t="s">
        <v>15</v>
      </c>
      <c r="F4685" t="s">
        <v>16</v>
      </c>
      <c r="G4685" t="s">
        <v>18</v>
      </c>
      <c r="H4685" t="s">
        <v>23</v>
      </c>
      <c r="I4685">
        <v>80.63</v>
      </c>
      <c r="J4685">
        <v>20.2</v>
      </c>
      <c r="K4685" t="s">
        <v>25</v>
      </c>
      <c r="L4685" t="s">
        <v>15</v>
      </c>
    </row>
    <row r="4686" spans="1:12" x14ac:dyDescent="0.3">
      <c r="A4686">
        <v>49894</v>
      </c>
      <c r="B4686" t="s">
        <v>13</v>
      </c>
      <c r="C4686">
        <v>78</v>
      </c>
      <c r="D4686" t="s">
        <v>16</v>
      </c>
      <c r="E4686" t="s">
        <v>16</v>
      </c>
      <c r="F4686" t="s">
        <v>16</v>
      </c>
      <c r="G4686" t="s">
        <v>17</v>
      </c>
      <c r="H4686" t="s">
        <v>23</v>
      </c>
      <c r="I4686">
        <v>206.53</v>
      </c>
      <c r="K4686" t="s">
        <v>25</v>
      </c>
      <c r="L4686" t="s">
        <v>15</v>
      </c>
    </row>
    <row r="4687" spans="1:12" x14ac:dyDescent="0.3">
      <c r="A4687">
        <v>6048</v>
      </c>
      <c r="B4687" t="s">
        <v>13</v>
      </c>
      <c r="C4687">
        <v>65</v>
      </c>
      <c r="D4687" t="s">
        <v>15</v>
      </c>
      <c r="E4687" t="s">
        <v>15</v>
      </c>
      <c r="F4687" t="s">
        <v>16</v>
      </c>
      <c r="G4687" t="s">
        <v>17</v>
      </c>
      <c r="H4687" t="s">
        <v>22</v>
      </c>
      <c r="I4687">
        <v>104.12</v>
      </c>
      <c r="J4687">
        <v>27.4</v>
      </c>
      <c r="K4687" t="s">
        <v>25</v>
      </c>
      <c r="L4687" t="s">
        <v>15</v>
      </c>
    </row>
    <row r="4688" spans="1:12" x14ac:dyDescent="0.3">
      <c r="A4688">
        <v>16029</v>
      </c>
      <c r="B4688" t="s">
        <v>13</v>
      </c>
      <c r="C4688">
        <v>70</v>
      </c>
      <c r="D4688" t="s">
        <v>15</v>
      </c>
      <c r="E4688" t="s">
        <v>15</v>
      </c>
      <c r="F4688" t="s">
        <v>16</v>
      </c>
      <c r="G4688" t="s">
        <v>18</v>
      </c>
      <c r="H4688" t="s">
        <v>23</v>
      </c>
      <c r="I4688">
        <v>96.82</v>
      </c>
      <c r="J4688">
        <v>25</v>
      </c>
      <c r="K4688" t="s">
        <v>25</v>
      </c>
      <c r="L4688" t="s">
        <v>15</v>
      </c>
    </row>
    <row r="4689" spans="1:12" x14ac:dyDescent="0.3">
      <c r="A4689">
        <v>63022</v>
      </c>
      <c r="B4689" t="s">
        <v>13</v>
      </c>
      <c r="C4689">
        <v>59</v>
      </c>
      <c r="D4689" t="s">
        <v>15</v>
      </c>
      <c r="E4689" t="s">
        <v>15</v>
      </c>
      <c r="F4689" t="s">
        <v>16</v>
      </c>
      <c r="G4689" t="s">
        <v>18</v>
      </c>
      <c r="H4689" t="s">
        <v>22</v>
      </c>
      <c r="I4689">
        <v>88.1</v>
      </c>
      <c r="J4689">
        <v>30.7</v>
      </c>
      <c r="K4689" t="s">
        <v>25</v>
      </c>
      <c r="L4689" t="s">
        <v>15</v>
      </c>
    </row>
    <row r="4690" spans="1:12" x14ac:dyDescent="0.3">
      <c r="A4690">
        <v>40041</v>
      </c>
      <c r="B4690" t="s">
        <v>12</v>
      </c>
      <c r="C4690">
        <v>31</v>
      </c>
      <c r="D4690" t="s">
        <v>15</v>
      </c>
      <c r="E4690" t="s">
        <v>15</v>
      </c>
      <c r="F4690" t="s">
        <v>15</v>
      </c>
      <c r="G4690" t="s">
        <v>18</v>
      </c>
      <c r="H4690" t="s">
        <v>23</v>
      </c>
      <c r="I4690">
        <v>64.849999999999994</v>
      </c>
      <c r="J4690">
        <v>23</v>
      </c>
      <c r="K4690" t="s">
        <v>27</v>
      </c>
      <c r="L4690" t="s">
        <v>15</v>
      </c>
    </row>
    <row r="4691" spans="1:12" x14ac:dyDescent="0.3">
      <c r="A4691">
        <v>6924</v>
      </c>
      <c r="B4691" t="s">
        <v>13</v>
      </c>
      <c r="C4691">
        <v>32</v>
      </c>
      <c r="D4691" t="s">
        <v>15</v>
      </c>
      <c r="E4691" t="s">
        <v>15</v>
      </c>
      <c r="F4691" t="s">
        <v>16</v>
      </c>
      <c r="G4691" t="s">
        <v>17</v>
      </c>
      <c r="H4691" t="s">
        <v>23</v>
      </c>
      <c r="I4691">
        <v>102.87</v>
      </c>
      <c r="J4691">
        <v>26.6</v>
      </c>
      <c r="K4691" t="s">
        <v>26</v>
      </c>
      <c r="L4691" t="s">
        <v>15</v>
      </c>
    </row>
    <row r="4692" spans="1:12" x14ac:dyDescent="0.3">
      <c r="A4692">
        <v>22590</v>
      </c>
      <c r="B4692" t="s">
        <v>12</v>
      </c>
      <c r="C4692">
        <v>5</v>
      </c>
      <c r="D4692" t="s">
        <v>15</v>
      </c>
      <c r="E4692" t="s">
        <v>15</v>
      </c>
      <c r="F4692" t="s">
        <v>15</v>
      </c>
      <c r="G4692" t="s">
        <v>20</v>
      </c>
      <c r="H4692" t="s">
        <v>22</v>
      </c>
      <c r="I4692">
        <v>83.75</v>
      </c>
      <c r="J4692">
        <v>18.100000000000001</v>
      </c>
      <c r="K4692" t="s">
        <v>27</v>
      </c>
      <c r="L4692" t="s">
        <v>15</v>
      </c>
    </row>
    <row r="4693" spans="1:12" x14ac:dyDescent="0.3">
      <c r="A4693">
        <v>25878</v>
      </c>
      <c r="B4693" t="s">
        <v>12</v>
      </c>
      <c r="C4693">
        <v>55</v>
      </c>
      <c r="D4693" t="s">
        <v>15</v>
      </c>
      <c r="E4693" t="s">
        <v>15</v>
      </c>
      <c r="F4693" t="s">
        <v>16</v>
      </c>
      <c r="G4693" t="s">
        <v>18</v>
      </c>
      <c r="H4693" t="s">
        <v>23</v>
      </c>
      <c r="I4693">
        <v>97.68</v>
      </c>
      <c r="J4693">
        <v>47.1</v>
      </c>
      <c r="K4693" t="s">
        <v>24</v>
      </c>
      <c r="L4693" t="s">
        <v>15</v>
      </c>
    </row>
    <row r="4694" spans="1:12" x14ac:dyDescent="0.3">
      <c r="A4694">
        <v>11169</v>
      </c>
      <c r="B4694" t="s">
        <v>13</v>
      </c>
      <c r="C4694">
        <v>61</v>
      </c>
      <c r="D4694" t="s">
        <v>15</v>
      </c>
      <c r="E4694" t="s">
        <v>15</v>
      </c>
      <c r="F4694" t="s">
        <v>16</v>
      </c>
      <c r="G4694" t="s">
        <v>17</v>
      </c>
      <c r="H4694" t="s">
        <v>22</v>
      </c>
      <c r="I4694">
        <v>97.58</v>
      </c>
      <c r="J4694">
        <v>29.7</v>
      </c>
      <c r="K4694" t="s">
        <v>24</v>
      </c>
      <c r="L4694" t="s">
        <v>15</v>
      </c>
    </row>
    <row r="4695" spans="1:12" x14ac:dyDescent="0.3">
      <c r="A4695">
        <v>44355</v>
      </c>
      <c r="B4695" t="s">
        <v>13</v>
      </c>
      <c r="C4695">
        <v>48</v>
      </c>
      <c r="D4695" t="s">
        <v>15</v>
      </c>
      <c r="E4695" t="s">
        <v>15</v>
      </c>
      <c r="F4695" t="s">
        <v>16</v>
      </c>
      <c r="G4695" t="s">
        <v>17</v>
      </c>
      <c r="H4695" t="s">
        <v>23</v>
      </c>
      <c r="I4695">
        <v>74.16</v>
      </c>
      <c r="J4695">
        <v>19.899999999999999</v>
      </c>
      <c r="K4695" t="s">
        <v>25</v>
      </c>
      <c r="L4695" t="s">
        <v>15</v>
      </c>
    </row>
    <row r="4696" spans="1:12" x14ac:dyDescent="0.3">
      <c r="A4696">
        <v>31113</v>
      </c>
      <c r="B4696" t="s">
        <v>13</v>
      </c>
      <c r="C4696">
        <v>1.1599999999999999</v>
      </c>
      <c r="D4696" t="s">
        <v>15</v>
      </c>
      <c r="E4696" t="s">
        <v>15</v>
      </c>
      <c r="F4696" t="s">
        <v>15</v>
      </c>
      <c r="G4696" t="s">
        <v>20</v>
      </c>
      <c r="H4696" t="s">
        <v>22</v>
      </c>
      <c r="I4696">
        <v>86</v>
      </c>
      <c r="J4696">
        <v>13.3</v>
      </c>
      <c r="K4696" t="s">
        <v>27</v>
      </c>
      <c r="L4696" t="s">
        <v>15</v>
      </c>
    </row>
    <row r="4697" spans="1:12" x14ac:dyDescent="0.3">
      <c r="A4697">
        <v>46514</v>
      </c>
      <c r="B4697" t="s">
        <v>13</v>
      </c>
      <c r="C4697">
        <v>50</v>
      </c>
      <c r="D4697" t="s">
        <v>15</v>
      </c>
      <c r="E4697" t="s">
        <v>15</v>
      </c>
      <c r="F4697" t="s">
        <v>16</v>
      </c>
      <c r="G4697" t="s">
        <v>19</v>
      </c>
      <c r="H4697" t="s">
        <v>22</v>
      </c>
      <c r="I4697">
        <v>100.93</v>
      </c>
      <c r="J4697">
        <v>32.700000000000003</v>
      </c>
      <c r="K4697" t="s">
        <v>25</v>
      </c>
      <c r="L4697" t="s">
        <v>15</v>
      </c>
    </row>
    <row r="4698" spans="1:12" x14ac:dyDescent="0.3">
      <c r="A4698">
        <v>67466</v>
      </c>
      <c r="B4698" t="s">
        <v>12</v>
      </c>
      <c r="C4698">
        <v>63</v>
      </c>
      <c r="D4698" t="s">
        <v>16</v>
      </c>
      <c r="E4698" t="s">
        <v>15</v>
      </c>
      <c r="F4698" t="s">
        <v>16</v>
      </c>
      <c r="G4698" t="s">
        <v>17</v>
      </c>
      <c r="H4698" t="s">
        <v>22</v>
      </c>
      <c r="I4698">
        <v>232.78</v>
      </c>
      <c r="J4698">
        <v>31.8</v>
      </c>
      <c r="K4698" t="s">
        <v>24</v>
      </c>
      <c r="L4698" t="s">
        <v>15</v>
      </c>
    </row>
    <row r="4699" spans="1:12" x14ac:dyDescent="0.3">
      <c r="A4699">
        <v>3612</v>
      </c>
      <c r="B4699" t="s">
        <v>12</v>
      </c>
      <c r="C4699">
        <v>67</v>
      </c>
      <c r="D4699" t="s">
        <v>15</v>
      </c>
      <c r="E4699" t="s">
        <v>15</v>
      </c>
      <c r="F4699" t="s">
        <v>16</v>
      </c>
      <c r="G4699" t="s">
        <v>17</v>
      </c>
      <c r="H4699" t="s">
        <v>23</v>
      </c>
      <c r="I4699">
        <v>86.96</v>
      </c>
      <c r="J4699">
        <v>31.4</v>
      </c>
      <c r="K4699" t="s">
        <v>24</v>
      </c>
      <c r="L4699" t="s">
        <v>15</v>
      </c>
    </row>
    <row r="4700" spans="1:12" x14ac:dyDescent="0.3">
      <c r="A4700">
        <v>66590</v>
      </c>
      <c r="B4700" t="s">
        <v>13</v>
      </c>
      <c r="C4700">
        <v>43</v>
      </c>
      <c r="D4700" t="s">
        <v>15</v>
      </c>
      <c r="E4700" t="s">
        <v>15</v>
      </c>
      <c r="F4700" t="s">
        <v>16</v>
      </c>
      <c r="G4700" t="s">
        <v>18</v>
      </c>
      <c r="H4700" t="s">
        <v>22</v>
      </c>
      <c r="I4700">
        <v>67.5</v>
      </c>
      <c r="J4700">
        <v>20.399999999999999</v>
      </c>
      <c r="K4700" t="s">
        <v>24</v>
      </c>
      <c r="L4700" t="s">
        <v>15</v>
      </c>
    </row>
    <row r="4701" spans="1:12" x14ac:dyDescent="0.3">
      <c r="A4701">
        <v>19611</v>
      </c>
      <c r="B4701" t="s">
        <v>12</v>
      </c>
      <c r="C4701">
        <v>59</v>
      </c>
      <c r="D4701" t="s">
        <v>15</v>
      </c>
      <c r="E4701" t="s">
        <v>15</v>
      </c>
      <c r="F4701" t="s">
        <v>16</v>
      </c>
      <c r="G4701" t="s">
        <v>17</v>
      </c>
      <c r="H4701" t="s">
        <v>22</v>
      </c>
      <c r="I4701">
        <v>81.209999999999994</v>
      </c>
      <c r="J4701">
        <v>33.200000000000003</v>
      </c>
      <c r="K4701" t="s">
        <v>26</v>
      </c>
      <c r="L4701" t="s">
        <v>15</v>
      </c>
    </row>
    <row r="4702" spans="1:12" x14ac:dyDescent="0.3">
      <c r="A4702">
        <v>47216</v>
      </c>
      <c r="B4702" t="s">
        <v>12</v>
      </c>
      <c r="C4702">
        <v>47</v>
      </c>
      <c r="D4702" t="s">
        <v>15</v>
      </c>
      <c r="E4702" t="s">
        <v>15</v>
      </c>
      <c r="F4702" t="s">
        <v>16</v>
      </c>
      <c r="G4702" t="s">
        <v>17</v>
      </c>
      <c r="H4702" t="s">
        <v>23</v>
      </c>
      <c r="I4702">
        <v>110.14</v>
      </c>
      <c r="J4702">
        <v>30.5</v>
      </c>
      <c r="K4702" t="s">
        <v>26</v>
      </c>
      <c r="L4702" t="s">
        <v>15</v>
      </c>
    </row>
    <row r="4703" spans="1:12" x14ac:dyDescent="0.3">
      <c r="A4703">
        <v>55591</v>
      </c>
      <c r="B4703" t="s">
        <v>12</v>
      </c>
      <c r="C4703">
        <v>50</v>
      </c>
      <c r="D4703" t="s">
        <v>15</v>
      </c>
      <c r="E4703" t="s">
        <v>15</v>
      </c>
      <c r="F4703" t="s">
        <v>16</v>
      </c>
      <c r="G4703" t="s">
        <v>17</v>
      </c>
      <c r="H4703" t="s">
        <v>22</v>
      </c>
      <c r="I4703">
        <v>120.44</v>
      </c>
      <c r="J4703">
        <v>30.3</v>
      </c>
      <c r="K4703" t="s">
        <v>25</v>
      </c>
      <c r="L4703" t="s">
        <v>15</v>
      </c>
    </row>
    <row r="4704" spans="1:12" x14ac:dyDescent="0.3">
      <c r="A4704">
        <v>24381</v>
      </c>
      <c r="B4704" t="s">
        <v>12</v>
      </c>
      <c r="C4704">
        <v>51</v>
      </c>
      <c r="D4704" t="s">
        <v>15</v>
      </c>
      <c r="E4704" t="s">
        <v>16</v>
      </c>
      <c r="F4704" t="s">
        <v>16</v>
      </c>
      <c r="G4704" t="s">
        <v>18</v>
      </c>
      <c r="H4704" t="s">
        <v>22</v>
      </c>
      <c r="I4704">
        <v>187.47</v>
      </c>
      <c r="J4704">
        <v>34.200000000000003</v>
      </c>
      <c r="K4704" t="s">
        <v>25</v>
      </c>
      <c r="L4704" t="s">
        <v>15</v>
      </c>
    </row>
    <row r="4705" spans="1:12" x14ac:dyDescent="0.3">
      <c r="A4705">
        <v>8037</v>
      </c>
      <c r="B4705" t="s">
        <v>12</v>
      </c>
      <c r="C4705">
        <v>44</v>
      </c>
      <c r="D4705" t="s">
        <v>15</v>
      </c>
      <c r="E4705" t="s">
        <v>16</v>
      </c>
      <c r="F4705" t="s">
        <v>15</v>
      </c>
      <c r="G4705" t="s">
        <v>19</v>
      </c>
      <c r="H4705" t="s">
        <v>22</v>
      </c>
      <c r="I4705">
        <v>94.62</v>
      </c>
      <c r="J4705">
        <v>34.4</v>
      </c>
      <c r="K4705" t="s">
        <v>27</v>
      </c>
      <c r="L4705" t="s">
        <v>15</v>
      </c>
    </row>
    <row r="4706" spans="1:12" x14ac:dyDescent="0.3">
      <c r="A4706">
        <v>23911</v>
      </c>
      <c r="B4706" t="s">
        <v>13</v>
      </c>
      <c r="C4706">
        <v>39</v>
      </c>
      <c r="D4706" t="s">
        <v>15</v>
      </c>
      <c r="E4706" t="s">
        <v>15</v>
      </c>
      <c r="F4706" t="s">
        <v>15</v>
      </c>
      <c r="G4706" t="s">
        <v>17</v>
      </c>
      <c r="H4706" t="s">
        <v>23</v>
      </c>
      <c r="I4706">
        <v>89.57</v>
      </c>
      <c r="J4706">
        <v>48.1</v>
      </c>
      <c r="K4706" t="s">
        <v>25</v>
      </c>
      <c r="L4706" t="s">
        <v>15</v>
      </c>
    </row>
    <row r="4707" spans="1:12" x14ac:dyDescent="0.3">
      <c r="A4707">
        <v>31596</v>
      </c>
      <c r="B4707" t="s">
        <v>13</v>
      </c>
      <c r="C4707">
        <v>24</v>
      </c>
      <c r="D4707" t="s">
        <v>15</v>
      </c>
      <c r="E4707" t="s">
        <v>15</v>
      </c>
      <c r="F4707" t="s">
        <v>15</v>
      </c>
      <c r="G4707" t="s">
        <v>17</v>
      </c>
      <c r="H4707" t="s">
        <v>22</v>
      </c>
      <c r="I4707">
        <v>95.31</v>
      </c>
      <c r="J4707">
        <v>22.8</v>
      </c>
      <c r="K4707" t="s">
        <v>25</v>
      </c>
      <c r="L4707" t="s">
        <v>15</v>
      </c>
    </row>
    <row r="4708" spans="1:12" x14ac:dyDescent="0.3">
      <c r="A4708">
        <v>44647</v>
      </c>
      <c r="B4708" t="s">
        <v>12</v>
      </c>
      <c r="C4708">
        <v>62</v>
      </c>
      <c r="D4708" t="s">
        <v>15</v>
      </c>
      <c r="E4708" t="s">
        <v>15</v>
      </c>
      <c r="F4708" t="s">
        <v>15</v>
      </c>
      <c r="G4708" t="s">
        <v>19</v>
      </c>
      <c r="H4708" t="s">
        <v>23</v>
      </c>
      <c r="I4708">
        <v>75.069999999999993</v>
      </c>
      <c r="J4708">
        <v>30.5</v>
      </c>
      <c r="K4708" t="s">
        <v>25</v>
      </c>
      <c r="L4708" t="s">
        <v>15</v>
      </c>
    </row>
    <row r="4709" spans="1:12" x14ac:dyDescent="0.3">
      <c r="A4709">
        <v>51486</v>
      </c>
      <c r="B4709" t="s">
        <v>13</v>
      </c>
      <c r="C4709">
        <v>61</v>
      </c>
      <c r="D4709" t="s">
        <v>15</v>
      </c>
      <c r="E4709" t="s">
        <v>15</v>
      </c>
      <c r="F4709" t="s">
        <v>16</v>
      </c>
      <c r="G4709" t="s">
        <v>17</v>
      </c>
      <c r="H4709" t="s">
        <v>23</v>
      </c>
      <c r="I4709">
        <v>106.65</v>
      </c>
      <c r="J4709">
        <v>35.9</v>
      </c>
      <c r="K4709" t="s">
        <v>24</v>
      </c>
      <c r="L4709" t="s">
        <v>15</v>
      </c>
    </row>
    <row r="4710" spans="1:12" x14ac:dyDescent="0.3">
      <c r="A4710">
        <v>18263</v>
      </c>
      <c r="B4710" t="s">
        <v>13</v>
      </c>
      <c r="C4710">
        <v>78</v>
      </c>
      <c r="D4710" t="s">
        <v>15</v>
      </c>
      <c r="E4710" t="s">
        <v>15</v>
      </c>
      <c r="F4710" t="s">
        <v>16</v>
      </c>
      <c r="G4710" t="s">
        <v>18</v>
      </c>
      <c r="H4710" t="s">
        <v>22</v>
      </c>
      <c r="I4710">
        <v>234.06</v>
      </c>
      <c r="J4710">
        <v>33.700000000000003</v>
      </c>
      <c r="K4710" t="s">
        <v>25</v>
      </c>
      <c r="L4710" t="s">
        <v>15</v>
      </c>
    </row>
    <row r="4711" spans="1:12" x14ac:dyDescent="0.3">
      <c r="A4711">
        <v>41930</v>
      </c>
      <c r="B4711" t="s">
        <v>12</v>
      </c>
      <c r="C4711">
        <v>15</v>
      </c>
      <c r="D4711" t="s">
        <v>15</v>
      </c>
      <c r="E4711" t="s">
        <v>15</v>
      </c>
      <c r="F4711" t="s">
        <v>15</v>
      </c>
      <c r="G4711" t="s">
        <v>17</v>
      </c>
      <c r="H4711" t="s">
        <v>23</v>
      </c>
      <c r="I4711">
        <v>144.15</v>
      </c>
      <c r="J4711">
        <v>24.1</v>
      </c>
      <c r="K4711" t="s">
        <v>25</v>
      </c>
      <c r="L4711" t="s">
        <v>15</v>
      </c>
    </row>
    <row r="4712" spans="1:12" x14ac:dyDescent="0.3">
      <c r="A4712">
        <v>45922</v>
      </c>
      <c r="B4712" t="s">
        <v>13</v>
      </c>
      <c r="C4712">
        <v>23</v>
      </c>
      <c r="D4712" t="s">
        <v>15</v>
      </c>
      <c r="E4712" t="s">
        <v>15</v>
      </c>
      <c r="F4712" t="s">
        <v>15</v>
      </c>
      <c r="G4712" t="s">
        <v>17</v>
      </c>
      <c r="H4712" t="s">
        <v>22</v>
      </c>
      <c r="I4712">
        <v>58.81</v>
      </c>
      <c r="J4712">
        <v>25.4</v>
      </c>
      <c r="K4712" t="s">
        <v>25</v>
      </c>
      <c r="L4712" t="s">
        <v>15</v>
      </c>
    </row>
    <row r="4713" spans="1:12" x14ac:dyDescent="0.3">
      <c r="A4713">
        <v>52934</v>
      </c>
      <c r="B4713" t="s">
        <v>12</v>
      </c>
      <c r="C4713">
        <v>79</v>
      </c>
      <c r="D4713" t="s">
        <v>15</v>
      </c>
      <c r="E4713" t="s">
        <v>15</v>
      </c>
      <c r="F4713" t="s">
        <v>16</v>
      </c>
      <c r="G4713" t="s">
        <v>18</v>
      </c>
      <c r="H4713" t="s">
        <v>22</v>
      </c>
      <c r="I4713">
        <v>242.62</v>
      </c>
      <c r="J4713">
        <v>25.5</v>
      </c>
      <c r="K4713" t="s">
        <v>25</v>
      </c>
      <c r="L4713" t="s">
        <v>15</v>
      </c>
    </row>
    <row r="4714" spans="1:12" x14ac:dyDescent="0.3">
      <c r="A4714">
        <v>18020</v>
      </c>
      <c r="B4714" t="s">
        <v>12</v>
      </c>
      <c r="C4714">
        <v>57</v>
      </c>
      <c r="D4714" t="s">
        <v>15</v>
      </c>
      <c r="E4714" t="s">
        <v>15</v>
      </c>
      <c r="F4714" t="s">
        <v>16</v>
      </c>
      <c r="G4714" t="s">
        <v>17</v>
      </c>
      <c r="H4714" t="s">
        <v>22</v>
      </c>
      <c r="I4714">
        <v>93.04</v>
      </c>
      <c r="J4714">
        <v>29.2</v>
      </c>
      <c r="K4714" t="s">
        <v>25</v>
      </c>
      <c r="L4714" t="s">
        <v>15</v>
      </c>
    </row>
    <row r="4715" spans="1:12" x14ac:dyDescent="0.3">
      <c r="A4715">
        <v>2044</v>
      </c>
      <c r="B4715" t="s">
        <v>13</v>
      </c>
      <c r="C4715">
        <v>70</v>
      </c>
      <c r="D4715" t="s">
        <v>15</v>
      </c>
      <c r="E4715" t="s">
        <v>16</v>
      </c>
      <c r="F4715" t="s">
        <v>16</v>
      </c>
      <c r="G4715" t="s">
        <v>18</v>
      </c>
      <c r="H4715" t="s">
        <v>23</v>
      </c>
      <c r="I4715">
        <v>65.680000000000007</v>
      </c>
      <c r="K4715" t="s">
        <v>27</v>
      </c>
      <c r="L4715" t="s">
        <v>15</v>
      </c>
    </row>
    <row r="4716" spans="1:12" x14ac:dyDescent="0.3">
      <c r="A4716">
        <v>63467</v>
      </c>
      <c r="B4716" t="s">
        <v>12</v>
      </c>
      <c r="C4716">
        <v>9</v>
      </c>
      <c r="D4716" t="s">
        <v>15</v>
      </c>
      <c r="E4716" t="s">
        <v>15</v>
      </c>
      <c r="F4716" t="s">
        <v>15</v>
      </c>
      <c r="G4716" t="s">
        <v>20</v>
      </c>
      <c r="H4716" t="s">
        <v>22</v>
      </c>
      <c r="I4716">
        <v>150</v>
      </c>
      <c r="J4716">
        <v>17.399999999999999</v>
      </c>
      <c r="K4716" t="s">
        <v>27</v>
      </c>
      <c r="L4716" t="s">
        <v>15</v>
      </c>
    </row>
    <row r="4717" spans="1:12" x14ac:dyDescent="0.3">
      <c r="A4717">
        <v>38642</v>
      </c>
      <c r="B4717" t="s">
        <v>12</v>
      </c>
      <c r="C4717">
        <v>55</v>
      </c>
      <c r="D4717" t="s">
        <v>15</v>
      </c>
      <c r="E4717" t="s">
        <v>15</v>
      </c>
      <c r="F4717" t="s">
        <v>16</v>
      </c>
      <c r="G4717" t="s">
        <v>17</v>
      </c>
      <c r="H4717" t="s">
        <v>22</v>
      </c>
      <c r="I4717">
        <v>63.56</v>
      </c>
      <c r="J4717">
        <v>29.9</v>
      </c>
      <c r="K4717" t="s">
        <v>27</v>
      </c>
      <c r="L4717" t="s">
        <v>15</v>
      </c>
    </row>
    <row r="4718" spans="1:12" x14ac:dyDescent="0.3">
      <c r="A4718">
        <v>5387</v>
      </c>
      <c r="B4718" t="s">
        <v>13</v>
      </c>
      <c r="C4718">
        <v>82</v>
      </c>
      <c r="D4718" t="s">
        <v>15</v>
      </c>
      <c r="E4718" t="s">
        <v>15</v>
      </c>
      <c r="F4718" t="s">
        <v>15</v>
      </c>
      <c r="G4718" t="s">
        <v>17</v>
      </c>
      <c r="H4718" t="s">
        <v>23</v>
      </c>
      <c r="I4718">
        <v>96.98</v>
      </c>
      <c r="J4718">
        <v>21.5</v>
      </c>
      <c r="K4718" t="s">
        <v>25</v>
      </c>
      <c r="L4718" t="s">
        <v>15</v>
      </c>
    </row>
    <row r="4719" spans="1:12" x14ac:dyDescent="0.3">
      <c r="A4719">
        <v>68417</v>
      </c>
      <c r="B4719" t="s">
        <v>13</v>
      </c>
      <c r="C4719">
        <v>19</v>
      </c>
      <c r="D4719" t="s">
        <v>15</v>
      </c>
      <c r="E4719" t="s">
        <v>15</v>
      </c>
      <c r="F4719" t="s">
        <v>15</v>
      </c>
      <c r="G4719" t="s">
        <v>17</v>
      </c>
      <c r="H4719" t="s">
        <v>23</v>
      </c>
      <c r="I4719">
        <v>66.7</v>
      </c>
      <c r="J4719">
        <v>24.7</v>
      </c>
      <c r="K4719" t="s">
        <v>25</v>
      </c>
      <c r="L4719" t="s">
        <v>15</v>
      </c>
    </row>
    <row r="4720" spans="1:12" x14ac:dyDescent="0.3">
      <c r="A4720">
        <v>22477</v>
      </c>
      <c r="B4720" t="s">
        <v>12</v>
      </c>
      <c r="C4720">
        <v>41</v>
      </c>
      <c r="D4720" t="s">
        <v>15</v>
      </c>
      <c r="E4720" t="s">
        <v>15</v>
      </c>
      <c r="F4720" t="s">
        <v>16</v>
      </c>
      <c r="G4720" t="s">
        <v>17</v>
      </c>
      <c r="H4720" t="s">
        <v>23</v>
      </c>
      <c r="I4720">
        <v>79.66</v>
      </c>
      <c r="J4720">
        <v>25.1</v>
      </c>
      <c r="K4720" t="s">
        <v>27</v>
      </c>
      <c r="L4720" t="s">
        <v>15</v>
      </c>
    </row>
    <row r="4721" spans="1:12" x14ac:dyDescent="0.3">
      <c r="A4721">
        <v>23968</v>
      </c>
      <c r="B4721" t="s">
        <v>13</v>
      </c>
      <c r="C4721">
        <v>79</v>
      </c>
      <c r="D4721" t="s">
        <v>15</v>
      </c>
      <c r="E4721" t="s">
        <v>15</v>
      </c>
      <c r="F4721" t="s">
        <v>16</v>
      </c>
      <c r="G4721" t="s">
        <v>19</v>
      </c>
      <c r="H4721" t="s">
        <v>23</v>
      </c>
      <c r="I4721">
        <v>90.16</v>
      </c>
      <c r="J4721">
        <v>34.4</v>
      </c>
      <c r="K4721" t="s">
        <v>25</v>
      </c>
      <c r="L4721" t="s">
        <v>15</v>
      </c>
    </row>
    <row r="4722" spans="1:12" x14ac:dyDescent="0.3">
      <c r="A4722">
        <v>8111</v>
      </c>
      <c r="B4722" t="s">
        <v>13</v>
      </c>
      <c r="C4722">
        <v>23</v>
      </c>
      <c r="D4722" t="s">
        <v>15</v>
      </c>
      <c r="E4722" t="s">
        <v>15</v>
      </c>
      <c r="F4722" t="s">
        <v>15</v>
      </c>
      <c r="G4722" t="s">
        <v>17</v>
      </c>
      <c r="H4722" t="s">
        <v>23</v>
      </c>
      <c r="I4722">
        <v>104.09</v>
      </c>
      <c r="J4722">
        <v>27.9</v>
      </c>
      <c r="K4722" t="s">
        <v>27</v>
      </c>
      <c r="L4722" t="s">
        <v>15</v>
      </c>
    </row>
    <row r="4723" spans="1:12" x14ac:dyDescent="0.3">
      <c r="A4723">
        <v>15282</v>
      </c>
      <c r="B4723" t="s">
        <v>13</v>
      </c>
      <c r="C4723">
        <v>77</v>
      </c>
      <c r="D4723" t="s">
        <v>15</v>
      </c>
      <c r="E4723" t="s">
        <v>15</v>
      </c>
      <c r="F4723" t="s">
        <v>16</v>
      </c>
      <c r="G4723" t="s">
        <v>17</v>
      </c>
      <c r="H4723" t="s">
        <v>23</v>
      </c>
      <c r="I4723">
        <v>90.96</v>
      </c>
      <c r="J4723">
        <v>31.5</v>
      </c>
      <c r="K4723" t="s">
        <v>24</v>
      </c>
      <c r="L4723" t="s">
        <v>15</v>
      </c>
    </row>
    <row r="4724" spans="1:12" x14ac:dyDescent="0.3">
      <c r="A4724">
        <v>54395</v>
      </c>
      <c r="B4724" t="s">
        <v>13</v>
      </c>
      <c r="C4724">
        <v>78</v>
      </c>
      <c r="D4724" t="s">
        <v>16</v>
      </c>
      <c r="E4724" t="s">
        <v>15</v>
      </c>
      <c r="F4724" t="s">
        <v>16</v>
      </c>
      <c r="G4724" t="s">
        <v>18</v>
      </c>
      <c r="H4724" t="s">
        <v>23</v>
      </c>
      <c r="I4724">
        <v>152.38</v>
      </c>
      <c r="J4724">
        <v>31.8</v>
      </c>
      <c r="K4724" t="s">
        <v>25</v>
      </c>
      <c r="L4724" t="s">
        <v>15</v>
      </c>
    </row>
    <row r="4725" spans="1:12" x14ac:dyDescent="0.3">
      <c r="A4725">
        <v>25408</v>
      </c>
      <c r="B4725" t="s">
        <v>13</v>
      </c>
      <c r="C4725">
        <v>24</v>
      </c>
      <c r="D4725" t="s">
        <v>15</v>
      </c>
      <c r="E4725" t="s">
        <v>15</v>
      </c>
      <c r="F4725" t="s">
        <v>16</v>
      </c>
      <c r="G4725" t="s">
        <v>18</v>
      </c>
      <c r="H4725" t="s">
        <v>23</v>
      </c>
      <c r="I4725">
        <v>114.54</v>
      </c>
      <c r="J4725">
        <v>30.1</v>
      </c>
      <c r="K4725" t="s">
        <v>26</v>
      </c>
      <c r="L4725" t="s">
        <v>15</v>
      </c>
    </row>
    <row r="4726" spans="1:12" x14ac:dyDescent="0.3">
      <c r="A4726">
        <v>69284</v>
      </c>
      <c r="B4726" t="s">
        <v>13</v>
      </c>
      <c r="C4726">
        <v>81</v>
      </c>
      <c r="D4726" t="s">
        <v>16</v>
      </c>
      <c r="E4726" t="s">
        <v>15</v>
      </c>
      <c r="F4726" t="s">
        <v>16</v>
      </c>
      <c r="G4726" t="s">
        <v>18</v>
      </c>
      <c r="H4726" t="s">
        <v>22</v>
      </c>
      <c r="I4726">
        <v>174.54</v>
      </c>
      <c r="J4726">
        <v>26.4</v>
      </c>
      <c r="K4726" t="s">
        <v>25</v>
      </c>
      <c r="L4726" t="s">
        <v>15</v>
      </c>
    </row>
    <row r="4727" spans="1:12" x14ac:dyDescent="0.3">
      <c r="A4727">
        <v>28348</v>
      </c>
      <c r="B4727" t="s">
        <v>13</v>
      </c>
      <c r="C4727">
        <v>46</v>
      </c>
      <c r="D4727" t="s">
        <v>15</v>
      </c>
      <c r="E4727" t="s">
        <v>15</v>
      </c>
      <c r="F4727" t="s">
        <v>16</v>
      </c>
      <c r="G4727" t="s">
        <v>17</v>
      </c>
      <c r="H4727" t="s">
        <v>23</v>
      </c>
      <c r="I4727">
        <v>106.47</v>
      </c>
      <c r="J4727">
        <v>27.2</v>
      </c>
      <c r="K4727" t="s">
        <v>27</v>
      </c>
      <c r="L4727" t="s">
        <v>15</v>
      </c>
    </row>
    <row r="4728" spans="1:12" x14ac:dyDescent="0.3">
      <c r="A4728">
        <v>46015</v>
      </c>
      <c r="B4728" t="s">
        <v>13</v>
      </c>
      <c r="C4728">
        <v>29</v>
      </c>
      <c r="D4728" t="s">
        <v>15</v>
      </c>
      <c r="E4728" t="s">
        <v>15</v>
      </c>
      <c r="F4728" t="s">
        <v>15</v>
      </c>
      <c r="G4728" t="s">
        <v>17</v>
      </c>
      <c r="H4728" t="s">
        <v>22</v>
      </c>
      <c r="I4728">
        <v>73.63</v>
      </c>
      <c r="J4728">
        <v>22.5</v>
      </c>
      <c r="K4728" t="s">
        <v>26</v>
      </c>
      <c r="L4728" t="s">
        <v>15</v>
      </c>
    </row>
    <row r="4729" spans="1:12" x14ac:dyDescent="0.3">
      <c r="A4729">
        <v>69047</v>
      </c>
      <c r="B4729" t="s">
        <v>13</v>
      </c>
      <c r="C4729">
        <v>59</v>
      </c>
      <c r="D4729" t="s">
        <v>15</v>
      </c>
      <c r="E4729" t="s">
        <v>15</v>
      </c>
      <c r="F4729" t="s">
        <v>16</v>
      </c>
      <c r="G4729" t="s">
        <v>19</v>
      </c>
      <c r="H4729" t="s">
        <v>22</v>
      </c>
      <c r="I4729">
        <v>98.52</v>
      </c>
      <c r="J4729">
        <v>29.8</v>
      </c>
      <c r="K4729" t="s">
        <v>24</v>
      </c>
      <c r="L4729" t="s">
        <v>15</v>
      </c>
    </row>
    <row r="4730" spans="1:12" x14ac:dyDescent="0.3">
      <c r="A4730">
        <v>39706</v>
      </c>
      <c r="B4730" t="s">
        <v>12</v>
      </c>
      <c r="C4730">
        <v>41</v>
      </c>
      <c r="D4730" t="s">
        <v>15</v>
      </c>
      <c r="E4730" t="s">
        <v>15</v>
      </c>
      <c r="F4730" t="s">
        <v>16</v>
      </c>
      <c r="G4730" t="s">
        <v>18</v>
      </c>
      <c r="H4730" t="s">
        <v>23</v>
      </c>
      <c r="I4730">
        <v>62.93</v>
      </c>
      <c r="J4730">
        <v>26.1</v>
      </c>
      <c r="K4730" t="s">
        <v>26</v>
      </c>
      <c r="L4730" t="s">
        <v>15</v>
      </c>
    </row>
    <row r="4731" spans="1:12" x14ac:dyDescent="0.3">
      <c r="A4731">
        <v>9143</v>
      </c>
      <c r="B4731" t="s">
        <v>13</v>
      </c>
      <c r="C4731">
        <v>17</v>
      </c>
      <c r="D4731" t="s">
        <v>15</v>
      </c>
      <c r="E4731" t="s">
        <v>15</v>
      </c>
      <c r="F4731" t="s">
        <v>15</v>
      </c>
      <c r="G4731" t="s">
        <v>17</v>
      </c>
      <c r="H4731" t="s">
        <v>22</v>
      </c>
      <c r="I4731">
        <v>67.87</v>
      </c>
      <c r="J4731">
        <v>24.9</v>
      </c>
      <c r="K4731" t="s">
        <v>24</v>
      </c>
      <c r="L4731" t="s">
        <v>15</v>
      </c>
    </row>
    <row r="4732" spans="1:12" x14ac:dyDescent="0.3">
      <c r="A4732">
        <v>64879</v>
      </c>
      <c r="B4732" t="s">
        <v>13</v>
      </c>
      <c r="C4732">
        <v>8</v>
      </c>
      <c r="D4732" t="s">
        <v>15</v>
      </c>
      <c r="E4732" t="s">
        <v>15</v>
      </c>
      <c r="F4732" t="s">
        <v>15</v>
      </c>
      <c r="G4732" t="s">
        <v>20</v>
      </c>
      <c r="H4732" t="s">
        <v>23</v>
      </c>
      <c r="I4732">
        <v>120.43</v>
      </c>
      <c r="J4732">
        <v>23.5</v>
      </c>
      <c r="K4732" t="s">
        <v>27</v>
      </c>
      <c r="L4732" t="s">
        <v>15</v>
      </c>
    </row>
    <row r="4733" spans="1:12" x14ac:dyDescent="0.3">
      <c r="A4733">
        <v>17130</v>
      </c>
      <c r="B4733" t="s">
        <v>13</v>
      </c>
      <c r="C4733">
        <v>23</v>
      </c>
      <c r="D4733" t="s">
        <v>15</v>
      </c>
      <c r="E4733" t="s">
        <v>15</v>
      </c>
      <c r="F4733" t="s">
        <v>15</v>
      </c>
      <c r="G4733" t="s">
        <v>17</v>
      </c>
      <c r="H4733" t="s">
        <v>23</v>
      </c>
      <c r="I4733">
        <v>76.56</v>
      </c>
      <c r="J4733">
        <v>30.1</v>
      </c>
      <c r="K4733" t="s">
        <v>25</v>
      </c>
      <c r="L4733" t="s">
        <v>15</v>
      </c>
    </row>
    <row r="4734" spans="1:12" x14ac:dyDescent="0.3">
      <c r="A4734">
        <v>16420</v>
      </c>
      <c r="B4734" t="s">
        <v>13</v>
      </c>
      <c r="C4734">
        <v>45</v>
      </c>
      <c r="D4734" t="s">
        <v>15</v>
      </c>
      <c r="E4734" t="s">
        <v>15</v>
      </c>
      <c r="F4734" t="s">
        <v>16</v>
      </c>
      <c r="G4734" t="s">
        <v>17</v>
      </c>
      <c r="H4734" t="s">
        <v>22</v>
      </c>
      <c r="I4734">
        <v>108.03</v>
      </c>
      <c r="J4734">
        <v>37.299999999999997</v>
      </c>
      <c r="K4734" t="s">
        <v>25</v>
      </c>
      <c r="L4734" t="s">
        <v>15</v>
      </c>
    </row>
    <row r="4735" spans="1:12" x14ac:dyDescent="0.3">
      <c r="A4735">
        <v>7529</v>
      </c>
      <c r="B4735" t="s">
        <v>12</v>
      </c>
      <c r="C4735">
        <v>67</v>
      </c>
      <c r="D4735" t="s">
        <v>15</v>
      </c>
      <c r="E4735" t="s">
        <v>15</v>
      </c>
      <c r="F4735" t="s">
        <v>16</v>
      </c>
      <c r="G4735" t="s">
        <v>17</v>
      </c>
      <c r="H4735" t="s">
        <v>23</v>
      </c>
      <c r="I4735">
        <v>83.16</v>
      </c>
      <c r="J4735">
        <v>25.5</v>
      </c>
      <c r="K4735" t="s">
        <v>24</v>
      </c>
      <c r="L4735" t="s">
        <v>15</v>
      </c>
    </row>
    <row r="4736" spans="1:12" x14ac:dyDescent="0.3">
      <c r="A4736">
        <v>54022</v>
      </c>
      <c r="B4736" t="s">
        <v>13</v>
      </c>
      <c r="C4736">
        <v>78</v>
      </c>
      <c r="D4736" t="s">
        <v>15</v>
      </c>
      <c r="E4736" t="s">
        <v>15</v>
      </c>
      <c r="F4736" t="s">
        <v>16</v>
      </c>
      <c r="G4736" t="s">
        <v>18</v>
      </c>
      <c r="H4736" t="s">
        <v>23</v>
      </c>
      <c r="I4736">
        <v>67.900000000000006</v>
      </c>
      <c r="J4736">
        <v>35.299999999999997</v>
      </c>
      <c r="K4736" t="s">
        <v>25</v>
      </c>
      <c r="L4736" t="s">
        <v>15</v>
      </c>
    </row>
    <row r="4737" spans="1:12" x14ac:dyDescent="0.3">
      <c r="A4737">
        <v>35660</v>
      </c>
      <c r="B4737" t="s">
        <v>12</v>
      </c>
      <c r="C4737">
        <v>18</v>
      </c>
      <c r="D4737" t="s">
        <v>15</v>
      </c>
      <c r="E4737" t="s">
        <v>15</v>
      </c>
      <c r="F4737" t="s">
        <v>15</v>
      </c>
      <c r="G4737" t="s">
        <v>17</v>
      </c>
      <c r="H4737" t="s">
        <v>23</v>
      </c>
      <c r="I4737">
        <v>115.46</v>
      </c>
      <c r="J4737">
        <v>27.6</v>
      </c>
      <c r="K4737" t="s">
        <v>27</v>
      </c>
      <c r="L4737" t="s">
        <v>15</v>
      </c>
    </row>
    <row r="4738" spans="1:12" x14ac:dyDescent="0.3">
      <c r="A4738">
        <v>50605</v>
      </c>
      <c r="B4738" t="s">
        <v>13</v>
      </c>
      <c r="C4738">
        <v>35</v>
      </c>
      <c r="D4738" t="s">
        <v>15</v>
      </c>
      <c r="E4738" t="s">
        <v>15</v>
      </c>
      <c r="F4738" t="s">
        <v>16</v>
      </c>
      <c r="G4738" t="s">
        <v>17</v>
      </c>
      <c r="H4738" t="s">
        <v>23</v>
      </c>
      <c r="I4738">
        <v>123.94</v>
      </c>
      <c r="J4738">
        <v>28.7</v>
      </c>
      <c r="K4738" t="s">
        <v>25</v>
      </c>
      <c r="L4738" t="s">
        <v>15</v>
      </c>
    </row>
    <row r="4739" spans="1:12" x14ac:dyDescent="0.3">
      <c r="A4739">
        <v>27803</v>
      </c>
      <c r="B4739" t="s">
        <v>13</v>
      </c>
      <c r="C4739">
        <v>54</v>
      </c>
      <c r="D4739" t="s">
        <v>15</v>
      </c>
      <c r="E4739" t="s">
        <v>15</v>
      </c>
      <c r="F4739" t="s">
        <v>16</v>
      </c>
      <c r="G4739" t="s">
        <v>19</v>
      </c>
      <c r="H4739" t="s">
        <v>22</v>
      </c>
      <c r="I4739">
        <v>231.54</v>
      </c>
      <c r="J4739">
        <v>29.9</v>
      </c>
      <c r="K4739" t="s">
        <v>25</v>
      </c>
      <c r="L4739" t="s">
        <v>15</v>
      </c>
    </row>
    <row r="4740" spans="1:12" x14ac:dyDescent="0.3">
      <c r="A4740">
        <v>68981</v>
      </c>
      <c r="B4740" t="s">
        <v>13</v>
      </c>
      <c r="C4740">
        <v>71</v>
      </c>
      <c r="D4740" t="s">
        <v>16</v>
      </c>
      <c r="E4740" t="s">
        <v>15</v>
      </c>
      <c r="F4740" t="s">
        <v>16</v>
      </c>
      <c r="G4740" t="s">
        <v>19</v>
      </c>
      <c r="H4740" t="s">
        <v>22</v>
      </c>
      <c r="I4740">
        <v>219.8</v>
      </c>
      <c r="J4740">
        <v>34.200000000000003</v>
      </c>
      <c r="K4740" t="s">
        <v>24</v>
      </c>
      <c r="L4740" t="s">
        <v>15</v>
      </c>
    </row>
    <row r="4741" spans="1:12" x14ac:dyDescent="0.3">
      <c r="A4741">
        <v>61505</v>
      </c>
      <c r="B4741" t="s">
        <v>13</v>
      </c>
      <c r="C4741">
        <v>24</v>
      </c>
      <c r="D4741" t="s">
        <v>15</v>
      </c>
      <c r="E4741" t="s">
        <v>15</v>
      </c>
      <c r="F4741" t="s">
        <v>15</v>
      </c>
      <c r="G4741" t="s">
        <v>17</v>
      </c>
      <c r="H4741" t="s">
        <v>23</v>
      </c>
      <c r="I4741">
        <v>187.99</v>
      </c>
      <c r="J4741">
        <v>24.9</v>
      </c>
      <c r="K4741" t="s">
        <v>26</v>
      </c>
      <c r="L4741" t="s">
        <v>15</v>
      </c>
    </row>
    <row r="4742" spans="1:12" x14ac:dyDescent="0.3">
      <c r="A4742">
        <v>70677</v>
      </c>
      <c r="B4742" t="s">
        <v>12</v>
      </c>
      <c r="C4742">
        <v>60</v>
      </c>
      <c r="D4742" t="s">
        <v>15</v>
      </c>
      <c r="E4742" t="s">
        <v>15</v>
      </c>
      <c r="F4742" t="s">
        <v>16</v>
      </c>
      <c r="G4742" t="s">
        <v>17</v>
      </c>
      <c r="H4742" t="s">
        <v>23</v>
      </c>
      <c r="I4742">
        <v>234.45</v>
      </c>
      <c r="J4742">
        <v>36.799999999999997</v>
      </c>
      <c r="K4742" t="s">
        <v>24</v>
      </c>
      <c r="L4742" t="s">
        <v>15</v>
      </c>
    </row>
    <row r="4743" spans="1:12" x14ac:dyDescent="0.3">
      <c r="A4743">
        <v>49620</v>
      </c>
      <c r="B4743" t="s">
        <v>12</v>
      </c>
      <c r="C4743">
        <v>75</v>
      </c>
      <c r="D4743" t="s">
        <v>15</v>
      </c>
      <c r="E4743" t="s">
        <v>15</v>
      </c>
      <c r="F4743" t="s">
        <v>16</v>
      </c>
      <c r="G4743" t="s">
        <v>17</v>
      </c>
      <c r="H4743" t="s">
        <v>23</v>
      </c>
      <c r="I4743">
        <v>75.47</v>
      </c>
      <c r="J4743">
        <v>24.5</v>
      </c>
      <c r="K4743" t="s">
        <v>24</v>
      </c>
      <c r="L4743" t="s">
        <v>15</v>
      </c>
    </row>
    <row r="4744" spans="1:12" x14ac:dyDescent="0.3">
      <c r="A4744">
        <v>5319</v>
      </c>
      <c r="B4744" t="s">
        <v>12</v>
      </c>
      <c r="C4744">
        <v>48</v>
      </c>
      <c r="D4744" t="s">
        <v>15</v>
      </c>
      <c r="E4744" t="s">
        <v>15</v>
      </c>
      <c r="F4744" t="s">
        <v>16</v>
      </c>
      <c r="G4744" t="s">
        <v>17</v>
      </c>
      <c r="H4744" t="s">
        <v>23</v>
      </c>
      <c r="I4744">
        <v>98.24</v>
      </c>
      <c r="J4744">
        <v>34.6</v>
      </c>
      <c r="K4744" t="s">
        <v>25</v>
      </c>
      <c r="L4744" t="s">
        <v>15</v>
      </c>
    </row>
    <row r="4745" spans="1:12" x14ac:dyDescent="0.3">
      <c r="A4745">
        <v>51100</v>
      </c>
      <c r="B4745" t="s">
        <v>12</v>
      </c>
      <c r="C4745">
        <v>62</v>
      </c>
      <c r="D4745" t="s">
        <v>15</v>
      </c>
      <c r="E4745" t="s">
        <v>15</v>
      </c>
      <c r="F4745" t="s">
        <v>16</v>
      </c>
      <c r="G4745" t="s">
        <v>19</v>
      </c>
      <c r="H4745" t="s">
        <v>23</v>
      </c>
      <c r="I4745">
        <v>66.2</v>
      </c>
      <c r="J4745">
        <v>30</v>
      </c>
      <c r="K4745" t="s">
        <v>27</v>
      </c>
      <c r="L4745" t="s">
        <v>15</v>
      </c>
    </row>
    <row r="4746" spans="1:12" x14ac:dyDescent="0.3">
      <c r="A4746">
        <v>163</v>
      </c>
      <c r="B4746" t="s">
        <v>13</v>
      </c>
      <c r="C4746">
        <v>20</v>
      </c>
      <c r="D4746" t="s">
        <v>15</v>
      </c>
      <c r="E4746" t="s">
        <v>15</v>
      </c>
      <c r="F4746" t="s">
        <v>15</v>
      </c>
      <c r="G4746" t="s">
        <v>17</v>
      </c>
      <c r="H4746" t="s">
        <v>23</v>
      </c>
      <c r="I4746">
        <v>94.67</v>
      </c>
      <c r="J4746">
        <v>28.8</v>
      </c>
      <c r="K4746" t="s">
        <v>27</v>
      </c>
      <c r="L4746" t="s">
        <v>15</v>
      </c>
    </row>
    <row r="4747" spans="1:12" x14ac:dyDescent="0.3">
      <c r="A4747">
        <v>55140</v>
      </c>
      <c r="B4747" t="s">
        <v>12</v>
      </c>
      <c r="C4747">
        <v>69</v>
      </c>
      <c r="D4747" t="s">
        <v>16</v>
      </c>
      <c r="E4747" t="s">
        <v>15</v>
      </c>
      <c r="F4747" t="s">
        <v>15</v>
      </c>
      <c r="G4747" t="s">
        <v>17</v>
      </c>
      <c r="H4747" t="s">
        <v>22</v>
      </c>
      <c r="I4747">
        <v>75.95</v>
      </c>
      <c r="J4747">
        <v>28.6</v>
      </c>
      <c r="K4747" t="s">
        <v>25</v>
      </c>
      <c r="L4747" t="s">
        <v>15</v>
      </c>
    </row>
    <row r="4748" spans="1:12" x14ac:dyDescent="0.3">
      <c r="A4748">
        <v>52882</v>
      </c>
      <c r="B4748" t="s">
        <v>13</v>
      </c>
      <c r="C4748">
        <v>60</v>
      </c>
      <c r="D4748" t="s">
        <v>15</v>
      </c>
      <c r="E4748" t="s">
        <v>15</v>
      </c>
      <c r="F4748" t="s">
        <v>16</v>
      </c>
      <c r="G4748" t="s">
        <v>19</v>
      </c>
      <c r="H4748" t="s">
        <v>23</v>
      </c>
      <c r="I4748">
        <v>111.79</v>
      </c>
      <c r="J4748">
        <v>23.6</v>
      </c>
      <c r="K4748" t="s">
        <v>26</v>
      </c>
      <c r="L4748" t="s">
        <v>15</v>
      </c>
    </row>
    <row r="4749" spans="1:12" x14ac:dyDescent="0.3">
      <c r="A4749">
        <v>54344</v>
      </c>
      <c r="B4749" t="s">
        <v>13</v>
      </c>
      <c r="C4749">
        <v>12</v>
      </c>
      <c r="D4749" t="s">
        <v>15</v>
      </c>
      <c r="E4749" t="s">
        <v>15</v>
      </c>
      <c r="F4749" t="s">
        <v>15</v>
      </c>
      <c r="G4749" t="s">
        <v>20</v>
      </c>
      <c r="H4749" t="s">
        <v>23</v>
      </c>
      <c r="I4749">
        <v>80.89</v>
      </c>
      <c r="J4749">
        <v>20.100000000000001</v>
      </c>
      <c r="K4749" t="s">
        <v>27</v>
      </c>
      <c r="L4749" t="s">
        <v>15</v>
      </c>
    </row>
    <row r="4750" spans="1:12" x14ac:dyDescent="0.3">
      <c r="A4750">
        <v>2550</v>
      </c>
      <c r="B4750" t="s">
        <v>13</v>
      </c>
      <c r="C4750">
        <v>28</v>
      </c>
      <c r="D4750" t="s">
        <v>15</v>
      </c>
      <c r="E4750" t="s">
        <v>15</v>
      </c>
      <c r="F4750" t="s">
        <v>16</v>
      </c>
      <c r="G4750" t="s">
        <v>19</v>
      </c>
      <c r="H4750" t="s">
        <v>23</v>
      </c>
      <c r="I4750">
        <v>86.91</v>
      </c>
      <c r="J4750">
        <v>21.1</v>
      </c>
      <c r="K4750" t="s">
        <v>24</v>
      </c>
      <c r="L4750" t="s">
        <v>15</v>
      </c>
    </row>
    <row r="4751" spans="1:12" x14ac:dyDescent="0.3">
      <c r="A4751">
        <v>58610</v>
      </c>
      <c r="B4751" t="s">
        <v>13</v>
      </c>
      <c r="C4751">
        <v>55</v>
      </c>
      <c r="D4751" t="s">
        <v>15</v>
      </c>
      <c r="E4751" t="s">
        <v>15</v>
      </c>
      <c r="F4751" t="s">
        <v>16</v>
      </c>
      <c r="G4751" t="s">
        <v>17</v>
      </c>
      <c r="H4751" t="s">
        <v>22</v>
      </c>
      <c r="I4751">
        <v>59.36</v>
      </c>
      <c r="J4751">
        <v>34.1</v>
      </c>
      <c r="K4751" t="s">
        <v>26</v>
      </c>
      <c r="L4751" t="s">
        <v>15</v>
      </c>
    </row>
    <row r="4752" spans="1:12" x14ac:dyDescent="0.3">
      <c r="A4752">
        <v>16902</v>
      </c>
      <c r="B4752" t="s">
        <v>13</v>
      </c>
      <c r="C4752">
        <v>70</v>
      </c>
      <c r="D4752" t="s">
        <v>15</v>
      </c>
      <c r="E4752" t="s">
        <v>16</v>
      </c>
      <c r="F4752" t="s">
        <v>16</v>
      </c>
      <c r="G4752" t="s">
        <v>18</v>
      </c>
      <c r="H4752" t="s">
        <v>22</v>
      </c>
      <c r="I4752">
        <v>240.69</v>
      </c>
      <c r="K4752" t="s">
        <v>26</v>
      </c>
      <c r="L4752" t="s">
        <v>15</v>
      </c>
    </row>
    <row r="4753" spans="1:12" x14ac:dyDescent="0.3">
      <c r="A4753">
        <v>60603</v>
      </c>
      <c r="B4753" t="s">
        <v>13</v>
      </c>
      <c r="C4753">
        <v>51</v>
      </c>
      <c r="D4753" t="s">
        <v>15</v>
      </c>
      <c r="E4753" t="s">
        <v>15</v>
      </c>
      <c r="F4753" t="s">
        <v>15</v>
      </c>
      <c r="G4753" t="s">
        <v>17</v>
      </c>
      <c r="H4753" t="s">
        <v>23</v>
      </c>
      <c r="I4753">
        <v>66.67</v>
      </c>
      <c r="J4753">
        <v>29.5</v>
      </c>
      <c r="K4753" t="s">
        <v>25</v>
      </c>
      <c r="L4753" t="s">
        <v>15</v>
      </c>
    </row>
    <row r="4754" spans="1:12" x14ac:dyDescent="0.3">
      <c r="A4754">
        <v>808</v>
      </c>
      <c r="B4754" t="s">
        <v>13</v>
      </c>
      <c r="C4754">
        <v>16</v>
      </c>
      <c r="D4754" t="s">
        <v>15</v>
      </c>
      <c r="E4754" t="s">
        <v>15</v>
      </c>
      <c r="F4754" t="s">
        <v>15</v>
      </c>
      <c r="G4754" t="s">
        <v>17</v>
      </c>
      <c r="H4754" t="s">
        <v>23</v>
      </c>
      <c r="I4754">
        <v>87.54</v>
      </c>
      <c r="J4754">
        <v>37.799999999999997</v>
      </c>
      <c r="K4754" t="s">
        <v>25</v>
      </c>
      <c r="L4754" t="s">
        <v>15</v>
      </c>
    </row>
    <row r="4755" spans="1:12" x14ac:dyDescent="0.3">
      <c r="A4755">
        <v>61881</v>
      </c>
      <c r="B4755" t="s">
        <v>12</v>
      </c>
      <c r="C4755">
        <v>56</v>
      </c>
      <c r="D4755" t="s">
        <v>15</v>
      </c>
      <c r="E4755" t="s">
        <v>15</v>
      </c>
      <c r="F4755" t="s">
        <v>15</v>
      </c>
      <c r="G4755" t="s">
        <v>18</v>
      </c>
      <c r="H4755" t="s">
        <v>22</v>
      </c>
      <c r="I4755">
        <v>139.87</v>
      </c>
      <c r="J4755">
        <v>31.2</v>
      </c>
      <c r="K4755" t="s">
        <v>26</v>
      </c>
      <c r="L4755" t="s">
        <v>15</v>
      </c>
    </row>
    <row r="4756" spans="1:12" x14ac:dyDescent="0.3">
      <c r="A4756">
        <v>41600</v>
      </c>
      <c r="B4756" t="s">
        <v>12</v>
      </c>
      <c r="C4756">
        <v>52</v>
      </c>
      <c r="D4756" t="s">
        <v>15</v>
      </c>
      <c r="E4756" t="s">
        <v>15</v>
      </c>
      <c r="F4756" t="s">
        <v>16</v>
      </c>
      <c r="G4756" t="s">
        <v>17</v>
      </c>
      <c r="H4756" t="s">
        <v>23</v>
      </c>
      <c r="I4756">
        <v>67.92</v>
      </c>
      <c r="J4756">
        <v>31.1</v>
      </c>
      <c r="K4756" t="s">
        <v>25</v>
      </c>
      <c r="L4756" t="s">
        <v>15</v>
      </c>
    </row>
    <row r="4757" spans="1:12" x14ac:dyDescent="0.3">
      <c r="A4757">
        <v>12786</v>
      </c>
      <c r="B4757" t="s">
        <v>13</v>
      </c>
      <c r="C4757">
        <v>59</v>
      </c>
      <c r="D4757" t="s">
        <v>15</v>
      </c>
      <c r="E4757" t="s">
        <v>15</v>
      </c>
      <c r="F4757" t="s">
        <v>16</v>
      </c>
      <c r="G4757" t="s">
        <v>17</v>
      </c>
      <c r="H4757" t="s">
        <v>22</v>
      </c>
      <c r="I4757">
        <v>83.62</v>
      </c>
      <c r="J4757">
        <v>34.200000000000003</v>
      </c>
      <c r="K4757" t="s">
        <v>27</v>
      </c>
      <c r="L4757" t="s">
        <v>15</v>
      </c>
    </row>
    <row r="4758" spans="1:12" x14ac:dyDescent="0.3">
      <c r="A4758">
        <v>11935</v>
      </c>
      <c r="B4758" t="s">
        <v>13</v>
      </c>
      <c r="C4758">
        <v>9</v>
      </c>
      <c r="D4758" t="s">
        <v>15</v>
      </c>
      <c r="E4758" t="s">
        <v>15</v>
      </c>
      <c r="F4758" t="s">
        <v>15</v>
      </c>
      <c r="G4758" t="s">
        <v>20</v>
      </c>
      <c r="H4758" t="s">
        <v>23</v>
      </c>
      <c r="I4758">
        <v>110.97</v>
      </c>
      <c r="J4758">
        <v>17.7</v>
      </c>
      <c r="K4758" t="s">
        <v>27</v>
      </c>
      <c r="L4758" t="s">
        <v>15</v>
      </c>
    </row>
    <row r="4759" spans="1:12" x14ac:dyDescent="0.3">
      <c r="A4759">
        <v>44655</v>
      </c>
      <c r="B4759" t="s">
        <v>13</v>
      </c>
      <c r="C4759">
        <v>34</v>
      </c>
      <c r="D4759" t="s">
        <v>15</v>
      </c>
      <c r="E4759" t="s">
        <v>15</v>
      </c>
      <c r="F4759" t="s">
        <v>16</v>
      </c>
      <c r="G4759" t="s">
        <v>17</v>
      </c>
      <c r="H4759" t="s">
        <v>23</v>
      </c>
      <c r="I4759">
        <v>70.53</v>
      </c>
      <c r="J4759">
        <v>39.200000000000003</v>
      </c>
      <c r="K4759" t="s">
        <v>25</v>
      </c>
      <c r="L4759" t="s">
        <v>15</v>
      </c>
    </row>
    <row r="4760" spans="1:12" x14ac:dyDescent="0.3">
      <c r="A4760">
        <v>48644</v>
      </c>
      <c r="B4760" t="s">
        <v>13</v>
      </c>
      <c r="C4760">
        <v>47</v>
      </c>
      <c r="D4760" t="s">
        <v>15</v>
      </c>
      <c r="E4760" t="s">
        <v>15</v>
      </c>
      <c r="F4760" t="s">
        <v>16</v>
      </c>
      <c r="G4760" t="s">
        <v>18</v>
      </c>
      <c r="H4760" t="s">
        <v>23</v>
      </c>
      <c r="I4760">
        <v>115.91</v>
      </c>
      <c r="J4760">
        <v>22.2</v>
      </c>
      <c r="K4760" t="s">
        <v>24</v>
      </c>
      <c r="L4760" t="s">
        <v>15</v>
      </c>
    </row>
    <row r="4761" spans="1:12" x14ac:dyDescent="0.3">
      <c r="A4761">
        <v>41527</v>
      </c>
      <c r="B4761" t="s">
        <v>12</v>
      </c>
      <c r="C4761">
        <v>46</v>
      </c>
      <c r="D4761" t="s">
        <v>15</v>
      </c>
      <c r="E4761" t="s">
        <v>15</v>
      </c>
      <c r="F4761" t="s">
        <v>16</v>
      </c>
      <c r="G4761" t="s">
        <v>17</v>
      </c>
      <c r="H4761" t="s">
        <v>22</v>
      </c>
      <c r="I4761">
        <v>59.74</v>
      </c>
      <c r="J4761">
        <v>29.5</v>
      </c>
      <c r="K4761" t="s">
        <v>26</v>
      </c>
      <c r="L4761" t="s">
        <v>15</v>
      </c>
    </row>
    <row r="4762" spans="1:12" x14ac:dyDescent="0.3">
      <c r="A4762">
        <v>50975</v>
      </c>
      <c r="B4762" t="s">
        <v>12</v>
      </c>
      <c r="C4762">
        <v>49</v>
      </c>
      <c r="D4762" t="s">
        <v>15</v>
      </c>
      <c r="E4762" t="s">
        <v>15</v>
      </c>
      <c r="F4762" t="s">
        <v>16</v>
      </c>
      <c r="G4762" t="s">
        <v>17</v>
      </c>
      <c r="H4762" t="s">
        <v>23</v>
      </c>
      <c r="I4762">
        <v>62.64</v>
      </c>
      <c r="J4762">
        <v>27</v>
      </c>
      <c r="K4762" t="s">
        <v>25</v>
      </c>
      <c r="L4762" t="s">
        <v>15</v>
      </c>
    </row>
    <row r="4763" spans="1:12" x14ac:dyDescent="0.3">
      <c r="A4763">
        <v>49179</v>
      </c>
      <c r="B4763" t="s">
        <v>12</v>
      </c>
      <c r="C4763">
        <v>10</v>
      </c>
      <c r="D4763" t="s">
        <v>15</v>
      </c>
      <c r="E4763" t="s">
        <v>15</v>
      </c>
      <c r="F4763" t="s">
        <v>15</v>
      </c>
      <c r="G4763" t="s">
        <v>20</v>
      </c>
      <c r="H4763" t="s">
        <v>23</v>
      </c>
      <c r="I4763">
        <v>84.81</v>
      </c>
      <c r="J4763">
        <v>16.8</v>
      </c>
      <c r="K4763" t="s">
        <v>25</v>
      </c>
      <c r="L4763" t="s">
        <v>15</v>
      </c>
    </row>
    <row r="4764" spans="1:12" x14ac:dyDescent="0.3">
      <c r="A4764">
        <v>27509</v>
      </c>
      <c r="B4764" t="s">
        <v>13</v>
      </c>
      <c r="C4764">
        <v>76</v>
      </c>
      <c r="D4764" t="s">
        <v>16</v>
      </c>
      <c r="E4764" t="s">
        <v>15</v>
      </c>
      <c r="F4764" t="s">
        <v>16</v>
      </c>
      <c r="G4764" t="s">
        <v>18</v>
      </c>
      <c r="H4764" t="s">
        <v>22</v>
      </c>
      <c r="I4764">
        <v>78.680000000000007</v>
      </c>
      <c r="J4764">
        <v>23.3</v>
      </c>
      <c r="K4764" t="s">
        <v>25</v>
      </c>
      <c r="L4764" t="s">
        <v>15</v>
      </c>
    </row>
    <row r="4765" spans="1:12" x14ac:dyDescent="0.3">
      <c r="A4765">
        <v>19191</v>
      </c>
      <c r="B4765" t="s">
        <v>12</v>
      </c>
      <c r="C4765">
        <v>82</v>
      </c>
      <c r="D4765" t="s">
        <v>15</v>
      </c>
      <c r="E4765" t="s">
        <v>15</v>
      </c>
      <c r="F4765" t="s">
        <v>16</v>
      </c>
      <c r="G4765" t="s">
        <v>17</v>
      </c>
      <c r="H4765" t="s">
        <v>22</v>
      </c>
      <c r="I4765">
        <v>217.57</v>
      </c>
      <c r="J4765">
        <v>33.5</v>
      </c>
      <c r="K4765" t="s">
        <v>24</v>
      </c>
      <c r="L4765" t="s">
        <v>15</v>
      </c>
    </row>
    <row r="4766" spans="1:12" x14ac:dyDescent="0.3">
      <c r="A4766">
        <v>25149</v>
      </c>
      <c r="B4766" t="s">
        <v>13</v>
      </c>
      <c r="C4766">
        <v>3</v>
      </c>
      <c r="D4766" t="s">
        <v>15</v>
      </c>
      <c r="E4766" t="s">
        <v>15</v>
      </c>
      <c r="F4766" t="s">
        <v>15</v>
      </c>
      <c r="G4766" t="s">
        <v>20</v>
      </c>
      <c r="H4766" t="s">
        <v>23</v>
      </c>
      <c r="I4766">
        <v>79.760000000000005</v>
      </c>
      <c r="J4766">
        <v>15.6</v>
      </c>
      <c r="K4766" t="s">
        <v>27</v>
      </c>
      <c r="L4766" t="s">
        <v>15</v>
      </c>
    </row>
    <row r="4767" spans="1:12" x14ac:dyDescent="0.3">
      <c r="A4767">
        <v>42626</v>
      </c>
      <c r="B4767" t="s">
        <v>13</v>
      </c>
      <c r="C4767">
        <v>76</v>
      </c>
      <c r="D4767" t="s">
        <v>16</v>
      </c>
      <c r="E4767" t="s">
        <v>15</v>
      </c>
      <c r="F4767" t="s">
        <v>16</v>
      </c>
      <c r="G4767" t="s">
        <v>19</v>
      </c>
      <c r="H4767" t="s">
        <v>23</v>
      </c>
      <c r="I4767">
        <v>63.28</v>
      </c>
      <c r="J4767">
        <v>28.2</v>
      </c>
      <c r="K4767" t="s">
        <v>25</v>
      </c>
      <c r="L4767" t="s">
        <v>15</v>
      </c>
    </row>
    <row r="4768" spans="1:12" x14ac:dyDescent="0.3">
      <c r="A4768">
        <v>2578</v>
      </c>
      <c r="B4768" t="s">
        <v>12</v>
      </c>
      <c r="C4768">
        <v>16</v>
      </c>
      <c r="D4768" t="s">
        <v>15</v>
      </c>
      <c r="E4768" t="s">
        <v>15</v>
      </c>
      <c r="F4768" t="s">
        <v>15</v>
      </c>
      <c r="G4768" t="s">
        <v>19</v>
      </c>
      <c r="H4768" t="s">
        <v>23</v>
      </c>
      <c r="I4768">
        <v>78.48</v>
      </c>
      <c r="J4768">
        <v>22.6</v>
      </c>
      <c r="K4768" t="s">
        <v>25</v>
      </c>
      <c r="L4768" t="s">
        <v>15</v>
      </c>
    </row>
    <row r="4769" spans="1:12" x14ac:dyDescent="0.3">
      <c r="A4769">
        <v>55975</v>
      </c>
      <c r="B4769" t="s">
        <v>13</v>
      </c>
      <c r="C4769">
        <v>44</v>
      </c>
      <c r="D4769" t="s">
        <v>15</v>
      </c>
      <c r="E4769" t="s">
        <v>15</v>
      </c>
      <c r="F4769" t="s">
        <v>16</v>
      </c>
      <c r="G4769" t="s">
        <v>19</v>
      </c>
      <c r="H4769" t="s">
        <v>23</v>
      </c>
      <c r="I4769">
        <v>70.48</v>
      </c>
      <c r="J4769">
        <v>20.2</v>
      </c>
      <c r="K4769" t="s">
        <v>25</v>
      </c>
      <c r="L4769" t="s">
        <v>15</v>
      </c>
    </row>
    <row r="4770" spans="1:12" x14ac:dyDescent="0.3">
      <c r="A4770">
        <v>62182</v>
      </c>
      <c r="B4770" t="s">
        <v>13</v>
      </c>
      <c r="C4770">
        <v>17</v>
      </c>
      <c r="D4770" t="s">
        <v>15</v>
      </c>
      <c r="E4770" t="s">
        <v>15</v>
      </c>
      <c r="F4770" t="s">
        <v>15</v>
      </c>
      <c r="G4770" t="s">
        <v>17</v>
      </c>
      <c r="H4770" t="s">
        <v>23</v>
      </c>
      <c r="I4770">
        <v>120.96</v>
      </c>
      <c r="J4770">
        <v>22.2</v>
      </c>
      <c r="K4770" t="s">
        <v>24</v>
      </c>
      <c r="L4770" t="s">
        <v>15</v>
      </c>
    </row>
    <row r="4771" spans="1:12" x14ac:dyDescent="0.3">
      <c r="A4771">
        <v>12037</v>
      </c>
      <c r="B4771" t="s">
        <v>13</v>
      </c>
      <c r="C4771">
        <v>73</v>
      </c>
      <c r="D4771" t="s">
        <v>15</v>
      </c>
      <c r="E4771" t="s">
        <v>15</v>
      </c>
      <c r="F4771" t="s">
        <v>16</v>
      </c>
      <c r="G4771" t="s">
        <v>18</v>
      </c>
      <c r="H4771" t="s">
        <v>23</v>
      </c>
      <c r="I4771">
        <v>77.290000000000006</v>
      </c>
      <c r="J4771">
        <v>22.6</v>
      </c>
      <c r="K4771" t="s">
        <v>25</v>
      </c>
      <c r="L4771" t="s">
        <v>15</v>
      </c>
    </row>
    <row r="4772" spans="1:12" x14ac:dyDescent="0.3">
      <c r="A4772">
        <v>21963</v>
      </c>
      <c r="B4772" t="s">
        <v>12</v>
      </c>
      <c r="C4772">
        <v>31</v>
      </c>
      <c r="D4772" t="s">
        <v>15</v>
      </c>
      <c r="E4772" t="s">
        <v>15</v>
      </c>
      <c r="F4772" t="s">
        <v>16</v>
      </c>
      <c r="G4772" t="s">
        <v>17</v>
      </c>
      <c r="H4772" t="s">
        <v>22</v>
      </c>
      <c r="I4772">
        <v>108.51</v>
      </c>
      <c r="J4772">
        <v>26.7</v>
      </c>
      <c r="K4772" t="s">
        <v>27</v>
      </c>
      <c r="L4772" t="s">
        <v>15</v>
      </c>
    </row>
    <row r="4773" spans="1:12" x14ac:dyDescent="0.3">
      <c r="A4773">
        <v>26250</v>
      </c>
      <c r="B4773" t="s">
        <v>12</v>
      </c>
      <c r="C4773">
        <v>17</v>
      </c>
      <c r="D4773" t="s">
        <v>15</v>
      </c>
      <c r="E4773" t="s">
        <v>15</v>
      </c>
      <c r="F4773" t="s">
        <v>15</v>
      </c>
      <c r="G4773" t="s">
        <v>18</v>
      </c>
      <c r="H4773" t="s">
        <v>22</v>
      </c>
      <c r="I4773">
        <v>113.85</v>
      </c>
      <c r="J4773">
        <v>22.9</v>
      </c>
      <c r="K4773" t="s">
        <v>27</v>
      </c>
      <c r="L4773" t="s">
        <v>15</v>
      </c>
    </row>
    <row r="4774" spans="1:12" x14ac:dyDescent="0.3">
      <c r="A4774">
        <v>13960</v>
      </c>
      <c r="B4774" t="s">
        <v>13</v>
      </c>
      <c r="C4774">
        <v>18</v>
      </c>
      <c r="D4774" t="s">
        <v>15</v>
      </c>
      <c r="E4774" t="s">
        <v>15</v>
      </c>
      <c r="F4774" t="s">
        <v>15</v>
      </c>
      <c r="G4774" t="s">
        <v>21</v>
      </c>
      <c r="H4774" t="s">
        <v>22</v>
      </c>
      <c r="I4774">
        <v>97.65</v>
      </c>
      <c r="J4774">
        <v>21.5</v>
      </c>
      <c r="K4774" t="s">
        <v>27</v>
      </c>
      <c r="L4774" t="s">
        <v>15</v>
      </c>
    </row>
    <row r="4775" spans="1:12" x14ac:dyDescent="0.3">
      <c r="A4775">
        <v>56573</v>
      </c>
      <c r="B4775" t="s">
        <v>12</v>
      </c>
      <c r="C4775">
        <v>73</v>
      </c>
      <c r="D4775" t="s">
        <v>15</v>
      </c>
      <c r="E4775" t="s">
        <v>15</v>
      </c>
      <c r="F4775" t="s">
        <v>16</v>
      </c>
      <c r="G4775" t="s">
        <v>17</v>
      </c>
      <c r="H4775" t="s">
        <v>23</v>
      </c>
      <c r="I4775">
        <v>121.83</v>
      </c>
      <c r="J4775">
        <v>30.3</v>
      </c>
      <c r="K4775" t="s">
        <v>24</v>
      </c>
      <c r="L4775" t="s">
        <v>15</v>
      </c>
    </row>
    <row r="4776" spans="1:12" x14ac:dyDescent="0.3">
      <c r="A4776">
        <v>10659</v>
      </c>
      <c r="B4776" t="s">
        <v>13</v>
      </c>
      <c r="C4776">
        <v>8</v>
      </c>
      <c r="D4776" t="s">
        <v>15</v>
      </c>
      <c r="E4776" t="s">
        <v>15</v>
      </c>
      <c r="F4776" t="s">
        <v>15</v>
      </c>
      <c r="G4776" t="s">
        <v>20</v>
      </c>
      <c r="H4776" t="s">
        <v>22</v>
      </c>
      <c r="I4776">
        <v>81.53</v>
      </c>
      <c r="J4776">
        <v>14.8</v>
      </c>
      <c r="K4776" t="s">
        <v>27</v>
      </c>
      <c r="L4776" t="s">
        <v>15</v>
      </c>
    </row>
    <row r="4777" spans="1:12" x14ac:dyDescent="0.3">
      <c r="A4777">
        <v>50763</v>
      </c>
      <c r="B4777" t="s">
        <v>12</v>
      </c>
      <c r="C4777">
        <v>42</v>
      </c>
      <c r="D4777" t="s">
        <v>15</v>
      </c>
      <c r="E4777" t="s">
        <v>15</v>
      </c>
      <c r="F4777" t="s">
        <v>16</v>
      </c>
      <c r="G4777" t="s">
        <v>19</v>
      </c>
      <c r="H4777" t="s">
        <v>22</v>
      </c>
      <c r="I4777">
        <v>58.35</v>
      </c>
      <c r="J4777">
        <v>24.3</v>
      </c>
      <c r="K4777" t="s">
        <v>25</v>
      </c>
      <c r="L4777" t="s">
        <v>15</v>
      </c>
    </row>
    <row r="4778" spans="1:12" x14ac:dyDescent="0.3">
      <c r="A4778">
        <v>62075</v>
      </c>
      <c r="B4778" t="s">
        <v>13</v>
      </c>
      <c r="C4778">
        <v>40</v>
      </c>
      <c r="D4778" t="s">
        <v>15</v>
      </c>
      <c r="E4778" t="s">
        <v>15</v>
      </c>
      <c r="F4778" t="s">
        <v>16</v>
      </c>
      <c r="G4778" t="s">
        <v>17</v>
      </c>
      <c r="H4778" t="s">
        <v>22</v>
      </c>
      <c r="I4778">
        <v>65.42</v>
      </c>
      <c r="J4778">
        <v>17.399999999999999</v>
      </c>
      <c r="K4778" t="s">
        <v>24</v>
      </c>
      <c r="L4778" t="s">
        <v>15</v>
      </c>
    </row>
    <row r="4779" spans="1:12" x14ac:dyDescent="0.3">
      <c r="A4779">
        <v>10119</v>
      </c>
      <c r="B4779" t="s">
        <v>12</v>
      </c>
      <c r="C4779">
        <v>79</v>
      </c>
      <c r="D4779" t="s">
        <v>15</v>
      </c>
      <c r="E4779" t="s">
        <v>15</v>
      </c>
      <c r="F4779" t="s">
        <v>16</v>
      </c>
      <c r="G4779" t="s">
        <v>17</v>
      </c>
      <c r="H4779" t="s">
        <v>23</v>
      </c>
      <c r="I4779">
        <v>69.34</v>
      </c>
      <c r="J4779">
        <v>29</v>
      </c>
      <c r="K4779" t="s">
        <v>25</v>
      </c>
      <c r="L4779" t="s">
        <v>15</v>
      </c>
    </row>
    <row r="4780" spans="1:12" x14ac:dyDescent="0.3">
      <c r="A4780">
        <v>48127</v>
      </c>
      <c r="B4780" t="s">
        <v>12</v>
      </c>
      <c r="C4780">
        <v>53</v>
      </c>
      <c r="D4780" t="s">
        <v>15</v>
      </c>
      <c r="E4780" t="s">
        <v>15</v>
      </c>
      <c r="F4780" t="s">
        <v>16</v>
      </c>
      <c r="G4780" t="s">
        <v>18</v>
      </c>
      <c r="H4780" t="s">
        <v>22</v>
      </c>
      <c r="I4780">
        <v>109.09</v>
      </c>
      <c r="J4780">
        <v>26.3</v>
      </c>
      <c r="K4780" t="s">
        <v>26</v>
      </c>
      <c r="L4780" t="s">
        <v>15</v>
      </c>
    </row>
    <row r="4781" spans="1:12" x14ac:dyDescent="0.3">
      <c r="A4781">
        <v>65892</v>
      </c>
      <c r="B4781" t="s">
        <v>13</v>
      </c>
      <c r="C4781">
        <v>58</v>
      </c>
      <c r="D4781" t="s">
        <v>15</v>
      </c>
      <c r="E4781" t="s">
        <v>15</v>
      </c>
      <c r="F4781" t="s">
        <v>16</v>
      </c>
      <c r="G4781" t="s">
        <v>18</v>
      </c>
      <c r="H4781" t="s">
        <v>22</v>
      </c>
      <c r="I4781">
        <v>66.709999999999994</v>
      </c>
      <c r="J4781">
        <v>51.7</v>
      </c>
      <c r="K4781" t="s">
        <v>25</v>
      </c>
      <c r="L4781" t="s">
        <v>15</v>
      </c>
    </row>
    <row r="4782" spans="1:12" x14ac:dyDescent="0.3">
      <c r="A4782">
        <v>33370</v>
      </c>
      <c r="B4782" t="s">
        <v>13</v>
      </c>
      <c r="C4782">
        <v>48</v>
      </c>
      <c r="D4782" t="s">
        <v>15</v>
      </c>
      <c r="E4782" t="s">
        <v>15</v>
      </c>
      <c r="F4782" t="s">
        <v>16</v>
      </c>
      <c r="G4782" t="s">
        <v>17</v>
      </c>
      <c r="H4782" t="s">
        <v>23</v>
      </c>
      <c r="I4782">
        <v>114.92</v>
      </c>
      <c r="J4782">
        <v>29.2</v>
      </c>
      <c r="K4782" t="s">
        <v>27</v>
      </c>
      <c r="L4782" t="s">
        <v>15</v>
      </c>
    </row>
    <row r="4783" spans="1:12" x14ac:dyDescent="0.3">
      <c r="A4783">
        <v>59049</v>
      </c>
      <c r="B4783" t="s">
        <v>13</v>
      </c>
      <c r="C4783">
        <v>17</v>
      </c>
      <c r="D4783" t="s">
        <v>15</v>
      </c>
      <c r="E4783" t="s">
        <v>15</v>
      </c>
      <c r="F4783" t="s">
        <v>15</v>
      </c>
      <c r="G4783" t="s">
        <v>17</v>
      </c>
      <c r="H4783" t="s">
        <v>23</v>
      </c>
      <c r="I4783">
        <v>120.58</v>
      </c>
      <c r="J4783">
        <v>18.3</v>
      </c>
      <c r="K4783" t="s">
        <v>25</v>
      </c>
      <c r="L4783" t="s">
        <v>15</v>
      </c>
    </row>
    <row r="4784" spans="1:12" x14ac:dyDescent="0.3">
      <c r="A4784">
        <v>53896</v>
      </c>
      <c r="B4784" t="s">
        <v>13</v>
      </c>
      <c r="C4784">
        <v>23</v>
      </c>
      <c r="D4784" t="s">
        <v>15</v>
      </c>
      <c r="E4784" t="s">
        <v>15</v>
      </c>
      <c r="F4784" t="s">
        <v>15</v>
      </c>
      <c r="G4784" t="s">
        <v>17</v>
      </c>
      <c r="H4784" t="s">
        <v>23</v>
      </c>
      <c r="I4784">
        <v>165.36</v>
      </c>
      <c r="J4784">
        <v>21.9</v>
      </c>
      <c r="K4784" t="s">
        <v>26</v>
      </c>
      <c r="L4784" t="s">
        <v>15</v>
      </c>
    </row>
    <row r="4785" spans="1:12" x14ac:dyDescent="0.3">
      <c r="A4785">
        <v>21980</v>
      </c>
      <c r="B4785" t="s">
        <v>12</v>
      </c>
      <c r="C4785">
        <v>9</v>
      </c>
      <c r="D4785" t="s">
        <v>15</v>
      </c>
      <c r="E4785" t="s">
        <v>15</v>
      </c>
      <c r="F4785" t="s">
        <v>15</v>
      </c>
      <c r="G4785" t="s">
        <v>20</v>
      </c>
      <c r="H4785" t="s">
        <v>22</v>
      </c>
      <c r="I4785">
        <v>66.11</v>
      </c>
      <c r="J4785">
        <v>16.3</v>
      </c>
      <c r="K4785" t="s">
        <v>27</v>
      </c>
      <c r="L4785" t="s">
        <v>15</v>
      </c>
    </row>
    <row r="4786" spans="1:12" x14ac:dyDescent="0.3">
      <c r="A4786">
        <v>70497</v>
      </c>
      <c r="B4786" t="s">
        <v>13</v>
      </c>
      <c r="C4786">
        <v>81</v>
      </c>
      <c r="D4786" t="s">
        <v>16</v>
      </c>
      <c r="E4786" t="s">
        <v>16</v>
      </c>
      <c r="F4786" t="s">
        <v>16</v>
      </c>
      <c r="G4786" t="s">
        <v>17</v>
      </c>
      <c r="H4786" t="s">
        <v>23</v>
      </c>
      <c r="I4786">
        <v>126.34</v>
      </c>
      <c r="J4786">
        <v>27.4</v>
      </c>
      <c r="K4786" t="s">
        <v>26</v>
      </c>
      <c r="L4786" t="s">
        <v>15</v>
      </c>
    </row>
    <row r="4787" spans="1:12" x14ac:dyDescent="0.3">
      <c r="A4787">
        <v>58652</v>
      </c>
      <c r="B4787" t="s">
        <v>13</v>
      </c>
      <c r="C4787">
        <v>16</v>
      </c>
      <c r="D4787" t="s">
        <v>15</v>
      </c>
      <c r="E4787" t="s">
        <v>15</v>
      </c>
      <c r="F4787" t="s">
        <v>15</v>
      </c>
      <c r="G4787" t="s">
        <v>21</v>
      </c>
      <c r="H4787" t="s">
        <v>23</v>
      </c>
      <c r="I4787">
        <v>68.27</v>
      </c>
      <c r="J4787">
        <v>20.399999999999999</v>
      </c>
      <c r="K4787" t="s">
        <v>25</v>
      </c>
      <c r="L4787" t="s">
        <v>15</v>
      </c>
    </row>
    <row r="4788" spans="1:12" x14ac:dyDescent="0.3">
      <c r="A4788">
        <v>30335</v>
      </c>
      <c r="B4788" t="s">
        <v>12</v>
      </c>
      <c r="C4788">
        <v>21</v>
      </c>
      <c r="D4788" t="s">
        <v>15</v>
      </c>
      <c r="E4788" t="s">
        <v>15</v>
      </c>
      <c r="F4788" t="s">
        <v>15</v>
      </c>
      <c r="G4788" t="s">
        <v>17</v>
      </c>
      <c r="H4788" t="s">
        <v>23</v>
      </c>
      <c r="I4788">
        <v>92.86</v>
      </c>
      <c r="J4788">
        <v>23.2</v>
      </c>
      <c r="K4788" t="s">
        <v>25</v>
      </c>
      <c r="L4788" t="s">
        <v>15</v>
      </c>
    </row>
    <row r="4789" spans="1:12" x14ac:dyDescent="0.3">
      <c r="A4789">
        <v>26305</v>
      </c>
      <c r="B4789" t="s">
        <v>12</v>
      </c>
      <c r="C4789">
        <v>29</v>
      </c>
      <c r="D4789" t="s">
        <v>15</v>
      </c>
      <c r="E4789" t="s">
        <v>15</v>
      </c>
      <c r="F4789" t="s">
        <v>15</v>
      </c>
      <c r="G4789" t="s">
        <v>18</v>
      </c>
      <c r="H4789" t="s">
        <v>23</v>
      </c>
      <c r="I4789">
        <v>96.77</v>
      </c>
      <c r="J4789">
        <v>30.3</v>
      </c>
      <c r="K4789" t="s">
        <v>24</v>
      </c>
      <c r="L4789" t="s">
        <v>15</v>
      </c>
    </row>
    <row r="4790" spans="1:12" x14ac:dyDescent="0.3">
      <c r="A4790">
        <v>31227</v>
      </c>
      <c r="B4790" t="s">
        <v>12</v>
      </c>
      <c r="C4790">
        <v>8</v>
      </c>
      <c r="D4790" t="s">
        <v>15</v>
      </c>
      <c r="E4790" t="s">
        <v>15</v>
      </c>
      <c r="F4790" t="s">
        <v>15</v>
      </c>
      <c r="G4790" t="s">
        <v>20</v>
      </c>
      <c r="H4790" t="s">
        <v>23</v>
      </c>
      <c r="I4790">
        <v>89.24</v>
      </c>
      <c r="J4790">
        <v>16.7</v>
      </c>
      <c r="K4790" t="s">
        <v>27</v>
      </c>
      <c r="L4790" t="s">
        <v>15</v>
      </c>
    </row>
    <row r="4791" spans="1:12" x14ac:dyDescent="0.3">
      <c r="A4791">
        <v>5581</v>
      </c>
      <c r="B4791" t="s">
        <v>13</v>
      </c>
      <c r="C4791">
        <v>39</v>
      </c>
      <c r="D4791" t="s">
        <v>15</v>
      </c>
      <c r="E4791" t="s">
        <v>15</v>
      </c>
      <c r="F4791" t="s">
        <v>16</v>
      </c>
      <c r="G4791" t="s">
        <v>17</v>
      </c>
      <c r="H4791" t="s">
        <v>23</v>
      </c>
      <c r="I4791">
        <v>89.32</v>
      </c>
      <c r="J4791">
        <v>31</v>
      </c>
      <c r="K4791" t="s">
        <v>24</v>
      </c>
      <c r="L4791" t="s">
        <v>15</v>
      </c>
    </row>
    <row r="4792" spans="1:12" x14ac:dyDescent="0.3">
      <c r="A4792">
        <v>1989</v>
      </c>
      <c r="B4792" t="s">
        <v>12</v>
      </c>
      <c r="C4792">
        <v>37</v>
      </c>
      <c r="D4792" t="s">
        <v>15</v>
      </c>
      <c r="E4792" t="s">
        <v>15</v>
      </c>
      <c r="F4792" t="s">
        <v>16</v>
      </c>
      <c r="G4792" t="s">
        <v>17</v>
      </c>
      <c r="H4792" t="s">
        <v>23</v>
      </c>
      <c r="I4792">
        <v>107.06</v>
      </c>
      <c r="K4792" t="s">
        <v>26</v>
      </c>
      <c r="L4792" t="s">
        <v>15</v>
      </c>
    </row>
    <row r="4793" spans="1:12" x14ac:dyDescent="0.3">
      <c r="A4793">
        <v>43803</v>
      </c>
      <c r="B4793" t="s">
        <v>13</v>
      </c>
      <c r="C4793">
        <v>64</v>
      </c>
      <c r="D4793" t="s">
        <v>15</v>
      </c>
      <c r="E4793" t="s">
        <v>15</v>
      </c>
      <c r="F4793" t="s">
        <v>16</v>
      </c>
      <c r="G4793" t="s">
        <v>17</v>
      </c>
      <c r="H4793" t="s">
        <v>22</v>
      </c>
      <c r="I4793">
        <v>65.63</v>
      </c>
      <c r="J4793">
        <v>33.5</v>
      </c>
      <c r="K4793" t="s">
        <v>26</v>
      </c>
      <c r="L4793" t="s">
        <v>15</v>
      </c>
    </row>
    <row r="4794" spans="1:12" x14ac:dyDescent="0.3">
      <c r="A4794">
        <v>41395</v>
      </c>
      <c r="B4794" t="s">
        <v>12</v>
      </c>
      <c r="C4794">
        <v>9</v>
      </c>
      <c r="D4794" t="s">
        <v>15</v>
      </c>
      <c r="E4794" t="s">
        <v>15</v>
      </c>
      <c r="F4794" t="s">
        <v>15</v>
      </c>
      <c r="G4794" t="s">
        <v>20</v>
      </c>
      <c r="H4794" t="s">
        <v>22</v>
      </c>
      <c r="I4794">
        <v>123.66</v>
      </c>
      <c r="J4794">
        <v>17</v>
      </c>
      <c r="K4794" t="s">
        <v>27</v>
      </c>
      <c r="L4794" t="s">
        <v>15</v>
      </c>
    </row>
    <row r="4795" spans="1:12" x14ac:dyDescent="0.3">
      <c r="A4795">
        <v>71784</v>
      </c>
      <c r="B4795" t="s">
        <v>12</v>
      </c>
      <c r="C4795">
        <v>17</v>
      </c>
      <c r="D4795" t="s">
        <v>15</v>
      </c>
      <c r="E4795" t="s">
        <v>15</v>
      </c>
      <c r="F4795" t="s">
        <v>15</v>
      </c>
      <c r="G4795" t="s">
        <v>17</v>
      </c>
      <c r="H4795" t="s">
        <v>23</v>
      </c>
      <c r="I4795">
        <v>63.82</v>
      </c>
      <c r="J4795">
        <v>19.399999999999999</v>
      </c>
      <c r="K4795" t="s">
        <v>26</v>
      </c>
      <c r="L4795" t="s">
        <v>15</v>
      </c>
    </row>
    <row r="4796" spans="1:12" x14ac:dyDescent="0.3">
      <c r="A4796">
        <v>57979</v>
      </c>
      <c r="B4796" t="s">
        <v>12</v>
      </c>
      <c r="C4796">
        <v>8</v>
      </c>
      <c r="D4796" t="s">
        <v>15</v>
      </c>
      <c r="E4796" t="s">
        <v>15</v>
      </c>
      <c r="F4796" t="s">
        <v>15</v>
      </c>
      <c r="G4796" t="s">
        <v>20</v>
      </c>
      <c r="H4796" t="s">
        <v>23</v>
      </c>
      <c r="I4796">
        <v>108.06</v>
      </c>
      <c r="J4796">
        <v>14.6</v>
      </c>
      <c r="K4796" t="s">
        <v>27</v>
      </c>
      <c r="L4796" t="s">
        <v>15</v>
      </c>
    </row>
    <row r="4797" spans="1:12" x14ac:dyDescent="0.3">
      <c r="A4797">
        <v>54437</v>
      </c>
      <c r="B4797" t="s">
        <v>12</v>
      </c>
      <c r="C4797">
        <v>62</v>
      </c>
      <c r="D4797" t="s">
        <v>15</v>
      </c>
      <c r="E4797" t="s">
        <v>15</v>
      </c>
      <c r="F4797" t="s">
        <v>16</v>
      </c>
      <c r="G4797" t="s">
        <v>18</v>
      </c>
      <c r="H4797" t="s">
        <v>23</v>
      </c>
      <c r="I4797">
        <v>136.18</v>
      </c>
      <c r="J4797">
        <v>32.200000000000003</v>
      </c>
      <c r="K4797" t="s">
        <v>27</v>
      </c>
      <c r="L4797" t="s">
        <v>15</v>
      </c>
    </row>
    <row r="4798" spans="1:12" x14ac:dyDescent="0.3">
      <c r="A4798">
        <v>67159</v>
      </c>
      <c r="B4798" t="s">
        <v>12</v>
      </c>
      <c r="C4798">
        <v>73</v>
      </c>
      <c r="D4798" t="s">
        <v>16</v>
      </c>
      <c r="E4798" t="s">
        <v>15</v>
      </c>
      <c r="F4798" t="s">
        <v>15</v>
      </c>
      <c r="G4798" t="s">
        <v>19</v>
      </c>
      <c r="H4798" t="s">
        <v>22</v>
      </c>
      <c r="I4798">
        <v>71.290000000000006</v>
      </c>
      <c r="J4798">
        <v>37.700000000000003</v>
      </c>
      <c r="K4798" t="s">
        <v>25</v>
      </c>
      <c r="L4798" t="s">
        <v>15</v>
      </c>
    </row>
    <row r="4799" spans="1:12" x14ac:dyDescent="0.3">
      <c r="A4799">
        <v>7230</v>
      </c>
      <c r="B4799" t="s">
        <v>12</v>
      </c>
      <c r="C4799">
        <v>48</v>
      </c>
      <c r="D4799" t="s">
        <v>15</v>
      </c>
      <c r="E4799" t="s">
        <v>15</v>
      </c>
      <c r="F4799" t="s">
        <v>16</v>
      </c>
      <c r="G4799" t="s">
        <v>19</v>
      </c>
      <c r="H4799" t="s">
        <v>23</v>
      </c>
      <c r="I4799">
        <v>76.58</v>
      </c>
      <c r="J4799">
        <v>27.4</v>
      </c>
      <c r="K4799" t="s">
        <v>25</v>
      </c>
      <c r="L4799" t="s">
        <v>15</v>
      </c>
    </row>
    <row r="4800" spans="1:12" x14ac:dyDescent="0.3">
      <c r="A4800">
        <v>68306</v>
      </c>
      <c r="B4800" t="s">
        <v>12</v>
      </c>
      <c r="C4800">
        <v>17</v>
      </c>
      <c r="D4800" t="s">
        <v>15</v>
      </c>
      <c r="E4800" t="s">
        <v>15</v>
      </c>
      <c r="F4800" t="s">
        <v>15</v>
      </c>
      <c r="G4800" t="s">
        <v>17</v>
      </c>
      <c r="H4800" t="s">
        <v>23</v>
      </c>
      <c r="I4800">
        <v>119.58</v>
      </c>
      <c r="J4800">
        <v>25</v>
      </c>
      <c r="K4800" t="s">
        <v>25</v>
      </c>
      <c r="L4800" t="s">
        <v>15</v>
      </c>
    </row>
    <row r="4801" spans="1:12" x14ac:dyDescent="0.3">
      <c r="A4801">
        <v>33087</v>
      </c>
      <c r="B4801" t="s">
        <v>13</v>
      </c>
      <c r="C4801">
        <v>10</v>
      </c>
      <c r="D4801" t="s">
        <v>15</v>
      </c>
      <c r="E4801" t="s">
        <v>15</v>
      </c>
      <c r="F4801" t="s">
        <v>15</v>
      </c>
      <c r="G4801" t="s">
        <v>20</v>
      </c>
      <c r="H4801" t="s">
        <v>22</v>
      </c>
      <c r="I4801">
        <v>109.3</v>
      </c>
      <c r="J4801">
        <v>20.100000000000001</v>
      </c>
      <c r="K4801" t="s">
        <v>27</v>
      </c>
      <c r="L4801" t="s">
        <v>15</v>
      </c>
    </row>
    <row r="4802" spans="1:12" x14ac:dyDescent="0.3">
      <c r="A4802">
        <v>40850</v>
      </c>
      <c r="B4802" t="s">
        <v>13</v>
      </c>
      <c r="C4802">
        <v>74</v>
      </c>
      <c r="D4802" t="s">
        <v>15</v>
      </c>
      <c r="E4802" t="s">
        <v>15</v>
      </c>
      <c r="F4802" t="s">
        <v>16</v>
      </c>
      <c r="G4802" t="s">
        <v>19</v>
      </c>
      <c r="H4802" t="s">
        <v>22</v>
      </c>
      <c r="I4802">
        <v>111.94</v>
      </c>
      <c r="J4802">
        <v>21.7</v>
      </c>
      <c r="K4802" t="s">
        <v>25</v>
      </c>
      <c r="L4802" t="s">
        <v>15</v>
      </c>
    </row>
    <row r="4803" spans="1:12" x14ac:dyDescent="0.3">
      <c r="A4803">
        <v>57612</v>
      </c>
      <c r="B4803" t="s">
        <v>12</v>
      </c>
      <c r="C4803">
        <v>62</v>
      </c>
      <c r="D4803" t="s">
        <v>15</v>
      </c>
      <c r="E4803" t="s">
        <v>15</v>
      </c>
      <c r="F4803" t="s">
        <v>16</v>
      </c>
      <c r="G4803" t="s">
        <v>17</v>
      </c>
      <c r="H4803" t="s">
        <v>22</v>
      </c>
      <c r="I4803">
        <v>81.64</v>
      </c>
      <c r="J4803">
        <v>38.200000000000003</v>
      </c>
      <c r="K4803" t="s">
        <v>25</v>
      </c>
      <c r="L4803" t="s">
        <v>15</v>
      </c>
    </row>
    <row r="4804" spans="1:12" x14ac:dyDescent="0.3">
      <c r="A4804">
        <v>37029</v>
      </c>
      <c r="B4804" t="s">
        <v>12</v>
      </c>
      <c r="C4804">
        <v>5</v>
      </c>
      <c r="D4804" t="s">
        <v>15</v>
      </c>
      <c r="E4804" t="s">
        <v>15</v>
      </c>
      <c r="F4804" t="s">
        <v>15</v>
      </c>
      <c r="G4804" t="s">
        <v>20</v>
      </c>
      <c r="H4804" t="s">
        <v>23</v>
      </c>
      <c r="I4804">
        <v>97.64</v>
      </c>
      <c r="J4804">
        <v>17</v>
      </c>
      <c r="K4804" t="s">
        <v>27</v>
      </c>
      <c r="L4804" t="s">
        <v>15</v>
      </c>
    </row>
    <row r="4805" spans="1:12" x14ac:dyDescent="0.3">
      <c r="A4805">
        <v>338</v>
      </c>
      <c r="B4805" t="s">
        <v>13</v>
      </c>
      <c r="C4805">
        <v>43</v>
      </c>
      <c r="D4805" t="s">
        <v>15</v>
      </c>
      <c r="E4805" t="s">
        <v>15</v>
      </c>
      <c r="F4805" t="s">
        <v>16</v>
      </c>
      <c r="G4805" t="s">
        <v>17</v>
      </c>
      <c r="H4805" t="s">
        <v>23</v>
      </c>
      <c r="I4805">
        <v>110.32</v>
      </c>
      <c r="J4805">
        <v>28.4</v>
      </c>
      <c r="K4805" t="s">
        <v>25</v>
      </c>
      <c r="L4805" t="s">
        <v>15</v>
      </c>
    </row>
    <row r="4806" spans="1:12" x14ac:dyDescent="0.3">
      <c r="A4806">
        <v>9565</v>
      </c>
      <c r="B4806" t="s">
        <v>13</v>
      </c>
      <c r="C4806">
        <v>39</v>
      </c>
      <c r="D4806" t="s">
        <v>15</v>
      </c>
      <c r="E4806" t="s">
        <v>15</v>
      </c>
      <c r="F4806" t="s">
        <v>15</v>
      </c>
      <c r="G4806" t="s">
        <v>17</v>
      </c>
      <c r="H4806" t="s">
        <v>23</v>
      </c>
      <c r="I4806">
        <v>79</v>
      </c>
      <c r="J4806">
        <v>30</v>
      </c>
      <c r="K4806" t="s">
        <v>25</v>
      </c>
      <c r="L4806" t="s">
        <v>15</v>
      </c>
    </row>
    <row r="4807" spans="1:12" x14ac:dyDescent="0.3">
      <c r="A4807">
        <v>3623</v>
      </c>
      <c r="B4807" t="s">
        <v>13</v>
      </c>
      <c r="C4807">
        <v>37</v>
      </c>
      <c r="D4807" t="s">
        <v>15</v>
      </c>
      <c r="E4807" t="s">
        <v>15</v>
      </c>
      <c r="F4807" t="s">
        <v>16</v>
      </c>
      <c r="G4807" t="s">
        <v>18</v>
      </c>
      <c r="H4807" t="s">
        <v>22</v>
      </c>
      <c r="I4807">
        <v>95.08</v>
      </c>
      <c r="J4807">
        <v>34.1</v>
      </c>
      <c r="K4807" t="s">
        <v>25</v>
      </c>
      <c r="L4807" t="s">
        <v>15</v>
      </c>
    </row>
    <row r="4808" spans="1:12" x14ac:dyDescent="0.3">
      <c r="A4808">
        <v>69723</v>
      </c>
      <c r="B4808" t="s">
        <v>12</v>
      </c>
      <c r="C4808">
        <v>15</v>
      </c>
      <c r="D4808" t="s">
        <v>15</v>
      </c>
      <c r="E4808" t="s">
        <v>15</v>
      </c>
      <c r="F4808" t="s">
        <v>15</v>
      </c>
      <c r="G4808" t="s">
        <v>17</v>
      </c>
      <c r="H4808" t="s">
        <v>22</v>
      </c>
      <c r="I4808">
        <v>137.27000000000001</v>
      </c>
      <c r="J4808">
        <v>19.3</v>
      </c>
      <c r="K4808" t="s">
        <v>25</v>
      </c>
      <c r="L4808" t="s">
        <v>15</v>
      </c>
    </row>
    <row r="4809" spans="1:12" x14ac:dyDescent="0.3">
      <c r="A4809">
        <v>47662</v>
      </c>
      <c r="B4809" t="s">
        <v>13</v>
      </c>
      <c r="C4809">
        <v>36</v>
      </c>
      <c r="D4809" t="s">
        <v>15</v>
      </c>
      <c r="E4809" t="s">
        <v>15</v>
      </c>
      <c r="F4809" t="s">
        <v>15</v>
      </c>
      <c r="G4809" t="s">
        <v>18</v>
      </c>
      <c r="H4809" t="s">
        <v>22</v>
      </c>
      <c r="I4809">
        <v>57.83</v>
      </c>
      <c r="J4809">
        <v>21.6</v>
      </c>
      <c r="K4809" t="s">
        <v>26</v>
      </c>
      <c r="L4809" t="s">
        <v>15</v>
      </c>
    </row>
    <row r="4810" spans="1:12" x14ac:dyDescent="0.3">
      <c r="A4810">
        <v>58495</v>
      </c>
      <c r="B4810" t="s">
        <v>12</v>
      </c>
      <c r="C4810">
        <v>34</v>
      </c>
      <c r="D4810" t="s">
        <v>15</v>
      </c>
      <c r="E4810" t="s">
        <v>15</v>
      </c>
      <c r="F4810" t="s">
        <v>16</v>
      </c>
      <c r="G4810" t="s">
        <v>17</v>
      </c>
      <c r="H4810" t="s">
        <v>23</v>
      </c>
      <c r="I4810">
        <v>84.08</v>
      </c>
      <c r="J4810">
        <v>32.9</v>
      </c>
      <c r="K4810" t="s">
        <v>25</v>
      </c>
      <c r="L4810" t="s">
        <v>15</v>
      </c>
    </row>
    <row r="4811" spans="1:12" x14ac:dyDescent="0.3">
      <c r="A4811">
        <v>71222</v>
      </c>
      <c r="B4811" t="s">
        <v>12</v>
      </c>
      <c r="C4811">
        <v>75</v>
      </c>
      <c r="D4811" t="s">
        <v>16</v>
      </c>
      <c r="E4811" t="s">
        <v>15</v>
      </c>
      <c r="F4811" t="s">
        <v>16</v>
      </c>
      <c r="G4811" t="s">
        <v>17</v>
      </c>
      <c r="H4811" t="s">
        <v>22</v>
      </c>
      <c r="I4811">
        <v>234.51</v>
      </c>
      <c r="J4811">
        <v>27.2</v>
      </c>
      <c r="K4811" t="s">
        <v>24</v>
      </c>
      <c r="L4811" t="s">
        <v>15</v>
      </c>
    </row>
    <row r="4812" spans="1:12" x14ac:dyDescent="0.3">
      <c r="A4812">
        <v>37865</v>
      </c>
      <c r="B4812" t="s">
        <v>12</v>
      </c>
      <c r="C4812">
        <v>53</v>
      </c>
      <c r="D4812" t="s">
        <v>15</v>
      </c>
      <c r="E4812" t="s">
        <v>15</v>
      </c>
      <c r="F4812" t="s">
        <v>16</v>
      </c>
      <c r="G4812" t="s">
        <v>17</v>
      </c>
      <c r="H4812" t="s">
        <v>22</v>
      </c>
      <c r="I4812">
        <v>142.63999999999999</v>
      </c>
      <c r="J4812">
        <v>27.8</v>
      </c>
      <c r="K4812" t="s">
        <v>26</v>
      </c>
      <c r="L4812" t="s">
        <v>15</v>
      </c>
    </row>
    <row r="4813" spans="1:12" x14ac:dyDescent="0.3">
      <c r="A4813">
        <v>20185</v>
      </c>
      <c r="B4813" t="s">
        <v>13</v>
      </c>
      <c r="C4813">
        <v>61</v>
      </c>
      <c r="D4813" t="s">
        <v>15</v>
      </c>
      <c r="E4813" t="s">
        <v>15</v>
      </c>
      <c r="F4813" t="s">
        <v>16</v>
      </c>
      <c r="G4813" t="s">
        <v>18</v>
      </c>
      <c r="H4813" t="s">
        <v>23</v>
      </c>
      <c r="I4813">
        <v>69.77</v>
      </c>
      <c r="J4813">
        <v>29.9</v>
      </c>
      <c r="K4813" t="s">
        <v>25</v>
      </c>
      <c r="L4813" t="s">
        <v>15</v>
      </c>
    </row>
    <row r="4814" spans="1:12" x14ac:dyDescent="0.3">
      <c r="A4814">
        <v>41875</v>
      </c>
      <c r="B4814" t="s">
        <v>13</v>
      </c>
      <c r="C4814">
        <v>45</v>
      </c>
      <c r="D4814" t="s">
        <v>15</v>
      </c>
      <c r="E4814" t="s">
        <v>15</v>
      </c>
      <c r="F4814" t="s">
        <v>16</v>
      </c>
      <c r="G4814" t="s">
        <v>17</v>
      </c>
      <c r="H4814" t="s">
        <v>22</v>
      </c>
      <c r="I4814">
        <v>71.400000000000006</v>
      </c>
      <c r="J4814">
        <v>28.4</v>
      </c>
      <c r="K4814" t="s">
        <v>26</v>
      </c>
      <c r="L4814" t="s">
        <v>15</v>
      </c>
    </row>
    <row r="4815" spans="1:12" x14ac:dyDescent="0.3">
      <c r="A4815">
        <v>67602</v>
      </c>
      <c r="B4815" t="s">
        <v>13</v>
      </c>
      <c r="C4815">
        <v>17</v>
      </c>
      <c r="D4815" t="s">
        <v>15</v>
      </c>
      <c r="E4815" t="s">
        <v>15</v>
      </c>
      <c r="F4815" t="s">
        <v>15</v>
      </c>
      <c r="G4815" t="s">
        <v>17</v>
      </c>
      <c r="H4815" t="s">
        <v>22</v>
      </c>
      <c r="I4815">
        <v>79.61</v>
      </c>
      <c r="J4815">
        <v>24.1</v>
      </c>
      <c r="K4815" t="s">
        <v>27</v>
      </c>
      <c r="L4815" t="s">
        <v>15</v>
      </c>
    </row>
    <row r="4816" spans="1:12" x14ac:dyDescent="0.3">
      <c r="A4816">
        <v>40387</v>
      </c>
      <c r="B4816" t="s">
        <v>13</v>
      </c>
      <c r="C4816">
        <v>17</v>
      </c>
      <c r="D4816" t="s">
        <v>15</v>
      </c>
      <c r="E4816" t="s">
        <v>15</v>
      </c>
      <c r="F4816" t="s">
        <v>15</v>
      </c>
      <c r="G4816" t="s">
        <v>17</v>
      </c>
      <c r="H4816" t="s">
        <v>23</v>
      </c>
      <c r="I4816">
        <v>77.459999999999994</v>
      </c>
      <c r="J4816">
        <v>24</v>
      </c>
      <c r="K4816" t="s">
        <v>27</v>
      </c>
      <c r="L4816" t="s">
        <v>15</v>
      </c>
    </row>
    <row r="4817" spans="1:12" x14ac:dyDescent="0.3">
      <c r="A4817">
        <v>43208</v>
      </c>
      <c r="B4817" t="s">
        <v>13</v>
      </c>
      <c r="C4817">
        <v>19</v>
      </c>
      <c r="D4817" t="s">
        <v>15</v>
      </c>
      <c r="E4817" t="s">
        <v>15</v>
      </c>
      <c r="F4817" t="s">
        <v>15</v>
      </c>
      <c r="G4817" t="s">
        <v>17</v>
      </c>
      <c r="H4817" t="s">
        <v>22</v>
      </c>
      <c r="I4817">
        <v>96.85</v>
      </c>
      <c r="J4817">
        <v>23.4</v>
      </c>
      <c r="K4817" t="s">
        <v>27</v>
      </c>
      <c r="L4817" t="s">
        <v>15</v>
      </c>
    </row>
    <row r="4818" spans="1:12" x14ac:dyDescent="0.3">
      <c r="A4818">
        <v>54324</v>
      </c>
      <c r="B4818" t="s">
        <v>13</v>
      </c>
      <c r="C4818">
        <v>54</v>
      </c>
      <c r="D4818" t="s">
        <v>16</v>
      </c>
      <c r="E4818" t="s">
        <v>15</v>
      </c>
      <c r="F4818" t="s">
        <v>15</v>
      </c>
      <c r="G4818" t="s">
        <v>19</v>
      </c>
      <c r="H4818" t="s">
        <v>22</v>
      </c>
      <c r="I4818">
        <v>182.22</v>
      </c>
      <c r="J4818">
        <v>32.6</v>
      </c>
      <c r="K4818" t="s">
        <v>24</v>
      </c>
      <c r="L4818" t="s">
        <v>15</v>
      </c>
    </row>
    <row r="4819" spans="1:12" x14ac:dyDescent="0.3">
      <c r="A4819">
        <v>51110</v>
      </c>
      <c r="B4819" t="s">
        <v>13</v>
      </c>
      <c r="C4819">
        <v>51</v>
      </c>
      <c r="D4819" t="s">
        <v>15</v>
      </c>
      <c r="E4819" t="s">
        <v>15</v>
      </c>
      <c r="F4819" t="s">
        <v>16</v>
      </c>
      <c r="G4819" t="s">
        <v>18</v>
      </c>
      <c r="H4819" t="s">
        <v>22</v>
      </c>
      <c r="I4819">
        <v>67.260000000000005</v>
      </c>
      <c r="J4819">
        <v>33.1</v>
      </c>
      <c r="K4819" t="s">
        <v>24</v>
      </c>
      <c r="L4819" t="s">
        <v>15</v>
      </c>
    </row>
    <row r="4820" spans="1:12" x14ac:dyDescent="0.3">
      <c r="A4820">
        <v>36969</v>
      </c>
      <c r="B4820" t="s">
        <v>13</v>
      </c>
      <c r="C4820">
        <v>44</v>
      </c>
      <c r="D4820" t="s">
        <v>15</v>
      </c>
      <c r="E4820" t="s">
        <v>15</v>
      </c>
      <c r="F4820" t="s">
        <v>16</v>
      </c>
      <c r="G4820" t="s">
        <v>17</v>
      </c>
      <c r="H4820" t="s">
        <v>23</v>
      </c>
      <c r="I4820">
        <v>60.02</v>
      </c>
      <c r="J4820">
        <v>33.799999999999997</v>
      </c>
      <c r="K4820" t="s">
        <v>24</v>
      </c>
      <c r="L4820" t="s">
        <v>15</v>
      </c>
    </row>
    <row r="4821" spans="1:12" x14ac:dyDescent="0.3">
      <c r="A4821">
        <v>48118</v>
      </c>
      <c r="B4821" t="s">
        <v>13</v>
      </c>
      <c r="C4821">
        <v>82</v>
      </c>
      <c r="D4821" t="s">
        <v>15</v>
      </c>
      <c r="E4821" t="s">
        <v>15</v>
      </c>
      <c r="F4821" t="s">
        <v>16</v>
      </c>
      <c r="G4821" t="s">
        <v>18</v>
      </c>
      <c r="H4821" t="s">
        <v>22</v>
      </c>
      <c r="I4821">
        <v>113.45</v>
      </c>
      <c r="J4821">
        <v>30.3</v>
      </c>
      <c r="K4821" t="s">
        <v>25</v>
      </c>
      <c r="L4821" t="s">
        <v>15</v>
      </c>
    </row>
    <row r="4822" spans="1:12" x14ac:dyDescent="0.3">
      <c r="A4822">
        <v>4607</v>
      </c>
      <c r="B4822" t="s">
        <v>13</v>
      </c>
      <c r="C4822">
        <v>49</v>
      </c>
      <c r="D4822" t="s">
        <v>15</v>
      </c>
      <c r="E4822" t="s">
        <v>15</v>
      </c>
      <c r="F4822" t="s">
        <v>16</v>
      </c>
      <c r="G4822" t="s">
        <v>18</v>
      </c>
      <c r="H4822" t="s">
        <v>22</v>
      </c>
      <c r="I4822">
        <v>112.31</v>
      </c>
      <c r="J4822">
        <v>36.9</v>
      </c>
      <c r="K4822" t="s">
        <v>27</v>
      </c>
      <c r="L4822" t="s">
        <v>15</v>
      </c>
    </row>
    <row r="4823" spans="1:12" x14ac:dyDescent="0.3">
      <c r="A4823">
        <v>62471</v>
      </c>
      <c r="B4823" t="s">
        <v>13</v>
      </c>
      <c r="C4823">
        <v>34</v>
      </c>
      <c r="D4823" t="s">
        <v>15</v>
      </c>
      <c r="E4823" t="s">
        <v>15</v>
      </c>
      <c r="F4823" t="s">
        <v>16</v>
      </c>
      <c r="G4823" t="s">
        <v>18</v>
      </c>
      <c r="H4823" t="s">
        <v>23</v>
      </c>
      <c r="I4823">
        <v>68.53</v>
      </c>
      <c r="J4823">
        <v>29.7</v>
      </c>
      <c r="K4823" t="s">
        <v>25</v>
      </c>
      <c r="L4823" t="s">
        <v>15</v>
      </c>
    </row>
    <row r="4824" spans="1:12" x14ac:dyDescent="0.3">
      <c r="A4824">
        <v>43821</v>
      </c>
      <c r="B4824" t="s">
        <v>13</v>
      </c>
      <c r="C4824">
        <v>63</v>
      </c>
      <c r="D4824" t="s">
        <v>16</v>
      </c>
      <c r="E4824" t="s">
        <v>15</v>
      </c>
      <c r="F4824" t="s">
        <v>16</v>
      </c>
      <c r="G4824" t="s">
        <v>17</v>
      </c>
      <c r="H4824" t="s">
        <v>23</v>
      </c>
      <c r="I4824">
        <v>57.15</v>
      </c>
      <c r="J4824">
        <v>38.799999999999997</v>
      </c>
      <c r="K4824" t="s">
        <v>25</v>
      </c>
      <c r="L4824" t="s">
        <v>15</v>
      </c>
    </row>
    <row r="4825" spans="1:12" x14ac:dyDescent="0.3">
      <c r="A4825">
        <v>7218</v>
      </c>
      <c r="B4825" t="s">
        <v>13</v>
      </c>
      <c r="C4825">
        <v>79</v>
      </c>
      <c r="D4825" t="s">
        <v>15</v>
      </c>
      <c r="E4825" t="s">
        <v>15</v>
      </c>
      <c r="F4825" t="s">
        <v>16</v>
      </c>
      <c r="G4825" t="s">
        <v>17</v>
      </c>
      <c r="H4825" t="s">
        <v>23</v>
      </c>
      <c r="I4825">
        <v>214.73</v>
      </c>
      <c r="J4825">
        <v>30.9</v>
      </c>
      <c r="K4825" t="s">
        <v>25</v>
      </c>
      <c r="L4825" t="s">
        <v>15</v>
      </c>
    </row>
    <row r="4826" spans="1:12" x14ac:dyDescent="0.3">
      <c r="A4826">
        <v>23427</v>
      </c>
      <c r="B4826" t="s">
        <v>13</v>
      </c>
      <c r="C4826">
        <v>81</v>
      </c>
      <c r="D4826" t="s">
        <v>15</v>
      </c>
      <c r="E4826" t="s">
        <v>15</v>
      </c>
      <c r="F4826" t="s">
        <v>16</v>
      </c>
      <c r="G4826" t="s">
        <v>17</v>
      </c>
      <c r="H4826" t="s">
        <v>23</v>
      </c>
      <c r="I4826">
        <v>91.82</v>
      </c>
      <c r="J4826">
        <v>36.9</v>
      </c>
      <c r="K4826" t="s">
        <v>27</v>
      </c>
      <c r="L4826" t="s">
        <v>15</v>
      </c>
    </row>
    <row r="4827" spans="1:12" x14ac:dyDescent="0.3">
      <c r="A4827">
        <v>66014</v>
      </c>
      <c r="B4827" t="s">
        <v>13</v>
      </c>
      <c r="C4827">
        <v>14</v>
      </c>
      <c r="D4827" t="s">
        <v>15</v>
      </c>
      <c r="E4827" t="s">
        <v>15</v>
      </c>
      <c r="F4827" t="s">
        <v>15</v>
      </c>
      <c r="G4827" t="s">
        <v>20</v>
      </c>
      <c r="H4827" t="s">
        <v>22</v>
      </c>
      <c r="I4827">
        <v>71.8</v>
      </c>
      <c r="J4827">
        <v>18.8</v>
      </c>
      <c r="K4827" t="s">
        <v>27</v>
      </c>
      <c r="L4827" t="s">
        <v>15</v>
      </c>
    </row>
    <row r="4828" spans="1:12" x14ac:dyDescent="0.3">
      <c r="A4828">
        <v>41652</v>
      </c>
      <c r="B4828" t="s">
        <v>13</v>
      </c>
      <c r="C4828">
        <v>31</v>
      </c>
      <c r="D4828" t="s">
        <v>15</v>
      </c>
      <c r="E4828" t="s">
        <v>15</v>
      </c>
      <c r="F4828" t="s">
        <v>15</v>
      </c>
      <c r="G4828" t="s">
        <v>17</v>
      </c>
      <c r="H4828" t="s">
        <v>22</v>
      </c>
      <c r="I4828">
        <v>63.41</v>
      </c>
      <c r="J4828">
        <v>25.5</v>
      </c>
      <c r="K4828" t="s">
        <v>24</v>
      </c>
      <c r="L4828" t="s">
        <v>15</v>
      </c>
    </row>
    <row r="4829" spans="1:12" x14ac:dyDescent="0.3">
      <c r="A4829">
        <v>16605</v>
      </c>
      <c r="B4829" t="s">
        <v>12</v>
      </c>
      <c r="C4829">
        <v>57</v>
      </c>
      <c r="D4829" t="s">
        <v>15</v>
      </c>
      <c r="E4829" t="s">
        <v>15</v>
      </c>
      <c r="F4829" t="s">
        <v>16</v>
      </c>
      <c r="G4829" t="s">
        <v>17</v>
      </c>
      <c r="H4829" t="s">
        <v>22</v>
      </c>
      <c r="I4829">
        <v>106.24</v>
      </c>
      <c r="J4829">
        <v>32.299999999999997</v>
      </c>
      <c r="K4829" t="s">
        <v>25</v>
      </c>
      <c r="L4829" t="s">
        <v>15</v>
      </c>
    </row>
    <row r="4830" spans="1:12" x14ac:dyDescent="0.3">
      <c r="A4830">
        <v>42091</v>
      </c>
      <c r="B4830" t="s">
        <v>12</v>
      </c>
      <c r="C4830">
        <v>32</v>
      </c>
      <c r="D4830" t="s">
        <v>15</v>
      </c>
      <c r="E4830" t="s">
        <v>15</v>
      </c>
      <c r="F4830" t="s">
        <v>16</v>
      </c>
      <c r="G4830" t="s">
        <v>19</v>
      </c>
      <c r="H4830" t="s">
        <v>23</v>
      </c>
      <c r="I4830">
        <v>83.01</v>
      </c>
      <c r="J4830">
        <v>25.8</v>
      </c>
      <c r="K4830" t="s">
        <v>26</v>
      </c>
      <c r="L4830" t="s">
        <v>15</v>
      </c>
    </row>
    <row r="4831" spans="1:12" x14ac:dyDescent="0.3">
      <c r="A4831">
        <v>66067</v>
      </c>
      <c r="B4831" t="s">
        <v>12</v>
      </c>
      <c r="C4831">
        <v>66</v>
      </c>
      <c r="D4831" t="s">
        <v>15</v>
      </c>
      <c r="E4831" t="s">
        <v>15</v>
      </c>
      <c r="F4831" t="s">
        <v>16</v>
      </c>
      <c r="G4831" t="s">
        <v>17</v>
      </c>
      <c r="H4831" t="s">
        <v>23</v>
      </c>
      <c r="I4831">
        <v>67.92</v>
      </c>
      <c r="J4831">
        <v>31.1</v>
      </c>
      <c r="K4831" t="s">
        <v>24</v>
      </c>
      <c r="L4831" t="s">
        <v>15</v>
      </c>
    </row>
    <row r="4832" spans="1:12" x14ac:dyDescent="0.3">
      <c r="A4832">
        <v>50222</v>
      </c>
      <c r="B4832" t="s">
        <v>13</v>
      </c>
      <c r="C4832">
        <v>22</v>
      </c>
      <c r="D4832" t="s">
        <v>15</v>
      </c>
      <c r="E4832" t="s">
        <v>15</v>
      </c>
      <c r="F4832" t="s">
        <v>15</v>
      </c>
      <c r="G4832" t="s">
        <v>17</v>
      </c>
      <c r="H4832" t="s">
        <v>23</v>
      </c>
      <c r="I4832">
        <v>74.989999999999995</v>
      </c>
      <c r="J4832">
        <v>27.9</v>
      </c>
      <c r="K4832" t="s">
        <v>26</v>
      </c>
      <c r="L4832" t="s">
        <v>15</v>
      </c>
    </row>
    <row r="4833" spans="1:12" x14ac:dyDescent="0.3">
      <c r="A4833">
        <v>41214</v>
      </c>
      <c r="B4833" t="s">
        <v>13</v>
      </c>
      <c r="C4833">
        <v>1.32</v>
      </c>
      <c r="D4833" t="s">
        <v>15</v>
      </c>
      <c r="E4833" t="s">
        <v>15</v>
      </c>
      <c r="F4833" t="s">
        <v>15</v>
      </c>
      <c r="G4833" t="s">
        <v>20</v>
      </c>
      <c r="H4833" t="s">
        <v>23</v>
      </c>
      <c r="I4833">
        <v>75.22</v>
      </c>
      <c r="J4833">
        <v>18.600000000000001</v>
      </c>
      <c r="K4833" t="s">
        <v>27</v>
      </c>
      <c r="L4833" t="s">
        <v>15</v>
      </c>
    </row>
    <row r="4834" spans="1:12" x14ac:dyDescent="0.3">
      <c r="A4834">
        <v>72386</v>
      </c>
      <c r="B4834" t="s">
        <v>13</v>
      </c>
      <c r="C4834">
        <v>20</v>
      </c>
      <c r="D4834" t="s">
        <v>15</v>
      </c>
      <c r="E4834" t="s">
        <v>15</v>
      </c>
      <c r="F4834" t="s">
        <v>15</v>
      </c>
      <c r="G4834" t="s">
        <v>17</v>
      </c>
      <c r="H4834" t="s">
        <v>22</v>
      </c>
      <c r="I4834">
        <v>61.88</v>
      </c>
      <c r="J4834">
        <v>20.100000000000001</v>
      </c>
      <c r="K4834" t="s">
        <v>25</v>
      </c>
      <c r="L4834" t="s">
        <v>15</v>
      </c>
    </row>
    <row r="4835" spans="1:12" x14ac:dyDescent="0.3">
      <c r="A4835">
        <v>14918</v>
      </c>
      <c r="B4835" t="s">
        <v>13</v>
      </c>
      <c r="C4835">
        <v>41</v>
      </c>
      <c r="D4835" t="s">
        <v>15</v>
      </c>
      <c r="E4835" t="s">
        <v>15</v>
      </c>
      <c r="F4835" t="s">
        <v>16</v>
      </c>
      <c r="G4835" t="s">
        <v>17</v>
      </c>
      <c r="H4835" t="s">
        <v>22</v>
      </c>
      <c r="I4835">
        <v>65.67</v>
      </c>
      <c r="J4835">
        <v>26.7</v>
      </c>
      <c r="K4835" t="s">
        <v>26</v>
      </c>
      <c r="L4835" t="s">
        <v>15</v>
      </c>
    </row>
    <row r="4836" spans="1:12" x14ac:dyDescent="0.3">
      <c r="A4836">
        <v>55457</v>
      </c>
      <c r="B4836" t="s">
        <v>13</v>
      </c>
      <c r="C4836">
        <v>48</v>
      </c>
      <c r="D4836" t="s">
        <v>15</v>
      </c>
      <c r="E4836" t="s">
        <v>15</v>
      </c>
      <c r="F4836" t="s">
        <v>16</v>
      </c>
      <c r="G4836" t="s">
        <v>17</v>
      </c>
      <c r="H4836" t="s">
        <v>22</v>
      </c>
      <c r="I4836">
        <v>110.18</v>
      </c>
      <c r="J4836">
        <v>30.3</v>
      </c>
      <c r="K4836" t="s">
        <v>26</v>
      </c>
      <c r="L4836" t="s">
        <v>15</v>
      </c>
    </row>
    <row r="4837" spans="1:12" x14ac:dyDescent="0.3">
      <c r="A4837">
        <v>63323</v>
      </c>
      <c r="B4837" t="s">
        <v>12</v>
      </c>
      <c r="C4837">
        <v>49</v>
      </c>
      <c r="D4837" t="s">
        <v>16</v>
      </c>
      <c r="E4837" t="s">
        <v>15</v>
      </c>
      <c r="F4837" t="s">
        <v>16</v>
      </c>
      <c r="G4837" t="s">
        <v>18</v>
      </c>
      <c r="H4837" t="s">
        <v>23</v>
      </c>
      <c r="I4837">
        <v>119.3</v>
      </c>
      <c r="J4837">
        <v>30.4</v>
      </c>
      <c r="K4837" t="s">
        <v>24</v>
      </c>
      <c r="L4837" t="s">
        <v>15</v>
      </c>
    </row>
    <row r="4838" spans="1:12" x14ac:dyDescent="0.3">
      <c r="A4838">
        <v>35446</v>
      </c>
      <c r="B4838" t="s">
        <v>12</v>
      </c>
      <c r="C4838">
        <v>73</v>
      </c>
      <c r="D4838" t="s">
        <v>15</v>
      </c>
      <c r="E4838" t="s">
        <v>15</v>
      </c>
      <c r="F4838" t="s">
        <v>16</v>
      </c>
      <c r="G4838" t="s">
        <v>19</v>
      </c>
      <c r="H4838" t="s">
        <v>23</v>
      </c>
      <c r="I4838">
        <v>208.69</v>
      </c>
      <c r="J4838">
        <v>30</v>
      </c>
      <c r="K4838" t="s">
        <v>27</v>
      </c>
      <c r="L4838" t="s">
        <v>15</v>
      </c>
    </row>
    <row r="4839" spans="1:12" x14ac:dyDescent="0.3">
      <c r="A4839">
        <v>8208</v>
      </c>
      <c r="B4839" t="s">
        <v>12</v>
      </c>
      <c r="C4839">
        <v>19</v>
      </c>
      <c r="D4839" t="s">
        <v>15</v>
      </c>
      <c r="E4839" t="s">
        <v>15</v>
      </c>
      <c r="F4839" t="s">
        <v>15</v>
      </c>
      <c r="G4839" t="s">
        <v>17</v>
      </c>
      <c r="H4839" t="s">
        <v>23</v>
      </c>
      <c r="I4839">
        <v>95.18</v>
      </c>
      <c r="J4839">
        <v>24.9</v>
      </c>
      <c r="K4839" t="s">
        <v>26</v>
      </c>
      <c r="L4839" t="s">
        <v>15</v>
      </c>
    </row>
    <row r="4840" spans="1:12" x14ac:dyDescent="0.3">
      <c r="A4840">
        <v>5131</v>
      </c>
      <c r="B4840" t="s">
        <v>13</v>
      </c>
      <c r="C4840">
        <v>51</v>
      </c>
      <c r="D4840" t="s">
        <v>15</v>
      </c>
      <c r="E4840" t="s">
        <v>15</v>
      </c>
      <c r="F4840" t="s">
        <v>16</v>
      </c>
      <c r="G4840" t="s">
        <v>17</v>
      </c>
      <c r="H4840" t="s">
        <v>22</v>
      </c>
      <c r="I4840">
        <v>107.72</v>
      </c>
      <c r="J4840">
        <v>60.9</v>
      </c>
      <c r="K4840" t="s">
        <v>27</v>
      </c>
      <c r="L4840" t="s">
        <v>15</v>
      </c>
    </row>
    <row r="4841" spans="1:12" x14ac:dyDescent="0.3">
      <c r="A4841">
        <v>68157</v>
      </c>
      <c r="B4841" t="s">
        <v>12</v>
      </c>
      <c r="C4841">
        <v>1.08</v>
      </c>
      <c r="D4841" t="s">
        <v>15</v>
      </c>
      <c r="E4841" t="s">
        <v>15</v>
      </c>
      <c r="F4841" t="s">
        <v>15</v>
      </c>
      <c r="G4841" t="s">
        <v>20</v>
      </c>
      <c r="H4841" t="s">
        <v>23</v>
      </c>
      <c r="I4841">
        <v>83.27</v>
      </c>
      <c r="J4841">
        <v>24.3</v>
      </c>
      <c r="K4841" t="s">
        <v>27</v>
      </c>
      <c r="L4841" t="s">
        <v>15</v>
      </c>
    </row>
    <row r="4842" spans="1:12" x14ac:dyDescent="0.3">
      <c r="A4842">
        <v>4795</v>
      </c>
      <c r="B4842" t="s">
        <v>13</v>
      </c>
      <c r="C4842">
        <v>31</v>
      </c>
      <c r="D4842" t="s">
        <v>15</v>
      </c>
      <c r="E4842" t="s">
        <v>15</v>
      </c>
      <c r="F4842" t="s">
        <v>15</v>
      </c>
      <c r="G4842" t="s">
        <v>17</v>
      </c>
      <c r="H4842" t="s">
        <v>23</v>
      </c>
      <c r="I4842">
        <v>90.29</v>
      </c>
      <c r="J4842">
        <v>38.700000000000003</v>
      </c>
      <c r="K4842" t="s">
        <v>27</v>
      </c>
      <c r="L4842" t="s">
        <v>15</v>
      </c>
    </row>
    <row r="4843" spans="1:12" x14ac:dyDescent="0.3">
      <c r="A4843">
        <v>7581</v>
      </c>
      <c r="B4843" t="s">
        <v>12</v>
      </c>
      <c r="C4843">
        <v>4</v>
      </c>
      <c r="D4843" t="s">
        <v>15</v>
      </c>
      <c r="E4843" t="s">
        <v>15</v>
      </c>
      <c r="F4843" t="s">
        <v>15</v>
      </c>
      <c r="G4843" t="s">
        <v>20</v>
      </c>
      <c r="H4843" t="s">
        <v>22</v>
      </c>
      <c r="I4843">
        <v>81.87</v>
      </c>
      <c r="J4843">
        <v>18.600000000000001</v>
      </c>
      <c r="K4843" t="s">
        <v>27</v>
      </c>
      <c r="L4843" t="s">
        <v>15</v>
      </c>
    </row>
    <row r="4844" spans="1:12" x14ac:dyDescent="0.3">
      <c r="A4844">
        <v>47383</v>
      </c>
      <c r="B4844" t="s">
        <v>12</v>
      </c>
      <c r="C4844">
        <v>1.8</v>
      </c>
      <c r="D4844" t="s">
        <v>15</v>
      </c>
      <c r="E4844" t="s">
        <v>15</v>
      </c>
      <c r="F4844" t="s">
        <v>15</v>
      </c>
      <c r="G4844" t="s">
        <v>20</v>
      </c>
      <c r="H4844" t="s">
        <v>22</v>
      </c>
      <c r="I4844">
        <v>153.31</v>
      </c>
      <c r="J4844">
        <v>17.100000000000001</v>
      </c>
      <c r="K4844" t="s">
        <v>27</v>
      </c>
      <c r="L4844" t="s">
        <v>15</v>
      </c>
    </row>
    <row r="4845" spans="1:12" x14ac:dyDescent="0.3">
      <c r="A4845">
        <v>14036</v>
      </c>
      <c r="B4845" t="s">
        <v>12</v>
      </c>
      <c r="C4845">
        <v>44</v>
      </c>
      <c r="D4845" t="s">
        <v>15</v>
      </c>
      <c r="E4845" t="s">
        <v>15</v>
      </c>
      <c r="F4845" t="s">
        <v>16</v>
      </c>
      <c r="G4845" t="s">
        <v>17</v>
      </c>
      <c r="H4845" t="s">
        <v>23</v>
      </c>
      <c r="I4845">
        <v>101.46</v>
      </c>
      <c r="J4845">
        <v>29.4</v>
      </c>
      <c r="K4845" t="s">
        <v>27</v>
      </c>
      <c r="L4845" t="s">
        <v>15</v>
      </c>
    </row>
    <row r="4846" spans="1:12" x14ac:dyDescent="0.3">
      <c r="A4846">
        <v>25942</v>
      </c>
      <c r="B4846" t="s">
        <v>13</v>
      </c>
      <c r="C4846">
        <v>4</v>
      </c>
      <c r="D4846" t="s">
        <v>15</v>
      </c>
      <c r="E4846" t="s">
        <v>15</v>
      </c>
      <c r="F4846" t="s">
        <v>15</v>
      </c>
      <c r="G4846" t="s">
        <v>20</v>
      </c>
      <c r="H4846" t="s">
        <v>22</v>
      </c>
      <c r="I4846">
        <v>72.489999999999995</v>
      </c>
      <c r="J4846">
        <v>16.899999999999999</v>
      </c>
      <c r="K4846" t="s">
        <v>27</v>
      </c>
      <c r="L4846" t="s">
        <v>15</v>
      </c>
    </row>
    <row r="4847" spans="1:12" x14ac:dyDescent="0.3">
      <c r="A4847">
        <v>24018</v>
      </c>
      <c r="B4847" t="s">
        <v>12</v>
      </c>
      <c r="C4847">
        <v>55</v>
      </c>
      <c r="D4847" t="s">
        <v>15</v>
      </c>
      <c r="E4847" t="s">
        <v>15</v>
      </c>
      <c r="F4847" t="s">
        <v>16</v>
      </c>
      <c r="G4847" t="s">
        <v>17</v>
      </c>
      <c r="H4847" t="s">
        <v>23</v>
      </c>
      <c r="I4847">
        <v>86.58</v>
      </c>
      <c r="J4847">
        <v>34.200000000000003</v>
      </c>
      <c r="K4847" t="s">
        <v>25</v>
      </c>
      <c r="L4847" t="s">
        <v>15</v>
      </c>
    </row>
    <row r="4848" spans="1:12" x14ac:dyDescent="0.3">
      <c r="A4848">
        <v>27801</v>
      </c>
      <c r="B4848" t="s">
        <v>13</v>
      </c>
      <c r="C4848">
        <v>34</v>
      </c>
      <c r="D4848" t="s">
        <v>15</v>
      </c>
      <c r="E4848" t="s">
        <v>15</v>
      </c>
      <c r="F4848" t="s">
        <v>16</v>
      </c>
      <c r="G4848" t="s">
        <v>17</v>
      </c>
      <c r="H4848" t="s">
        <v>22</v>
      </c>
      <c r="I4848">
        <v>113.26</v>
      </c>
      <c r="J4848">
        <v>27.6</v>
      </c>
      <c r="K4848" t="s">
        <v>25</v>
      </c>
      <c r="L4848" t="s">
        <v>15</v>
      </c>
    </row>
    <row r="4849" spans="1:12" x14ac:dyDescent="0.3">
      <c r="A4849">
        <v>52978</v>
      </c>
      <c r="B4849" t="s">
        <v>13</v>
      </c>
      <c r="C4849">
        <v>30</v>
      </c>
      <c r="D4849" t="s">
        <v>15</v>
      </c>
      <c r="E4849" t="s">
        <v>15</v>
      </c>
      <c r="F4849" t="s">
        <v>16</v>
      </c>
      <c r="G4849" t="s">
        <v>17</v>
      </c>
      <c r="H4849" t="s">
        <v>22</v>
      </c>
      <c r="I4849">
        <v>84.92</v>
      </c>
      <c r="J4849">
        <v>47.8</v>
      </c>
      <c r="K4849" t="s">
        <v>25</v>
      </c>
      <c r="L4849" t="s">
        <v>15</v>
      </c>
    </row>
    <row r="4850" spans="1:12" x14ac:dyDescent="0.3">
      <c r="A4850">
        <v>15593</v>
      </c>
      <c r="B4850" t="s">
        <v>13</v>
      </c>
      <c r="C4850">
        <v>7</v>
      </c>
      <c r="D4850" t="s">
        <v>15</v>
      </c>
      <c r="E4850" t="s">
        <v>15</v>
      </c>
      <c r="F4850" t="s">
        <v>15</v>
      </c>
      <c r="G4850" t="s">
        <v>20</v>
      </c>
      <c r="H4850" t="s">
        <v>22</v>
      </c>
      <c r="I4850">
        <v>128.16999999999999</v>
      </c>
      <c r="J4850">
        <v>18.899999999999999</v>
      </c>
      <c r="K4850" t="s">
        <v>27</v>
      </c>
      <c r="L4850" t="s">
        <v>15</v>
      </c>
    </row>
    <row r="4851" spans="1:12" x14ac:dyDescent="0.3">
      <c r="A4851">
        <v>11098</v>
      </c>
      <c r="B4851" t="s">
        <v>12</v>
      </c>
      <c r="C4851">
        <v>75</v>
      </c>
      <c r="D4851" t="s">
        <v>15</v>
      </c>
      <c r="E4851" t="s">
        <v>15</v>
      </c>
      <c r="F4851" t="s">
        <v>16</v>
      </c>
      <c r="G4851" t="s">
        <v>19</v>
      </c>
      <c r="H4851" t="s">
        <v>23</v>
      </c>
      <c r="I4851">
        <v>93.93</v>
      </c>
      <c r="J4851">
        <v>24.4</v>
      </c>
      <c r="K4851" t="s">
        <v>24</v>
      </c>
      <c r="L4851" t="s">
        <v>15</v>
      </c>
    </row>
    <row r="4852" spans="1:12" x14ac:dyDescent="0.3">
      <c r="A4852">
        <v>12015</v>
      </c>
      <c r="B4852" t="s">
        <v>12</v>
      </c>
      <c r="C4852">
        <v>14</v>
      </c>
      <c r="D4852" t="s">
        <v>15</v>
      </c>
      <c r="E4852" t="s">
        <v>15</v>
      </c>
      <c r="F4852" t="s">
        <v>15</v>
      </c>
      <c r="G4852" t="s">
        <v>20</v>
      </c>
      <c r="H4852" t="s">
        <v>22</v>
      </c>
      <c r="I4852">
        <v>99.87</v>
      </c>
      <c r="J4852">
        <v>25.2</v>
      </c>
      <c r="K4852" t="s">
        <v>27</v>
      </c>
      <c r="L4852" t="s">
        <v>15</v>
      </c>
    </row>
    <row r="4853" spans="1:12" x14ac:dyDescent="0.3">
      <c r="A4853">
        <v>47348</v>
      </c>
      <c r="B4853" t="s">
        <v>13</v>
      </c>
      <c r="C4853">
        <v>61</v>
      </c>
      <c r="D4853" t="s">
        <v>15</v>
      </c>
      <c r="E4853" t="s">
        <v>15</v>
      </c>
      <c r="F4853" t="s">
        <v>16</v>
      </c>
      <c r="G4853" t="s">
        <v>17</v>
      </c>
      <c r="H4853" t="s">
        <v>22</v>
      </c>
      <c r="I4853">
        <v>129.31</v>
      </c>
      <c r="J4853">
        <v>30.7</v>
      </c>
      <c r="K4853" t="s">
        <v>24</v>
      </c>
      <c r="L4853" t="s">
        <v>15</v>
      </c>
    </row>
    <row r="4854" spans="1:12" x14ac:dyDescent="0.3">
      <c r="A4854">
        <v>44155</v>
      </c>
      <c r="B4854" t="s">
        <v>13</v>
      </c>
      <c r="C4854">
        <v>55</v>
      </c>
      <c r="D4854" t="s">
        <v>15</v>
      </c>
      <c r="E4854" t="s">
        <v>15</v>
      </c>
      <c r="F4854" t="s">
        <v>16</v>
      </c>
      <c r="G4854" t="s">
        <v>19</v>
      </c>
      <c r="H4854" t="s">
        <v>22</v>
      </c>
      <c r="I4854">
        <v>89.43</v>
      </c>
      <c r="J4854">
        <v>26.1</v>
      </c>
      <c r="K4854" t="s">
        <v>24</v>
      </c>
      <c r="L4854" t="s">
        <v>15</v>
      </c>
    </row>
    <row r="4855" spans="1:12" x14ac:dyDescent="0.3">
      <c r="A4855">
        <v>62656</v>
      </c>
      <c r="B4855" t="s">
        <v>13</v>
      </c>
      <c r="C4855">
        <v>14</v>
      </c>
      <c r="D4855" t="s">
        <v>15</v>
      </c>
      <c r="E4855" t="s">
        <v>15</v>
      </c>
      <c r="F4855" t="s">
        <v>15</v>
      </c>
      <c r="G4855" t="s">
        <v>20</v>
      </c>
      <c r="H4855" t="s">
        <v>23</v>
      </c>
      <c r="I4855">
        <v>101.6</v>
      </c>
      <c r="J4855">
        <v>25.3</v>
      </c>
      <c r="K4855" t="s">
        <v>25</v>
      </c>
      <c r="L4855" t="s">
        <v>15</v>
      </c>
    </row>
    <row r="4856" spans="1:12" x14ac:dyDescent="0.3">
      <c r="A4856">
        <v>8838</v>
      </c>
      <c r="B4856" t="s">
        <v>13</v>
      </c>
      <c r="C4856">
        <v>36</v>
      </c>
      <c r="D4856" t="s">
        <v>15</v>
      </c>
      <c r="E4856" t="s">
        <v>15</v>
      </c>
      <c r="F4856" t="s">
        <v>15</v>
      </c>
      <c r="G4856" t="s">
        <v>17</v>
      </c>
      <c r="H4856" t="s">
        <v>23</v>
      </c>
      <c r="I4856">
        <v>66.55</v>
      </c>
      <c r="J4856">
        <v>32.799999999999997</v>
      </c>
      <c r="K4856" t="s">
        <v>26</v>
      </c>
      <c r="L4856" t="s">
        <v>15</v>
      </c>
    </row>
    <row r="4857" spans="1:12" x14ac:dyDescent="0.3">
      <c r="A4857">
        <v>42563</v>
      </c>
      <c r="B4857" t="s">
        <v>13</v>
      </c>
      <c r="C4857">
        <v>57</v>
      </c>
      <c r="D4857" t="s">
        <v>16</v>
      </c>
      <c r="E4857" t="s">
        <v>16</v>
      </c>
      <c r="F4857" t="s">
        <v>16</v>
      </c>
      <c r="G4857" t="s">
        <v>17</v>
      </c>
      <c r="H4857" t="s">
        <v>23</v>
      </c>
      <c r="I4857">
        <v>231.72</v>
      </c>
      <c r="J4857">
        <v>45.7</v>
      </c>
      <c r="K4857" t="s">
        <v>24</v>
      </c>
      <c r="L4857" t="s">
        <v>15</v>
      </c>
    </row>
    <row r="4858" spans="1:12" x14ac:dyDescent="0.3">
      <c r="A4858">
        <v>31254</v>
      </c>
      <c r="B4858" t="s">
        <v>13</v>
      </c>
      <c r="C4858">
        <v>20</v>
      </c>
      <c r="D4858" t="s">
        <v>15</v>
      </c>
      <c r="E4858" t="s">
        <v>15</v>
      </c>
      <c r="F4858" t="s">
        <v>15</v>
      </c>
      <c r="G4858" t="s">
        <v>17</v>
      </c>
      <c r="H4858" t="s">
        <v>22</v>
      </c>
      <c r="I4858">
        <v>96.69</v>
      </c>
      <c r="J4858">
        <v>24.6</v>
      </c>
      <c r="K4858" t="s">
        <v>27</v>
      </c>
      <c r="L4858" t="s">
        <v>15</v>
      </c>
    </row>
    <row r="4859" spans="1:12" x14ac:dyDescent="0.3">
      <c r="A4859">
        <v>27922</v>
      </c>
      <c r="B4859" t="s">
        <v>12</v>
      </c>
      <c r="C4859">
        <v>32</v>
      </c>
      <c r="D4859" t="s">
        <v>15</v>
      </c>
      <c r="E4859" t="s">
        <v>15</v>
      </c>
      <c r="F4859" t="s">
        <v>16</v>
      </c>
      <c r="G4859" t="s">
        <v>17</v>
      </c>
      <c r="H4859" t="s">
        <v>23</v>
      </c>
      <c r="I4859">
        <v>102.13</v>
      </c>
      <c r="J4859">
        <v>32.299999999999997</v>
      </c>
      <c r="K4859" t="s">
        <v>25</v>
      </c>
      <c r="L4859" t="s">
        <v>15</v>
      </c>
    </row>
    <row r="4860" spans="1:12" x14ac:dyDescent="0.3">
      <c r="A4860">
        <v>1696</v>
      </c>
      <c r="B4860" t="s">
        <v>13</v>
      </c>
      <c r="C4860">
        <v>43</v>
      </c>
      <c r="D4860" t="s">
        <v>15</v>
      </c>
      <c r="E4860" t="s">
        <v>15</v>
      </c>
      <c r="F4860" t="s">
        <v>16</v>
      </c>
      <c r="G4860" t="s">
        <v>17</v>
      </c>
      <c r="H4860" t="s">
        <v>22</v>
      </c>
      <c r="I4860">
        <v>100.88</v>
      </c>
      <c r="J4860">
        <v>47.6</v>
      </c>
      <c r="K4860" t="s">
        <v>26</v>
      </c>
      <c r="L4860" t="s">
        <v>15</v>
      </c>
    </row>
    <row r="4861" spans="1:12" x14ac:dyDescent="0.3">
      <c r="A4861">
        <v>54162</v>
      </c>
      <c r="B4861" t="s">
        <v>12</v>
      </c>
      <c r="C4861">
        <v>43</v>
      </c>
      <c r="D4861" t="s">
        <v>15</v>
      </c>
      <c r="E4861" t="s">
        <v>15</v>
      </c>
      <c r="F4861" t="s">
        <v>16</v>
      </c>
      <c r="G4861" t="s">
        <v>17</v>
      </c>
      <c r="H4861" t="s">
        <v>23</v>
      </c>
      <c r="I4861">
        <v>66.22</v>
      </c>
      <c r="J4861">
        <v>34.4</v>
      </c>
      <c r="K4861" t="s">
        <v>27</v>
      </c>
      <c r="L4861" t="s">
        <v>15</v>
      </c>
    </row>
    <row r="4862" spans="1:12" x14ac:dyDescent="0.3">
      <c r="A4862">
        <v>70396</v>
      </c>
      <c r="B4862" t="s">
        <v>13</v>
      </c>
      <c r="C4862">
        <v>1.08</v>
      </c>
      <c r="D4862" t="s">
        <v>15</v>
      </c>
      <c r="E4862" t="s">
        <v>15</v>
      </c>
      <c r="F4862" t="s">
        <v>15</v>
      </c>
      <c r="G4862" t="s">
        <v>20</v>
      </c>
      <c r="H4862" t="s">
        <v>22</v>
      </c>
      <c r="I4862">
        <v>109.33</v>
      </c>
      <c r="J4862">
        <v>18.2</v>
      </c>
      <c r="K4862" t="s">
        <v>27</v>
      </c>
      <c r="L4862" t="s">
        <v>15</v>
      </c>
    </row>
    <row r="4863" spans="1:12" x14ac:dyDescent="0.3">
      <c r="A4863">
        <v>65907</v>
      </c>
      <c r="B4863" t="s">
        <v>13</v>
      </c>
      <c r="C4863">
        <v>49</v>
      </c>
      <c r="D4863" t="s">
        <v>15</v>
      </c>
      <c r="E4863" t="s">
        <v>15</v>
      </c>
      <c r="F4863" t="s">
        <v>16</v>
      </c>
      <c r="G4863" t="s">
        <v>17</v>
      </c>
      <c r="H4863" t="s">
        <v>22</v>
      </c>
      <c r="I4863">
        <v>206.53</v>
      </c>
      <c r="J4863">
        <v>44.5</v>
      </c>
      <c r="K4863" t="s">
        <v>26</v>
      </c>
      <c r="L4863" t="s">
        <v>15</v>
      </c>
    </row>
    <row r="4864" spans="1:12" x14ac:dyDescent="0.3">
      <c r="A4864">
        <v>49451</v>
      </c>
      <c r="B4864" t="s">
        <v>13</v>
      </c>
      <c r="C4864">
        <v>53</v>
      </c>
      <c r="D4864" t="s">
        <v>15</v>
      </c>
      <c r="E4864" t="s">
        <v>15</v>
      </c>
      <c r="F4864" t="s">
        <v>16</v>
      </c>
      <c r="G4864" t="s">
        <v>17</v>
      </c>
      <c r="H4864" t="s">
        <v>23</v>
      </c>
      <c r="I4864">
        <v>83.91</v>
      </c>
      <c r="J4864">
        <v>36.6</v>
      </c>
      <c r="K4864" t="s">
        <v>27</v>
      </c>
      <c r="L4864" t="s">
        <v>15</v>
      </c>
    </row>
    <row r="4865" spans="1:12" x14ac:dyDescent="0.3">
      <c r="A4865">
        <v>68601</v>
      </c>
      <c r="B4865" t="s">
        <v>13</v>
      </c>
      <c r="C4865">
        <v>18</v>
      </c>
      <c r="D4865" t="s">
        <v>15</v>
      </c>
      <c r="E4865" t="s">
        <v>15</v>
      </c>
      <c r="F4865" t="s">
        <v>15</v>
      </c>
      <c r="G4865" t="s">
        <v>17</v>
      </c>
      <c r="H4865" t="s">
        <v>22</v>
      </c>
      <c r="I4865">
        <v>67.92</v>
      </c>
      <c r="J4865">
        <v>19.399999999999999</v>
      </c>
      <c r="K4865" t="s">
        <v>25</v>
      </c>
      <c r="L4865" t="s">
        <v>15</v>
      </c>
    </row>
    <row r="4866" spans="1:12" x14ac:dyDescent="0.3">
      <c r="A4866">
        <v>13236</v>
      </c>
      <c r="B4866" t="s">
        <v>13</v>
      </c>
      <c r="C4866">
        <v>13</v>
      </c>
      <c r="D4866" t="s">
        <v>15</v>
      </c>
      <c r="E4866" t="s">
        <v>15</v>
      </c>
      <c r="F4866" t="s">
        <v>15</v>
      </c>
      <c r="G4866" t="s">
        <v>20</v>
      </c>
      <c r="H4866" t="s">
        <v>23</v>
      </c>
      <c r="I4866">
        <v>73.48</v>
      </c>
      <c r="J4866">
        <v>22.9</v>
      </c>
      <c r="K4866" t="s">
        <v>27</v>
      </c>
      <c r="L4866" t="s">
        <v>15</v>
      </c>
    </row>
    <row r="4867" spans="1:12" x14ac:dyDescent="0.3">
      <c r="A4867">
        <v>65998</v>
      </c>
      <c r="B4867" t="s">
        <v>12</v>
      </c>
      <c r="C4867">
        <v>5</v>
      </c>
      <c r="D4867" t="s">
        <v>15</v>
      </c>
      <c r="E4867" t="s">
        <v>15</v>
      </c>
      <c r="F4867" t="s">
        <v>15</v>
      </c>
      <c r="G4867" t="s">
        <v>20</v>
      </c>
      <c r="H4867" t="s">
        <v>23</v>
      </c>
      <c r="I4867">
        <v>101.31</v>
      </c>
      <c r="J4867">
        <v>20</v>
      </c>
      <c r="K4867" t="s">
        <v>27</v>
      </c>
      <c r="L4867" t="s">
        <v>15</v>
      </c>
    </row>
    <row r="4868" spans="1:12" x14ac:dyDescent="0.3">
      <c r="A4868">
        <v>5875</v>
      </c>
      <c r="B4868" t="s">
        <v>13</v>
      </c>
      <c r="C4868">
        <v>37</v>
      </c>
      <c r="D4868" t="s">
        <v>15</v>
      </c>
      <c r="E4868" t="s">
        <v>15</v>
      </c>
      <c r="F4868" t="s">
        <v>16</v>
      </c>
      <c r="G4868" t="s">
        <v>17</v>
      </c>
      <c r="H4868" t="s">
        <v>22</v>
      </c>
      <c r="I4868">
        <v>103.66</v>
      </c>
      <c r="J4868">
        <v>36.1</v>
      </c>
      <c r="K4868" t="s">
        <v>26</v>
      </c>
      <c r="L4868" t="s">
        <v>15</v>
      </c>
    </row>
    <row r="4869" spans="1:12" x14ac:dyDescent="0.3">
      <c r="A4869">
        <v>47427</v>
      </c>
      <c r="B4869" t="s">
        <v>12</v>
      </c>
      <c r="C4869">
        <v>49</v>
      </c>
      <c r="D4869" t="s">
        <v>15</v>
      </c>
      <c r="E4869" t="s">
        <v>15</v>
      </c>
      <c r="F4869" t="s">
        <v>16</v>
      </c>
      <c r="G4869" t="s">
        <v>18</v>
      </c>
      <c r="H4869" t="s">
        <v>22</v>
      </c>
      <c r="I4869">
        <v>70.73</v>
      </c>
      <c r="J4869">
        <v>27.3</v>
      </c>
      <c r="K4869" t="s">
        <v>24</v>
      </c>
      <c r="L4869" t="s">
        <v>15</v>
      </c>
    </row>
    <row r="4870" spans="1:12" x14ac:dyDescent="0.3">
      <c r="A4870">
        <v>29734</v>
      </c>
      <c r="B4870" t="s">
        <v>13</v>
      </c>
      <c r="C4870">
        <v>45</v>
      </c>
      <c r="D4870" t="s">
        <v>15</v>
      </c>
      <c r="E4870" t="s">
        <v>15</v>
      </c>
      <c r="F4870" t="s">
        <v>15</v>
      </c>
      <c r="G4870" t="s">
        <v>19</v>
      </c>
      <c r="H4870" t="s">
        <v>23</v>
      </c>
      <c r="I4870">
        <v>77.45</v>
      </c>
      <c r="J4870">
        <v>42.2</v>
      </c>
      <c r="K4870" t="s">
        <v>24</v>
      </c>
      <c r="L4870" t="s">
        <v>15</v>
      </c>
    </row>
    <row r="4871" spans="1:12" x14ac:dyDescent="0.3">
      <c r="A4871">
        <v>72715</v>
      </c>
      <c r="B4871" t="s">
        <v>13</v>
      </c>
      <c r="C4871">
        <v>50</v>
      </c>
      <c r="D4871" t="s">
        <v>15</v>
      </c>
      <c r="E4871" t="s">
        <v>16</v>
      </c>
      <c r="F4871" t="s">
        <v>16</v>
      </c>
      <c r="G4871" t="s">
        <v>17</v>
      </c>
      <c r="H4871" t="s">
        <v>22</v>
      </c>
      <c r="I4871">
        <v>193.8</v>
      </c>
      <c r="J4871">
        <v>26.4</v>
      </c>
      <c r="K4871" t="s">
        <v>25</v>
      </c>
      <c r="L4871" t="s">
        <v>15</v>
      </c>
    </row>
    <row r="4872" spans="1:12" x14ac:dyDescent="0.3">
      <c r="A4872">
        <v>59847</v>
      </c>
      <c r="B4872" t="s">
        <v>13</v>
      </c>
      <c r="C4872">
        <v>12</v>
      </c>
      <c r="D4872" t="s">
        <v>15</v>
      </c>
      <c r="E4872" t="s">
        <v>15</v>
      </c>
      <c r="F4872" t="s">
        <v>15</v>
      </c>
      <c r="G4872" t="s">
        <v>20</v>
      </c>
      <c r="H4872" t="s">
        <v>23</v>
      </c>
      <c r="I4872">
        <v>114.34</v>
      </c>
      <c r="J4872">
        <v>23.6</v>
      </c>
      <c r="K4872" t="s">
        <v>25</v>
      </c>
      <c r="L4872" t="s">
        <v>15</v>
      </c>
    </row>
    <row r="4873" spans="1:12" x14ac:dyDescent="0.3">
      <c r="A4873">
        <v>59911</v>
      </c>
      <c r="B4873" t="s">
        <v>12</v>
      </c>
      <c r="C4873">
        <v>12</v>
      </c>
      <c r="D4873" t="s">
        <v>15</v>
      </c>
      <c r="E4873" t="s">
        <v>15</v>
      </c>
      <c r="F4873" t="s">
        <v>15</v>
      </c>
      <c r="G4873" t="s">
        <v>20</v>
      </c>
      <c r="H4873" t="s">
        <v>22</v>
      </c>
      <c r="I4873">
        <v>69.25</v>
      </c>
      <c r="J4873">
        <v>18.600000000000001</v>
      </c>
      <c r="K4873" t="s">
        <v>27</v>
      </c>
      <c r="L4873" t="s">
        <v>15</v>
      </c>
    </row>
    <row r="4874" spans="1:12" x14ac:dyDescent="0.3">
      <c r="A4874">
        <v>13583</v>
      </c>
      <c r="B4874" t="s">
        <v>13</v>
      </c>
      <c r="C4874">
        <v>5</v>
      </c>
      <c r="D4874" t="s">
        <v>15</v>
      </c>
      <c r="E4874" t="s">
        <v>15</v>
      </c>
      <c r="F4874" t="s">
        <v>15</v>
      </c>
      <c r="G4874" t="s">
        <v>20</v>
      </c>
      <c r="H4874" t="s">
        <v>23</v>
      </c>
      <c r="I4874">
        <v>88.44</v>
      </c>
      <c r="J4874">
        <v>18</v>
      </c>
      <c r="K4874" t="s">
        <v>27</v>
      </c>
      <c r="L4874" t="s">
        <v>15</v>
      </c>
    </row>
    <row r="4875" spans="1:12" x14ac:dyDescent="0.3">
      <c r="A4875">
        <v>22897</v>
      </c>
      <c r="B4875" t="s">
        <v>12</v>
      </c>
      <c r="C4875">
        <v>39</v>
      </c>
      <c r="D4875" t="s">
        <v>15</v>
      </c>
      <c r="E4875" t="s">
        <v>15</v>
      </c>
      <c r="F4875" t="s">
        <v>16</v>
      </c>
      <c r="G4875" t="s">
        <v>17</v>
      </c>
      <c r="H4875" t="s">
        <v>23</v>
      </c>
      <c r="I4875">
        <v>84.09</v>
      </c>
      <c r="J4875">
        <v>31.1</v>
      </c>
      <c r="K4875" t="s">
        <v>24</v>
      </c>
      <c r="L4875" t="s">
        <v>15</v>
      </c>
    </row>
    <row r="4876" spans="1:12" x14ac:dyDescent="0.3">
      <c r="A4876">
        <v>11898</v>
      </c>
      <c r="B4876" t="s">
        <v>13</v>
      </c>
      <c r="C4876">
        <v>41</v>
      </c>
      <c r="D4876" t="s">
        <v>15</v>
      </c>
      <c r="E4876" t="s">
        <v>15</v>
      </c>
      <c r="F4876" t="s">
        <v>16</v>
      </c>
      <c r="G4876" t="s">
        <v>17</v>
      </c>
      <c r="H4876" t="s">
        <v>22</v>
      </c>
      <c r="I4876">
        <v>87.06</v>
      </c>
      <c r="J4876">
        <v>30</v>
      </c>
      <c r="K4876" t="s">
        <v>25</v>
      </c>
      <c r="L4876" t="s">
        <v>15</v>
      </c>
    </row>
    <row r="4877" spans="1:12" x14ac:dyDescent="0.3">
      <c r="A4877">
        <v>14785</v>
      </c>
      <c r="B4877" t="s">
        <v>13</v>
      </c>
      <c r="C4877">
        <v>41</v>
      </c>
      <c r="D4877" t="s">
        <v>15</v>
      </c>
      <c r="E4877" t="s">
        <v>15</v>
      </c>
      <c r="F4877" t="s">
        <v>16</v>
      </c>
      <c r="G4877" t="s">
        <v>17</v>
      </c>
      <c r="H4877" t="s">
        <v>23</v>
      </c>
      <c r="I4877">
        <v>92.64</v>
      </c>
      <c r="J4877">
        <v>43.8</v>
      </c>
      <c r="K4877" t="s">
        <v>25</v>
      </c>
      <c r="L4877" t="s">
        <v>15</v>
      </c>
    </row>
    <row r="4878" spans="1:12" x14ac:dyDescent="0.3">
      <c r="A4878">
        <v>45163</v>
      </c>
      <c r="B4878" t="s">
        <v>13</v>
      </c>
      <c r="C4878">
        <v>47</v>
      </c>
      <c r="D4878" t="s">
        <v>15</v>
      </c>
      <c r="E4878" t="s">
        <v>15</v>
      </c>
      <c r="F4878" t="s">
        <v>16</v>
      </c>
      <c r="G4878" t="s">
        <v>17</v>
      </c>
      <c r="H4878" t="s">
        <v>22</v>
      </c>
      <c r="I4878">
        <v>99.36</v>
      </c>
      <c r="J4878">
        <v>23.8</v>
      </c>
      <c r="K4878" t="s">
        <v>26</v>
      </c>
      <c r="L4878" t="s">
        <v>15</v>
      </c>
    </row>
    <row r="4879" spans="1:12" x14ac:dyDescent="0.3">
      <c r="A4879">
        <v>57254</v>
      </c>
      <c r="B4879" t="s">
        <v>13</v>
      </c>
      <c r="C4879">
        <v>57</v>
      </c>
      <c r="D4879" t="s">
        <v>15</v>
      </c>
      <c r="E4879" t="s">
        <v>15</v>
      </c>
      <c r="F4879" t="s">
        <v>16</v>
      </c>
      <c r="G4879" t="s">
        <v>17</v>
      </c>
      <c r="H4879" t="s">
        <v>23</v>
      </c>
      <c r="I4879">
        <v>135.63</v>
      </c>
      <c r="J4879">
        <v>36.200000000000003</v>
      </c>
      <c r="K4879" t="s">
        <v>24</v>
      </c>
      <c r="L4879" t="s">
        <v>15</v>
      </c>
    </row>
    <row r="4880" spans="1:12" x14ac:dyDescent="0.3">
      <c r="A4880">
        <v>30658</v>
      </c>
      <c r="B4880" t="s">
        <v>12</v>
      </c>
      <c r="C4880">
        <v>16</v>
      </c>
      <c r="D4880" t="s">
        <v>15</v>
      </c>
      <c r="E4880" t="s">
        <v>15</v>
      </c>
      <c r="F4880" t="s">
        <v>15</v>
      </c>
      <c r="G4880" t="s">
        <v>20</v>
      </c>
      <c r="H4880" t="s">
        <v>23</v>
      </c>
      <c r="I4880">
        <v>82.44</v>
      </c>
      <c r="J4880">
        <v>32.6</v>
      </c>
      <c r="K4880" t="s">
        <v>27</v>
      </c>
      <c r="L4880" t="s">
        <v>15</v>
      </c>
    </row>
    <row r="4881" spans="1:12" x14ac:dyDescent="0.3">
      <c r="A4881">
        <v>32617</v>
      </c>
      <c r="B4881" t="s">
        <v>12</v>
      </c>
      <c r="C4881">
        <v>3</v>
      </c>
      <c r="D4881" t="s">
        <v>15</v>
      </c>
      <c r="E4881" t="s">
        <v>15</v>
      </c>
      <c r="F4881" t="s">
        <v>15</v>
      </c>
      <c r="G4881" t="s">
        <v>20</v>
      </c>
      <c r="H4881" t="s">
        <v>22</v>
      </c>
      <c r="I4881">
        <v>81.88</v>
      </c>
      <c r="J4881">
        <v>18</v>
      </c>
      <c r="K4881" t="s">
        <v>27</v>
      </c>
      <c r="L4881" t="s">
        <v>15</v>
      </c>
    </row>
    <row r="4882" spans="1:12" x14ac:dyDescent="0.3">
      <c r="A4882">
        <v>65376</v>
      </c>
      <c r="B4882" t="s">
        <v>13</v>
      </c>
      <c r="C4882">
        <v>65</v>
      </c>
      <c r="D4882" t="s">
        <v>15</v>
      </c>
      <c r="E4882" t="s">
        <v>15</v>
      </c>
      <c r="F4882" t="s">
        <v>16</v>
      </c>
      <c r="G4882" t="s">
        <v>18</v>
      </c>
      <c r="H4882" t="s">
        <v>22</v>
      </c>
      <c r="I4882">
        <v>95.44</v>
      </c>
      <c r="J4882">
        <v>25.5</v>
      </c>
      <c r="K4882" t="s">
        <v>26</v>
      </c>
      <c r="L4882" t="s">
        <v>15</v>
      </c>
    </row>
    <row r="4883" spans="1:12" x14ac:dyDescent="0.3">
      <c r="A4883">
        <v>1731</v>
      </c>
      <c r="B4883" t="s">
        <v>13</v>
      </c>
      <c r="C4883">
        <v>80</v>
      </c>
      <c r="D4883" t="s">
        <v>15</v>
      </c>
      <c r="E4883" t="s">
        <v>15</v>
      </c>
      <c r="F4883" t="s">
        <v>15</v>
      </c>
      <c r="G4883" t="s">
        <v>18</v>
      </c>
      <c r="H4883" t="s">
        <v>22</v>
      </c>
      <c r="I4883">
        <v>72.709999999999994</v>
      </c>
      <c r="J4883">
        <v>29.9</v>
      </c>
      <c r="K4883" t="s">
        <v>25</v>
      </c>
      <c r="L4883" t="s">
        <v>15</v>
      </c>
    </row>
    <row r="4884" spans="1:12" x14ac:dyDescent="0.3">
      <c r="A4884">
        <v>38441</v>
      </c>
      <c r="B4884" t="s">
        <v>13</v>
      </c>
      <c r="C4884">
        <v>58</v>
      </c>
      <c r="D4884" t="s">
        <v>15</v>
      </c>
      <c r="E4884" t="s">
        <v>15</v>
      </c>
      <c r="F4884" t="s">
        <v>16</v>
      </c>
      <c r="G4884" t="s">
        <v>17</v>
      </c>
      <c r="H4884" t="s">
        <v>22</v>
      </c>
      <c r="I4884">
        <v>65.45</v>
      </c>
      <c r="J4884">
        <v>32.1</v>
      </c>
      <c r="K4884" t="s">
        <v>25</v>
      </c>
      <c r="L4884" t="s">
        <v>15</v>
      </c>
    </row>
    <row r="4885" spans="1:12" x14ac:dyDescent="0.3">
      <c r="A4885">
        <v>22147</v>
      </c>
      <c r="B4885" t="s">
        <v>13</v>
      </c>
      <c r="C4885">
        <v>74</v>
      </c>
      <c r="D4885" t="s">
        <v>15</v>
      </c>
      <c r="E4885" t="s">
        <v>15</v>
      </c>
      <c r="F4885" t="s">
        <v>16</v>
      </c>
      <c r="G4885" t="s">
        <v>17</v>
      </c>
      <c r="H4885" t="s">
        <v>22</v>
      </c>
      <c r="I4885">
        <v>203.01</v>
      </c>
      <c r="J4885">
        <v>25.4</v>
      </c>
      <c r="K4885" t="s">
        <v>25</v>
      </c>
      <c r="L4885" t="s">
        <v>15</v>
      </c>
    </row>
    <row r="4886" spans="1:12" x14ac:dyDescent="0.3">
      <c r="A4886">
        <v>50663</v>
      </c>
      <c r="B4886" t="s">
        <v>13</v>
      </c>
      <c r="C4886">
        <v>62</v>
      </c>
      <c r="D4886" t="s">
        <v>15</v>
      </c>
      <c r="E4886" t="s">
        <v>15</v>
      </c>
      <c r="F4886" t="s">
        <v>16</v>
      </c>
      <c r="G4886" t="s">
        <v>19</v>
      </c>
      <c r="H4886" t="s">
        <v>22</v>
      </c>
      <c r="I4886">
        <v>110.84</v>
      </c>
      <c r="J4886">
        <v>23.4</v>
      </c>
      <c r="K4886" t="s">
        <v>26</v>
      </c>
      <c r="L4886" t="s">
        <v>15</v>
      </c>
    </row>
    <row r="4887" spans="1:12" x14ac:dyDescent="0.3">
      <c r="A4887">
        <v>19165</v>
      </c>
      <c r="B4887" t="s">
        <v>12</v>
      </c>
      <c r="C4887">
        <v>33</v>
      </c>
      <c r="D4887" t="s">
        <v>15</v>
      </c>
      <c r="E4887" t="s">
        <v>15</v>
      </c>
      <c r="F4887" t="s">
        <v>16</v>
      </c>
      <c r="G4887" t="s">
        <v>17</v>
      </c>
      <c r="H4887" t="s">
        <v>22</v>
      </c>
      <c r="I4887">
        <v>83.12</v>
      </c>
      <c r="J4887">
        <v>23.4</v>
      </c>
      <c r="K4887" t="s">
        <v>27</v>
      </c>
      <c r="L4887" t="s">
        <v>15</v>
      </c>
    </row>
    <row r="4888" spans="1:12" x14ac:dyDescent="0.3">
      <c r="A4888">
        <v>60562</v>
      </c>
      <c r="B4888" t="s">
        <v>13</v>
      </c>
      <c r="C4888">
        <v>21</v>
      </c>
      <c r="D4888" t="s">
        <v>15</v>
      </c>
      <c r="E4888" t="s">
        <v>15</v>
      </c>
      <c r="F4888" t="s">
        <v>15</v>
      </c>
      <c r="G4888" t="s">
        <v>17</v>
      </c>
      <c r="H4888" t="s">
        <v>23</v>
      </c>
      <c r="I4888">
        <v>55.12</v>
      </c>
      <c r="J4888">
        <v>21.8</v>
      </c>
      <c r="K4888" t="s">
        <v>25</v>
      </c>
      <c r="L4888" t="s">
        <v>15</v>
      </c>
    </row>
    <row r="4889" spans="1:12" x14ac:dyDescent="0.3">
      <c r="A4889">
        <v>22013</v>
      </c>
      <c r="B4889" t="s">
        <v>13</v>
      </c>
      <c r="C4889">
        <v>17</v>
      </c>
      <c r="D4889" t="s">
        <v>15</v>
      </c>
      <c r="E4889" t="s">
        <v>15</v>
      </c>
      <c r="F4889" t="s">
        <v>15</v>
      </c>
      <c r="G4889" t="s">
        <v>17</v>
      </c>
      <c r="H4889" t="s">
        <v>23</v>
      </c>
      <c r="I4889">
        <v>105.91</v>
      </c>
      <c r="J4889">
        <v>30.8</v>
      </c>
      <c r="K4889" t="s">
        <v>25</v>
      </c>
      <c r="L4889" t="s">
        <v>15</v>
      </c>
    </row>
    <row r="4890" spans="1:12" x14ac:dyDescent="0.3">
      <c r="A4890">
        <v>39936</v>
      </c>
      <c r="B4890" t="s">
        <v>13</v>
      </c>
      <c r="C4890">
        <v>49</v>
      </c>
      <c r="D4890" t="s">
        <v>15</v>
      </c>
      <c r="E4890" t="s">
        <v>15</v>
      </c>
      <c r="F4890" t="s">
        <v>16</v>
      </c>
      <c r="G4890" t="s">
        <v>17</v>
      </c>
      <c r="H4890" t="s">
        <v>23</v>
      </c>
      <c r="I4890">
        <v>61.57</v>
      </c>
      <c r="J4890">
        <v>37.9</v>
      </c>
      <c r="K4890" t="s">
        <v>24</v>
      </c>
      <c r="L4890" t="s">
        <v>15</v>
      </c>
    </row>
    <row r="4891" spans="1:12" x14ac:dyDescent="0.3">
      <c r="A4891">
        <v>6517</v>
      </c>
      <c r="B4891" t="s">
        <v>13</v>
      </c>
      <c r="C4891">
        <v>24</v>
      </c>
      <c r="D4891" t="s">
        <v>15</v>
      </c>
      <c r="E4891" t="s">
        <v>15</v>
      </c>
      <c r="F4891" t="s">
        <v>16</v>
      </c>
      <c r="G4891" t="s">
        <v>19</v>
      </c>
      <c r="H4891" t="s">
        <v>22</v>
      </c>
      <c r="I4891">
        <v>83.1</v>
      </c>
      <c r="J4891">
        <v>42.5</v>
      </c>
      <c r="K4891" t="s">
        <v>26</v>
      </c>
      <c r="L4891" t="s">
        <v>15</v>
      </c>
    </row>
    <row r="4892" spans="1:12" x14ac:dyDescent="0.3">
      <c r="A4892">
        <v>62576</v>
      </c>
      <c r="B4892" t="s">
        <v>13</v>
      </c>
      <c r="C4892">
        <v>56</v>
      </c>
      <c r="D4892" t="s">
        <v>15</v>
      </c>
      <c r="E4892" t="s">
        <v>15</v>
      </c>
      <c r="F4892" t="s">
        <v>16</v>
      </c>
      <c r="G4892" t="s">
        <v>17</v>
      </c>
      <c r="H4892" t="s">
        <v>22</v>
      </c>
      <c r="I4892">
        <v>66.319999999999993</v>
      </c>
      <c r="J4892">
        <v>23.4</v>
      </c>
      <c r="K4892" t="s">
        <v>25</v>
      </c>
      <c r="L4892" t="s">
        <v>15</v>
      </c>
    </row>
    <row r="4893" spans="1:12" x14ac:dyDescent="0.3">
      <c r="A4893">
        <v>18636</v>
      </c>
      <c r="B4893" t="s">
        <v>13</v>
      </c>
      <c r="C4893">
        <v>26</v>
      </c>
      <c r="D4893" t="s">
        <v>15</v>
      </c>
      <c r="E4893" t="s">
        <v>15</v>
      </c>
      <c r="F4893" t="s">
        <v>16</v>
      </c>
      <c r="G4893" t="s">
        <v>19</v>
      </c>
      <c r="H4893" t="s">
        <v>22</v>
      </c>
      <c r="I4893">
        <v>72.56</v>
      </c>
      <c r="J4893">
        <v>35.4</v>
      </c>
      <c r="K4893" t="s">
        <v>25</v>
      </c>
      <c r="L4893" t="s">
        <v>15</v>
      </c>
    </row>
    <row r="4894" spans="1:12" x14ac:dyDescent="0.3">
      <c r="A4894">
        <v>24299</v>
      </c>
      <c r="B4894" t="s">
        <v>12</v>
      </c>
      <c r="C4894">
        <v>54</v>
      </c>
      <c r="D4894" t="s">
        <v>16</v>
      </c>
      <c r="E4894" t="s">
        <v>15</v>
      </c>
      <c r="F4894" t="s">
        <v>16</v>
      </c>
      <c r="G4894" t="s">
        <v>18</v>
      </c>
      <c r="H4894" t="s">
        <v>23</v>
      </c>
      <c r="I4894">
        <v>97.99</v>
      </c>
      <c r="J4894">
        <v>32.299999999999997</v>
      </c>
      <c r="K4894" t="s">
        <v>26</v>
      </c>
      <c r="L4894" t="s">
        <v>15</v>
      </c>
    </row>
    <row r="4895" spans="1:12" x14ac:dyDescent="0.3">
      <c r="A4895">
        <v>40826</v>
      </c>
      <c r="B4895" t="s">
        <v>13</v>
      </c>
      <c r="C4895">
        <v>42</v>
      </c>
      <c r="D4895" t="s">
        <v>15</v>
      </c>
      <c r="E4895" t="s">
        <v>15</v>
      </c>
      <c r="F4895" t="s">
        <v>15</v>
      </c>
      <c r="G4895" t="s">
        <v>17</v>
      </c>
      <c r="H4895" t="s">
        <v>22</v>
      </c>
      <c r="I4895">
        <v>63.27</v>
      </c>
      <c r="J4895">
        <v>27</v>
      </c>
      <c r="K4895" t="s">
        <v>25</v>
      </c>
      <c r="L4895" t="s">
        <v>15</v>
      </c>
    </row>
    <row r="4896" spans="1:12" x14ac:dyDescent="0.3">
      <c r="A4896">
        <v>53323</v>
      </c>
      <c r="B4896" t="s">
        <v>13</v>
      </c>
      <c r="C4896">
        <v>34</v>
      </c>
      <c r="D4896" t="s">
        <v>15</v>
      </c>
      <c r="E4896" t="s">
        <v>15</v>
      </c>
      <c r="F4896" t="s">
        <v>15</v>
      </c>
      <c r="G4896" t="s">
        <v>19</v>
      </c>
      <c r="H4896" t="s">
        <v>22</v>
      </c>
      <c r="I4896">
        <v>79.599999999999994</v>
      </c>
      <c r="J4896">
        <v>46.3</v>
      </c>
      <c r="K4896" t="s">
        <v>25</v>
      </c>
      <c r="L4896" t="s">
        <v>15</v>
      </c>
    </row>
    <row r="4897" spans="1:12" x14ac:dyDescent="0.3">
      <c r="A4897">
        <v>28717</v>
      </c>
      <c r="B4897" t="s">
        <v>13</v>
      </c>
      <c r="C4897">
        <v>56</v>
      </c>
      <c r="D4897" t="s">
        <v>16</v>
      </c>
      <c r="E4897" t="s">
        <v>15</v>
      </c>
      <c r="F4897" t="s">
        <v>16</v>
      </c>
      <c r="G4897" t="s">
        <v>17</v>
      </c>
      <c r="H4897" t="s">
        <v>23</v>
      </c>
      <c r="I4897">
        <v>177.56</v>
      </c>
      <c r="J4897">
        <v>30.1</v>
      </c>
      <c r="K4897" t="s">
        <v>25</v>
      </c>
      <c r="L4897" t="s">
        <v>15</v>
      </c>
    </row>
    <row r="4898" spans="1:12" x14ac:dyDescent="0.3">
      <c r="A4898">
        <v>53028</v>
      </c>
      <c r="B4898" t="s">
        <v>13</v>
      </c>
      <c r="C4898">
        <v>39</v>
      </c>
      <c r="D4898" t="s">
        <v>15</v>
      </c>
      <c r="E4898" t="s">
        <v>15</v>
      </c>
      <c r="F4898" t="s">
        <v>16</v>
      </c>
      <c r="G4898" t="s">
        <v>17</v>
      </c>
      <c r="H4898" t="s">
        <v>23</v>
      </c>
      <c r="I4898">
        <v>81.31</v>
      </c>
      <c r="J4898">
        <v>34.700000000000003</v>
      </c>
      <c r="K4898" t="s">
        <v>25</v>
      </c>
      <c r="L4898" t="s">
        <v>15</v>
      </c>
    </row>
    <row r="4899" spans="1:12" x14ac:dyDescent="0.3">
      <c r="A4899">
        <v>57757</v>
      </c>
      <c r="B4899" t="s">
        <v>13</v>
      </c>
      <c r="C4899">
        <v>77</v>
      </c>
      <c r="D4899" t="s">
        <v>15</v>
      </c>
      <c r="E4899" t="s">
        <v>15</v>
      </c>
      <c r="F4899" t="s">
        <v>16</v>
      </c>
      <c r="G4899" t="s">
        <v>18</v>
      </c>
      <c r="H4899" t="s">
        <v>23</v>
      </c>
      <c r="I4899">
        <v>59.91</v>
      </c>
      <c r="J4899">
        <v>18.3</v>
      </c>
      <c r="K4899" t="s">
        <v>25</v>
      </c>
      <c r="L4899" t="s">
        <v>15</v>
      </c>
    </row>
    <row r="4900" spans="1:12" x14ac:dyDescent="0.3">
      <c r="A4900">
        <v>54795</v>
      </c>
      <c r="B4900" t="s">
        <v>13</v>
      </c>
      <c r="C4900">
        <v>12</v>
      </c>
      <c r="D4900" t="s">
        <v>15</v>
      </c>
      <c r="E4900" t="s">
        <v>15</v>
      </c>
      <c r="F4900" t="s">
        <v>15</v>
      </c>
      <c r="G4900" t="s">
        <v>20</v>
      </c>
      <c r="H4900" t="s">
        <v>23</v>
      </c>
      <c r="I4900">
        <v>132.85</v>
      </c>
      <c r="J4900">
        <v>16.2</v>
      </c>
      <c r="K4900" t="s">
        <v>25</v>
      </c>
      <c r="L4900" t="s">
        <v>15</v>
      </c>
    </row>
    <row r="4901" spans="1:12" x14ac:dyDescent="0.3">
      <c r="A4901">
        <v>70267</v>
      </c>
      <c r="B4901" t="s">
        <v>12</v>
      </c>
      <c r="C4901">
        <v>65</v>
      </c>
      <c r="D4901" t="s">
        <v>15</v>
      </c>
      <c r="E4901" t="s">
        <v>15</v>
      </c>
      <c r="F4901" t="s">
        <v>16</v>
      </c>
      <c r="G4901" t="s">
        <v>17</v>
      </c>
      <c r="H4901" t="s">
        <v>23</v>
      </c>
      <c r="I4901">
        <v>198.84</v>
      </c>
      <c r="J4901">
        <v>33.200000000000003</v>
      </c>
      <c r="K4901" t="s">
        <v>24</v>
      </c>
      <c r="L4901" t="s">
        <v>15</v>
      </c>
    </row>
    <row r="4902" spans="1:12" x14ac:dyDescent="0.3">
      <c r="A4902">
        <v>34084</v>
      </c>
      <c r="B4902" t="s">
        <v>12</v>
      </c>
      <c r="C4902">
        <v>7</v>
      </c>
      <c r="D4902" t="s">
        <v>15</v>
      </c>
      <c r="E4902" t="s">
        <v>15</v>
      </c>
      <c r="F4902" t="s">
        <v>15</v>
      </c>
      <c r="G4902" t="s">
        <v>20</v>
      </c>
      <c r="H4902" t="s">
        <v>22</v>
      </c>
      <c r="I4902">
        <v>77.12</v>
      </c>
      <c r="J4902">
        <v>18.600000000000001</v>
      </c>
      <c r="K4902" t="s">
        <v>27</v>
      </c>
      <c r="L4902" t="s">
        <v>15</v>
      </c>
    </row>
    <row r="4903" spans="1:12" x14ac:dyDescent="0.3">
      <c r="A4903">
        <v>20258</v>
      </c>
      <c r="B4903" t="s">
        <v>12</v>
      </c>
      <c r="C4903">
        <v>25</v>
      </c>
      <c r="D4903" t="s">
        <v>15</v>
      </c>
      <c r="E4903" t="s">
        <v>15</v>
      </c>
      <c r="F4903" t="s">
        <v>15</v>
      </c>
      <c r="G4903" t="s">
        <v>17</v>
      </c>
      <c r="H4903" t="s">
        <v>22</v>
      </c>
      <c r="I4903">
        <v>87.17</v>
      </c>
      <c r="J4903">
        <v>25.1</v>
      </c>
      <c r="K4903" t="s">
        <v>25</v>
      </c>
      <c r="L4903" t="s">
        <v>15</v>
      </c>
    </row>
    <row r="4904" spans="1:12" x14ac:dyDescent="0.3">
      <c r="A4904">
        <v>65333</v>
      </c>
      <c r="B4904" t="s">
        <v>13</v>
      </c>
      <c r="C4904">
        <v>31</v>
      </c>
      <c r="D4904" t="s">
        <v>15</v>
      </c>
      <c r="E4904" t="s">
        <v>15</v>
      </c>
      <c r="F4904" t="s">
        <v>16</v>
      </c>
      <c r="G4904" t="s">
        <v>17</v>
      </c>
      <c r="H4904" t="s">
        <v>23</v>
      </c>
      <c r="I4904">
        <v>96.03</v>
      </c>
      <c r="J4904">
        <v>24.1</v>
      </c>
      <c r="K4904" t="s">
        <v>27</v>
      </c>
      <c r="L4904" t="s">
        <v>15</v>
      </c>
    </row>
    <row r="4905" spans="1:12" x14ac:dyDescent="0.3">
      <c r="A4905">
        <v>56629</v>
      </c>
      <c r="B4905" t="s">
        <v>13</v>
      </c>
      <c r="C4905">
        <v>14</v>
      </c>
      <c r="D4905" t="s">
        <v>15</v>
      </c>
      <c r="E4905" t="s">
        <v>15</v>
      </c>
      <c r="F4905" t="s">
        <v>15</v>
      </c>
      <c r="G4905" t="s">
        <v>17</v>
      </c>
      <c r="H4905" t="s">
        <v>23</v>
      </c>
      <c r="I4905">
        <v>83.56</v>
      </c>
      <c r="J4905">
        <v>33.1</v>
      </c>
      <c r="K4905" t="s">
        <v>27</v>
      </c>
      <c r="L4905" t="s">
        <v>15</v>
      </c>
    </row>
    <row r="4906" spans="1:12" x14ac:dyDescent="0.3">
      <c r="A4906">
        <v>22417</v>
      </c>
      <c r="B4906" t="s">
        <v>13</v>
      </c>
      <c r="C4906">
        <v>5</v>
      </c>
      <c r="D4906" t="s">
        <v>15</v>
      </c>
      <c r="E4906" t="s">
        <v>15</v>
      </c>
      <c r="F4906" t="s">
        <v>15</v>
      </c>
      <c r="G4906" t="s">
        <v>20</v>
      </c>
      <c r="H4906" t="s">
        <v>23</v>
      </c>
      <c r="I4906">
        <v>80.930000000000007</v>
      </c>
      <c r="J4906">
        <v>24.8</v>
      </c>
      <c r="K4906" t="s">
        <v>27</v>
      </c>
      <c r="L4906" t="s">
        <v>15</v>
      </c>
    </row>
    <row r="4907" spans="1:12" x14ac:dyDescent="0.3">
      <c r="A4907">
        <v>49925</v>
      </c>
      <c r="B4907" t="s">
        <v>13</v>
      </c>
      <c r="C4907">
        <v>60</v>
      </c>
      <c r="D4907" t="s">
        <v>15</v>
      </c>
      <c r="E4907" t="s">
        <v>15</v>
      </c>
      <c r="F4907" t="s">
        <v>16</v>
      </c>
      <c r="G4907" t="s">
        <v>17</v>
      </c>
      <c r="H4907" t="s">
        <v>23</v>
      </c>
      <c r="I4907">
        <v>84.54</v>
      </c>
      <c r="J4907">
        <v>23.4</v>
      </c>
      <c r="K4907" t="s">
        <v>26</v>
      </c>
      <c r="L4907" t="s">
        <v>15</v>
      </c>
    </row>
    <row r="4908" spans="1:12" x14ac:dyDescent="0.3">
      <c r="A4908">
        <v>72696</v>
      </c>
      <c r="B4908" t="s">
        <v>13</v>
      </c>
      <c r="C4908">
        <v>53</v>
      </c>
      <c r="D4908" t="s">
        <v>15</v>
      </c>
      <c r="E4908" t="s">
        <v>15</v>
      </c>
      <c r="F4908" t="s">
        <v>16</v>
      </c>
      <c r="G4908" t="s">
        <v>17</v>
      </c>
      <c r="H4908" t="s">
        <v>22</v>
      </c>
      <c r="I4908">
        <v>70.510000000000005</v>
      </c>
      <c r="J4908">
        <v>54.1</v>
      </c>
      <c r="K4908" t="s">
        <v>25</v>
      </c>
      <c r="L4908" t="s">
        <v>15</v>
      </c>
    </row>
    <row r="4909" spans="1:12" x14ac:dyDescent="0.3">
      <c r="A4909">
        <v>39708</v>
      </c>
      <c r="B4909" t="s">
        <v>12</v>
      </c>
      <c r="C4909">
        <v>55</v>
      </c>
      <c r="D4909" t="s">
        <v>15</v>
      </c>
      <c r="E4909" t="s">
        <v>15</v>
      </c>
      <c r="F4909" t="s">
        <v>16</v>
      </c>
      <c r="G4909" t="s">
        <v>17</v>
      </c>
      <c r="H4909" t="s">
        <v>23</v>
      </c>
      <c r="I4909">
        <v>56.87</v>
      </c>
      <c r="J4909">
        <v>28.9</v>
      </c>
      <c r="K4909" t="s">
        <v>24</v>
      </c>
      <c r="L4909" t="s">
        <v>15</v>
      </c>
    </row>
    <row r="4910" spans="1:12" x14ac:dyDescent="0.3">
      <c r="A4910">
        <v>60426</v>
      </c>
      <c r="B4910" t="s">
        <v>13</v>
      </c>
      <c r="C4910">
        <v>69</v>
      </c>
      <c r="D4910" t="s">
        <v>15</v>
      </c>
      <c r="E4910" t="s">
        <v>15</v>
      </c>
      <c r="F4910" t="s">
        <v>16</v>
      </c>
      <c r="G4910" t="s">
        <v>18</v>
      </c>
      <c r="H4910" t="s">
        <v>22</v>
      </c>
      <c r="I4910">
        <v>67.55</v>
      </c>
      <c r="J4910">
        <v>38.1</v>
      </c>
      <c r="K4910" t="s">
        <v>27</v>
      </c>
      <c r="L4910" t="s">
        <v>15</v>
      </c>
    </row>
    <row r="4911" spans="1:12" x14ac:dyDescent="0.3">
      <c r="A4911">
        <v>70540</v>
      </c>
      <c r="B4911" t="s">
        <v>13</v>
      </c>
      <c r="C4911">
        <v>39</v>
      </c>
      <c r="D4911" t="s">
        <v>15</v>
      </c>
      <c r="E4911" t="s">
        <v>15</v>
      </c>
      <c r="F4911" t="s">
        <v>16</v>
      </c>
      <c r="G4911" t="s">
        <v>17</v>
      </c>
      <c r="H4911" t="s">
        <v>22</v>
      </c>
      <c r="I4911">
        <v>243.52</v>
      </c>
      <c r="J4911">
        <v>37.200000000000003</v>
      </c>
      <c r="K4911" t="s">
        <v>26</v>
      </c>
      <c r="L4911" t="s">
        <v>15</v>
      </c>
    </row>
    <row r="4912" spans="1:12" x14ac:dyDescent="0.3">
      <c r="A4912">
        <v>37622</v>
      </c>
      <c r="B4912" t="s">
        <v>13</v>
      </c>
      <c r="C4912">
        <v>0.32</v>
      </c>
      <c r="D4912" t="s">
        <v>15</v>
      </c>
      <c r="E4912" t="s">
        <v>15</v>
      </c>
      <c r="F4912" t="s">
        <v>15</v>
      </c>
      <c r="G4912" t="s">
        <v>20</v>
      </c>
      <c r="H4912" t="s">
        <v>22</v>
      </c>
      <c r="I4912">
        <v>108.63</v>
      </c>
      <c r="J4912">
        <v>19.600000000000001</v>
      </c>
      <c r="K4912" t="s">
        <v>27</v>
      </c>
      <c r="L4912" t="s">
        <v>15</v>
      </c>
    </row>
    <row r="4913" spans="1:12" x14ac:dyDescent="0.3">
      <c r="A4913">
        <v>44813</v>
      </c>
      <c r="B4913" t="s">
        <v>13</v>
      </c>
      <c r="C4913">
        <v>34</v>
      </c>
      <c r="D4913" t="s">
        <v>15</v>
      </c>
      <c r="E4913" t="s">
        <v>15</v>
      </c>
      <c r="F4913" t="s">
        <v>15</v>
      </c>
      <c r="G4913" t="s">
        <v>17</v>
      </c>
      <c r="H4913" t="s">
        <v>23</v>
      </c>
      <c r="I4913">
        <v>69.06</v>
      </c>
      <c r="J4913">
        <v>29</v>
      </c>
      <c r="K4913" t="s">
        <v>26</v>
      </c>
      <c r="L4913" t="s">
        <v>15</v>
      </c>
    </row>
    <row r="4914" spans="1:12" x14ac:dyDescent="0.3">
      <c r="A4914">
        <v>47153</v>
      </c>
      <c r="B4914" t="s">
        <v>13</v>
      </c>
      <c r="C4914">
        <v>80</v>
      </c>
      <c r="D4914" t="s">
        <v>15</v>
      </c>
      <c r="E4914" t="s">
        <v>15</v>
      </c>
      <c r="F4914" t="s">
        <v>16</v>
      </c>
      <c r="G4914" t="s">
        <v>17</v>
      </c>
      <c r="H4914" t="s">
        <v>22</v>
      </c>
      <c r="I4914">
        <v>73.89</v>
      </c>
      <c r="J4914">
        <v>26.7</v>
      </c>
      <c r="K4914" t="s">
        <v>24</v>
      </c>
      <c r="L4914" t="s">
        <v>15</v>
      </c>
    </row>
    <row r="4915" spans="1:12" x14ac:dyDescent="0.3">
      <c r="A4915">
        <v>8175</v>
      </c>
      <c r="B4915" t="s">
        <v>12</v>
      </c>
      <c r="C4915">
        <v>20</v>
      </c>
      <c r="D4915" t="s">
        <v>15</v>
      </c>
      <c r="E4915" t="s">
        <v>15</v>
      </c>
      <c r="F4915" t="s">
        <v>15</v>
      </c>
      <c r="G4915" t="s">
        <v>17</v>
      </c>
      <c r="H4915" t="s">
        <v>22</v>
      </c>
      <c r="I4915">
        <v>84.49</v>
      </c>
      <c r="J4915">
        <v>20.5</v>
      </c>
      <c r="K4915" t="s">
        <v>25</v>
      </c>
      <c r="L4915" t="s">
        <v>15</v>
      </c>
    </row>
    <row r="4916" spans="1:12" x14ac:dyDescent="0.3">
      <c r="A4916">
        <v>61528</v>
      </c>
      <c r="B4916" t="s">
        <v>13</v>
      </c>
      <c r="C4916">
        <v>45</v>
      </c>
      <c r="D4916" t="s">
        <v>15</v>
      </c>
      <c r="E4916" t="s">
        <v>15</v>
      </c>
      <c r="F4916" t="s">
        <v>16</v>
      </c>
      <c r="G4916" t="s">
        <v>19</v>
      </c>
      <c r="H4916" t="s">
        <v>22</v>
      </c>
      <c r="I4916">
        <v>73.709999999999994</v>
      </c>
      <c r="J4916">
        <v>34.1</v>
      </c>
      <c r="K4916" t="s">
        <v>25</v>
      </c>
      <c r="L4916" t="s">
        <v>15</v>
      </c>
    </row>
    <row r="4917" spans="1:12" x14ac:dyDescent="0.3">
      <c r="A4917">
        <v>38771</v>
      </c>
      <c r="B4917" t="s">
        <v>13</v>
      </c>
      <c r="C4917">
        <v>41</v>
      </c>
      <c r="D4917" t="s">
        <v>15</v>
      </c>
      <c r="E4917" t="s">
        <v>15</v>
      </c>
      <c r="F4917" t="s">
        <v>15</v>
      </c>
      <c r="G4917" t="s">
        <v>19</v>
      </c>
      <c r="H4917" t="s">
        <v>22</v>
      </c>
      <c r="I4917">
        <v>129.01</v>
      </c>
      <c r="J4917">
        <v>42.4</v>
      </c>
      <c r="K4917" t="s">
        <v>27</v>
      </c>
      <c r="L4917" t="s">
        <v>15</v>
      </c>
    </row>
    <row r="4918" spans="1:12" x14ac:dyDescent="0.3">
      <c r="A4918">
        <v>31189</v>
      </c>
      <c r="B4918" t="s">
        <v>12</v>
      </c>
      <c r="C4918">
        <v>54</v>
      </c>
      <c r="D4918" t="s">
        <v>15</v>
      </c>
      <c r="E4918" t="s">
        <v>15</v>
      </c>
      <c r="F4918" t="s">
        <v>16</v>
      </c>
      <c r="G4918" t="s">
        <v>19</v>
      </c>
      <c r="H4918" t="s">
        <v>22</v>
      </c>
      <c r="I4918">
        <v>72.959999999999994</v>
      </c>
      <c r="J4918">
        <v>37.700000000000003</v>
      </c>
      <c r="K4918" t="s">
        <v>26</v>
      </c>
      <c r="L4918" t="s">
        <v>15</v>
      </c>
    </row>
    <row r="4919" spans="1:12" x14ac:dyDescent="0.3">
      <c r="A4919">
        <v>27804</v>
      </c>
      <c r="B4919" t="s">
        <v>12</v>
      </c>
      <c r="C4919">
        <v>23</v>
      </c>
      <c r="D4919" t="s">
        <v>15</v>
      </c>
      <c r="E4919" t="s">
        <v>15</v>
      </c>
      <c r="F4919" t="s">
        <v>15</v>
      </c>
      <c r="G4919" t="s">
        <v>17</v>
      </c>
      <c r="H4919" t="s">
        <v>23</v>
      </c>
      <c r="I4919">
        <v>110.23</v>
      </c>
      <c r="J4919">
        <v>39.1</v>
      </c>
      <c r="K4919" t="s">
        <v>27</v>
      </c>
      <c r="L4919" t="s">
        <v>15</v>
      </c>
    </row>
    <row r="4920" spans="1:12" x14ac:dyDescent="0.3">
      <c r="A4920">
        <v>41842</v>
      </c>
      <c r="B4920" t="s">
        <v>12</v>
      </c>
      <c r="C4920">
        <v>75</v>
      </c>
      <c r="D4920" t="s">
        <v>15</v>
      </c>
      <c r="E4920" t="s">
        <v>15</v>
      </c>
      <c r="F4920" t="s">
        <v>16</v>
      </c>
      <c r="G4920" t="s">
        <v>19</v>
      </c>
      <c r="H4920" t="s">
        <v>23</v>
      </c>
      <c r="I4920">
        <v>79.489999999999995</v>
      </c>
      <c r="J4920">
        <v>28.9</v>
      </c>
      <c r="K4920" t="s">
        <v>27</v>
      </c>
      <c r="L4920" t="s">
        <v>15</v>
      </c>
    </row>
    <row r="4921" spans="1:12" x14ac:dyDescent="0.3">
      <c r="A4921">
        <v>11962</v>
      </c>
      <c r="B4921" t="s">
        <v>12</v>
      </c>
      <c r="C4921">
        <v>36</v>
      </c>
      <c r="D4921" t="s">
        <v>15</v>
      </c>
      <c r="E4921" t="s">
        <v>15</v>
      </c>
      <c r="F4921" t="s">
        <v>16</v>
      </c>
      <c r="G4921" t="s">
        <v>17</v>
      </c>
      <c r="H4921" t="s">
        <v>22</v>
      </c>
      <c r="I4921">
        <v>89.33</v>
      </c>
      <c r="J4921">
        <v>30.7</v>
      </c>
      <c r="K4921" t="s">
        <v>25</v>
      </c>
      <c r="L4921" t="s">
        <v>15</v>
      </c>
    </row>
    <row r="4922" spans="1:12" x14ac:dyDescent="0.3">
      <c r="A4922">
        <v>45404</v>
      </c>
      <c r="B4922" t="s">
        <v>13</v>
      </c>
      <c r="C4922">
        <v>75</v>
      </c>
      <c r="D4922" t="s">
        <v>15</v>
      </c>
      <c r="E4922" t="s">
        <v>15</v>
      </c>
      <c r="F4922" t="s">
        <v>16</v>
      </c>
      <c r="G4922" t="s">
        <v>17</v>
      </c>
      <c r="H4922" t="s">
        <v>23</v>
      </c>
      <c r="I4922">
        <v>68.38</v>
      </c>
      <c r="J4922">
        <v>33.799999999999997</v>
      </c>
      <c r="K4922" t="s">
        <v>27</v>
      </c>
      <c r="L4922" t="s">
        <v>15</v>
      </c>
    </row>
    <row r="4923" spans="1:12" x14ac:dyDescent="0.3">
      <c r="A4923">
        <v>4062</v>
      </c>
      <c r="B4923" t="s">
        <v>12</v>
      </c>
      <c r="C4923">
        <v>72</v>
      </c>
      <c r="D4923" t="s">
        <v>15</v>
      </c>
      <c r="E4923" t="s">
        <v>16</v>
      </c>
      <c r="F4923" t="s">
        <v>16</v>
      </c>
      <c r="G4923" t="s">
        <v>17</v>
      </c>
      <c r="H4923" t="s">
        <v>23</v>
      </c>
      <c r="I4923">
        <v>238.27</v>
      </c>
      <c r="K4923" t="s">
        <v>26</v>
      </c>
      <c r="L4923" t="s">
        <v>15</v>
      </c>
    </row>
    <row r="4924" spans="1:12" x14ac:dyDescent="0.3">
      <c r="A4924">
        <v>63650</v>
      </c>
      <c r="B4924" t="s">
        <v>13</v>
      </c>
      <c r="C4924">
        <v>47</v>
      </c>
      <c r="D4924" t="s">
        <v>15</v>
      </c>
      <c r="E4924" t="s">
        <v>15</v>
      </c>
      <c r="F4924" t="s">
        <v>16</v>
      </c>
      <c r="G4924" t="s">
        <v>19</v>
      </c>
      <c r="H4924" t="s">
        <v>22</v>
      </c>
      <c r="I4924">
        <v>135.79</v>
      </c>
      <c r="J4924">
        <v>32.1</v>
      </c>
      <c r="K4924" t="s">
        <v>24</v>
      </c>
      <c r="L4924" t="s">
        <v>15</v>
      </c>
    </row>
    <row r="4925" spans="1:12" x14ac:dyDescent="0.3">
      <c r="A4925">
        <v>72186</v>
      </c>
      <c r="B4925" t="s">
        <v>13</v>
      </c>
      <c r="C4925">
        <v>15</v>
      </c>
      <c r="D4925" t="s">
        <v>15</v>
      </c>
      <c r="E4925" t="s">
        <v>15</v>
      </c>
      <c r="F4925" t="s">
        <v>15</v>
      </c>
      <c r="G4925" t="s">
        <v>17</v>
      </c>
      <c r="H4925" t="s">
        <v>23</v>
      </c>
      <c r="I4925">
        <v>82.19</v>
      </c>
      <c r="J4925">
        <v>40.5</v>
      </c>
      <c r="K4925" t="s">
        <v>25</v>
      </c>
      <c r="L4925" t="s">
        <v>15</v>
      </c>
    </row>
    <row r="4926" spans="1:12" x14ac:dyDescent="0.3">
      <c r="A4926">
        <v>40240</v>
      </c>
      <c r="B4926" t="s">
        <v>12</v>
      </c>
      <c r="C4926">
        <v>40</v>
      </c>
      <c r="D4926" t="s">
        <v>16</v>
      </c>
      <c r="E4926" t="s">
        <v>15</v>
      </c>
      <c r="F4926" t="s">
        <v>16</v>
      </c>
      <c r="G4926" t="s">
        <v>18</v>
      </c>
      <c r="H4926" t="s">
        <v>22</v>
      </c>
      <c r="I4926">
        <v>93.2</v>
      </c>
      <c r="J4926">
        <v>24.8</v>
      </c>
      <c r="K4926" t="s">
        <v>26</v>
      </c>
      <c r="L4926" t="s">
        <v>15</v>
      </c>
    </row>
    <row r="4927" spans="1:12" x14ac:dyDescent="0.3">
      <c r="A4927">
        <v>25931</v>
      </c>
      <c r="B4927" t="s">
        <v>13</v>
      </c>
      <c r="C4927">
        <v>71</v>
      </c>
      <c r="D4927" t="s">
        <v>15</v>
      </c>
      <c r="E4927" t="s">
        <v>15</v>
      </c>
      <c r="F4927" t="s">
        <v>16</v>
      </c>
      <c r="G4927" t="s">
        <v>18</v>
      </c>
      <c r="H4927" t="s">
        <v>22</v>
      </c>
      <c r="I4927">
        <v>208.31</v>
      </c>
      <c r="J4927">
        <v>31.8</v>
      </c>
      <c r="K4927" t="s">
        <v>24</v>
      </c>
      <c r="L4927" t="s">
        <v>15</v>
      </c>
    </row>
    <row r="4928" spans="1:12" x14ac:dyDescent="0.3">
      <c r="A4928">
        <v>21292</v>
      </c>
      <c r="B4928" t="s">
        <v>12</v>
      </c>
      <c r="C4928">
        <v>38</v>
      </c>
      <c r="D4928" t="s">
        <v>15</v>
      </c>
      <c r="E4928" t="s">
        <v>15</v>
      </c>
      <c r="F4928" t="s">
        <v>16</v>
      </c>
      <c r="G4928" t="s">
        <v>17</v>
      </c>
      <c r="H4928" t="s">
        <v>23</v>
      </c>
      <c r="I4928">
        <v>111.33</v>
      </c>
      <c r="J4928">
        <v>27</v>
      </c>
      <c r="K4928" t="s">
        <v>25</v>
      </c>
      <c r="L4928" t="s">
        <v>15</v>
      </c>
    </row>
    <row r="4929" spans="1:12" x14ac:dyDescent="0.3">
      <c r="A4929">
        <v>25391</v>
      </c>
      <c r="B4929" t="s">
        <v>13</v>
      </c>
      <c r="C4929">
        <v>10</v>
      </c>
      <c r="D4929" t="s">
        <v>15</v>
      </c>
      <c r="E4929" t="s">
        <v>15</v>
      </c>
      <c r="F4929" t="s">
        <v>15</v>
      </c>
      <c r="G4929" t="s">
        <v>20</v>
      </c>
      <c r="H4929" t="s">
        <v>23</v>
      </c>
      <c r="I4929">
        <v>69.84</v>
      </c>
      <c r="J4929">
        <v>13.7</v>
      </c>
      <c r="K4929" t="s">
        <v>27</v>
      </c>
      <c r="L4929" t="s">
        <v>15</v>
      </c>
    </row>
    <row r="4930" spans="1:12" x14ac:dyDescent="0.3">
      <c r="A4930">
        <v>65469</v>
      </c>
      <c r="B4930" t="s">
        <v>12</v>
      </c>
      <c r="C4930">
        <v>11</v>
      </c>
      <c r="D4930" t="s">
        <v>15</v>
      </c>
      <c r="E4930" t="s">
        <v>15</v>
      </c>
      <c r="F4930" t="s">
        <v>15</v>
      </c>
      <c r="G4930" t="s">
        <v>20</v>
      </c>
      <c r="H4930" t="s">
        <v>23</v>
      </c>
      <c r="I4930">
        <v>121.71</v>
      </c>
      <c r="J4930">
        <v>23.4</v>
      </c>
      <c r="K4930" t="s">
        <v>25</v>
      </c>
      <c r="L4930" t="s">
        <v>15</v>
      </c>
    </row>
    <row r="4931" spans="1:12" x14ac:dyDescent="0.3">
      <c r="A4931">
        <v>29487</v>
      </c>
      <c r="B4931" t="s">
        <v>12</v>
      </c>
      <c r="C4931">
        <v>0.72</v>
      </c>
      <c r="D4931" t="s">
        <v>15</v>
      </c>
      <c r="E4931" t="s">
        <v>15</v>
      </c>
      <c r="F4931" t="s">
        <v>15</v>
      </c>
      <c r="G4931" t="s">
        <v>20</v>
      </c>
      <c r="H4931" t="s">
        <v>22</v>
      </c>
      <c r="I4931">
        <v>80.08</v>
      </c>
      <c r="J4931">
        <v>16.399999999999999</v>
      </c>
      <c r="K4931" t="s">
        <v>27</v>
      </c>
      <c r="L4931" t="s">
        <v>15</v>
      </c>
    </row>
    <row r="4932" spans="1:12" x14ac:dyDescent="0.3">
      <c r="A4932">
        <v>63575</v>
      </c>
      <c r="B4932" t="s">
        <v>12</v>
      </c>
      <c r="C4932">
        <v>9</v>
      </c>
      <c r="D4932" t="s">
        <v>15</v>
      </c>
      <c r="E4932" t="s">
        <v>15</v>
      </c>
      <c r="F4932" t="s">
        <v>15</v>
      </c>
      <c r="G4932" t="s">
        <v>20</v>
      </c>
      <c r="H4932" t="s">
        <v>22</v>
      </c>
      <c r="I4932">
        <v>84.4</v>
      </c>
      <c r="J4932">
        <v>14.9</v>
      </c>
      <c r="K4932" t="s">
        <v>27</v>
      </c>
      <c r="L4932" t="s">
        <v>15</v>
      </c>
    </row>
    <row r="4933" spans="1:12" x14ac:dyDescent="0.3">
      <c r="A4933">
        <v>30457</v>
      </c>
      <c r="B4933" t="s">
        <v>13</v>
      </c>
      <c r="C4933">
        <v>53</v>
      </c>
      <c r="D4933" t="s">
        <v>16</v>
      </c>
      <c r="E4933" t="s">
        <v>15</v>
      </c>
      <c r="F4933" t="s">
        <v>16</v>
      </c>
      <c r="G4933" t="s">
        <v>19</v>
      </c>
      <c r="H4933" t="s">
        <v>23</v>
      </c>
      <c r="I4933">
        <v>98.61</v>
      </c>
      <c r="J4933">
        <v>38.799999999999997</v>
      </c>
      <c r="K4933" t="s">
        <v>26</v>
      </c>
      <c r="L4933" t="s">
        <v>15</v>
      </c>
    </row>
    <row r="4934" spans="1:12" x14ac:dyDescent="0.3">
      <c r="A4934">
        <v>5951</v>
      </c>
      <c r="B4934" t="s">
        <v>12</v>
      </c>
      <c r="C4934">
        <v>28</v>
      </c>
      <c r="D4934" t="s">
        <v>16</v>
      </c>
      <c r="E4934" t="s">
        <v>15</v>
      </c>
      <c r="F4934" t="s">
        <v>15</v>
      </c>
      <c r="G4934" t="s">
        <v>17</v>
      </c>
      <c r="H4934" t="s">
        <v>22</v>
      </c>
      <c r="I4934">
        <v>86.61</v>
      </c>
      <c r="J4934">
        <v>38.6</v>
      </c>
      <c r="K4934" t="s">
        <v>26</v>
      </c>
      <c r="L4934" t="s">
        <v>15</v>
      </c>
    </row>
    <row r="4935" spans="1:12" x14ac:dyDescent="0.3">
      <c r="A4935">
        <v>8690</v>
      </c>
      <c r="B4935" t="s">
        <v>13</v>
      </c>
      <c r="C4935">
        <v>81</v>
      </c>
      <c r="D4935" t="s">
        <v>15</v>
      </c>
      <c r="E4935" t="s">
        <v>15</v>
      </c>
      <c r="F4935" t="s">
        <v>16</v>
      </c>
      <c r="G4935" t="s">
        <v>17</v>
      </c>
      <c r="H4935" t="s">
        <v>22</v>
      </c>
      <c r="I4935">
        <v>80.44</v>
      </c>
      <c r="J4935">
        <v>32.200000000000003</v>
      </c>
      <c r="K4935" t="s">
        <v>25</v>
      </c>
      <c r="L4935" t="s">
        <v>15</v>
      </c>
    </row>
    <row r="4936" spans="1:12" x14ac:dyDescent="0.3">
      <c r="A4936">
        <v>32147</v>
      </c>
      <c r="B4936" t="s">
        <v>12</v>
      </c>
      <c r="C4936">
        <v>1.32</v>
      </c>
      <c r="D4936" t="s">
        <v>15</v>
      </c>
      <c r="E4936" t="s">
        <v>15</v>
      </c>
      <c r="F4936" t="s">
        <v>15</v>
      </c>
      <c r="G4936" t="s">
        <v>20</v>
      </c>
      <c r="H4936" t="s">
        <v>23</v>
      </c>
      <c r="I4936">
        <v>107.02</v>
      </c>
      <c r="K4936" t="s">
        <v>27</v>
      </c>
      <c r="L4936" t="s">
        <v>15</v>
      </c>
    </row>
    <row r="4937" spans="1:12" x14ac:dyDescent="0.3">
      <c r="A4937">
        <v>47691</v>
      </c>
      <c r="B4937" t="s">
        <v>12</v>
      </c>
      <c r="C4937">
        <v>16</v>
      </c>
      <c r="D4937" t="s">
        <v>15</v>
      </c>
      <c r="E4937" t="s">
        <v>15</v>
      </c>
      <c r="F4937" t="s">
        <v>15</v>
      </c>
      <c r="G4937" t="s">
        <v>17</v>
      </c>
      <c r="H4937" t="s">
        <v>23</v>
      </c>
      <c r="I4937">
        <v>97.23</v>
      </c>
      <c r="J4937">
        <v>30.6</v>
      </c>
      <c r="K4937" t="s">
        <v>25</v>
      </c>
      <c r="L4937" t="s">
        <v>15</v>
      </c>
    </row>
    <row r="4938" spans="1:12" x14ac:dyDescent="0.3">
      <c r="A4938">
        <v>25982</v>
      </c>
      <c r="B4938" t="s">
        <v>12</v>
      </c>
      <c r="C4938">
        <v>24</v>
      </c>
      <c r="D4938" t="s">
        <v>15</v>
      </c>
      <c r="E4938" t="s">
        <v>15</v>
      </c>
      <c r="F4938" t="s">
        <v>15</v>
      </c>
      <c r="G4938" t="s">
        <v>17</v>
      </c>
      <c r="H4938" t="s">
        <v>23</v>
      </c>
      <c r="I4938">
        <v>91.21</v>
      </c>
      <c r="J4938">
        <v>28.1</v>
      </c>
      <c r="K4938" t="s">
        <v>24</v>
      </c>
      <c r="L4938" t="s">
        <v>15</v>
      </c>
    </row>
    <row r="4939" spans="1:12" x14ac:dyDescent="0.3">
      <c r="A4939">
        <v>70058</v>
      </c>
      <c r="B4939" t="s">
        <v>13</v>
      </c>
      <c r="C4939">
        <v>62</v>
      </c>
      <c r="D4939" t="s">
        <v>16</v>
      </c>
      <c r="E4939" t="s">
        <v>15</v>
      </c>
      <c r="F4939" t="s">
        <v>16</v>
      </c>
      <c r="G4939" t="s">
        <v>18</v>
      </c>
      <c r="H4939" t="s">
        <v>22</v>
      </c>
      <c r="I4939">
        <v>103.69</v>
      </c>
      <c r="J4939">
        <v>35.200000000000003</v>
      </c>
      <c r="K4939" t="s">
        <v>26</v>
      </c>
      <c r="L4939" t="s">
        <v>15</v>
      </c>
    </row>
    <row r="4940" spans="1:12" x14ac:dyDescent="0.3">
      <c r="A4940">
        <v>61868</v>
      </c>
      <c r="B4940" t="s">
        <v>13</v>
      </c>
      <c r="C4940">
        <v>62</v>
      </c>
      <c r="D4940" t="s">
        <v>15</v>
      </c>
      <c r="E4940" t="s">
        <v>15</v>
      </c>
      <c r="F4940" t="s">
        <v>16</v>
      </c>
      <c r="G4940" t="s">
        <v>17</v>
      </c>
      <c r="H4940" t="s">
        <v>22</v>
      </c>
      <c r="I4940">
        <v>74.12</v>
      </c>
      <c r="J4940">
        <v>21.8</v>
      </c>
      <c r="K4940" t="s">
        <v>24</v>
      </c>
      <c r="L4940" t="s">
        <v>15</v>
      </c>
    </row>
    <row r="4941" spans="1:12" x14ac:dyDescent="0.3">
      <c r="A4941">
        <v>46086</v>
      </c>
      <c r="B4941" t="s">
        <v>13</v>
      </c>
      <c r="C4941">
        <v>59</v>
      </c>
      <c r="D4941" t="s">
        <v>15</v>
      </c>
      <c r="E4941" t="s">
        <v>15</v>
      </c>
      <c r="F4941" t="s">
        <v>16</v>
      </c>
      <c r="G4941" t="s">
        <v>17</v>
      </c>
      <c r="H4941" t="s">
        <v>22</v>
      </c>
      <c r="I4941">
        <v>71.08</v>
      </c>
      <c r="J4941">
        <v>28.1</v>
      </c>
      <c r="K4941" t="s">
        <v>25</v>
      </c>
      <c r="L4941" t="s">
        <v>15</v>
      </c>
    </row>
    <row r="4942" spans="1:12" x14ac:dyDescent="0.3">
      <c r="A4942">
        <v>68596</v>
      </c>
      <c r="B4942" t="s">
        <v>13</v>
      </c>
      <c r="C4942">
        <v>19</v>
      </c>
      <c r="D4942" t="s">
        <v>15</v>
      </c>
      <c r="E4942" t="s">
        <v>15</v>
      </c>
      <c r="F4942" t="s">
        <v>15</v>
      </c>
      <c r="G4942" t="s">
        <v>17</v>
      </c>
      <c r="H4942" t="s">
        <v>22</v>
      </c>
      <c r="I4942">
        <v>58.39</v>
      </c>
      <c r="J4942">
        <v>28.2</v>
      </c>
      <c r="K4942" t="s">
        <v>25</v>
      </c>
      <c r="L4942" t="s">
        <v>15</v>
      </c>
    </row>
    <row r="4943" spans="1:12" x14ac:dyDescent="0.3">
      <c r="A4943">
        <v>10281</v>
      </c>
      <c r="B4943" t="s">
        <v>13</v>
      </c>
      <c r="C4943">
        <v>51</v>
      </c>
      <c r="D4943" t="s">
        <v>16</v>
      </c>
      <c r="E4943" t="s">
        <v>15</v>
      </c>
      <c r="F4943" t="s">
        <v>16</v>
      </c>
      <c r="G4943" t="s">
        <v>18</v>
      </c>
      <c r="H4943" t="s">
        <v>23</v>
      </c>
      <c r="I4943">
        <v>176.34</v>
      </c>
      <c r="J4943">
        <v>28.4</v>
      </c>
      <c r="K4943" t="s">
        <v>25</v>
      </c>
      <c r="L4943" t="s">
        <v>15</v>
      </c>
    </row>
    <row r="4944" spans="1:12" x14ac:dyDescent="0.3">
      <c r="A4944">
        <v>31409</v>
      </c>
      <c r="B4944" t="s">
        <v>12</v>
      </c>
      <c r="C4944">
        <v>38</v>
      </c>
      <c r="D4944" t="s">
        <v>15</v>
      </c>
      <c r="E4944" t="s">
        <v>15</v>
      </c>
      <c r="F4944" t="s">
        <v>16</v>
      </c>
      <c r="G4944" t="s">
        <v>17</v>
      </c>
      <c r="H4944" t="s">
        <v>23</v>
      </c>
      <c r="I4944">
        <v>73.760000000000005</v>
      </c>
      <c r="J4944">
        <v>37.4</v>
      </c>
      <c r="K4944" t="s">
        <v>25</v>
      </c>
      <c r="L4944" t="s">
        <v>15</v>
      </c>
    </row>
    <row r="4945" spans="1:12" x14ac:dyDescent="0.3">
      <c r="A4945">
        <v>54067</v>
      </c>
      <c r="B4945" t="s">
        <v>13</v>
      </c>
      <c r="C4945">
        <v>26</v>
      </c>
      <c r="D4945" t="s">
        <v>15</v>
      </c>
      <c r="E4945" t="s">
        <v>15</v>
      </c>
      <c r="F4945" t="s">
        <v>15</v>
      </c>
      <c r="G4945" t="s">
        <v>17</v>
      </c>
      <c r="H4945" t="s">
        <v>23</v>
      </c>
      <c r="I4945">
        <v>67.209999999999994</v>
      </c>
      <c r="J4945">
        <v>21.8</v>
      </c>
      <c r="K4945" t="s">
        <v>24</v>
      </c>
      <c r="L4945" t="s">
        <v>15</v>
      </c>
    </row>
    <row r="4946" spans="1:12" x14ac:dyDescent="0.3">
      <c r="A4946">
        <v>9731</v>
      </c>
      <c r="B4946" t="s">
        <v>12</v>
      </c>
      <c r="C4946">
        <v>13</v>
      </c>
      <c r="D4946" t="s">
        <v>15</v>
      </c>
      <c r="E4946" t="s">
        <v>15</v>
      </c>
      <c r="F4946" t="s">
        <v>15</v>
      </c>
      <c r="G4946" t="s">
        <v>20</v>
      </c>
      <c r="H4946" t="s">
        <v>22</v>
      </c>
      <c r="I4946">
        <v>87.98</v>
      </c>
      <c r="J4946">
        <v>19.8</v>
      </c>
      <c r="K4946" t="s">
        <v>27</v>
      </c>
      <c r="L4946" t="s">
        <v>15</v>
      </c>
    </row>
    <row r="4947" spans="1:12" x14ac:dyDescent="0.3">
      <c r="A4947">
        <v>24009</v>
      </c>
      <c r="B4947" t="s">
        <v>12</v>
      </c>
      <c r="C4947">
        <v>4</v>
      </c>
      <c r="D4947" t="s">
        <v>15</v>
      </c>
      <c r="E4947" t="s">
        <v>15</v>
      </c>
      <c r="F4947" t="s">
        <v>15</v>
      </c>
      <c r="G4947" t="s">
        <v>20</v>
      </c>
      <c r="H4947" t="s">
        <v>22</v>
      </c>
      <c r="I4947">
        <v>94.23</v>
      </c>
      <c r="J4947">
        <v>16.2</v>
      </c>
      <c r="K4947" t="s">
        <v>27</v>
      </c>
      <c r="L4947" t="s">
        <v>15</v>
      </c>
    </row>
    <row r="4948" spans="1:12" x14ac:dyDescent="0.3">
      <c r="A4948">
        <v>61694</v>
      </c>
      <c r="B4948" t="s">
        <v>12</v>
      </c>
      <c r="C4948">
        <v>55</v>
      </c>
      <c r="D4948" t="s">
        <v>15</v>
      </c>
      <c r="E4948" t="s">
        <v>15</v>
      </c>
      <c r="F4948" t="s">
        <v>16</v>
      </c>
      <c r="G4948" t="s">
        <v>18</v>
      </c>
      <c r="H4948" t="s">
        <v>23</v>
      </c>
      <c r="I4948">
        <v>111.36</v>
      </c>
      <c r="J4948">
        <v>33.6</v>
      </c>
      <c r="K4948" t="s">
        <v>25</v>
      </c>
      <c r="L4948" t="s">
        <v>15</v>
      </c>
    </row>
    <row r="4949" spans="1:12" x14ac:dyDescent="0.3">
      <c r="A4949">
        <v>7453</v>
      </c>
      <c r="B4949" t="s">
        <v>13</v>
      </c>
      <c r="C4949">
        <v>44</v>
      </c>
      <c r="D4949" t="s">
        <v>15</v>
      </c>
      <c r="E4949" t="s">
        <v>15</v>
      </c>
      <c r="F4949" t="s">
        <v>16</v>
      </c>
      <c r="G4949" t="s">
        <v>17</v>
      </c>
      <c r="H4949" t="s">
        <v>22</v>
      </c>
      <c r="I4949">
        <v>84.07</v>
      </c>
      <c r="J4949">
        <v>21.2</v>
      </c>
      <c r="K4949" t="s">
        <v>26</v>
      </c>
      <c r="L4949" t="s">
        <v>15</v>
      </c>
    </row>
    <row r="4950" spans="1:12" x14ac:dyDescent="0.3">
      <c r="A4950">
        <v>66405</v>
      </c>
      <c r="B4950" t="s">
        <v>13</v>
      </c>
      <c r="C4950">
        <v>31</v>
      </c>
      <c r="D4950" t="s">
        <v>15</v>
      </c>
      <c r="E4950" t="s">
        <v>15</v>
      </c>
      <c r="F4950" t="s">
        <v>16</v>
      </c>
      <c r="G4950" t="s">
        <v>17</v>
      </c>
      <c r="H4950" t="s">
        <v>22</v>
      </c>
      <c r="I4950">
        <v>117.31</v>
      </c>
      <c r="J4950">
        <v>28.4</v>
      </c>
      <c r="K4950" t="s">
        <v>25</v>
      </c>
      <c r="L4950" t="s">
        <v>15</v>
      </c>
    </row>
    <row r="4951" spans="1:12" x14ac:dyDescent="0.3">
      <c r="A4951">
        <v>2138</v>
      </c>
      <c r="B4951" t="s">
        <v>12</v>
      </c>
      <c r="C4951">
        <v>58</v>
      </c>
      <c r="D4951" t="s">
        <v>15</v>
      </c>
      <c r="E4951" t="s">
        <v>15</v>
      </c>
      <c r="F4951" t="s">
        <v>16</v>
      </c>
      <c r="G4951" t="s">
        <v>19</v>
      </c>
      <c r="H4951" t="s">
        <v>22</v>
      </c>
      <c r="I4951">
        <v>84.94</v>
      </c>
      <c r="K4951" t="s">
        <v>25</v>
      </c>
      <c r="L4951" t="s">
        <v>15</v>
      </c>
    </row>
    <row r="4952" spans="1:12" x14ac:dyDescent="0.3">
      <c r="A4952">
        <v>66650</v>
      </c>
      <c r="B4952" t="s">
        <v>13</v>
      </c>
      <c r="C4952">
        <v>17</v>
      </c>
      <c r="D4952" t="s">
        <v>15</v>
      </c>
      <c r="E4952" t="s">
        <v>15</v>
      </c>
      <c r="F4952" t="s">
        <v>15</v>
      </c>
      <c r="G4952" t="s">
        <v>17</v>
      </c>
      <c r="H4952" t="s">
        <v>22</v>
      </c>
      <c r="I4952">
        <v>68.86</v>
      </c>
      <c r="J4952">
        <v>41.1</v>
      </c>
      <c r="K4952" t="s">
        <v>25</v>
      </c>
      <c r="L4952" t="s">
        <v>15</v>
      </c>
    </row>
    <row r="4953" spans="1:12" x14ac:dyDescent="0.3">
      <c r="A4953">
        <v>59945</v>
      </c>
      <c r="B4953" t="s">
        <v>13</v>
      </c>
      <c r="C4953">
        <v>23</v>
      </c>
      <c r="D4953" t="s">
        <v>15</v>
      </c>
      <c r="E4953" t="s">
        <v>15</v>
      </c>
      <c r="F4953" t="s">
        <v>15</v>
      </c>
      <c r="G4953" t="s">
        <v>17</v>
      </c>
      <c r="H4953" t="s">
        <v>22</v>
      </c>
      <c r="I4953">
        <v>132.88</v>
      </c>
      <c r="J4953">
        <v>24.9</v>
      </c>
      <c r="K4953" t="s">
        <v>25</v>
      </c>
      <c r="L4953" t="s">
        <v>15</v>
      </c>
    </row>
    <row r="4954" spans="1:12" x14ac:dyDescent="0.3">
      <c r="A4954">
        <v>16245</v>
      </c>
      <c r="B4954" t="s">
        <v>12</v>
      </c>
      <c r="C4954">
        <v>51</v>
      </c>
      <c r="D4954" t="s">
        <v>16</v>
      </c>
      <c r="E4954" t="s">
        <v>15</v>
      </c>
      <c r="F4954" t="s">
        <v>16</v>
      </c>
      <c r="G4954" t="s">
        <v>18</v>
      </c>
      <c r="H4954" t="s">
        <v>23</v>
      </c>
      <c r="I4954">
        <v>211.83</v>
      </c>
      <c r="J4954">
        <v>56.6</v>
      </c>
      <c r="K4954" t="s">
        <v>25</v>
      </c>
      <c r="L4954" t="s">
        <v>15</v>
      </c>
    </row>
    <row r="4955" spans="1:12" x14ac:dyDescent="0.3">
      <c r="A4955">
        <v>68094</v>
      </c>
      <c r="B4955" t="s">
        <v>13</v>
      </c>
      <c r="C4955">
        <v>46</v>
      </c>
      <c r="D4955" t="s">
        <v>15</v>
      </c>
      <c r="E4955" t="s">
        <v>15</v>
      </c>
      <c r="F4955" t="s">
        <v>16</v>
      </c>
      <c r="G4955" t="s">
        <v>17</v>
      </c>
      <c r="H4955" t="s">
        <v>23</v>
      </c>
      <c r="I4955">
        <v>124.92</v>
      </c>
      <c r="J4955">
        <v>28.8</v>
      </c>
      <c r="K4955" t="s">
        <v>27</v>
      </c>
      <c r="L4955" t="s">
        <v>15</v>
      </c>
    </row>
    <row r="4956" spans="1:12" x14ac:dyDescent="0.3">
      <c r="A4956">
        <v>64661</v>
      </c>
      <c r="B4956" t="s">
        <v>13</v>
      </c>
      <c r="C4956">
        <v>81</v>
      </c>
      <c r="D4956" t="s">
        <v>15</v>
      </c>
      <c r="E4956" t="s">
        <v>15</v>
      </c>
      <c r="F4956" t="s">
        <v>15</v>
      </c>
      <c r="G4956" t="s">
        <v>18</v>
      </c>
      <c r="H4956" t="s">
        <v>22</v>
      </c>
      <c r="I4956">
        <v>57.42</v>
      </c>
      <c r="J4956">
        <v>33.700000000000003</v>
      </c>
      <c r="K4956" t="s">
        <v>25</v>
      </c>
      <c r="L4956" t="s">
        <v>15</v>
      </c>
    </row>
    <row r="4957" spans="1:12" x14ac:dyDescent="0.3">
      <c r="A4957">
        <v>61376</v>
      </c>
      <c r="B4957" t="s">
        <v>12</v>
      </c>
      <c r="C4957">
        <v>38</v>
      </c>
      <c r="D4957" t="s">
        <v>15</v>
      </c>
      <c r="E4957" t="s">
        <v>15</v>
      </c>
      <c r="F4957" t="s">
        <v>16</v>
      </c>
      <c r="G4957" t="s">
        <v>17</v>
      </c>
      <c r="H4957" t="s">
        <v>22</v>
      </c>
      <c r="I4957">
        <v>215.69</v>
      </c>
      <c r="J4957">
        <v>38.6</v>
      </c>
      <c r="K4957" t="s">
        <v>24</v>
      </c>
      <c r="L4957" t="s">
        <v>15</v>
      </c>
    </row>
    <row r="4958" spans="1:12" x14ac:dyDescent="0.3">
      <c r="A4958">
        <v>47236</v>
      </c>
      <c r="B4958" t="s">
        <v>13</v>
      </c>
      <c r="C4958">
        <v>50</v>
      </c>
      <c r="D4958" t="s">
        <v>15</v>
      </c>
      <c r="E4958" t="s">
        <v>15</v>
      </c>
      <c r="F4958" t="s">
        <v>16</v>
      </c>
      <c r="G4958" t="s">
        <v>17</v>
      </c>
      <c r="H4958" t="s">
        <v>22</v>
      </c>
      <c r="I4958">
        <v>154.66999999999999</v>
      </c>
      <c r="J4958">
        <v>33.799999999999997</v>
      </c>
      <c r="K4958" t="s">
        <v>25</v>
      </c>
      <c r="L4958" t="s">
        <v>15</v>
      </c>
    </row>
    <row r="4959" spans="1:12" x14ac:dyDescent="0.3">
      <c r="A4959">
        <v>875</v>
      </c>
      <c r="B4959" t="s">
        <v>13</v>
      </c>
      <c r="C4959">
        <v>34</v>
      </c>
      <c r="D4959" t="s">
        <v>15</v>
      </c>
      <c r="E4959" t="s">
        <v>15</v>
      </c>
      <c r="F4959" t="s">
        <v>15</v>
      </c>
      <c r="G4959" t="s">
        <v>17</v>
      </c>
      <c r="H4959" t="s">
        <v>22</v>
      </c>
      <c r="I4959">
        <v>67.66</v>
      </c>
      <c r="J4959">
        <v>22.4</v>
      </c>
      <c r="K4959" t="s">
        <v>25</v>
      </c>
      <c r="L4959" t="s">
        <v>15</v>
      </c>
    </row>
    <row r="4960" spans="1:12" x14ac:dyDescent="0.3">
      <c r="A4960">
        <v>63986</v>
      </c>
      <c r="B4960" t="s">
        <v>12</v>
      </c>
      <c r="C4960">
        <v>60</v>
      </c>
      <c r="D4960" t="s">
        <v>15</v>
      </c>
      <c r="E4960" t="s">
        <v>15</v>
      </c>
      <c r="F4960" t="s">
        <v>16</v>
      </c>
      <c r="G4960" t="s">
        <v>17</v>
      </c>
      <c r="H4960" t="s">
        <v>23</v>
      </c>
      <c r="I4960">
        <v>153.47999999999999</v>
      </c>
      <c r="J4960">
        <v>37.299999999999997</v>
      </c>
      <c r="K4960" t="s">
        <v>25</v>
      </c>
      <c r="L4960" t="s">
        <v>15</v>
      </c>
    </row>
    <row r="4961" spans="1:12" x14ac:dyDescent="0.3">
      <c r="A4961">
        <v>55410</v>
      </c>
      <c r="B4961" t="s">
        <v>13</v>
      </c>
      <c r="C4961">
        <v>50</v>
      </c>
      <c r="D4961" t="s">
        <v>15</v>
      </c>
      <c r="E4961" t="s">
        <v>15</v>
      </c>
      <c r="F4961" t="s">
        <v>16</v>
      </c>
      <c r="G4961" t="s">
        <v>18</v>
      </c>
      <c r="H4961" t="s">
        <v>22</v>
      </c>
      <c r="I4961">
        <v>62.63</v>
      </c>
      <c r="J4961">
        <v>23.4</v>
      </c>
      <c r="K4961" t="s">
        <v>25</v>
      </c>
      <c r="L4961" t="s">
        <v>15</v>
      </c>
    </row>
    <row r="4962" spans="1:12" x14ac:dyDescent="0.3">
      <c r="A4962">
        <v>63287</v>
      </c>
      <c r="B4962" t="s">
        <v>13</v>
      </c>
      <c r="C4962">
        <v>49</v>
      </c>
      <c r="D4962" t="s">
        <v>15</v>
      </c>
      <c r="E4962" t="s">
        <v>15</v>
      </c>
      <c r="F4962" t="s">
        <v>16</v>
      </c>
      <c r="G4962" t="s">
        <v>17</v>
      </c>
      <c r="H4962" t="s">
        <v>22</v>
      </c>
      <c r="I4962">
        <v>77.930000000000007</v>
      </c>
      <c r="J4962">
        <v>39.1</v>
      </c>
      <c r="K4962" t="s">
        <v>26</v>
      </c>
      <c r="L4962" t="s">
        <v>15</v>
      </c>
    </row>
    <row r="4963" spans="1:12" x14ac:dyDescent="0.3">
      <c r="A4963">
        <v>3720</v>
      </c>
      <c r="B4963" t="s">
        <v>13</v>
      </c>
      <c r="C4963">
        <v>2</v>
      </c>
      <c r="D4963" t="s">
        <v>15</v>
      </c>
      <c r="E4963" t="s">
        <v>15</v>
      </c>
      <c r="F4963" t="s">
        <v>15</v>
      </c>
      <c r="G4963" t="s">
        <v>20</v>
      </c>
      <c r="H4963" t="s">
        <v>23</v>
      </c>
      <c r="I4963">
        <v>80.3</v>
      </c>
      <c r="J4963">
        <v>21.2</v>
      </c>
      <c r="K4963" t="s">
        <v>27</v>
      </c>
      <c r="L4963" t="s">
        <v>15</v>
      </c>
    </row>
    <row r="4964" spans="1:12" x14ac:dyDescent="0.3">
      <c r="A4964">
        <v>20274</v>
      </c>
      <c r="B4964" t="s">
        <v>12</v>
      </c>
      <c r="C4964">
        <v>47</v>
      </c>
      <c r="D4964" t="s">
        <v>15</v>
      </c>
      <c r="E4964" t="s">
        <v>15</v>
      </c>
      <c r="F4964" t="s">
        <v>16</v>
      </c>
      <c r="G4964" t="s">
        <v>17</v>
      </c>
      <c r="H4964" t="s">
        <v>22</v>
      </c>
      <c r="I4964">
        <v>106.69</v>
      </c>
      <c r="J4964">
        <v>31.2</v>
      </c>
      <c r="K4964" t="s">
        <v>27</v>
      </c>
      <c r="L4964" t="s">
        <v>15</v>
      </c>
    </row>
    <row r="4965" spans="1:12" x14ac:dyDescent="0.3">
      <c r="A4965">
        <v>50338</v>
      </c>
      <c r="B4965" t="s">
        <v>13</v>
      </c>
      <c r="C4965">
        <v>34</v>
      </c>
      <c r="D4965" t="s">
        <v>15</v>
      </c>
      <c r="E4965" t="s">
        <v>15</v>
      </c>
      <c r="F4965" t="s">
        <v>16</v>
      </c>
      <c r="G4965" t="s">
        <v>17</v>
      </c>
      <c r="H4965" t="s">
        <v>22</v>
      </c>
      <c r="I4965">
        <v>83.07</v>
      </c>
      <c r="J4965">
        <v>28</v>
      </c>
      <c r="K4965" t="s">
        <v>24</v>
      </c>
      <c r="L4965" t="s">
        <v>15</v>
      </c>
    </row>
    <row r="4966" spans="1:12" x14ac:dyDescent="0.3">
      <c r="A4966">
        <v>58209</v>
      </c>
      <c r="B4966" t="s">
        <v>13</v>
      </c>
      <c r="C4966">
        <v>22</v>
      </c>
      <c r="D4966" t="s">
        <v>15</v>
      </c>
      <c r="E4966" t="s">
        <v>15</v>
      </c>
      <c r="F4966" t="s">
        <v>15</v>
      </c>
      <c r="G4966" t="s">
        <v>17</v>
      </c>
      <c r="H4966" t="s">
        <v>22</v>
      </c>
      <c r="I4966">
        <v>140.13999999999999</v>
      </c>
      <c r="J4966">
        <v>21.1</v>
      </c>
      <c r="K4966" t="s">
        <v>25</v>
      </c>
      <c r="L4966" t="s">
        <v>15</v>
      </c>
    </row>
    <row r="4967" spans="1:12" x14ac:dyDescent="0.3">
      <c r="A4967">
        <v>20634</v>
      </c>
      <c r="B4967" t="s">
        <v>13</v>
      </c>
      <c r="C4967">
        <v>11</v>
      </c>
      <c r="D4967" t="s">
        <v>15</v>
      </c>
      <c r="E4967" t="s">
        <v>15</v>
      </c>
      <c r="F4967" t="s">
        <v>15</v>
      </c>
      <c r="G4967" t="s">
        <v>20</v>
      </c>
      <c r="H4967" t="s">
        <v>22</v>
      </c>
      <c r="I4967">
        <v>92.65</v>
      </c>
      <c r="J4967">
        <v>15.7</v>
      </c>
      <c r="K4967" t="s">
        <v>25</v>
      </c>
      <c r="L4967" t="s">
        <v>15</v>
      </c>
    </row>
    <row r="4968" spans="1:12" x14ac:dyDescent="0.3">
      <c r="A4968">
        <v>3251</v>
      </c>
      <c r="B4968" t="s">
        <v>12</v>
      </c>
      <c r="C4968">
        <v>54</v>
      </c>
      <c r="D4968" t="s">
        <v>15</v>
      </c>
      <c r="E4968" t="s">
        <v>15</v>
      </c>
      <c r="F4968" t="s">
        <v>16</v>
      </c>
      <c r="G4968" t="s">
        <v>17</v>
      </c>
      <c r="H4968" t="s">
        <v>22</v>
      </c>
      <c r="I4968">
        <v>111.37</v>
      </c>
      <c r="J4968">
        <v>29.1</v>
      </c>
      <c r="K4968" t="s">
        <v>24</v>
      </c>
      <c r="L4968" t="s">
        <v>15</v>
      </c>
    </row>
    <row r="4969" spans="1:12" x14ac:dyDescent="0.3">
      <c r="A4969">
        <v>12677</v>
      </c>
      <c r="B4969" t="s">
        <v>13</v>
      </c>
      <c r="C4969">
        <v>60</v>
      </c>
      <c r="D4969" t="s">
        <v>15</v>
      </c>
      <c r="E4969" t="s">
        <v>15</v>
      </c>
      <c r="F4969" t="s">
        <v>16</v>
      </c>
      <c r="G4969" t="s">
        <v>17</v>
      </c>
      <c r="H4969" t="s">
        <v>23</v>
      </c>
      <c r="I4969">
        <v>99</v>
      </c>
      <c r="J4969">
        <v>26.1</v>
      </c>
      <c r="K4969" t="s">
        <v>25</v>
      </c>
      <c r="L4969" t="s">
        <v>15</v>
      </c>
    </row>
    <row r="4970" spans="1:12" x14ac:dyDescent="0.3">
      <c r="A4970">
        <v>45160</v>
      </c>
      <c r="B4970" t="s">
        <v>12</v>
      </c>
      <c r="C4970">
        <v>3</v>
      </c>
      <c r="D4970" t="s">
        <v>15</v>
      </c>
      <c r="E4970" t="s">
        <v>15</v>
      </c>
      <c r="F4970" t="s">
        <v>15</v>
      </c>
      <c r="G4970" t="s">
        <v>20</v>
      </c>
      <c r="H4970" t="s">
        <v>23</v>
      </c>
      <c r="I4970">
        <v>78.239999999999995</v>
      </c>
      <c r="J4970">
        <v>16.2</v>
      </c>
      <c r="K4970" t="s">
        <v>27</v>
      </c>
      <c r="L4970" t="s">
        <v>15</v>
      </c>
    </row>
    <row r="4971" spans="1:12" x14ac:dyDescent="0.3">
      <c r="A4971">
        <v>67940</v>
      </c>
      <c r="B4971" t="s">
        <v>13</v>
      </c>
      <c r="C4971">
        <v>46</v>
      </c>
      <c r="D4971" t="s">
        <v>15</v>
      </c>
      <c r="E4971" t="s">
        <v>15</v>
      </c>
      <c r="F4971" t="s">
        <v>16</v>
      </c>
      <c r="G4971" t="s">
        <v>19</v>
      </c>
      <c r="H4971" t="s">
        <v>23</v>
      </c>
      <c r="I4971">
        <v>83.88</v>
      </c>
      <c r="J4971">
        <v>27.1</v>
      </c>
      <c r="K4971" t="s">
        <v>25</v>
      </c>
      <c r="L4971" t="s">
        <v>15</v>
      </c>
    </row>
    <row r="4972" spans="1:12" x14ac:dyDescent="0.3">
      <c r="A4972">
        <v>8145</v>
      </c>
      <c r="B4972" t="s">
        <v>12</v>
      </c>
      <c r="C4972">
        <v>30</v>
      </c>
      <c r="D4972" t="s">
        <v>15</v>
      </c>
      <c r="E4972" t="s">
        <v>15</v>
      </c>
      <c r="F4972" t="s">
        <v>15</v>
      </c>
      <c r="G4972" t="s">
        <v>17</v>
      </c>
      <c r="H4972" t="s">
        <v>22</v>
      </c>
      <c r="I4972">
        <v>86.21</v>
      </c>
      <c r="J4972">
        <v>28.8</v>
      </c>
      <c r="K4972" t="s">
        <v>26</v>
      </c>
      <c r="L4972" t="s">
        <v>15</v>
      </c>
    </row>
    <row r="4973" spans="1:12" x14ac:dyDescent="0.3">
      <c r="A4973">
        <v>39393</v>
      </c>
      <c r="B4973" t="s">
        <v>13</v>
      </c>
      <c r="C4973">
        <v>63</v>
      </c>
      <c r="D4973" t="s">
        <v>15</v>
      </c>
      <c r="E4973" t="s">
        <v>15</v>
      </c>
      <c r="F4973" t="s">
        <v>16</v>
      </c>
      <c r="G4973" t="s">
        <v>17</v>
      </c>
      <c r="H4973" t="s">
        <v>22</v>
      </c>
      <c r="I4973">
        <v>57.06</v>
      </c>
      <c r="J4973">
        <v>37.9</v>
      </c>
      <c r="K4973" t="s">
        <v>25</v>
      </c>
      <c r="L4973" t="s">
        <v>15</v>
      </c>
    </row>
    <row r="4974" spans="1:12" x14ac:dyDescent="0.3">
      <c r="A4974">
        <v>57710</v>
      </c>
      <c r="B4974" t="s">
        <v>13</v>
      </c>
      <c r="C4974">
        <v>50</v>
      </c>
      <c r="D4974" t="s">
        <v>15</v>
      </c>
      <c r="E4974" t="s">
        <v>15</v>
      </c>
      <c r="F4974" t="s">
        <v>16</v>
      </c>
      <c r="G4974" t="s">
        <v>17</v>
      </c>
      <c r="H4974" t="s">
        <v>23</v>
      </c>
      <c r="I4974">
        <v>112.25</v>
      </c>
      <c r="J4974">
        <v>21.6</v>
      </c>
      <c r="K4974" t="s">
        <v>27</v>
      </c>
      <c r="L4974" t="s">
        <v>15</v>
      </c>
    </row>
    <row r="4975" spans="1:12" x14ac:dyDescent="0.3">
      <c r="A4975">
        <v>12487</v>
      </c>
      <c r="B4975" t="s">
        <v>12</v>
      </c>
      <c r="C4975">
        <v>65</v>
      </c>
      <c r="D4975" t="s">
        <v>15</v>
      </c>
      <c r="E4975" t="s">
        <v>15</v>
      </c>
      <c r="F4975" t="s">
        <v>16</v>
      </c>
      <c r="G4975" t="s">
        <v>17</v>
      </c>
      <c r="H4975" t="s">
        <v>22</v>
      </c>
      <c r="I4975">
        <v>81.06</v>
      </c>
      <c r="J4975">
        <v>30.1</v>
      </c>
      <c r="K4975" t="s">
        <v>26</v>
      </c>
      <c r="L4975" t="s">
        <v>15</v>
      </c>
    </row>
    <row r="4976" spans="1:12" x14ac:dyDescent="0.3">
      <c r="A4976">
        <v>16513</v>
      </c>
      <c r="B4976" t="s">
        <v>12</v>
      </c>
      <c r="C4976">
        <v>78</v>
      </c>
      <c r="D4976" t="s">
        <v>15</v>
      </c>
      <c r="E4976" t="s">
        <v>15</v>
      </c>
      <c r="F4976" t="s">
        <v>16</v>
      </c>
      <c r="G4976" t="s">
        <v>17</v>
      </c>
      <c r="H4976" t="s">
        <v>22</v>
      </c>
      <c r="I4976">
        <v>104.37</v>
      </c>
      <c r="J4976">
        <v>29.7</v>
      </c>
      <c r="K4976" t="s">
        <v>25</v>
      </c>
      <c r="L4976" t="s">
        <v>15</v>
      </c>
    </row>
    <row r="4977" spans="1:12" x14ac:dyDescent="0.3">
      <c r="A4977">
        <v>42297</v>
      </c>
      <c r="B4977" t="s">
        <v>13</v>
      </c>
      <c r="C4977">
        <v>36</v>
      </c>
      <c r="D4977" t="s">
        <v>15</v>
      </c>
      <c r="E4977" t="s">
        <v>15</v>
      </c>
      <c r="F4977" t="s">
        <v>16</v>
      </c>
      <c r="G4977" t="s">
        <v>17</v>
      </c>
      <c r="H4977" t="s">
        <v>22</v>
      </c>
      <c r="I4977">
        <v>124.31</v>
      </c>
      <c r="J4977">
        <v>26.4</v>
      </c>
      <c r="K4977" t="s">
        <v>27</v>
      </c>
      <c r="L4977" t="s">
        <v>15</v>
      </c>
    </row>
    <row r="4978" spans="1:12" x14ac:dyDescent="0.3">
      <c r="A4978">
        <v>63656</v>
      </c>
      <c r="B4978" t="s">
        <v>13</v>
      </c>
      <c r="C4978">
        <v>18</v>
      </c>
      <c r="D4978" t="s">
        <v>15</v>
      </c>
      <c r="E4978" t="s">
        <v>15</v>
      </c>
      <c r="F4978" t="s">
        <v>15</v>
      </c>
      <c r="G4978" t="s">
        <v>17</v>
      </c>
      <c r="H4978" t="s">
        <v>22</v>
      </c>
      <c r="I4978">
        <v>101.95</v>
      </c>
      <c r="J4978">
        <v>46</v>
      </c>
      <c r="K4978" t="s">
        <v>24</v>
      </c>
      <c r="L4978" t="s">
        <v>15</v>
      </c>
    </row>
    <row r="4979" spans="1:12" x14ac:dyDescent="0.3">
      <c r="A4979">
        <v>56233</v>
      </c>
      <c r="B4979" t="s">
        <v>13</v>
      </c>
      <c r="C4979">
        <v>44</v>
      </c>
      <c r="D4979" t="s">
        <v>15</v>
      </c>
      <c r="E4979" t="s">
        <v>15</v>
      </c>
      <c r="F4979" t="s">
        <v>15</v>
      </c>
      <c r="G4979" t="s">
        <v>17</v>
      </c>
      <c r="H4979" t="s">
        <v>23</v>
      </c>
      <c r="I4979">
        <v>116.95</v>
      </c>
      <c r="J4979">
        <v>26.1</v>
      </c>
      <c r="K4979" t="s">
        <v>25</v>
      </c>
      <c r="L4979" t="s">
        <v>15</v>
      </c>
    </row>
    <row r="4980" spans="1:12" x14ac:dyDescent="0.3">
      <c r="A4980">
        <v>22591</v>
      </c>
      <c r="B4980" t="s">
        <v>13</v>
      </c>
      <c r="C4980">
        <v>4</v>
      </c>
      <c r="D4980" t="s">
        <v>15</v>
      </c>
      <c r="E4980" t="s">
        <v>15</v>
      </c>
      <c r="F4980" t="s">
        <v>15</v>
      </c>
      <c r="G4980" t="s">
        <v>20</v>
      </c>
      <c r="H4980" t="s">
        <v>22</v>
      </c>
      <c r="I4980">
        <v>99.76</v>
      </c>
      <c r="J4980">
        <v>23.2</v>
      </c>
      <c r="K4980" t="s">
        <v>27</v>
      </c>
      <c r="L4980" t="s">
        <v>15</v>
      </c>
    </row>
    <row r="4981" spans="1:12" x14ac:dyDescent="0.3">
      <c r="A4981">
        <v>23757</v>
      </c>
      <c r="B4981" t="s">
        <v>13</v>
      </c>
      <c r="C4981">
        <v>60</v>
      </c>
      <c r="D4981" t="s">
        <v>15</v>
      </c>
      <c r="E4981" t="s">
        <v>15</v>
      </c>
      <c r="F4981" t="s">
        <v>15</v>
      </c>
      <c r="G4981" t="s">
        <v>17</v>
      </c>
      <c r="H4981" t="s">
        <v>22</v>
      </c>
      <c r="I4981">
        <v>105.48</v>
      </c>
      <c r="J4981">
        <v>28.4</v>
      </c>
      <c r="K4981" t="s">
        <v>27</v>
      </c>
      <c r="L4981" t="s">
        <v>15</v>
      </c>
    </row>
    <row r="4982" spans="1:12" x14ac:dyDescent="0.3">
      <c r="A4982">
        <v>19601</v>
      </c>
      <c r="B4982" t="s">
        <v>13</v>
      </c>
      <c r="C4982">
        <v>19</v>
      </c>
      <c r="D4982" t="s">
        <v>15</v>
      </c>
      <c r="E4982" t="s">
        <v>15</v>
      </c>
      <c r="F4982" t="s">
        <v>15</v>
      </c>
      <c r="G4982" t="s">
        <v>17</v>
      </c>
      <c r="H4982" t="s">
        <v>22</v>
      </c>
      <c r="I4982">
        <v>100.6</v>
      </c>
      <c r="J4982">
        <v>20.5</v>
      </c>
      <c r="K4982" t="s">
        <v>25</v>
      </c>
      <c r="L4982" t="s">
        <v>15</v>
      </c>
    </row>
    <row r="4983" spans="1:12" x14ac:dyDescent="0.3">
      <c r="A4983">
        <v>61801</v>
      </c>
      <c r="B4983" t="s">
        <v>12</v>
      </c>
      <c r="C4983">
        <v>15</v>
      </c>
      <c r="D4983" t="s">
        <v>15</v>
      </c>
      <c r="E4983" t="s">
        <v>15</v>
      </c>
      <c r="F4983" t="s">
        <v>15</v>
      </c>
      <c r="G4983" t="s">
        <v>17</v>
      </c>
      <c r="H4983" t="s">
        <v>22</v>
      </c>
      <c r="I4983">
        <v>65.05</v>
      </c>
      <c r="J4983">
        <v>24.6</v>
      </c>
      <c r="K4983" t="s">
        <v>27</v>
      </c>
      <c r="L4983" t="s">
        <v>15</v>
      </c>
    </row>
    <row r="4984" spans="1:12" x14ac:dyDescent="0.3">
      <c r="A4984">
        <v>949</v>
      </c>
      <c r="B4984" t="s">
        <v>12</v>
      </c>
      <c r="C4984">
        <v>20</v>
      </c>
      <c r="D4984" t="s">
        <v>15</v>
      </c>
      <c r="E4984" t="s">
        <v>15</v>
      </c>
      <c r="F4984" t="s">
        <v>15</v>
      </c>
      <c r="G4984" t="s">
        <v>17</v>
      </c>
      <c r="H4984" t="s">
        <v>23</v>
      </c>
      <c r="I4984">
        <v>75.900000000000006</v>
      </c>
      <c r="J4984">
        <v>32.200000000000003</v>
      </c>
      <c r="K4984" t="s">
        <v>25</v>
      </c>
      <c r="L4984" t="s">
        <v>15</v>
      </c>
    </row>
    <row r="4985" spans="1:12" x14ac:dyDescent="0.3">
      <c r="A4985">
        <v>10995</v>
      </c>
      <c r="B4985" t="s">
        <v>12</v>
      </c>
      <c r="C4985">
        <v>76</v>
      </c>
      <c r="D4985" t="s">
        <v>16</v>
      </c>
      <c r="E4985" t="s">
        <v>15</v>
      </c>
      <c r="F4985" t="s">
        <v>16</v>
      </c>
      <c r="G4985" t="s">
        <v>17</v>
      </c>
      <c r="H4985" t="s">
        <v>23</v>
      </c>
      <c r="I4985">
        <v>267.60000000000002</v>
      </c>
      <c r="J4985">
        <v>30.5</v>
      </c>
      <c r="K4985" t="s">
        <v>25</v>
      </c>
      <c r="L4985" t="s">
        <v>15</v>
      </c>
    </row>
    <row r="4986" spans="1:12" x14ac:dyDescent="0.3">
      <c r="A4986">
        <v>1503</v>
      </c>
      <c r="B4986" t="s">
        <v>12</v>
      </c>
      <c r="C4986">
        <v>31</v>
      </c>
      <c r="D4986" t="s">
        <v>15</v>
      </c>
      <c r="E4986" t="s">
        <v>15</v>
      </c>
      <c r="F4986" t="s">
        <v>15</v>
      </c>
      <c r="G4986" t="s">
        <v>17</v>
      </c>
      <c r="H4986" t="s">
        <v>22</v>
      </c>
      <c r="I4986">
        <v>215.07</v>
      </c>
      <c r="K4986" t="s">
        <v>26</v>
      </c>
      <c r="L4986" t="s">
        <v>15</v>
      </c>
    </row>
    <row r="4987" spans="1:12" x14ac:dyDescent="0.3">
      <c r="A4987">
        <v>37431</v>
      </c>
      <c r="B4987" t="s">
        <v>13</v>
      </c>
      <c r="C4987">
        <v>39</v>
      </c>
      <c r="D4987" t="s">
        <v>15</v>
      </c>
      <c r="E4987" t="s">
        <v>15</v>
      </c>
      <c r="F4987" t="s">
        <v>16</v>
      </c>
      <c r="G4987" t="s">
        <v>19</v>
      </c>
      <c r="H4987" t="s">
        <v>22</v>
      </c>
      <c r="I4987">
        <v>109.03</v>
      </c>
      <c r="J4987">
        <v>24.9</v>
      </c>
      <c r="K4987" t="s">
        <v>27</v>
      </c>
      <c r="L4987" t="s">
        <v>15</v>
      </c>
    </row>
    <row r="4988" spans="1:12" x14ac:dyDescent="0.3">
      <c r="A4988">
        <v>53697</v>
      </c>
      <c r="B4988" t="s">
        <v>12</v>
      </c>
      <c r="C4988">
        <v>58</v>
      </c>
      <c r="D4988" t="s">
        <v>15</v>
      </c>
      <c r="E4988" t="s">
        <v>16</v>
      </c>
      <c r="F4988" t="s">
        <v>16</v>
      </c>
      <c r="G4988" t="s">
        <v>17</v>
      </c>
      <c r="H4988" t="s">
        <v>23</v>
      </c>
      <c r="I4988">
        <v>225.35</v>
      </c>
      <c r="J4988">
        <v>26.5</v>
      </c>
      <c r="K4988" t="s">
        <v>26</v>
      </c>
      <c r="L4988" t="s">
        <v>15</v>
      </c>
    </row>
    <row r="4989" spans="1:12" x14ac:dyDescent="0.3">
      <c r="A4989">
        <v>67012</v>
      </c>
      <c r="B4989" t="s">
        <v>12</v>
      </c>
      <c r="C4989">
        <v>64</v>
      </c>
      <c r="D4989" t="s">
        <v>16</v>
      </c>
      <c r="E4989" t="s">
        <v>15</v>
      </c>
      <c r="F4989" t="s">
        <v>16</v>
      </c>
      <c r="G4989" t="s">
        <v>17</v>
      </c>
      <c r="H4989" t="s">
        <v>23</v>
      </c>
      <c r="I4989">
        <v>196.26</v>
      </c>
      <c r="J4989">
        <v>34.5</v>
      </c>
      <c r="K4989" t="s">
        <v>27</v>
      </c>
      <c r="L4989" t="s">
        <v>15</v>
      </c>
    </row>
    <row r="4990" spans="1:12" x14ac:dyDescent="0.3">
      <c r="A4990">
        <v>30525</v>
      </c>
      <c r="B4990" t="s">
        <v>13</v>
      </c>
      <c r="C4990">
        <v>79</v>
      </c>
      <c r="D4990" t="s">
        <v>15</v>
      </c>
      <c r="E4990" t="s">
        <v>15</v>
      </c>
      <c r="F4990" t="s">
        <v>16</v>
      </c>
      <c r="G4990" t="s">
        <v>19</v>
      </c>
      <c r="H4990" t="s">
        <v>22</v>
      </c>
      <c r="I4990">
        <v>95.42</v>
      </c>
      <c r="J4990">
        <v>21.5</v>
      </c>
      <c r="K4990" t="s">
        <v>24</v>
      </c>
      <c r="L4990" t="s">
        <v>15</v>
      </c>
    </row>
    <row r="4991" spans="1:12" x14ac:dyDescent="0.3">
      <c r="A4991">
        <v>25860</v>
      </c>
      <c r="B4991" t="s">
        <v>13</v>
      </c>
      <c r="C4991">
        <v>11</v>
      </c>
      <c r="D4991" t="s">
        <v>15</v>
      </c>
      <c r="E4991" t="s">
        <v>15</v>
      </c>
      <c r="F4991" t="s">
        <v>15</v>
      </c>
      <c r="G4991" t="s">
        <v>20</v>
      </c>
      <c r="H4991" t="s">
        <v>23</v>
      </c>
      <c r="I4991">
        <v>123.04</v>
      </c>
      <c r="J4991">
        <v>15.9</v>
      </c>
      <c r="K4991" t="s">
        <v>27</v>
      </c>
      <c r="L4991" t="s">
        <v>15</v>
      </c>
    </row>
    <row r="4992" spans="1:12" x14ac:dyDescent="0.3">
      <c r="A4992">
        <v>21743</v>
      </c>
      <c r="B4992" t="s">
        <v>12</v>
      </c>
      <c r="C4992">
        <v>4</v>
      </c>
      <c r="D4992" t="s">
        <v>15</v>
      </c>
      <c r="E4992" t="s">
        <v>15</v>
      </c>
      <c r="F4992" t="s">
        <v>15</v>
      </c>
      <c r="G4992" t="s">
        <v>20</v>
      </c>
      <c r="H4992" t="s">
        <v>22</v>
      </c>
      <c r="I4992">
        <v>85.88</v>
      </c>
      <c r="J4992">
        <v>17.7</v>
      </c>
      <c r="K4992" t="s">
        <v>27</v>
      </c>
      <c r="L4992" t="s">
        <v>15</v>
      </c>
    </row>
    <row r="4993" spans="1:12" x14ac:dyDescent="0.3">
      <c r="A4993">
        <v>25833</v>
      </c>
      <c r="B4993" t="s">
        <v>13</v>
      </c>
      <c r="C4993">
        <v>43</v>
      </c>
      <c r="D4993" t="s">
        <v>15</v>
      </c>
      <c r="E4993" t="s">
        <v>15</v>
      </c>
      <c r="F4993" t="s">
        <v>16</v>
      </c>
      <c r="G4993" t="s">
        <v>17</v>
      </c>
      <c r="H4993" t="s">
        <v>23</v>
      </c>
      <c r="I4993">
        <v>107.43</v>
      </c>
      <c r="J4993">
        <v>26.5</v>
      </c>
      <c r="K4993" t="s">
        <v>25</v>
      </c>
      <c r="L4993" t="s">
        <v>15</v>
      </c>
    </row>
    <row r="4994" spans="1:12" x14ac:dyDescent="0.3">
      <c r="A4994">
        <v>64652</v>
      </c>
      <c r="B4994" t="s">
        <v>13</v>
      </c>
      <c r="C4994">
        <v>44</v>
      </c>
      <c r="D4994" t="s">
        <v>15</v>
      </c>
      <c r="E4994" t="s">
        <v>15</v>
      </c>
      <c r="F4994" t="s">
        <v>16</v>
      </c>
      <c r="G4994" t="s">
        <v>17</v>
      </c>
      <c r="H4994" t="s">
        <v>23</v>
      </c>
      <c r="I4994">
        <v>56.85</v>
      </c>
      <c r="J4994">
        <v>24.4</v>
      </c>
      <c r="K4994" t="s">
        <v>25</v>
      </c>
      <c r="L4994" t="s">
        <v>15</v>
      </c>
    </row>
    <row r="4995" spans="1:12" x14ac:dyDescent="0.3">
      <c r="A4995">
        <v>45710</v>
      </c>
      <c r="B4995" t="s">
        <v>13</v>
      </c>
      <c r="C4995">
        <v>37</v>
      </c>
      <c r="D4995" t="s">
        <v>15</v>
      </c>
      <c r="E4995" t="s">
        <v>15</v>
      </c>
      <c r="F4995" t="s">
        <v>16</v>
      </c>
      <c r="G4995" t="s">
        <v>19</v>
      </c>
      <c r="H4995" t="s">
        <v>23</v>
      </c>
      <c r="I4995">
        <v>102.15</v>
      </c>
      <c r="J4995">
        <v>26.6</v>
      </c>
      <c r="K4995" t="s">
        <v>27</v>
      </c>
      <c r="L4995" t="s">
        <v>15</v>
      </c>
    </row>
    <row r="4996" spans="1:12" x14ac:dyDescent="0.3">
      <c r="A4996">
        <v>27853</v>
      </c>
      <c r="B4996" t="s">
        <v>13</v>
      </c>
      <c r="C4996">
        <v>34</v>
      </c>
      <c r="D4996" t="s">
        <v>15</v>
      </c>
      <c r="E4996" t="s">
        <v>15</v>
      </c>
      <c r="F4996" t="s">
        <v>16</v>
      </c>
      <c r="G4996" t="s">
        <v>18</v>
      </c>
      <c r="H4996" t="s">
        <v>23</v>
      </c>
      <c r="I4996">
        <v>88.68</v>
      </c>
      <c r="J4996">
        <v>23.9</v>
      </c>
      <c r="K4996" t="s">
        <v>25</v>
      </c>
      <c r="L4996" t="s">
        <v>15</v>
      </c>
    </row>
    <row r="4997" spans="1:12" x14ac:dyDescent="0.3">
      <c r="A4997">
        <v>5964</v>
      </c>
      <c r="B4997" t="s">
        <v>13</v>
      </c>
      <c r="C4997">
        <v>59</v>
      </c>
      <c r="D4997" t="s">
        <v>15</v>
      </c>
      <c r="E4997" t="s">
        <v>15</v>
      </c>
      <c r="F4997" t="s">
        <v>16</v>
      </c>
      <c r="G4997" t="s">
        <v>17</v>
      </c>
      <c r="H4997" t="s">
        <v>22</v>
      </c>
      <c r="I4997">
        <v>182.52</v>
      </c>
      <c r="J4997">
        <v>30.1</v>
      </c>
      <c r="K4997" t="s">
        <v>27</v>
      </c>
      <c r="L4997" t="s">
        <v>15</v>
      </c>
    </row>
    <row r="4998" spans="1:12" x14ac:dyDescent="0.3">
      <c r="A4998">
        <v>6976</v>
      </c>
      <c r="B4998" t="s">
        <v>13</v>
      </c>
      <c r="C4998">
        <v>40</v>
      </c>
      <c r="D4998" t="s">
        <v>15</v>
      </c>
      <c r="E4998" t="s">
        <v>15</v>
      </c>
      <c r="F4998" t="s">
        <v>16</v>
      </c>
      <c r="G4998" t="s">
        <v>17</v>
      </c>
      <c r="H4998" t="s">
        <v>22</v>
      </c>
      <c r="I4998">
        <v>93.97</v>
      </c>
      <c r="J4998">
        <v>23.6</v>
      </c>
      <c r="K4998" t="s">
        <v>25</v>
      </c>
      <c r="L4998" t="s">
        <v>15</v>
      </c>
    </row>
    <row r="4999" spans="1:12" x14ac:dyDescent="0.3">
      <c r="A4999">
        <v>11145</v>
      </c>
      <c r="B4999" t="s">
        <v>13</v>
      </c>
      <c r="C4999">
        <v>8</v>
      </c>
      <c r="D4999" t="s">
        <v>15</v>
      </c>
      <c r="E4999" t="s">
        <v>15</v>
      </c>
      <c r="F4999" t="s">
        <v>15</v>
      </c>
      <c r="G4999" t="s">
        <v>20</v>
      </c>
      <c r="H4999" t="s">
        <v>22</v>
      </c>
      <c r="I4999">
        <v>104.03</v>
      </c>
      <c r="J4999">
        <v>18.399999999999999</v>
      </c>
      <c r="K4999" t="s">
        <v>27</v>
      </c>
      <c r="L4999" t="s">
        <v>15</v>
      </c>
    </row>
    <row r="5000" spans="1:12" x14ac:dyDescent="0.3">
      <c r="A5000">
        <v>39229</v>
      </c>
      <c r="B5000" t="s">
        <v>13</v>
      </c>
      <c r="C5000">
        <v>24</v>
      </c>
      <c r="D5000" t="s">
        <v>15</v>
      </c>
      <c r="E5000" t="s">
        <v>15</v>
      </c>
      <c r="F5000" t="s">
        <v>16</v>
      </c>
      <c r="G5000" t="s">
        <v>17</v>
      </c>
      <c r="H5000" t="s">
        <v>23</v>
      </c>
      <c r="I5000">
        <v>67.989999999999995</v>
      </c>
      <c r="J5000">
        <v>32.1</v>
      </c>
      <c r="K5000" t="s">
        <v>25</v>
      </c>
      <c r="L5000" t="s">
        <v>15</v>
      </c>
    </row>
    <row r="5001" spans="1:12" x14ac:dyDescent="0.3">
      <c r="A5001">
        <v>14189</v>
      </c>
      <c r="B5001" t="s">
        <v>12</v>
      </c>
      <c r="C5001">
        <v>18</v>
      </c>
      <c r="D5001" t="s">
        <v>15</v>
      </c>
      <c r="E5001" t="s">
        <v>15</v>
      </c>
      <c r="F5001" t="s">
        <v>15</v>
      </c>
      <c r="G5001" t="s">
        <v>17</v>
      </c>
      <c r="H5001" t="s">
        <v>23</v>
      </c>
      <c r="I5001">
        <v>83.37</v>
      </c>
      <c r="J5001">
        <v>24.4</v>
      </c>
      <c r="K5001" t="s">
        <v>27</v>
      </c>
      <c r="L5001" t="s">
        <v>15</v>
      </c>
    </row>
    <row r="5002" spans="1:12" x14ac:dyDescent="0.3">
      <c r="A5002">
        <v>49929</v>
      </c>
      <c r="B5002" t="s">
        <v>12</v>
      </c>
      <c r="C5002">
        <v>20</v>
      </c>
      <c r="D5002" t="s">
        <v>15</v>
      </c>
      <c r="E5002" t="s">
        <v>15</v>
      </c>
      <c r="F5002" t="s">
        <v>15</v>
      </c>
      <c r="G5002" t="s">
        <v>17</v>
      </c>
      <c r="H5002" t="s">
        <v>23</v>
      </c>
      <c r="I5002">
        <v>124.66</v>
      </c>
      <c r="J5002">
        <v>27.3</v>
      </c>
      <c r="K5002" t="s">
        <v>25</v>
      </c>
      <c r="L5002" t="s">
        <v>15</v>
      </c>
    </row>
    <row r="5003" spans="1:12" x14ac:dyDescent="0.3">
      <c r="A5003">
        <v>56328</v>
      </c>
      <c r="B5003" t="s">
        <v>13</v>
      </c>
      <c r="C5003">
        <v>70</v>
      </c>
      <c r="D5003" t="s">
        <v>15</v>
      </c>
      <c r="E5003" t="s">
        <v>15</v>
      </c>
      <c r="F5003" t="s">
        <v>16</v>
      </c>
      <c r="G5003" t="s">
        <v>17</v>
      </c>
      <c r="H5003" t="s">
        <v>23</v>
      </c>
      <c r="I5003">
        <v>212.87</v>
      </c>
      <c r="J5003">
        <v>34.799999999999997</v>
      </c>
      <c r="K5003" t="s">
        <v>25</v>
      </c>
      <c r="L5003" t="s">
        <v>15</v>
      </c>
    </row>
    <row r="5004" spans="1:12" x14ac:dyDescent="0.3">
      <c r="A5004">
        <v>26742</v>
      </c>
      <c r="B5004" t="s">
        <v>13</v>
      </c>
      <c r="C5004">
        <v>68</v>
      </c>
      <c r="D5004" t="s">
        <v>15</v>
      </c>
      <c r="E5004" t="s">
        <v>15</v>
      </c>
      <c r="F5004" t="s">
        <v>16</v>
      </c>
      <c r="G5004" t="s">
        <v>19</v>
      </c>
      <c r="H5004" t="s">
        <v>22</v>
      </c>
      <c r="I5004">
        <v>96.75</v>
      </c>
      <c r="J5004">
        <v>28.4</v>
      </c>
      <c r="K5004" t="s">
        <v>24</v>
      </c>
      <c r="L5004" t="s">
        <v>15</v>
      </c>
    </row>
    <row r="5005" spans="1:12" x14ac:dyDescent="0.3">
      <c r="A5005">
        <v>63158</v>
      </c>
      <c r="B5005" t="s">
        <v>12</v>
      </c>
      <c r="C5005">
        <v>17</v>
      </c>
      <c r="D5005" t="s">
        <v>15</v>
      </c>
      <c r="E5005" t="s">
        <v>15</v>
      </c>
      <c r="F5005" t="s">
        <v>15</v>
      </c>
      <c r="G5005" t="s">
        <v>17</v>
      </c>
      <c r="H5005" t="s">
        <v>22</v>
      </c>
      <c r="I5005">
        <v>63.28</v>
      </c>
      <c r="J5005">
        <v>40.200000000000003</v>
      </c>
      <c r="K5005" t="s">
        <v>27</v>
      </c>
      <c r="L5005" t="s">
        <v>15</v>
      </c>
    </row>
    <row r="5006" spans="1:12" x14ac:dyDescent="0.3">
      <c r="A5006">
        <v>27435</v>
      </c>
      <c r="B5006" t="s">
        <v>13</v>
      </c>
      <c r="C5006">
        <v>17</v>
      </c>
      <c r="D5006" t="s">
        <v>15</v>
      </c>
      <c r="E5006" t="s">
        <v>15</v>
      </c>
      <c r="F5006" t="s">
        <v>15</v>
      </c>
      <c r="G5006" t="s">
        <v>17</v>
      </c>
      <c r="H5006" t="s">
        <v>22</v>
      </c>
      <c r="I5006">
        <v>82.64</v>
      </c>
      <c r="J5006">
        <v>31.1</v>
      </c>
      <c r="K5006" t="s">
        <v>27</v>
      </c>
      <c r="L5006" t="s">
        <v>15</v>
      </c>
    </row>
    <row r="5007" spans="1:12" x14ac:dyDescent="0.3">
      <c r="A5007">
        <v>10829</v>
      </c>
      <c r="B5007" t="s">
        <v>13</v>
      </c>
      <c r="C5007">
        <v>21</v>
      </c>
      <c r="D5007" t="s">
        <v>15</v>
      </c>
      <c r="E5007" t="s">
        <v>15</v>
      </c>
      <c r="F5007" t="s">
        <v>15</v>
      </c>
      <c r="G5007" t="s">
        <v>17</v>
      </c>
      <c r="H5007" t="s">
        <v>23</v>
      </c>
      <c r="I5007">
        <v>71.34</v>
      </c>
      <c r="J5007">
        <v>24</v>
      </c>
      <c r="K5007" t="s">
        <v>25</v>
      </c>
      <c r="L5007" t="s">
        <v>15</v>
      </c>
    </row>
    <row r="5008" spans="1:12" x14ac:dyDescent="0.3">
      <c r="A5008">
        <v>70593</v>
      </c>
      <c r="B5008" t="s">
        <v>13</v>
      </c>
      <c r="C5008">
        <v>38</v>
      </c>
      <c r="D5008" t="s">
        <v>15</v>
      </c>
      <c r="E5008" t="s">
        <v>15</v>
      </c>
      <c r="F5008" t="s">
        <v>16</v>
      </c>
      <c r="G5008" t="s">
        <v>17</v>
      </c>
      <c r="H5008" t="s">
        <v>23</v>
      </c>
      <c r="I5008">
        <v>183.43</v>
      </c>
      <c r="J5008">
        <v>38.1</v>
      </c>
      <c r="K5008" t="s">
        <v>24</v>
      </c>
      <c r="L5008" t="s">
        <v>15</v>
      </c>
    </row>
    <row r="5009" spans="1:12" x14ac:dyDescent="0.3">
      <c r="A5009">
        <v>42647</v>
      </c>
      <c r="B5009" t="s">
        <v>13</v>
      </c>
      <c r="C5009">
        <v>59</v>
      </c>
      <c r="D5009" t="s">
        <v>15</v>
      </c>
      <c r="E5009" t="s">
        <v>15</v>
      </c>
      <c r="F5009" t="s">
        <v>16</v>
      </c>
      <c r="G5009" t="s">
        <v>19</v>
      </c>
      <c r="H5009" t="s">
        <v>22</v>
      </c>
      <c r="I5009">
        <v>101.19</v>
      </c>
      <c r="J5009">
        <v>29.9</v>
      </c>
      <c r="K5009" t="s">
        <v>24</v>
      </c>
      <c r="L5009" t="s">
        <v>15</v>
      </c>
    </row>
    <row r="5010" spans="1:12" x14ac:dyDescent="0.3">
      <c r="A5010">
        <v>48109</v>
      </c>
      <c r="B5010" t="s">
        <v>13</v>
      </c>
      <c r="C5010">
        <v>79</v>
      </c>
      <c r="D5010" t="s">
        <v>15</v>
      </c>
      <c r="E5010" t="s">
        <v>16</v>
      </c>
      <c r="F5010" t="s">
        <v>16</v>
      </c>
      <c r="G5010" t="s">
        <v>17</v>
      </c>
      <c r="H5010" t="s">
        <v>23</v>
      </c>
      <c r="I5010">
        <v>88.51</v>
      </c>
      <c r="J5010">
        <v>24.5</v>
      </c>
      <c r="K5010" t="s">
        <v>25</v>
      </c>
      <c r="L5010" t="s">
        <v>15</v>
      </c>
    </row>
    <row r="5011" spans="1:12" x14ac:dyDescent="0.3">
      <c r="A5011">
        <v>40732</v>
      </c>
      <c r="B5011" t="s">
        <v>13</v>
      </c>
      <c r="C5011">
        <v>50</v>
      </c>
      <c r="D5011" t="s">
        <v>15</v>
      </c>
      <c r="E5011" t="s">
        <v>15</v>
      </c>
      <c r="F5011" t="s">
        <v>16</v>
      </c>
      <c r="G5011" t="s">
        <v>18</v>
      </c>
      <c r="H5011" t="s">
        <v>23</v>
      </c>
      <c r="I5011">
        <v>126.85</v>
      </c>
      <c r="J5011">
        <v>49.5</v>
      </c>
      <c r="K5011" t="s">
        <v>24</v>
      </c>
      <c r="L5011" t="s">
        <v>15</v>
      </c>
    </row>
    <row r="5012" spans="1:12" x14ac:dyDescent="0.3">
      <c r="A5012">
        <v>58635</v>
      </c>
      <c r="B5012" t="s">
        <v>13</v>
      </c>
      <c r="C5012">
        <v>72</v>
      </c>
      <c r="D5012" t="s">
        <v>15</v>
      </c>
      <c r="E5012" t="s">
        <v>15</v>
      </c>
      <c r="F5012" t="s">
        <v>16</v>
      </c>
      <c r="G5012" t="s">
        <v>18</v>
      </c>
      <c r="H5012" t="s">
        <v>22</v>
      </c>
      <c r="I5012">
        <v>74.17</v>
      </c>
      <c r="J5012">
        <v>35.5</v>
      </c>
      <c r="K5012" t="s">
        <v>24</v>
      </c>
      <c r="L5012" t="s">
        <v>15</v>
      </c>
    </row>
    <row r="5013" spans="1:12" x14ac:dyDescent="0.3">
      <c r="A5013">
        <v>844</v>
      </c>
      <c r="B5013" t="s">
        <v>13</v>
      </c>
      <c r="C5013">
        <v>54</v>
      </c>
      <c r="D5013" t="s">
        <v>15</v>
      </c>
      <c r="E5013" t="s">
        <v>15</v>
      </c>
      <c r="F5013" t="s">
        <v>16</v>
      </c>
      <c r="G5013" t="s">
        <v>17</v>
      </c>
      <c r="H5013" t="s">
        <v>22</v>
      </c>
      <c r="I5013">
        <v>76.040000000000006</v>
      </c>
      <c r="J5013">
        <v>29.5</v>
      </c>
      <c r="K5013" t="s">
        <v>26</v>
      </c>
      <c r="L5013" t="s">
        <v>15</v>
      </c>
    </row>
    <row r="5014" spans="1:12" x14ac:dyDescent="0.3">
      <c r="A5014">
        <v>14688</v>
      </c>
      <c r="B5014" t="s">
        <v>13</v>
      </c>
      <c r="C5014">
        <v>44</v>
      </c>
      <c r="D5014" t="s">
        <v>15</v>
      </c>
      <c r="E5014" t="s">
        <v>15</v>
      </c>
      <c r="F5014" t="s">
        <v>16</v>
      </c>
      <c r="G5014" t="s">
        <v>17</v>
      </c>
      <c r="H5014" t="s">
        <v>22</v>
      </c>
      <c r="I5014">
        <v>73.87</v>
      </c>
      <c r="J5014">
        <v>28.8</v>
      </c>
      <c r="K5014" t="s">
        <v>26</v>
      </c>
      <c r="L5014" t="s">
        <v>15</v>
      </c>
    </row>
    <row r="5015" spans="1:12" x14ac:dyDescent="0.3">
      <c r="A5015">
        <v>23026</v>
      </c>
      <c r="B5015" t="s">
        <v>13</v>
      </c>
      <c r="C5015">
        <v>48</v>
      </c>
      <c r="D5015" t="s">
        <v>15</v>
      </c>
      <c r="E5015" t="s">
        <v>15</v>
      </c>
      <c r="F5015" t="s">
        <v>16</v>
      </c>
      <c r="G5015" t="s">
        <v>17</v>
      </c>
      <c r="H5015" t="s">
        <v>23</v>
      </c>
      <c r="I5015">
        <v>99.07</v>
      </c>
      <c r="J5015">
        <v>22.1</v>
      </c>
      <c r="K5015" t="s">
        <v>25</v>
      </c>
      <c r="L5015" t="s">
        <v>15</v>
      </c>
    </row>
    <row r="5016" spans="1:12" x14ac:dyDescent="0.3">
      <c r="A5016">
        <v>30463</v>
      </c>
      <c r="B5016" t="s">
        <v>12</v>
      </c>
      <c r="C5016">
        <v>29</v>
      </c>
      <c r="D5016" t="s">
        <v>15</v>
      </c>
      <c r="E5016" t="s">
        <v>15</v>
      </c>
      <c r="F5016" t="s">
        <v>15</v>
      </c>
      <c r="G5016" t="s">
        <v>17</v>
      </c>
      <c r="H5016" t="s">
        <v>22</v>
      </c>
      <c r="I5016">
        <v>82.93</v>
      </c>
      <c r="J5016">
        <v>29.4</v>
      </c>
      <c r="K5016" t="s">
        <v>24</v>
      </c>
      <c r="L5016" t="s">
        <v>15</v>
      </c>
    </row>
    <row r="5017" spans="1:12" x14ac:dyDescent="0.3">
      <c r="A5017">
        <v>50140</v>
      </c>
      <c r="B5017" t="s">
        <v>13</v>
      </c>
      <c r="C5017">
        <v>44</v>
      </c>
      <c r="D5017" t="s">
        <v>15</v>
      </c>
      <c r="E5017" t="s">
        <v>15</v>
      </c>
      <c r="F5017" t="s">
        <v>16</v>
      </c>
      <c r="G5017" t="s">
        <v>19</v>
      </c>
      <c r="H5017" t="s">
        <v>23</v>
      </c>
      <c r="I5017">
        <v>133.24</v>
      </c>
      <c r="J5017">
        <v>45</v>
      </c>
      <c r="K5017" t="s">
        <v>26</v>
      </c>
      <c r="L5017" t="s">
        <v>15</v>
      </c>
    </row>
    <row r="5018" spans="1:12" x14ac:dyDescent="0.3">
      <c r="A5018">
        <v>36837</v>
      </c>
      <c r="B5018" t="s">
        <v>13</v>
      </c>
      <c r="C5018">
        <v>61</v>
      </c>
      <c r="D5018" t="s">
        <v>15</v>
      </c>
      <c r="E5018" t="s">
        <v>15</v>
      </c>
      <c r="F5018" t="s">
        <v>16</v>
      </c>
      <c r="G5018" t="s">
        <v>18</v>
      </c>
      <c r="H5018" t="s">
        <v>22</v>
      </c>
      <c r="I5018">
        <v>69.88</v>
      </c>
      <c r="J5018">
        <v>27.1</v>
      </c>
      <c r="K5018" t="s">
        <v>25</v>
      </c>
      <c r="L5018" t="s">
        <v>15</v>
      </c>
    </row>
    <row r="5019" spans="1:12" x14ac:dyDescent="0.3">
      <c r="A5019">
        <v>57333</v>
      </c>
      <c r="B5019" t="s">
        <v>13</v>
      </c>
      <c r="C5019">
        <v>58</v>
      </c>
      <c r="D5019" t="s">
        <v>15</v>
      </c>
      <c r="E5019" t="s">
        <v>15</v>
      </c>
      <c r="F5019" t="s">
        <v>16</v>
      </c>
      <c r="G5019" t="s">
        <v>19</v>
      </c>
      <c r="H5019" t="s">
        <v>23</v>
      </c>
      <c r="I5019">
        <v>69.12</v>
      </c>
      <c r="J5019">
        <v>28.3</v>
      </c>
      <c r="K5019" t="s">
        <v>27</v>
      </c>
      <c r="L5019" t="s">
        <v>15</v>
      </c>
    </row>
    <row r="5020" spans="1:12" x14ac:dyDescent="0.3">
      <c r="A5020">
        <v>19826</v>
      </c>
      <c r="B5020" t="s">
        <v>13</v>
      </c>
      <c r="C5020">
        <v>81</v>
      </c>
      <c r="D5020" t="s">
        <v>15</v>
      </c>
      <c r="E5020" t="s">
        <v>15</v>
      </c>
      <c r="F5020" t="s">
        <v>16</v>
      </c>
      <c r="G5020" t="s">
        <v>18</v>
      </c>
      <c r="H5020" t="s">
        <v>23</v>
      </c>
      <c r="I5020">
        <v>86.05</v>
      </c>
      <c r="J5020">
        <v>20.100000000000001</v>
      </c>
      <c r="K5020" t="s">
        <v>24</v>
      </c>
      <c r="L5020" t="s">
        <v>15</v>
      </c>
    </row>
    <row r="5021" spans="1:12" x14ac:dyDescent="0.3">
      <c r="A5021">
        <v>37713</v>
      </c>
      <c r="B5021" t="s">
        <v>12</v>
      </c>
      <c r="C5021">
        <v>29</v>
      </c>
      <c r="D5021" t="s">
        <v>15</v>
      </c>
      <c r="E5021" t="s">
        <v>15</v>
      </c>
      <c r="F5021" t="s">
        <v>16</v>
      </c>
      <c r="G5021" t="s">
        <v>17</v>
      </c>
      <c r="H5021" t="s">
        <v>22</v>
      </c>
      <c r="I5021">
        <v>185.27</v>
      </c>
      <c r="J5021">
        <v>31.3</v>
      </c>
      <c r="K5021" t="s">
        <v>25</v>
      </c>
      <c r="L5021" t="s">
        <v>15</v>
      </c>
    </row>
    <row r="5022" spans="1:12" x14ac:dyDescent="0.3">
      <c r="A5022">
        <v>6278</v>
      </c>
      <c r="B5022" t="s">
        <v>12</v>
      </c>
      <c r="C5022">
        <v>5</v>
      </c>
      <c r="D5022" t="s">
        <v>15</v>
      </c>
      <c r="E5022" t="s">
        <v>15</v>
      </c>
      <c r="F5022" t="s">
        <v>15</v>
      </c>
      <c r="G5022" t="s">
        <v>20</v>
      </c>
      <c r="H5022" t="s">
        <v>22</v>
      </c>
      <c r="I5022">
        <v>97.46</v>
      </c>
      <c r="J5022">
        <v>17.600000000000001</v>
      </c>
      <c r="K5022" t="s">
        <v>27</v>
      </c>
      <c r="L5022" t="s">
        <v>15</v>
      </c>
    </row>
    <row r="5023" spans="1:12" x14ac:dyDescent="0.3">
      <c r="A5023">
        <v>15517</v>
      </c>
      <c r="B5023" t="s">
        <v>13</v>
      </c>
      <c r="C5023">
        <v>35</v>
      </c>
      <c r="D5023" t="s">
        <v>15</v>
      </c>
      <c r="E5023" t="s">
        <v>15</v>
      </c>
      <c r="F5023" t="s">
        <v>16</v>
      </c>
      <c r="G5023" t="s">
        <v>17</v>
      </c>
      <c r="H5023" t="s">
        <v>22</v>
      </c>
      <c r="I5023">
        <v>81.900000000000006</v>
      </c>
      <c r="J5023">
        <v>24.5</v>
      </c>
      <c r="K5023" t="s">
        <v>25</v>
      </c>
      <c r="L5023" t="s">
        <v>15</v>
      </c>
    </row>
    <row r="5024" spans="1:12" x14ac:dyDescent="0.3">
      <c r="A5024">
        <v>25326</v>
      </c>
      <c r="B5024" t="s">
        <v>13</v>
      </c>
      <c r="C5024">
        <v>40</v>
      </c>
      <c r="D5024" t="s">
        <v>15</v>
      </c>
      <c r="E5024" t="s">
        <v>15</v>
      </c>
      <c r="F5024" t="s">
        <v>15</v>
      </c>
      <c r="G5024" t="s">
        <v>17</v>
      </c>
      <c r="H5024" t="s">
        <v>23</v>
      </c>
      <c r="I5024">
        <v>99.58</v>
      </c>
      <c r="J5024">
        <v>24.1</v>
      </c>
      <c r="K5024" t="s">
        <v>27</v>
      </c>
      <c r="L5024" t="s">
        <v>15</v>
      </c>
    </row>
    <row r="5025" spans="1:12" x14ac:dyDescent="0.3">
      <c r="A5025">
        <v>57034</v>
      </c>
      <c r="B5025" t="s">
        <v>13</v>
      </c>
      <c r="C5025">
        <v>37</v>
      </c>
      <c r="D5025" t="s">
        <v>15</v>
      </c>
      <c r="E5025" t="s">
        <v>15</v>
      </c>
      <c r="F5025" t="s">
        <v>15</v>
      </c>
      <c r="G5025" t="s">
        <v>17</v>
      </c>
      <c r="H5025" t="s">
        <v>23</v>
      </c>
      <c r="I5025">
        <v>124.54</v>
      </c>
      <c r="J5025">
        <v>31.3</v>
      </c>
      <c r="K5025" t="s">
        <v>25</v>
      </c>
      <c r="L5025" t="s">
        <v>15</v>
      </c>
    </row>
    <row r="5026" spans="1:12" x14ac:dyDescent="0.3">
      <c r="A5026">
        <v>70718</v>
      </c>
      <c r="B5026" t="s">
        <v>12</v>
      </c>
      <c r="C5026">
        <v>33</v>
      </c>
      <c r="D5026" t="s">
        <v>15</v>
      </c>
      <c r="E5026" t="s">
        <v>15</v>
      </c>
      <c r="F5026" t="s">
        <v>16</v>
      </c>
      <c r="G5026" t="s">
        <v>17</v>
      </c>
      <c r="H5026" t="s">
        <v>23</v>
      </c>
      <c r="I5026">
        <v>153.34</v>
      </c>
      <c r="J5026">
        <v>31.5</v>
      </c>
      <c r="K5026" t="s">
        <v>25</v>
      </c>
      <c r="L5026" t="s">
        <v>15</v>
      </c>
    </row>
    <row r="5027" spans="1:12" x14ac:dyDescent="0.3">
      <c r="A5027">
        <v>47461</v>
      </c>
      <c r="B5027" t="s">
        <v>13</v>
      </c>
      <c r="C5027">
        <v>35</v>
      </c>
      <c r="D5027" t="s">
        <v>15</v>
      </c>
      <c r="E5027" t="s">
        <v>15</v>
      </c>
      <c r="F5027" t="s">
        <v>16</v>
      </c>
      <c r="G5027" t="s">
        <v>17</v>
      </c>
      <c r="H5027" t="s">
        <v>22</v>
      </c>
      <c r="I5027">
        <v>112.35</v>
      </c>
      <c r="J5027">
        <v>29.9</v>
      </c>
      <c r="K5027" t="s">
        <v>27</v>
      </c>
      <c r="L5027" t="s">
        <v>15</v>
      </c>
    </row>
    <row r="5028" spans="1:12" x14ac:dyDescent="0.3">
      <c r="A5028">
        <v>50091</v>
      </c>
      <c r="B5028" t="s">
        <v>13</v>
      </c>
      <c r="C5028">
        <v>38</v>
      </c>
      <c r="D5028" t="s">
        <v>15</v>
      </c>
      <c r="E5028" t="s">
        <v>15</v>
      </c>
      <c r="F5028" t="s">
        <v>15</v>
      </c>
      <c r="G5028" t="s">
        <v>19</v>
      </c>
      <c r="H5028" t="s">
        <v>22</v>
      </c>
      <c r="I5028">
        <v>160.76</v>
      </c>
      <c r="J5028">
        <v>30.2</v>
      </c>
      <c r="K5028" t="s">
        <v>26</v>
      </c>
      <c r="L5028" t="s">
        <v>15</v>
      </c>
    </row>
    <row r="5029" spans="1:12" x14ac:dyDescent="0.3">
      <c r="A5029">
        <v>62416</v>
      </c>
      <c r="B5029" t="s">
        <v>13</v>
      </c>
      <c r="C5029">
        <v>26</v>
      </c>
      <c r="D5029" t="s">
        <v>15</v>
      </c>
      <c r="E5029" t="s">
        <v>15</v>
      </c>
      <c r="F5029" t="s">
        <v>16</v>
      </c>
      <c r="G5029" t="s">
        <v>17</v>
      </c>
      <c r="H5029" t="s">
        <v>23</v>
      </c>
      <c r="I5029">
        <v>73.290000000000006</v>
      </c>
      <c r="J5029">
        <v>27.8</v>
      </c>
      <c r="K5029" t="s">
        <v>25</v>
      </c>
      <c r="L5029" t="s">
        <v>15</v>
      </c>
    </row>
    <row r="5030" spans="1:12" x14ac:dyDescent="0.3">
      <c r="A5030">
        <v>5288</v>
      </c>
      <c r="B5030" t="s">
        <v>12</v>
      </c>
      <c r="C5030">
        <v>10</v>
      </c>
      <c r="D5030" t="s">
        <v>15</v>
      </c>
      <c r="E5030" t="s">
        <v>15</v>
      </c>
      <c r="F5030" t="s">
        <v>15</v>
      </c>
      <c r="G5030" t="s">
        <v>20</v>
      </c>
      <c r="H5030" t="s">
        <v>22</v>
      </c>
      <c r="I5030">
        <v>108.08</v>
      </c>
      <c r="J5030">
        <v>15.6</v>
      </c>
      <c r="K5030" t="s">
        <v>27</v>
      </c>
      <c r="L5030" t="s">
        <v>15</v>
      </c>
    </row>
    <row r="5031" spans="1:12" x14ac:dyDescent="0.3">
      <c r="A5031">
        <v>66951</v>
      </c>
      <c r="B5031" t="s">
        <v>13</v>
      </c>
      <c r="C5031">
        <v>72</v>
      </c>
      <c r="D5031" t="s">
        <v>15</v>
      </c>
      <c r="E5031" t="s">
        <v>15</v>
      </c>
      <c r="F5031" t="s">
        <v>16</v>
      </c>
      <c r="G5031" t="s">
        <v>17</v>
      </c>
      <c r="H5031" t="s">
        <v>22</v>
      </c>
      <c r="I5031">
        <v>206.49</v>
      </c>
      <c r="J5031">
        <v>26.3</v>
      </c>
      <c r="K5031" t="s">
        <v>25</v>
      </c>
      <c r="L5031" t="s">
        <v>15</v>
      </c>
    </row>
    <row r="5032" spans="1:12" x14ac:dyDescent="0.3">
      <c r="A5032">
        <v>28335</v>
      </c>
      <c r="B5032" t="s">
        <v>12</v>
      </c>
      <c r="C5032">
        <v>21</v>
      </c>
      <c r="D5032" t="s">
        <v>15</v>
      </c>
      <c r="E5032" t="s">
        <v>15</v>
      </c>
      <c r="F5032" t="s">
        <v>16</v>
      </c>
      <c r="G5032" t="s">
        <v>17</v>
      </c>
      <c r="H5032" t="s">
        <v>23</v>
      </c>
      <c r="I5032">
        <v>77.42</v>
      </c>
      <c r="J5032">
        <v>24.8</v>
      </c>
      <c r="K5032" t="s">
        <v>25</v>
      </c>
      <c r="L5032" t="s">
        <v>15</v>
      </c>
    </row>
    <row r="5033" spans="1:12" x14ac:dyDescent="0.3">
      <c r="A5033">
        <v>67465</v>
      </c>
      <c r="B5033" t="s">
        <v>13</v>
      </c>
      <c r="C5033">
        <v>20</v>
      </c>
      <c r="D5033" t="s">
        <v>15</v>
      </c>
      <c r="E5033" t="s">
        <v>15</v>
      </c>
      <c r="F5033" t="s">
        <v>15</v>
      </c>
      <c r="G5033" t="s">
        <v>17</v>
      </c>
      <c r="H5033" t="s">
        <v>23</v>
      </c>
      <c r="I5033">
        <v>117.59</v>
      </c>
      <c r="J5033">
        <v>17.100000000000001</v>
      </c>
      <c r="K5033" t="s">
        <v>25</v>
      </c>
      <c r="L5033" t="s">
        <v>15</v>
      </c>
    </row>
    <row r="5034" spans="1:12" x14ac:dyDescent="0.3">
      <c r="A5034">
        <v>67426</v>
      </c>
      <c r="B5034" t="s">
        <v>13</v>
      </c>
      <c r="C5034">
        <v>1.24</v>
      </c>
      <c r="D5034" t="s">
        <v>15</v>
      </c>
      <c r="E5034" t="s">
        <v>15</v>
      </c>
      <c r="F5034" t="s">
        <v>15</v>
      </c>
      <c r="G5034" t="s">
        <v>20</v>
      </c>
      <c r="H5034" t="s">
        <v>23</v>
      </c>
      <c r="I5034">
        <v>61.94</v>
      </c>
      <c r="J5034">
        <v>20.3</v>
      </c>
      <c r="K5034" t="s">
        <v>27</v>
      </c>
      <c r="L5034" t="s">
        <v>15</v>
      </c>
    </row>
    <row r="5035" spans="1:12" x14ac:dyDescent="0.3">
      <c r="A5035">
        <v>19508</v>
      </c>
      <c r="B5035" t="s">
        <v>13</v>
      </c>
      <c r="C5035">
        <v>26</v>
      </c>
      <c r="D5035" t="s">
        <v>15</v>
      </c>
      <c r="E5035" t="s">
        <v>15</v>
      </c>
      <c r="F5035" t="s">
        <v>15</v>
      </c>
      <c r="G5035" t="s">
        <v>17</v>
      </c>
      <c r="H5035" t="s">
        <v>22</v>
      </c>
      <c r="I5035">
        <v>116.68</v>
      </c>
      <c r="J5035">
        <v>18.7</v>
      </c>
      <c r="K5035" t="s">
        <v>24</v>
      </c>
      <c r="L5035" t="s">
        <v>15</v>
      </c>
    </row>
    <row r="5036" spans="1:12" x14ac:dyDescent="0.3">
      <c r="A5036">
        <v>65405</v>
      </c>
      <c r="B5036" t="s">
        <v>13</v>
      </c>
      <c r="C5036">
        <v>79</v>
      </c>
      <c r="D5036" t="s">
        <v>15</v>
      </c>
      <c r="E5036" t="s">
        <v>15</v>
      </c>
      <c r="F5036" t="s">
        <v>15</v>
      </c>
      <c r="G5036" t="s">
        <v>17</v>
      </c>
      <c r="H5036" t="s">
        <v>22</v>
      </c>
      <c r="I5036">
        <v>253.86</v>
      </c>
      <c r="J5036">
        <v>28.8</v>
      </c>
      <c r="K5036" t="s">
        <v>24</v>
      </c>
      <c r="L5036" t="s">
        <v>15</v>
      </c>
    </row>
    <row r="5037" spans="1:12" x14ac:dyDescent="0.3">
      <c r="A5037">
        <v>49773</v>
      </c>
      <c r="B5037" t="s">
        <v>13</v>
      </c>
      <c r="C5037">
        <v>78</v>
      </c>
      <c r="D5037" t="s">
        <v>15</v>
      </c>
      <c r="E5037" t="s">
        <v>15</v>
      </c>
      <c r="F5037" t="s">
        <v>16</v>
      </c>
      <c r="G5037" t="s">
        <v>17</v>
      </c>
      <c r="H5037" t="s">
        <v>22</v>
      </c>
      <c r="I5037">
        <v>203.36</v>
      </c>
      <c r="J5037">
        <v>28.7</v>
      </c>
      <c r="K5037" t="s">
        <v>24</v>
      </c>
      <c r="L5037" t="s">
        <v>15</v>
      </c>
    </row>
    <row r="5038" spans="1:12" x14ac:dyDescent="0.3">
      <c r="A5038">
        <v>57159</v>
      </c>
      <c r="B5038" t="s">
        <v>12</v>
      </c>
      <c r="C5038">
        <v>56</v>
      </c>
      <c r="D5038" t="s">
        <v>15</v>
      </c>
      <c r="E5038" t="s">
        <v>15</v>
      </c>
      <c r="F5038" t="s">
        <v>16</v>
      </c>
      <c r="G5038" t="s">
        <v>18</v>
      </c>
      <c r="H5038" t="s">
        <v>23</v>
      </c>
      <c r="I5038">
        <v>125.87</v>
      </c>
      <c r="J5038">
        <v>24.6</v>
      </c>
      <c r="K5038" t="s">
        <v>25</v>
      </c>
      <c r="L5038" t="s">
        <v>15</v>
      </c>
    </row>
    <row r="5039" spans="1:12" x14ac:dyDescent="0.3">
      <c r="A5039">
        <v>69710</v>
      </c>
      <c r="B5039" t="s">
        <v>13</v>
      </c>
      <c r="C5039">
        <v>46</v>
      </c>
      <c r="D5039" t="s">
        <v>15</v>
      </c>
      <c r="E5039" t="s">
        <v>15</v>
      </c>
      <c r="F5039" t="s">
        <v>15</v>
      </c>
      <c r="G5039" t="s">
        <v>18</v>
      </c>
      <c r="H5039" t="s">
        <v>23</v>
      </c>
      <c r="I5039">
        <v>64.09</v>
      </c>
      <c r="J5039">
        <v>25.3</v>
      </c>
      <c r="K5039" t="s">
        <v>25</v>
      </c>
      <c r="L5039" t="s">
        <v>15</v>
      </c>
    </row>
    <row r="5040" spans="1:12" x14ac:dyDescent="0.3">
      <c r="A5040">
        <v>58834</v>
      </c>
      <c r="B5040" t="s">
        <v>12</v>
      </c>
      <c r="C5040">
        <v>55</v>
      </c>
      <c r="D5040" t="s">
        <v>15</v>
      </c>
      <c r="E5040" t="s">
        <v>15</v>
      </c>
      <c r="F5040" t="s">
        <v>16</v>
      </c>
      <c r="G5040" t="s">
        <v>19</v>
      </c>
      <c r="H5040" t="s">
        <v>22</v>
      </c>
      <c r="I5040">
        <v>65.33</v>
      </c>
      <c r="J5040">
        <v>29.7</v>
      </c>
      <c r="K5040" t="s">
        <v>27</v>
      </c>
      <c r="L5040" t="s">
        <v>15</v>
      </c>
    </row>
    <row r="5041" spans="1:12" x14ac:dyDescent="0.3">
      <c r="A5041">
        <v>42007</v>
      </c>
      <c r="B5041" t="s">
        <v>12</v>
      </c>
      <c r="C5041">
        <v>41</v>
      </c>
      <c r="D5041" t="s">
        <v>15</v>
      </c>
      <c r="E5041" t="s">
        <v>15</v>
      </c>
      <c r="F5041" t="s">
        <v>15</v>
      </c>
      <c r="G5041" t="s">
        <v>17</v>
      </c>
      <c r="H5041" t="s">
        <v>23</v>
      </c>
      <c r="I5041">
        <v>70.150000000000006</v>
      </c>
      <c r="K5041" t="s">
        <v>24</v>
      </c>
      <c r="L5041" t="s">
        <v>15</v>
      </c>
    </row>
    <row r="5042" spans="1:12" x14ac:dyDescent="0.3">
      <c r="A5042">
        <v>5121</v>
      </c>
      <c r="B5042" t="s">
        <v>12</v>
      </c>
      <c r="C5042">
        <v>30</v>
      </c>
      <c r="D5042" t="s">
        <v>15</v>
      </c>
      <c r="E5042" t="s">
        <v>15</v>
      </c>
      <c r="F5042" t="s">
        <v>16</v>
      </c>
      <c r="G5042" t="s">
        <v>17</v>
      </c>
      <c r="H5042" t="s">
        <v>22</v>
      </c>
      <c r="I5042">
        <v>96.84</v>
      </c>
      <c r="J5042">
        <v>21.1</v>
      </c>
      <c r="K5042" t="s">
        <v>27</v>
      </c>
      <c r="L5042" t="s">
        <v>15</v>
      </c>
    </row>
    <row r="5043" spans="1:12" x14ac:dyDescent="0.3">
      <c r="A5043">
        <v>44878</v>
      </c>
      <c r="B5043" t="s">
        <v>12</v>
      </c>
      <c r="C5043">
        <v>53</v>
      </c>
      <c r="D5043" t="s">
        <v>15</v>
      </c>
      <c r="E5043" t="s">
        <v>15</v>
      </c>
      <c r="F5043" t="s">
        <v>16</v>
      </c>
      <c r="G5043" t="s">
        <v>17</v>
      </c>
      <c r="H5043" t="s">
        <v>23</v>
      </c>
      <c r="I5043">
        <v>175.92</v>
      </c>
      <c r="J5043">
        <v>26.9</v>
      </c>
      <c r="K5043" t="s">
        <v>26</v>
      </c>
      <c r="L5043" t="s">
        <v>15</v>
      </c>
    </row>
    <row r="5044" spans="1:12" x14ac:dyDescent="0.3">
      <c r="A5044">
        <v>40220</v>
      </c>
      <c r="B5044" t="s">
        <v>12</v>
      </c>
      <c r="C5044">
        <v>32</v>
      </c>
      <c r="D5044" t="s">
        <v>15</v>
      </c>
      <c r="E5044" t="s">
        <v>15</v>
      </c>
      <c r="F5044" t="s">
        <v>15</v>
      </c>
      <c r="G5044" t="s">
        <v>17</v>
      </c>
      <c r="H5044" t="s">
        <v>23</v>
      </c>
      <c r="I5044">
        <v>100.65</v>
      </c>
      <c r="J5044">
        <v>26.2</v>
      </c>
      <c r="K5044" t="s">
        <v>24</v>
      </c>
      <c r="L5044" t="s">
        <v>15</v>
      </c>
    </row>
    <row r="5045" spans="1:12" x14ac:dyDescent="0.3">
      <c r="A5045">
        <v>19692</v>
      </c>
      <c r="B5045" t="s">
        <v>12</v>
      </c>
      <c r="C5045">
        <v>38</v>
      </c>
      <c r="D5045" t="s">
        <v>15</v>
      </c>
      <c r="E5045" t="s">
        <v>15</v>
      </c>
      <c r="F5045" t="s">
        <v>15</v>
      </c>
      <c r="G5045" t="s">
        <v>17</v>
      </c>
      <c r="H5045" t="s">
        <v>23</v>
      </c>
      <c r="I5045">
        <v>112.39</v>
      </c>
      <c r="J5045">
        <v>26.3</v>
      </c>
      <c r="K5045" t="s">
        <v>27</v>
      </c>
      <c r="L5045" t="s">
        <v>15</v>
      </c>
    </row>
    <row r="5046" spans="1:12" x14ac:dyDescent="0.3">
      <c r="A5046">
        <v>27616</v>
      </c>
      <c r="B5046" t="s">
        <v>12</v>
      </c>
      <c r="C5046">
        <v>33</v>
      </c>
      <c r="D5046" t="s">
        <v>15</v>
      </c>
      <c r="E5046" t="s">
        <v>15</v>
      </c>
      <c r="F5046" t="s">
        <v>16</v>
      </c>
      <c r="G5046" t="s">
        <v>19</v>
      </c>
      <c r="H5046" t="s">
        <v>23</v>
      </c>
      <c r="I5046">
        <v>81.099999999999994</v>
      </c>
      <c r="J5046">
        <v>24.8</v>
      </c>
      <c r="K5046" t="s">
        <v>25</v>
      </c>
      <c r="L5046" t="s">
        <v>15</v>
      </c>
    </row>
    <row r="5047" spans="1:12" x14ac:dyDescent="0.3">
      <c r="A5047">
        <v>19801</v>
      </c>
      <c r="B5047" t="s">
        <v>13</v>
      </c>
      <c r="C5047">
        <v>44</v>
      </c>
      <c r="D5047" t="s">
        <v>15</v>
      </c>
      <c r="E5047" t="s">
        <v>15</v>
      </c>
      <c r="F5047" t="s">
        <v>16</v>
      </c>
      <c r="G5047" t="s">
        <v>17</v>
      </c>
      <c r="H5047" t="s">
        <v>23</v>
      </c>
      <c r="I5047">
        <v>98.3</v>
      </c>
      <c r="J5047">
        <v>25</v>
      </c>
      <c r="K5047" t="s">
        <v>25</v>
      </c>
      <c r="L5047" t="s">
        <v>15</v>
      </c>
    </row>
    <row r="5048" spans="1:12" x14ac:dyDescent="0.3">
      <c r="A5048">
        <v>21467</v>
      </c>
      <c r="B5048" t="s">
        <v>12</v>
      </c>
      <c r="C5048">
        <v>44</v>
      </c>
      <c r="D5048" t="s">
        <v>15</v>
      </c>
      <c r="E5048" t="s">
        <v>15</v>
      </c>
      <c r="F5048" t="s">
        <v>16</v>
      </c>
      <c r="G5048" t="s">
        <v>17</v>
      </c>
      <c r="H5048" t="s">
        <v>22</v>
      </c>
      <c r="I5048">
        <v>89.68</v>
      </c>
      <c r="J5048">
        <v>34.6</v>
      </c>
      <c r="K5048" t="s">
        <v>27</v>
      </c>
      <c r="L5048" t="s">
        <v>15</v>
      </c>
    </row>
    <row r="5049" spans="1:12" x14ac:dyDescent="0.3">
      <c r="A5049">
        <v>25102</v>
      </c>
      <c r="B5049" t="s">
        <v>13</v>
      </c>
      <c r="C5049">
        <v>51</v>
      </c>
      <c r="D5049" t="s">
        <v>15</v>
      </c>
      <c r="E5049" t="s">
        <v>15</v>
      </c>
      <c r="F5049" t="s">
        <v>16</v>
      </c>
      <c r="G5049" t="s">
        <v>19</v>
      </c>
      <c r="H5049" t="s">
        <v>22</v>
      </c>
      <c r="I5049">
        <v>95.16</v>
      </c>
      <c r="J5049">
        <v>42.7</v>
      </c>
      <c r="K5049" t="s">
        <v>24</v>
      </c>
      <c r="L5049" t="s">
        <v>15</v>
      </c>
    </row>
    <row r="5050" spans="1:12" x14ac:dyDescent="0.3">
      <c r="A5050">
        <v>28788</v>
      </c>
      <c r="B5050" t="s">
        <v>12</v>
      </c>
      <c r="C5050">
        <v>40</v>
      </c>
      <c r="D5050" t="s">
        <v>15</v>
      </c>
      <c r="E5050" t="s">
        <v>15</v>
      </c>
      <c r="F5050" t="s">
        <v>16</v>
      </c>
      <c r="G5050" t="s">
        <v>17</v>
      </c>
      <c r="H5050" t="s">
        <v>22</v>
      </c>
      <c r="I5050">
        <v>191.15</v>
      </c>
      <c r="K5050" t="s">
        <v>26</v>
      </c>
      <c r="L5050" t="s">
        <v>15</v>
      </c>
    </row>
    <row r="5051" spans="1:12" x14ac:dyDescent="0.3">
      <c r="A5051">
        <v>29028</v>
      </c>
      <c r="B5051" t="s">
        <v>13</v>
      </c>
      <c r="C5051">
        <v>41</v>
      </c>
      <c r="D5051" t="s">
        <v>15</v>
      </c>
      <c r="E5051" t="s">
        <v>15</v>
      </c>
      <c r="F5051" t="s">
        <v>16</v>
      </c>
      <c r="G5051" t="s">
        <v>17</v>
      </c>
      <c r="H5051" t="s">
        <v>23</v>
      </c>
      <c r="I5051">
        <v>91.04</v>
      </c>
      <c r="J5051">
        <v>24.5</v>
      </c>
      <c r="K5051" t="s">
        <v>25</v>
      </c>
      <c r="L5051" t="s">
        <v>15</v>
      </c>
    </row>
    <row r="5052" spans="1:12" x14ac:dyDescent="0.3">
      <c r="A5052">
        <v>15581</v>
      </c>
      <c r="B5052" t="s">
        <v>12</v>
      </c>
      <c r="C5052">
        <v>5</v>
      </c>
      <c r="D5052" t="s">
        <v>15</v>
      </c>
      <c r="E5052" t="s">
        <v>15</v>
      </c>
      <c r="F5052" t="s">
        <v>15</v>
      </c>
      <c r="G5052" t="s">
        <v>20</v>
      </c>
      <c r="H5052" t="s">
        <v>22</v>
      </c>
      <c r="I5052">
        <v>101.87</v>
      </c>
      <c r="J5052">
        <v>19.3</v>
      </c>
      <c r="K5052" t="s">
        <v>27</v>
      </c>
      <c r="L5052" t="s">
        <v>15</v>
      </c>
    </row>
    <row r="5053" spans="1:12" x14ac:dyDescent="0.3">
      <c r="A5053">
        <v>16738</v>
      </c>
      <c r="B5053" t="s">
        <v>13</v>
      </c>
      <c r="C5053">
        <v>42</v>
      </c>
      <c r="D5053" t="s">
        <v>15</v>
      </c>
      <c r="E5053" t="s">
        <v>15</v>
      </c>
      <c r="F5053" t="s">
        <v>16</v>
      </c>
      <c r="G5053" t="s">
        <v>17</v>
      </c>
      <c r="H5053" t="s">
        <v>23</v>
      </c>
      <c r="I5053">
        <v>96.86</v>
      </c>
      <c r="J5053">
        <v>29.3</v>
      </c>
      <c r="K5053" t="s">
        <v>25</v>
      </c>
      <c r="L5053" t="s">
        <v>15</v>
      </c>
    </row>
    <row r="5054" spans="1:12" x14ac:dyDescent="0.3">
      <c r="A5054">
        <v>31836</v>
      </c>
      <c r="B5054" t="s">
        <v>13</v>
      </c>
      <c r="C5054">
        <v>6</v>
      </c>
      <c r="D5054" t="s">
        <v>15</v>
      </c>
      <c r="E5054" t="s">
        <v>15</v>
      </c>
      <c r="F5054" t="s">
        <v>15</v>
      </c>
      <c r="G5054" t="s">
        <v>20</v>
      </c>
      <c r="H5054" t="s">
        <v>22</v>
      </c>
      <c r="I5054">
        <v>91.05</v>
      </c>
      <c r="J5054">
        <v>22.1</v>
      </c>
      <c r="K5054" t="s">
        <v>27</v>
      </c>
      <c r="L5054" t="s">
        <v>15</v>
      </c>
    </row>
    <row r="5055" spans="1:12" x14ac:dyDescent="0.3">
      <c r="A5055">
        <v>43496</v>
      </c>
      <c r="B5055" t="s">
        <v>13</v>
      </c>
      <c r="C5055">
        <v>46</v>
      </c>
      <c r="D5055" t="s">
        <v>15</v>
      </c>
      <c r="E5055" t="s">
        <v>15</v>
      </c>
      <c r="F5055" t="s">
        <v>16</v>
      </c>
      <c r="G5055" t="s">
        <v>19</v>
      </c>
      <c r="H5055" t="s">
        <v>22</v>
      </c>
      <c r="I5055">
        <v>55.84</v>
      </c>
      <c r="J5055">
        <v>27.8</v>
      </c>
      <c r="K5055" t="s">
        <v>25</v>
      </c>
      <c r="L5055" t="s">
        <v>15</v>
      </c>
    </row>
    <row r="5056" spans="1:12" x14ac:dyDescent="0.3">
      <c r="A5056">
        <v>52677</v>
      </c>
      <c r="B5056" t="s">
        <v>13</v>
      </c>
      <c r="C5056">
        <v>47</v>
      </c>
      <c r="D5056" t="s">
        <v>15</v>
      </c>
      <c r="E5056" t="s">
        <v>15</v>
      </c>
      <c r="F5056" t="s">
        <v>16</v>
      </c>
      <c r="G5056" t="s">
        <v>17</v>
      </c>
      <c r="H5056" t="s">
        <v>22</v>
      </c>
      <c r="I5056">
        <v>84.04</v>
      </c>
      <c r="J5056">
        <v>24.7</v>
      </c>
      <c r="K5056" t="s">
        <v>25</v>
      </c>
      <c r="L5056" t="s">
        <v>15</v>
      </c>
    </row>
    <row r="5057" spans="1:12" x14ac:dyDescent="0.3">
      <c r="A5057">
        <v>11630</v>
      </c>
      <c r="B5057" t="s">
        <v>13</v>
      </c>
      <c r="C5057">
        <v>25</v>
      </c>
      <c r="D5057" t="s">
        <v>15</v>
      </c>
      <c r="E5057" t="s">
        <v>15</v>
      </c>
      <c r="F5057" t="s">
        <v>15</v>
      </c>
      <c r="G5057" t="s">
        <v>17</v>
      </c>
      <c r="H5057" t="s">
        <v>22</v>
      </c>
      <c r="I5057">
        <v>92.06</v>
      </c>
      <c r="J5057">
        <v>25.3</v>
      </c>
      <c r="K5057" t="s">
        <v>26</v>
      </c>
      <c r="L5057" t="s">
        <v>15</v>
      </c>
    </row>
    <row r="5058" spans="1:12" x14ac:dyDescent="0.3">
      <c r="A5058">
        <v>53478</v>
      </c>
      <c r="B5058" t="s">
        <v>13</v>
      </c>
      <c r="C5058">
        <v>40</v>
      </c>
      <c r="D5058" t="s">
        <v>15</v>
      </c>
      <c r="E5058" t="s">
        <v>15</v>
      </c>
      <c r="F5058" t="s">
        <v>16</v>
      </c>
      <c r="G5058" t="s">
        <v>17</v>
      </c>
      <c r="H5058" t="s">
        <v>22</v>
      </c>
      <c r="I5058">
        <v>89.61</v>
      </c>
      <c r="J5058">
        <v>41.2</v>
      </c>
      <c r="K5058" t="s">
        <v>24</v>
      </c>
      <c r="L5058" t="s">
        <v>15</v>
      </c>
    </row>
    <row r="5059" spans="1:12" x14ac:dyDescent="0.3">
      <c r="A5059">
        <v>38349</v>
      </c>
      <c r="B5059" t="s">
        <v>13</v>
      </c>
      <c r="C5059">
        <v>49</v>
      </c>
      <c r="D5059" t="s">
        <v>15</v>
      </c>
      <c r="E5059" t="s">
        <v>15</v>
      </c>
      <c r="F5059" t="s">
        <v>16</v>
      </c>
      <c r="G5059" t="s">
        <v>19</v>
      </c>
      <c r="H5059" t="s">
        <v>22</v>
      </c>
      <c r="I5059">
        <v>69.92</v>
      </c>
      <c r="J5059">
        <v>47.6</v>
      </c>
      <c r="K5059" t="s">
        <v>25</v>
      </c>
      <c r="L5059" t="s">
        <v>15</v>
      </c>
    </row>
    <row r="5060" spans="1:12" x14ac:dyDescent="0.3">
      <c r="A5060">
        <v>48425</v>
      </c>
      <c r="B5060" t="s">
        <v>12</v>
      </c>
      <c r="C5060">
        <v>21</v>
      </c>
      <c r="D5060" t="s">
        <v>15</v>
      </c>
      <c r="E5060" t="s">
        <v>15</v>
      </c>
      <c r="F5060" t="s">
        <v>15</v>
      </c>
      <c r="G5060" t="s">
        <v>17</v>
      </c>
      <c r="H5060" t="s">
        <v>23</v>
      </c>
      <c r="I5060">
        <v>89.29</v>
      </c>
      <c r="J5060">
        <v>23.4</v>
      </c>
      <c r="K5060" t="s">
        <v>25</v>
      </c>
      <c r="L5060" t="s">
        <v>15</v>
      </c>
    </row>
    <row r="5061" spans="1:12" x14ac:dyDescent="0.3">
      <c r="A5061">
        <v>64420</v>
      </c>
      <c r="B5061" t="s">
        <v>13</v>
      </c>
      <c r="C5061">
        <v>61</v>
      </c>
      <c r="D5061" t="s">
        <v>15</v>
      </c>
      <c r="E5061" t="s">
        <v>15</v>
      </c>
      <c r="F5061" t="s">
        <v>16</v>
      </c>
      <c r="G5061" t="s">
        <v>19</v>
      </c>
      <c r="H5061" t="s">
        <v>23</v>
      </c>
      <c r="I5061">
        <v>120.23</v>
      </c>
      <c r="J5061">
        <v>22.7</v>
      </c>
      <c r="K5061" t="s">
        <v>27</v>
      </c>
      <c r="L5061" t="s">
        <v>15</v>
      </c>
    </row>
    <row r="5062" spans="1:12" x14ac:dyDescent="0.3">
      <c r="A5062">
        <v>60271</v>
      </c>
      <c r="B5062" t="s">
        <v>12</v>
      </c>
      <c r="C5062">
        <v>78</v>
      </c>
      <c r="D5062" t="s">
        <v>15</v>
      </c>
      <c r="E5062" t="s">
        <v>15</v>
      </c>
      <c r="F5062" t="s">
        <v>16</v>
      </c>
      <c r="G5062" t="s">
        <v>17</v>
      </c>
      <c r="H5062" t="s">
        <v>22</v>
      </c>
      <c r="I5062">
        <v>60.22</v>
      </c>
      <c r="J5062">
        <v>29.7</v>
      </c>
      <c r="K5062" t="s">
        <v>24</v>
      </c>
      <c r="L5062" t="s">
        <v>15</v>
      </c>
    </row>
    <row r="5063" spans="1:12" x14ac:dyDescent="0.3">
      <c r="A5063">
        <v>38009</v>
      </c>
      <c r="B5063" t="s">
        <v>12</v>
      </c>
      <c r="C5063">
        <v>41</v>
      </c>
      <c r="D5063" t="s">
        <v>15</v>
      </c>
      <c r="E5063" t="s">
        <v>15</v>
      </c>
      <c r="F5063" t="s">
        <v>16</v>
      </c>
      <c r="G5063" t="s">
        <v>17</v>
      </c>
      <c r="H5063" t="s">
        <v>22</v>
      </c>
      <c r="I5063">
        <v>223.78</v>
      </c>
      <c r="J5063">
        <v>32.299999999999997</v>
      </c>
      <c r="K5063" t="s">
        <v>25</v>
      </c>
      <c r="L5063" t="s">
        <v>15</v>
      </c>
    </row>
    <row r="5064" spans="1:12" x14ac:dyDescent="0.3">
      <c r="A5064">
        <v>11184</v>
      </c>
      <c r="B5064" t="s">
        <v>13</v>
      </c>
      <c r="C5064">
        <v>82</v>
      </c>
      <c r="D5064" t="s">
        <v>15</v>
      </c>
      <c r="E5064" t="s">
        <v>15</v>
      </c>
      <c r="F5064" t="s">
        <v>16</v>
      </c>
      <c r="G5064" t="s">
        <v>18</v>
      </c>
      <c r="H5064" t="s">
        <v>23</v>
      </c>
      <c r="I5064">
        <v>211.58</v>
      </c>
      <c r="J5064">
        <v>36.9</v>
      </c>
      <c r="K5064" t="s">
        <v>25</v>
      </c>
      <c r="L5064" t="s">
        <v>15</v>
      </c>
    </row>
    <row r="5065" spans="1:12" x14ac:dyDescent="0.3">
      <c r="A5065">
        <v>68967</v>
      </c>
      <c r="B5065" t="s">
        <v>12</v>
      </c>
      <c r="C5065">
        <v>39</v>
      </c>
      <c r="D5065" t="s">
        <v>15</v>
      </c>
      <c r="E5065" t="s">
        <v>15</v>
      </c>
      <c r="F5065" t="s">
        <v>16</v>
      </c>
      <c r="G5065" t="s">
        <v>17</v>
      </c>
      <c r="H5065" t="s">
        <v>22</v>
      </c>
      <c r="I5065">
        <v>179.38</v>
      </c>
      <c r="J5065">
        <v>27.7</v>
      </c>
      <c r="K5065" t="s">
        <v>27</v>
      </c>
      <c r="L5065" t="s">
        <v>15</v>
      </c>
    </row>
    <row r="5066" spans="1:12" x14ac:dyDescent="0.3">
      <c r="A5066">
        <v>66684</v>
      </c>
      <c r="B5066" t="s">
        <v>12</v>
      </c>
      <c r="C5066">
        <v>70</v>
      </c>
      <c r="D5066" t="s">
        <v>15</v>
      </c>
      <c r="E5066" t="s">
        <v>15</v>
      </c>
      <c r="F5066" t="s">
        <v>16</v>
      </c>
      <c r="G5066" t="s">
        <v>18</v>
      </c>
      <c r="H5066" t="s">
        <v>23</v>
      </c>
      <c r="I5066">
        <v>193.88</v>
      </c>
      <c r="J5066">
        <v>24.3</v>
      </c>
      <c r="K5066" t="s">
        <v>27</v>
      </c>
      <c r="L5066" t="s">
        <v>15</v>
      </c>
    </row>
    <row r="5067" spans="1:12" x14ac:dyDescent="0.3">
      <c r="A5067">
        <v>7789</v>
      </c>
      <c r="B5067" t="s">
        <v>13</v>
      </c>
      <c r="C5067">
        <v>31</v>
      </c>
      <c r="D5067" t="s">
        <v>15</v>
      </c>
      <c r="E5067" t="s">
        <v>15</v>
      </c>
      <c r="F5067" t="s">
        <v>16</v>
      </c>
      <c r="G5067" t="s">
        <v>17</v>
      </c>
      <c r="H5067" t="s">
        <v>22</v>
      </c>
      <c r="I5067">
        <v>89.01</v>
      </c>
      <c r="J5067">
        <v>37.4</v>
      </c>
      <c r="K5067" t="s">
        <v>25</v>
      </c>
      <c r="L5067" t="s">
        <v>15</v>
      </c>
    </row>
    <row r="5068" spans="1:12" x14ac:dyDescent="0.3">
      <c r="A5068">
        <v>40112</v>
      </c>
      <c r="B5068" t="s">
        <v>13</v>
      </c>
      <c r="C5068">
        <v>37</v>
      </c>
      <c r="D5068" t="s">
        <v>15</v>
      </c>
      <c r="E5068" t="s">
        <v>15</v>
      </c>
      <c r="F5068" t="s">
        <v>15</v>
      </c>
      <c r="G5068" t="s">
        <v>17</v>
      </c>
      <c r="H5068" t="s">
        <v>22</v>
      </c>
      <c r="I5068">
        <v>118.41</v>
      </c>
      <c r="J5068">
        <v>25.1</v>
      </c>
      <c r="K5068" t="s">
        <v>25</v>
      </c>
      <c r="L5068" t="s">
        <v>15</v>
      </c>
    </row>
    <row r="5069" spans="1:12" x14ac:dyDescent="0.3">
      <c r="A5069">
        <v>65814</v>
      </c>
      <c r="B5069" t="s">
        <v>12</v>
      </c>
      <c r="C5069">
        <v>21</v>
      </c>
      <c r="D5069" t="s">
        <v>15</v>
      </c>
      <c r="E5069" t="s">
        <v>15</v>
      </c>
      <c r="F5069" t="s">
        <v>15</v>
      </c>
      <c r="G5069" t="s">
        <v>17</v>
      </c>
      <c r="H5069" t="s">
        <v>22</v>
      </c>
      <c r="I5069">
        <v>138.51</v>
      </c>
      <c r="J5069">
        <v>24.3</v>
      </c>
      <c r="K5069" t="s">
        <v>25</v>
      </c>
      <c r="L5069" t="s">
        <v>15</v>
      </c>
    </row>
    <row r="5070" spans="1:12" x14ac:dyDescent="0.3">
      <c r="A5070">
        <v>49598</v>
      </c>
      <c r="B5070" t="s">
        <v>12</v>
      </c>
      <c r="C5070">
        <v>80</v>
      </c>
      <c r="D5070" t="s">
        <v>15</v>
      </c>
      <c r="E5070" t="s">
        <v>15</v>
      </c>
      <c r="F5070" t="s">
        <v>16</v>
      </c>
      <c r="G5070" t="s">
        <v>18</v>
      </c>
      <c r="H5070" t="s">
        <v>22</v>
      </c>
      <c r="I5070">
        <v>120.03</v>
      </c>
      <c r="J5070">
        <v>24.3</v>
      </c>
      <c r="K5070" t="s">
        <v>24</v>
      </c>
      <c r="L5070" t="s">
        <v>15</v>
      </c>
    </row>
    <row r="5071" spans="1:12" x14ac:dyDescent="0.3">
      <c r="A5071">
        <v>15599</v>
      </c>
      <c r="B5071" t="s">
        <v>13</v>
      </c>
      <c r="C5071">
        <v>21</v>
      </c>
      <c r="D5071" t="s">
        <v>15</v>
      </c>
      <c r="E5071" t="s">
        <v>15</v>
      </c>
      <c r="F5071" t="s">
        <v>15</v>
      </c>
      <c r="G5071" t="s">
        <v>17</v>
      </c>
      <c r="H5071" t="s">
        <v>22</v>
      </c>
      <c r="I5071">
        <v>91.01</v>
      </c>
      <c r="J5071">
        <v>28.7</v>
      </c>
      <c r="K5071" t="s">
        <v>25</v>
      </c>
      <c r="L5071" t="s">
        <v>15</v>
      </c>
    </row>
    <row r="5072" spans="1:12" x14ac:dyDescent="0.3">
      <c r="A5072">
        <v>62425</v>
      </c>
      <c r="B5072" t="s">
        <v>13</v>
      </c>
      <c r="C5072">
        <v>5</v>
      </c>
      <c r="D5072" t="s">
        <v>15</v>
      </c>
      <c r="E5072" t="s">
        <v>15</v>
      </c>
      <c r="F5072" t="s">
        <v>15</v>
      </c>
      <c r="G5072" t="s">
        <v>20</v>
      </c>
      <c r="H5072" t="s">
        <v>22</v>
      </c>
      <c r="I5072">
        <v>61.98</v>
      </c>
      <c r="J5072">
        <v>16.8</v>
      </c>
      <c r="K5072" t="s">
        <v>27</v>
      </c>
      <c r="L5072" t="s">
        <v>15</v>
      </c>
    </row>
    <row r="5073" spans="1:12" x14ac:dyDescent="0.3">
      <c r="A5073">
        <v>52652</v>
      </c>
      <c r="B5073" t="s">
        <v>12</v>
      </c>
      <c r="C5073">
        <v>81</v>
      </c>
      <c r="D5073" t="s">
        <v>15</v>
      </c>
      <c r="E5073" t="s">
        <v>15</v>
      </c>
      <c r="F5073" t="s">
        <v>16</v>
      </c>
      <c r="G5073" t="s">
        <v>17</v>
      </c>
      <c r="H5073" t="s">
        <v>23</v>
      </c>
      <c r="I5073">
        <v>135.32</v>
      </c>
      <c r="J5073">
        <v>35.799999999999997</v>
      </c>
      <c r="K5073" t="s">
        <v>27</v>
      </c>
      <c r="L5073" t="s">
        <v>15</v>
      </c>
    </row>
    <row r="5074" spans="1:12" x14ac:dyDescent="0.3">
      <c r="A5074">
        <v>71957</v>
      </c>
      <c r="B5074" t="s">
        <v>13</v>
      </c>
      <c r="C5074">
        <v>35</v>
      </c>
      <c r="D5074" t="s">
        <v>15</v>
      </c>
      <c r="E5074" t="s">
        <v>15</v>
      </c>
      <c r="F5074" t="s">
        <v>16</v>
      </c>
      <c r="G5074" t="s">
        <v>17</v>
      </c>
      <c r="H5074" t="s">
        <v>23</v>
      </c>
      <c r="I5074">
        <v>58.72</v>
      </c>
      <c r="J5074">
        <v>40</v>
      </c>
      <c r="K5074" t="s">
        <v>26</v>
      </c>
      <c r="L5074" t="s">
        <v>15</v>
      </c>
    </row>
    <row r="5075" spans="1:12" x14ac:dyDescent="0.3">
      <c r="A5075">
        <v>17231</v>
      </c>
      <c r="B5075" t="s">
        <v>13</v>
      </c>
      <c r="C5075">
        <v>24</v>
      </c>
      <c r="D5075" t="s">
        <v>15</v>
      </c>
      <c r="E5075" t="s">
        <v>15</v>
      </c>
      <c r="F5075" t="s">
        <v>15</v>
      </c>
      <c r="G5075" t="s">
        <v>17</v>
      </c>
      <c r="H5075" t="s">
        <v>22</v>
      </c>
      <c r="I5075">
        <v>90.42</v>
      </c>
      <c r="J5075">
        <v>24.3</v>
      </c>
      <c r="K5075" t="s">
        <v>25</v>
      </c>
      <c r="L5075" t="s">
        <v>15</v>
      </c>
    </row>
    <row r="5076" spans="1:12" x14ac:dyDescent="0.3">
      <c r="A5076">
        <v>30379</v>
      </c>
      <c r="B5076" t="s">
        <v>13</v>
      </c>
      <c r="C5076">
        <v>52</v>
      </c>
      <c r="D5076" t="s">
        <v>15</v>
      </c>
      <c r="E5076" t="s">
        <v>15</v>
      </c>
      <c r="F5076" t="s">
        <v>16</v>
      </c>
      <c r="G5076" t="s">
        <v>19</v>
      </c>
      <c r="H5076" t="s">
        <v>22</v>
      </c>
      <c r="I5076">
        <v>104</v>
      </c>
      <c r="J5076">
        <v>25.6</v>
      </c>
      <c r="K5076" t="s">
        <v>26</v>
      </c>
      <c r="L5076" t="s">
        <v>15</v>
      </c>
    </row>
    <row r="5077" spans="1:12" x14ac:dyDescent="0.3">
      <c r="A5077">
        <v>63997</v>
      </c>
      <c r="B5077" t="s">
        <v>12</v>
      </c>
      <c r="C5077">
        <v>70</v>
      </c>
      <c r="D5077" t="s">
        <v>15</v>
      </c>
      <c r="E5077" t="s">
        <v>15</v>
      </c>
      <c r="F5077" t="s">
        <v>16</v>
      </c>
      <c r="G5077" t="s">
        <v>17</v>
      </c>
      <c r="H5077" t="s">
        <v>22</v>
      </c>
      <c r="I5077">
        <v>102.5</v>
      </c>
      <c r="J5077">
        <v>37.799999999999997</v>
      </c>
      <c r="K5077" t="s">
        <v>27</v>
      </c>
      <c r="L5077" t="s">
        <v>15</v>
      </c>
    </row>
    <row r="5078" spans="1:12" x14ac:dyDescent="0.3">
      <c r="A5078">
        <v>39935</v>
      </c>
      <c r="B5078" t="s">
        <v>13</v>
      </c>
      <c r="C5078">
        <v>34</v>
      </c>
      <c r="D5078" t="s">
        <v>15</v>
      </c>
      <c r="E5078" t="s">
        <v>15</v>
      </c>
      <c r="F5078" t="s">
        <v>16</v>
      </c>
      <c r="G5078" t="s">
        <v>17</v>
      </c>
      <c r="H5078" t="s">
        <v>23</v>
      </c>
      <c r="I5078">
        <v>174.37</v>
      </c>
      <c r="J5078">
        <v>23</v>
      </c>
      <c r="K5078" t="s">
        <v>25</v>
      </c>
      <c r="L5078" t="s">
        <v>15</v>
      </c>
    </row>
    <row r="5079" spans="1:12" x14ac:dyDescent="0.3">
      <c r="A5079">
        <v>8203</v>
      </c>
      <c r="B5079" t="s">
        <v>12</v>
      </c>
      <c r="C5079">
        <v>17</v>
      </c>
      <c r="D5079" t="s">
        <v>15</v>
      </c>
      <c r="E5079" t="s">
        <v>15</v>
      </c>
      <c r="F5079" t="s">
        <v>15</v>
      </c>
      <c r="G5079" t="s">
        <v>17</v>
      </c>
      <c r="H5079" t="s">
        <v>23</v>
      </c>
      <c r="I5079">
        <v>106.56</v>
      </c>
      <c r="J5079">
        <v>21</v>
      </c>
      <c r="K5079" t="s">
        <v>27</v>
      </c>
      <c r="L5079" t="s">
        <v>15</v>
      </c>
    </row>
    <row r="5080" spans="1:12" x14ac:dyDescent="0.3">
      <c r="A5080">
        <v>27446</v>
      </c>
      <c r="B5080" t="s">
        <v>13</v>
      </c>
      <c r="C5080">
        <v>8</v>
      </c>
      <c r="D5080" t="s">
        <v>15</v>
      </c>
      <c r="E5080" t="s">
        <v>15</v>
      </c>
      <c r="F5080" t="s">
        <v>15</v>
      </c>
      <c r="G5080" t="s">
        <v>20</v>
      </c>
      <c r="H5080" t="s">
        <v>22</v>
      </c>
      <c r="I5080">
        <v>76.31</v>
      </c>
      <c r="J5080">
        <v>15.5</v>
      </c>
      <c r="K5080" t="s">
        <v>27</v>
      </c>
      <c r="L5080" t="s">
        <v>15</v>
      </c>
    </row>
    <row r="5081" spans="1:12" x14ac:dyDescent="0.3">
      <c r="A5081">
        <v>42709</v>
      </c>
      <c r="B5081" t="s">
        <v>12</v>
      </c>
      <c r="C5081">
        <v>1.72</v>
      </c>
      <c r="D5081" t="s">
        <v>15</v>
      </c>
      <c r="E5081" t="s">
        <v>15</v>
      </c>
      <c r="F5081" t="s">
        <v>15</v>
      </c>
      <c r="G5081" t="s">
        <v>20</v>
      </c>
      <c r="H5081" t="s">
        <v>22</v>
      </c>
      <c r="I5081">
        <v>77.28</v>
      </c>
      <c r="J5081">
        <v>17.100000000000001</v>
      </c>
      <c r="K5081" t="s">
        <v>27</v>
      </c>
      <c r="L5081" t="s">
        <v>15</v>
      </c>
    </row>
    <row r="5082" spans="1:12" x14ac:dyDescent="0.3">
      <c r="A5082">
        <v>22691</v>
      </c>
      <c r="B5082" t="s">
        <v>13</v>
      </c>
      <c r="C5082">
        <v>29</v>
      </c>
      <c r="D5082" t="s">
        <v>15</v>
      </c>
      <c r="E5082" t="s">
        <v>15</v>
      </c>
      <c r="F5082" t="s">
        <v>16</v>
      </c>
      <c r="G5082" t="s">
        <v>18</v>
      </c>
      <c r="H5082" t="s">
        <v>22</v>
      </c>
      <c r="I5082">
        <v>90.52</v>
      </c>
      <c r="J5082">
        <v>28</v>
      </c>
      <c r="K5082" t="s">
        <v>25</v>
      </c>
      <c r="L5082" t="s">
        <v>15</v>
      </c>
    </row>
    <row r="5083" spans="1:12" x14ac:dyDescent="0.3">
      <c r="A5083">
        <v>37680</v>
      </c>
      <c r="B5083" t="s">
        <v>12</v>
      </c>
      <c r="C5083">
        <v>55</v>
      </c>
      <c r="D5083" t="s">
        <v>15</v>
      </c>
      <c r="E5083" t="s">
        <v>15</v>
      </c>
      <c r="F5083" t="s">
        <v>16</v>
      </c>
      <c r="G5083" t="s">
        <v>19</v>
      </c>
      <c r="H5083" t="s">
        <v>23</v>
      </c>
      <c r="I5083">
        <v>108.35</v>
      </c>
      <c r="J5083">
        <v>40.799999999999997</v>
      </c>
      <c r="K5083" t="s">
        <v>24</v>
      </c>
      <c r="L5083" t="s">
        <v>15</v>
      </c>
    </row>
    <row r="5084" spans="1:12" x14ac:dyDescent="0.3">
      <c r="A5084">
        <v>24552</v>
      </c>
      <c r="B5084" t="s">
        <v>13</v>
      </c>
      <c r="C5084">
        <v>44</v>
      </c>
      <c r="D5084" t="s">
        <v>15</v>
      </c>
      <c r="E5084" t="s">
        <v>15</v>
      </c>
      <c r="F5084" t="s">
        <v>16</v>
      </c>
      <c r="G5084" t="s">
        <v>17</v>
      </c>
      <c r="H5084" t="s">
        <v>23</v>
      </c>
      <c r="I5084">
        <v>72.03</v>
      </c>
      <c r="J5084">
        <v>37.5</v>
      </c>
      <c r="K5084" t="s">
        <v>26</v>
      </c>
      <c r="L5084" t="s">
        <v>15</v>
      </c>
    </row>
    <row r="5085" spans="1:12" x14ac:dyDescent="0.3">
      <c r="A5085">
        <v>72914</v>
      </c>
      <c r="B5085" t="s">
        <v>13</v>
      </c>
      <c r="C5085">
        <v>19</v>
      </c>
      <c r="D5085" t="s">
        <v>15</v>
      </c>
      <c r="E5085" t="s">
        <v>15</v>
      </c>
      <c r="F5085" t="s">
        <v>15</v>
      </c>
      <c r="G5085" t="s">
        <v>17</v>
      </c>
      <c r="H5085" t="s">
        <v>22</v>
      </c>
      <c r="I5085">
        <v>90.57</v>
      </c>
      <c r="J5085">
        <v>24.2</v>
      </c>
      <c r="K5085" t="s">
        <v>27</v>
      </c>
      <c r="L5085" t="s">
        <v>15</v>
      </c>
    </row>
    <row r="5086" spans="1:12" x14ac:dyDescent="0.3">
      <c r="A5086">
        <v>29540</v>
      </c>
      <c r="B5086" t="s">
        <v>12</v>
      </c>
      <c r="C5086">
        <v>67</v>
      </c>
      <c r="D5086" t="s">
        <v>15</v>
      </c>
      <c r="E5086" t="s">
        <v>15</v>
      </c>
      <c r="F5086" t="s">
        <v>16</v>
      </c>
      <c r="G5086" t="s">
        <v>17</v>
      </c>
      <c r="H5086" t="s">
        <v>23</v>
      </c>
      <c r="I5086">
        <v>97.04</v>
      </c>
      <c r="J5086">
        <v>26.9</v>
      </c>
      <c r="K5086" t="s">
        <v>26</v>
      </c>
      <c r="L5086" t="s">
        <v>15</v>
      </c>
    </row>
    <row r="5087" spans="1:12" x14ac:dyDescent="0.3">
      <c r="A5087">
        <v>53525</v>
      </c>
      <c r="B5087" t="s">
        <v>13</v>
      </c>
      <c r="C5087">
        <v>72</v>
      </c>
      <c r="D5087" t="s">
        <v>15</v>
      </c>
      <c r="E5087" t="s">
        <v>15</v>
      </c>
      <c r="F5087" t="s">
        <v>16</v>
      </c>
      <c r="G5087" t="s">
        <v>17</v>
      </c>
      <c r="H5087" t="s">
        <v>22</v>
      </c>
      <c r="I5087">
        <v>83.89</v>
      </c>
      <c r="J5087">
        <v>33.1</v>
      </c>
      <c r="K5087" t="s">
        <v>24</v>
      </c>
      <c r="L5087" t="s">
        <v>15</v>
      </c>
    </row>
    <row r="5088" spans="1:12" x14ac:dyDescent="0.3">
      <c r="A5088">
        <v>65411</v>
      </c>
      <c r="B5088" t="s">
        <v>13</v>
      </c>
      <c r="C5088">
        <v>51</v>
      </c>
      <c r="D5088" t="s">
        <v>15</v>
      </c>
      <c r="E5088" t="s">
        <v>15</v>
      </c>
      <c r="F5088" t="s">
        <v>16</v>
      </c>
      <c r="G5088" t="s">
        <v>17</v>
      </c>
      <c r="H5088" t="s">
        <v>22</v>
      </c>
      <c r="I5088">
        <v>152.56</v>
      </c>
      <c r="J5088">
        <v>21.8</v>
      </c>
      <c r="K5088" t="s">
        <v>27</v>
      </c>
      <c r="L5088" t="s">
        <v>15</v>
      </c>
    </row>
    <row r="5089" spans="1:12" x14ac:dyDescent="0.3">
      <c r="A5089">
        <v>26214</v>
      </c>
      <c r="B5089" t="s">
        <v>13</v>
      </c>
      <c r="C5089">
        <v>63</v>
      </c>
      <c r="D5089" t="s">
        <v>15</v>
      </c>
      <c r="E5089" t="s">
        <v>15</v>
      </c>
      <c r="F5089" t="s">
        <v>16</v>
      </c>
      <c r="G5089" t="s">
        <v>18</v>
      </c>
      <c r="H5089" t="s">
        <v>23</v>
      </c>
      <c r="I5089">
        <v>75.930000000000007</v>
      </c>
      <c r="J5089">
        <v>34.700000000000003</v>
      </c>
      <c r="K5089" t="s">
        <v>24</v>
      </c>
      <c r="L5089" t="s">
        <v>15</v>
      </c>
    </row>
    <row r="5090" spans="1:12" x14ac:dyDescent="0.3">
      <c r="A5090">
        <v>22190</v>
      </c>
      <c r="B5090" t="s">
        <v>13</v>
      </c>
      <c r="C5090">
        <v>64</v>
      </c>
      <c r="D5090" t="s">
        <v>16</v>
      </c>
      <c r="E5090" t="s">
        <v>15</v>
      </c>
      <c r="F5090" t="s">
        <v>16</v>
      </c>
      <c r="G5090" t="s">
        <v>18</v>
      </c>
      <c r="H5090" t="s">
        <v>22</v>
      </c>
      <c r="I5090">
        <v>76.89</v>
      </c>
      <c r="J5090">
        <v>30.2</v>
      </c>
      <c r="K5090" t="s">
        <v>27</v>
      </c>
      <c r="L5090" t="s">
        <v>15</v>
      </c>
    </row>
    <row r="5091" spans="1:12" x14ac:dyDescent="0.3">
      <c r="A5091">
        <v>56714</v>
      </c>
      <c r="B5091" t="s">
        <v>13</v>
      </c>
      <c r="C5091">
        <v>0.72</v>
      </c>
      <c r="D5091" t="s">
        <v>15</v>
      </c>
      <c r="E5091" t="s">
        <v>15</v>
      </c>
      <c r="F5091" t="s">
        <v>15</v>
      </c>
      <c r="G5091" t="s">
        <v>20</v>
      </c>
      <c r="H5091" t="s">
        <v>23</v>
      </c>
      <c r="I5091">
        <v>62.13</v>
      </c>
      <c r="J5091">
        <v>16.8</v>
      </c>
      <c r="K5091" t="s">
        <v>27</v>
      </c>
      <c r="L5091" t="s">
        <v>15</v>
      </c>
    </row>
    <row r="5092" spans="1:12" x14ac:dyDescent="0.3">
      <c r="A5092">
        <v>4211</v>
      </c>
      <c r="B5092" t="s">
        <v>12</v>
      </c>
      <c r="C5092">
        <v>26</v>
      </c>
      <c r="D5092" t="s">
        <v>15</v>
      </c>
      <c r="E5092" t="s">
        <v>15</v>
      </c>
      <c r="F5092" t="s">
        <v>15</v>
      </c>
      <c r="G5092" t="s">
        <v>19</v>
      </c>
      <c r="H5092" t="s">
        <v>23</v>
      </c>
      <c r="I5092">
        <v>100.85</v>
      </c>
      <c r="J5092">
        <v>21</v>
      </c>
      <c r="K5092" t="s">
        <v>26</v>
      </c>
      <c r="L5092" t="s">
        <v>15</v>
      </c>
    </row>
    <row r="5093" spans="1:12" x14ac:dyDescent="0.3">
      <c r="A5093">
        <v>6369</v>
      </c>
      <c r="B5093" t="s">
        <v>12</v>
      </c>
      <c r="C5093">
        <v>59</v>
      </c>
      <c r="D5093" t="s">
        <v>16</v>
      </c>
      <c r="E5093" t="s">
        <v>15</v>
      </c>
      <c r="F5093" t="s">
        <v>16</v>
      </c>
      <c r="G5093" t="s">
        <v>17</v>
      </c>
      <c r="H5093" t="s">
        <v>23</v>
      </c>
      <c r="I5093">
        <v>95.05</v>
      </c>
      <c r="J5093">
        <v>30.9</v>
      </c>
      <c r="K5093" t="s">
        <v>25</v>
      </c>
      <c r="L5093" t="s">
        <v>15</v>
      </c>
    </row>
    <row r="5094" spans="1:12" x14ac:dyDescent="0.3">
      <c r="A5094">
        <v>56799</v>
      </c>
      <c r="B5094" t="s">
        <v>12</v>
      </c>
      <c r="C5094">
        <v>76</v>
      </c>
      <c r="D5094" t="s">
        <v>15</v>
      </c>
      <c r="E5094" t="s">
        <v>15</v>
      </c>
      <c r="F5094" t="s">
        <v>16</v>
      </c>
      <c r="G5094" t="s">
        <v>19</v>
      </c>
      <c r="H5094" t="s">
        <v>22</v>
      </c>
      <c r="I5094">
        <v>82.35</v>
      </c>
      <c r="J5094">
        <v>38.9</v>
      </c>
      <c r="K5094" t="s">
        <v>25</v>
      </c>
      <c r="L5094" t="s">
        <v>15</v>
      </c>
    </row>
    <row r="5095" spans="1:12" x14ac:dyDescent="0.3">
      <c r="A5095">
        <v>32235</v>
      </c>
      <c r="B5095" t="s">
        <v>13</v>
      </c>
      <c r="C5095">
        <v>45</v>
      </c>
      <c r="D5095" t="s">
        <v>16</v>
      </c>
      <c r="E5095" t="s">
        <v>15</v>
      </c>
      <c r="F5095" t="s">
        <v>16</v>
      </c>
      <c r="G5095" t="s">
        <v>19</v>
      </c>
      <c r="H5095" t="s">
        <v>23</v>
      </c>
      <c r="I5095">
        <v>95.02</v>
      </c>
      <c r="K5095" t="s">
        <v>26</v>
      </c>
      <c r="L5095" t="s">
        <v>15</v>
      </c>
    </row>
    <row r="5096" spans="1:12" x14ac:dyDescent="0.3">
      <c r="A5096">
        <v>28048</v>
      </c>
      <c r="B5096" t="s">
        <v>12</v>
      </c>
      <c r="C5096">
        <v>13</v>
      </c>
      <c r="D5096" t="s">
        <v>15</v>
      </c>
      <c r="E5096" t="s">
        <v>15</v>
      </c>
      <c r="F5096" t="s">
        <v>15</v>
      </c>
      <c r="G5096" t="s">
        <v>20</v>
      </c>
      <c r="H5096" t="s">
        <v>22</v>
      </c>
      <c r="I5096">
        <v>82.38</v>
      </c>
      <c r="J5096">
        <v>24.3</v>
      </c>
      <c r="K5096" t="s">
        <v>27</v>
      </c>
      <c r="L5096" t="s">
        <v>15</v>
      </c>
    </row>
    <row r="5097" spans="1:12" x14ac:dyDescent="0.3">
      <c r="A5097">
        <v>68598</v>
      </c>
      <c r="B5097" t="s">
        <v>12</v>
      </c>
      <c r="C5097">
        <v>1.08</v>
      </c>
      <c r="D5097" t="s">
        <v>15</v>
      </c>
      <c r="E5097" t="s">
        <v>15</v>
      </c>
      <c r="F5097" t="s">
        <v>15</v>
      </c>
      <c r="G5097" t="s">
        <v>20</v>
      </c>
      <c r="H5097" t="s">
        <v>23</v>
      </c>
      <c r="I5097">
        <v>79.150000000000006</v>
      </c>
      <c r="J5097">
        <v>17.399999999999999</v>
      </c>
      <c r="K5097" t="s">
        <v>27</v>
      </c>
      <c r="L5097" t="s">
        <v>15</v>
      </c>
    </row>
    <row r="5098" spans="1:12" x14ac:dyDescent="0.3">
      <c r="A5098">
        <v>41512</v>
      </c>
      <c r="B5098" t="s">
        <v>12</v>
      </c>
      <c r="C5098">
        <v>57</v>
      </c>
      <c r="D5098" t="s">
        <v>15</v>
      </c>
      <c r="E5098" t="s">
        <v>15</v>
      </c>
      <c r="F5098" t="s">
        <v>16</v>
      </c>
      <c r="G5098" t="s">
        <v>19</v>
      </c>
      <c r="H5098" t="s">
        <v>23</v>
      </c>
      <c r="I5098">
        <v>76.62</v>
      </c>
      <c r="J5098">
        <v>28.2</v>
      </c>
      <c r="K5098" t="s">
        <v>25</v>
      </c>
      <c r="L5098" t="s">
        <v>15</v>
      </c>
    </row>
    <row r="5099" spans="1:12" x14ac:dyDescent="0.3">
      <c r="A5099">
        <v>64520</v>
      </c>
      <c r="B5099" t="s">
        <v>12</v>
      </c>
      <c r="C5099">
        <v>68</v>
      </c>
      <c r="D5099" t="s">
        <v>15</v>
      </c>
      <c r="E5099" t="s">
        <v>15</v>
      </c>
      <c r="F5099" t="s">
        <v>16</v>
      </c>
      <c r="G5099" t="s">
        <v>18</v>
      </c>
      <c r="H5099" t="s">
        <v>22</v>
      </c>
      <c r="I5099">
        <v>91.68</v>
      </c>
      <c r="J5099">
        <v>40.799999999999997</v>
      </c>
      <c r="K5099" t="s">
        <v>27</v>
      </c>
      <c r="L5099" t="s">
        <v>15</v>
      </c>
    </row>
    <row r="5100" spans="1:12" x14ac:dyDescent="0.3">
      <c r="A5100">
        <v>579</v>
      </c>
      <c r="B5100" t="s">
        <v>12</v>
      </c>
      <c r="C5100">
        <v>9</v>
      </c>
      <c r="D5100" t="s">
        <v>15</v>
      </c>
      <c r="E5100" t="s">
        <v>15</v>
      </c>
      <c r="F5100" t="s">
        <v>15</v>
      </c>
      <c r="G5100" t="s">
        <v>20</v>
      </c>
      <c r="H5100" t="s">
        <v>22</v>
      </c>
      <c r="I5100">
        <v>71.88</v>
      </c>
      <c r="J5100">
        <v>17.5</v>
      </c>
      <c r="K5100" t="s">
        <v>27</v>
      </c>
      <c r="L5100" t="s">
        <v>15</v>
      </c>
    </row>
    <row r="5101" spans="1:12" x14ac:dyDescent="0.3">
      <c r="A5101">
        <v>7293</v>
      </c>
      <c r="B5101" t="s">
        <v>12</v>
      </c>
      <c r="C5101">
        <v>40</v>
      </c>
      <c r="D5101" t="s">
        <v>15</v>
      </c>
      <c r="E5101" t="s">
        <v>15</v>
      </c>
      <c r="F5101" t="s">
        <v>16</v>
      </c>
      <c r="G5101" t="s">
        <v>17</v>
      </c>
      <c r="H5101" t="s">
        <v>23</v>
      </c>
      <c r="I5101">
        <v>83.94</v>
      </c>
      <c r="K5101" t="s">
        <v>26</v>
      </c>
      <c r="L5101" t="s">
        <v>15</v>
      </c>
    </row>
    <row r="5102" spans="1:12" x14ac:dyDescent="0.3">
      <c r="A5102">
        <v>68398</v>
      </c>
      <c r="B5102" t="s">
        <v>12</v>
      </c>
      <c r="C5102">
        <v>82</v>
      </c>
      <c r="D5102" t="s">
        <v>16</v>
      </c>
      <c r="E5102" t="s">
        <v>15</v>
      </c>
      <c r="F5102" t="s">
        <v>16</v>
      </c>
      <c r="G5102" t="s">
        <v>18</v>
      </c>
      <c r="H5102" t="s">
        <v>23</v>
      </c>
      <c r="I5102">
        <v>71.97</v>
      </c>
      <c r="J5102">
        <v>28.3</v>
      </c>
      <c r="K5102" t="s">
        <v>25</v>
      </c>
      <c r="L5102" t="s">
        <v>15</v>
      </c>
    </row>
    <row r="5103" spans="1:12" x14ac:dyDescent="0.3">
      <c r="A5103">
        <v>36901</v>
      </c>
      <c r="B5103" t="s">
        <v>13</v>
      </c>
      <c r="C5103">
        <v>45</v>
      </c>
      <c r="D5103" t="s">
        <v>15</v>
      </c>
      <c r="E5103" t="s">
        <v>15</v>
      </c>
      <c r="F5103" t="s">
        <v>16</v>
      </c>
      <c r="G5103" t="s">
        <v>17</v>
      </c>
      <c r="H5103" t="s">
        <v>22</v>
      </c>
      <c r="I5103">
        <v>97.95</v>
      </c>
      <c r="J5103">
        <v>24.5</v>
      </c>
      <c r="K5103" t="s">
        <v>27</v>
      </c>
      <c r="L5103" t="s">
        <v>15</v>
      </c>
    </row>
    <row r="5104" spans="1:12" x14ac:dyDescent="0.3">
      <c r="A5104">
        <v>45010</v>
      </c>
      <c r="B5104" t="s">
        <v>13</v>
      </c>
      <c r="C5104">
        <v>57</v>
      </c>
      <c r="D5104" t="s">
        <v>15</v>
      </c>
      <c r="E5104" t="s">
        <v>15</v>
      </c>
      <c r="F5104" t="s">
        <v>16</v>
      </c>
      <c r="G5104" t="s">
        <v>17</v>
      </c>
      <c r="H5104" t="s">
        <v>23</v>
      </c>
      <c r="I5104">
        <v>77.930000000000007</v>
      </c>
      <c r="J5104">
        <v>21.7</v>
      </c>
      <c r="K5104" t="s">
        <v>25</v>
      </c>
      <c r="L5104" t="s">
        <v>15</v>
      </c>
    </row>
    <row r="5105" spans="1:12" x14ac:dyDescent="0.3">
      <c r="A5105">
        <v>22127</v>
      </c>
      <c r="B5105" t="s">
        <v>13</v>
      </c>
      <c r="C5105">
        <v>18</v>
      </c>
      <c r="D5105" t="s">
        <v>15</v>
      </c>
      <c r="E5105" t="s">
        <v>15</v>
      </c>
      <c r="F5105" t="s">
        <v>15</v>
      </c>
      <c r="G5105" t="s">
        <v>17</v>
      </c>
      <c r="H5105" t="s">
        <v>22</v>
      </c>
      <c r="I5105">
        <v>82.85</v>
      </c>
      <c r="J5105">
        <v>46.9</v>
      </c>
      <c r="K5105" t="s">
        <v>27</v>
      </c>
      <c r="L5105" t="s">
        <v>15</v>
      </c>
    </row>
    <row r="5106" spans="1:12" x14ac:dyDescent="0.3">
      <c r="A5106">
        <v>14180</v>
      </c>
      <c r="B5106" t="s">
        <v>13</v>
      </c>
      <c r="C5106">
        <v>13</v>
      </c>
      <c r="D5106" t="s">
        <v>15</v>
      </c>
      <c r="E5106" t="s">
        <v>15</v>
      </c>
      <c r="F5106" t="s">
        <v>15</v>
      </c>
      <c r="G5106" t="s">
        <v>20</v>
      </c>
      <c r="H5106" t="s">
        <v>23</v>
      </c>
      <c r="I5106">
        <v>103.08</v>
      </c>
      <c r="J5106">
        <v>18.600000000000001</v>
      </c>
      <c r="K5106" t="s">
        <v>27</v>
      </c>
      <c r="L5106" t="s">
        <v>15</v>
      </c>
    </row>
    <row r="5107" spans="1:12" x14ac:dyDescent="0.3">
      <c r="A5107">
        <v>18234</v>
      </c>
      <c r="B5107" t="s">
        <v>13</v>
      </c>
      <c r="C5107">
        <v>80</v>
      </c>
      <c r="D5107" t="s">
        <v>16</v>
      </c>
      <c r="E5107" t="s">
        <v>15</v>
      </c>
      <c r="F5107" t="s">
        <v>16</v>
      </c>
      <c r="G5107" t="s">
        <v>17</v>
      </c>
      <c r="H5107" t="s">
        <v>22</v>
      </c>
      <c r="I5107">
        <v>83.75</v>
      </c>
      <c r="K5107" t="s">
        <v>25</v>
      </c>
      <c r="L5107" t="s">
        <v>15</v>
      </c>
    </row>
    <row r="5108" spans="1:12" x14ac:dyDescent="0.3">
      <c r="A5108">
        <v>44873</v>
      </c>
      <c r="B5108" t="s">
        <v>13</v>
      </c>
      <c r="C5108">
        <v>81</v>
      </c>
      <c r="D5108" t="s">
        <v>15</v>
      </c>
      <c r="E5108" t="s">
        <v>15</v>
      </c>
      <c r="F5108" t="s">
        <v>16</v>
      </c>
      <c r="G5108" t="s">
        <v>18</v>
      </c>
      <c r="H5108" t="s">
        <v>22</v>
      </c>
      <c r="I5108">
        <v>125.2</v>
      </c>
      <c r="J5108">
        <v>40</v>
      </c>
      <c r="K5108" t="s">
        <v>25</v>
      </c>
      <c r="L5108" t="s">
        <v>15</v>
      </c>
    </row>
    <row r="5109" spans="1:12" x14ac:dyDescent="0.3">
      <c r="A5109">
        <v>19723</v>
      </c>
      <c r="B5109" t="s">
        <v>13</v>
      </c>
      <c r="C5109">
        <v>35</v>
      </c>
      <c r="D5109" t="s">
        <v>15</v>
      </c>
      <c r="E5109" t="s">
        <v>15</v>
      </c>
      <c r="F5109" t="s">
        <v>16</v>
      </c>
      <c r="G5109" t="s">
        <v>18</v>
      </c>
      <c r="H5109" t="s">
        <v>23</v>
      </c>
      <c r="I5109">
        <v>82.99</v>
      </c>
      <c r="J5109">
        <v>30.6</v>
      </c>
      <c r="K5109" t="s">
        <v>25</v>
      </c>
      <c r="L5109" t="s">
        <v>15</v>
      </c>
    </row>
    <row r="5110" spans="1:12" x14ac:dyDescent="0.3">
      <c r="A5110">
        <v>37544</v>
      </c>
      <c r="B5110" t="s">
        <v>12</v>
      </c>
      <c r="C5110">
        <v>51</v>
      </c>
      <c r="D5110" t="s">
        <v>15</v>
      </c>
      <c r="E5110" t="s">
        <v>15</v>
      </c>
      <c r="F5110" t="s">
        <v>16</v>
      </c>
      <c r="G5110" t="s">
        <v>17</v>
      </c>
      <c r="H5110" t="s">
        <v>23</v>
      </c>
      <c r="I5110">
        <v>166.29</v>
      </c>
      <c r="J5110">
        <v>25.6</v>
      </c>
      <c r="K5110" t="s">
        <v>24</v>
      </c>
      <c r="L5110" t="s">
        <v>15</v>
      </c>
    </row>
    <row r="5111" spans="1:12" x14ac:dyDescent="0.3">
      <c r="A5111">
        <v>44679</v>
      </c>
      <c r="B5111" t="s">
        <v>13</v>
      </c>
      <c r="C5111">
        <v>44</v>
      </c>
      <c r="D5111" t="s">
        <v>15</v>
      </c>
      <c r="E5111" t="s">
        <v>15</v>
      </c>
      <c r="F5111" t="s">
        <v>16</v>
      </c>
      <c r="G5111" t="s">
        <v>19</v>
      </c>
      <c r="H5111" t="s">
        <v>22</v>
      </c>
      <c r="I5111">
        <v>85.28</v>
      </c>
      <c r="J5111">
        <v>26.2</v>
      </c>
      <c r="K5111" t="s">
        <v>27</v>
      </c>
      <c r="L5111" t="s">
        <v>15</v>
      </c>
    </row>
  </sheetData>
  <mergeCells count="1">
    <mergeCell ref="S4:T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D0F6-655D-4B7B-B4A7-4C15A817D571}">
  <dimension ref="A1:Y5112"/>
  <sheetViews>
    <sheetView tabSelected="1" topLeftCell="D13" zoomScale="70" zoomScaleNormal="70" workbookViewId="0">
      <selection activeCell="T27" sqref="T27"/>
    </sheetView>
  </sheetViews>
  <sheetFormatPr defaultRowHeight="14.4" x14ac:dyDescent="0.3"/>
  <cols>
    <col min="10" max="10" width="12" bestFit="1" customWidth="1"/>
    <col min="14" max="14" width="12" bestFit="1" customWidth="1"/>
    <col min="25" max="25" width="12.5546875" bestFit="1" customWidth="1"/>
  </cols>
  <sheetData>
    <row r="1" spans="1:20" ht="15" thickBot="1" x14ac:dyDescent="0.35">
      <c r="A1" s="1" t="s">
        <v>2</v>
      </c>
      <c r="B1" s="1" t="s">
        <v>8</v>
      </c>
      <c r="C1" s="4" t="s">
        <v>63</v>
      </c>
      <c r="D1" s="4" t="s">
        <v>64</v>
      </c>
      <c r="E1" s="4" t="s">
        <v>65</v>
      </c>
      <c r="F1" s="4" t="s">
        <v>74</v>
      </c>
    </row>
    <row r="2" spans="1:20" x14ac:dyDescent="0.3">
      <c r="A2">
        <v>67</v>
      </c>
      <c r="B2">
        <v>228.69</v>
      </c>
      <c r="C2">
        <f>A2*B2</f>
        <v>15322.23</v>
      </c>
      <c r="D2">
        <f>A2*A2</f>
        <v>4489</v>
      </c>
      <c r="E2">
        <f>B2*B2</f>
        <v>52299.116099999999</v>
      </c>
      <c r="F2">
        <f>A2^2</f>
        <v>4489</v>
      </c>
      <c r="H2" t="s">
        <v>38</v>
      </c>
      <c r="R2" s="6"/>
      <c r="S2" s="6" t="s">
        <v>2</v>
      </c>
      <c r="T2" s="6" t="s">
        <v>8</v>
      </c>
    </row>
    <row r="3" spans="1:20" ht="15" thickBot="1" x14ac:dyDescent="0.35">
      <c r="A3">
        <v>61</v>
      </c>
      <c r="B3">
        <v>202.21</v>
      </c>
      <c r="C3">
        <f t="shared" ref="C3:C66" si="0">A3*B3</f>
        <v>12334.810000000001</v>
      </c>
      <c r="D3">
        <f t="shared" ref="D3:D66" si="1">A3*A3</f>
        <v>3721</v>
      </c>
      <c r="E3">
        <f t="shared" ref="E3:E66" si="2">B3*B3</f>
        <v>40888.884100000003</v>
      </c>
      <c r="F3">
        <f t="shared" ref="F3:F66" si="3">A3^2</f>
        <v>3721</v>
      </c>
      <c r="R3" t="s">
        <v>2</v>
      </c>
      <c r="S3">
        <v>1</v>
      </c>
    </row>
    <row r="4" spans="1:20" ht="15" thickBot="1" x14ac:dyDescent="0.35">
      <c r="A4">
        <v>80</v>
      </c>
      <c r="B4">
        <v>105.92</v>
      </c>
      <c r="C4">
        <f t="shared" si="0"/>
        <v>8473.6</v>
      </c>
      <c r="D4">
        <f t="shared" si="1"/>
        <v>6400</v>
      </c>
      <c r="E4">
        <f t="shared" si="2"/>
        <v>11219.046400000001</v>
      </c>
      <c r="F4">
        <f t="shared" si="3"/>
        <v>6400</v>
      </c>
      <c r="H4" s="9" t="s">
        <v>39</v>
      </c>
      <c r="I4" s="9"/>
      <c r="R4" s="5" t="s">
        <v>8</v>
      </c>
      <c r="S4" s="5">
        <v>0.23817111410174246</v>
      </c>
      <c r="T4" s="5">
        <v>1</v>
      </c>
    </row>
    <row r="5" spans="1:20" x14ac:dyDescent="0.3">
      <c r="A5">
        <v>49</v>
      </c>
      <c r="B5">
        <v>171.23</v>
      </c>
      <c r="C5">
        <f t="shared" si="0"/>
        <v>8390.2699999999986</v>
      </c>
      <c r="D5">
        <f t="shared" si="1"/>
        <v>2401</v>
      </c>
      <c r="E5">
        <f t="shared" si="2"/>
        <v>29319.712899999995</v>
      </c>
      <c r="F5">
        <f t="shared" si="3"/>
        <v>2401</v>
      </c>
      <c r="H5" t="s">
        <v>40</v>
      </c>
      <c r="I5">
        <v>0.23781038165281668</v>
      </c>
    </row>
    <row r="6" spans="1:20" x14ac:dyDescent="0.3">
      <c r="A6">
        <v>79</v>
      </c>
      <c r="B6">
        <v>174.12</v>
      </c>
      <c r="C6">
        <f t="shared" si="0"/>
        <v>13755.48</v>
      </c>
      <c r="D6">
        <f t="shared" si="1"/>
        <v>6241</v>
      </c>
      <c r="E6">
        <f t="shared" si="2"/>
        <v>30317.774400000002</v>
      </c>
      <c r="F6">
        <f t="shared" si="3"/>
        <v>6241</v>
      </c>
      <c r="H6" t="s">
        <v>41</v>
      </c>
      <c r="I6">
        <v>5.6553777621858328E-2</v>
      </c>
    </row>
    <row r="7" spans="1:20" x14ac:dyDescent="0.3">
      <c r="A7">
        <v>81</v>
      </c>
      <c r="B7">
        <v>186.21</v>
      </c>
      <c r="C7">
        <f t="shared" si="0"/>
        <v>15083.01</v>
      </c>
      <c r="D7">
        <f t="shared" si="1"/>
        <v>6561</v>
      </c>
      <c r="E7">
        <f t="shared" si="2"/>
        <v>34674.164100000002</v>
      </c>
      <c r="F7">
        <f t="shared" si="3"/>
        <v>6561</v>
      </c>
      <c r="H7" t="s">
        <v>42</v>
      </c>
      <c r="I7">
        <v>5.636904172556341E-2</v>
      </c>
    </row>
    <row r="8" spans="1:20" x14ac:dyDescent="0.3">
      <c r="A8">
        <v>74</v>
      </c>
      <c r="B8">
        <v>70.09</v>
      </c>
      <c r="C8">
        <f t="shared" si="0"/>
        <v>5186.66</v>
      </c>
      <c r="D8">
        <f t="shared" si="1"/>
        <v>5476</v>
      </c>
      <c r="E8">
        <f t="shared" si="2"/>
        <v>4912.6081000000004</v>
      </c>
      <c r="F8">
        <f t="shared" si="3"/>
        <v>5476</v>
      </c>
      <c r="H8" t="s">
        <v>43</v>
      </c>
      <c r="I8">
        <v>43.961512535461885</v>
      </c>
    </row>
    <row r="9" spans="1:20" ht="15" thickBot="1" x14ac:dyDescent="0.35">
      <c r="A9">
        <v>69</v>
      </c>
      <c r="B9">
        <v>94.39</v>
      </c>
      <c r="C9">
        <f t="shared" si="0"/>
        <v>6512.91</v>
      </c>
      <c r="D9">
        <f t="shared" si="1"/>
        <v>4761</v>
      </c>
      <c r="E9">
        <f t="shared" si="2"/>
        <v>8909.4721000000009</v>
      </c>
      <c r="F9">
        <f t="shared" si="3"/>
        <v>4761</v>
      </c>
      <c r="H9" s="5" t="s">
        <v>44</v>
      </c>
      <c r="I9" s="5">
        <v>5109</v>
      </c>
    </row>
    <row r="10" spans="1:20" x14ac:dyDescent="0.3">
      <c r="A10">
        <v>59</v>
      </c>
      <c r="B10">
        <v>76.150000000000006</v>
      </c>
      <c r="C10">
        <f t="shared" si="0"/>
        <v>4492.8500000000004</v>
      </c>
      <c r="D10">
        <f t="shared" si="1"/>
        <v>3481</v>
      </c>
      <c r="E10">
        <f t="shared" si="2"/>
        <v>5798.8225000000011</v>
      </c>
      <c r="F10">
        <f t="shared" si="3"/>
        <v>3481</v>
      </c>
    </row>
    <row r="11" spans="1:20" ht="15" thickBot="1" x14ac:dyDescent="0.35">
      <c r="A11">
        <v>78</v>
      </c>
      <c r="B11">
        <v>58.57</v>
      </c>
      <c r="C11">
        <f t="shared" si="0"/>
        <v>4568.46</v>
      </c>
      <c r="D11">
        <f t="shared" si="1"/>
        <v>6084</v>
      </c>
      <c r="E11">
        <f t="shared" si="2"/>
        <v>3430.4449</v>
      </c>
      <c r="F11">
        <f t="shared" si="3"/>
        <v>6084</v>
      </c>
      <c r="H11" t="s">
        <v>45</v>
      </c>
    </row>
    <row r="12" spans="1:20" x14ac:dyDescent="0.3">
      <c r="A12">
        <v>81</v>
      </c>
      <c r="B12">
        <v>80.430000000000007</v>
      </c>
      <c r="C12">
        <f t="shared" si="0"/>
        <v>6514.8300000000008</v>
      </c>
      <c r="D12">
        <f t="shared" si="1"/>
        <v>6561</v>
      </c>
      <c r="E12">
        <f t="shared" si="2"/>
        <v>6468.9849000000013</v>
      </c>
      <c r="F12">
        <f t="shared" si="3"/>
        <v>6561</v>
      </c>
      <c r="H12" s="6"/>
      <c r="I12" s="6" t="s">
        <v>50</v>
      </c>
      <c r="J12" s="6" t="s">
        <v>51</v>
      </c>
      <c r="K12" s="6" t="s">
        <v>52</v>
      </c>
      <c r="L12" s="6" t="s">
        <v>53</v>
      </c>
      <c r="M12" s="6" t="s">
        <v>54</v>
      </c>
    </row>
    <row r="13" spans="1:20" x14ac:dyDescent="0.3">
      <c r="A13">
        <v>61</v>
      </c>
      <c r="B13">
        <v>120.46</v>
      </c>
      <c r="C13">
        <f t="shared" si="0"/>
        <v>7348.0599999999995</v>
      </c>
      <c r="D13">
        <f t="shared" si="1"/>
        <v>3721</v>
      </c>
      <c r="E13">
        <f t="shared" si="2"/>
        <v>14510.611599999998</v>
      </c>
      <c r="F13">
        <f t="shared" si="3"/>
        <v>3721</v>
      </c>
      <c r="H13" t="s">
        <v>46</v>
      </c>
      <c r="I13">
        <v>1</v>
      </c>
      <c r="J13">
        <v>591637.34621856548</v>
      </c>
      <c r="K13">
        <v>591637.34621856548</v>
      </c>
      <c r="L13">
        <v>306.13312710797919</v>
      </c>
      <c r="M13">
        <v>1.2895570665579051E-66</v>
      </c>
    </row>
    <row r="14" spans="1:20" x14ac:dyDescent="0.3">
      <c r="A14">
        <v>54</v>
      </c>
      <c r="B14">
        <v>104.51</v>
      </c>
      <c r="C14">
        <f t="shared" si="0"/>
        <v>5643.54</v>
      </c>
      <c r="D14">
        <f t="shared" si="1"/>
        <v>2916</v>
      </c>
      <c r="E14">
        <f t="shared" si="2"/>
        <v>10922.340100000001</v>
      </c>
      <c r="F14">
        <f t="shared" si="3"/>
        <v>2916</v>
      </c>
      <c r="H14" t="s">
        <v>47</v>
      </c>
      <c r="I14">
        <v>5107</v>
      </c>
      <c r="J14">
        <v>9869862.6825592574</v>
      </c>
      <c r="K14">
        <v>1932.6145844055723</v>
      </c>
    </row>
    <row r="15" spans="1:20" ht="15" thickBot="1" x14ac:dyDescent="0.35">
      <c r="A15">
        <v>78</v>
      </c>
      <c r="B15">
        <v>219.84</v>
      </c>
      <c r="C15">
        <f t="shared" si="0"/>
        <v>17147.52</v>
      </c>
      <c r="D15">
        <f t="shared" si="1"/>
        <v>6084</v>
      </c>
      <c r="E15">
        <f t="shared" si="2"/>
        <v>48329.625599999999</v>
      </c>
      <c r="F15">
        <f t="shared" si="3"/>
        <v>6084</v>
      </c>
      <c r="H15" s="5" t="s">
        <v>48</v>
      </c>
      <c r="I15" s="5">
        <v>5108</v>
      </c>
      <c r="J15" s="5">
        <v>10461500.028777823</v>
      </c>
      <c r="K15" s="5"/>
      <c r="L15" s="5"/>
      <c r="M15" s="5"/>
    </row>
    <row r="16" spans="1:20" ht="15" thickBot="1" x14ac:dyDescent="0.35">
      <c r="A16">
        <v>79</v>
      </c>
      <c r="B16">
        <v>214.09</v>
      </c>
      <c r="C16">
        <f t="shared" si="0"/>
        <v>16913.11</v>
      </c>
      <c r="D16">
        <f t="shared" si="1"/>
        <v>6241</v>
      </c>
      <c r="E16">
        <f t="shared" si="2"/>
        <v>45834.528100000003</v>
      </c>
      <c r="F16">
        <f t="shared" si="3"/>
        <v>6241</v>
      </c>
    </row>
    <row r="17" spans="1:16" x14ac:dyDescent="0.3">
      <c r="A17">
        <v>50</v>
      </c>
      <c r="B17">
        <v>167.41</v>
      </c>
      <c r="C17">
        <f t="shared" si="0"/>
        <v>8370.5</v>
      </c>
      <c r="D17">
        <f t="shared" si="1"/>
        <v>2500</v>
      </c>
      <c r="E17">
        <f t="shared" si="2"/>
        <v>28026.108099999998</v>
      </c>
      <c r="F17">
        <f t="shared" si="3"/>
        <v>2500</v>
      </c>
      <c r="H17" s="6"/>
      <c r="I17" s="6" t="s">
        <v>55</v>
      </c>
      <c r="J17" s="6" t="s">
        <v>43</v>
      </c>
      <c r="K17" s="6" t="s">
        <v>56</v>
      </c>
      <c r="L17" s="6" t="s">
        <v>57</v>
      </c>
      <c r="M17" s="6" t="s">
        <v>58</v>
      </c>
      <c r="N17" s="6" t="s">
        <v>59</v>
      </c>
      <c r="O17" s="6" t="s">
        <v>60</v>
      </c>
      <c r="P17" s="6" t="s">
        <v>61</v>
      </c>
    </row>
    <row r="18" spans="1:16" x14ac:dyDescent="0.3">
      <c r="A18">
        <v>64</v>
      </c>
      <c r="B18">
        <v>191.61</v>
      </c>
      <c r="C18">
        <f t="shared" si="0"/>
        <v>12263.04</v>
      </c>
      <c r="D18">
        <f t="shared" si="1"/>
        <v>4096</v>
      </c>
      <c r="E18">
        <f t="shared" si="2"/>
        <v>36714.392100000005</v>
      </c>
      <c r="F18">
        <f t="shared" si="3"/>
        <v>4096</v>
      </c>
      <c r="H18" t="s">
        <v>49</v>
      </c>
      <c r="I18">
        <v>85.552478418978183</v>
      </c>
      <c r="J18">
        <v>1.3268757714848036</v>
      </c>
      <c r="K18">
        <v>64.476630184635184</v>
      </c>
      <c r="L18">
        <v>0</v>
      </c>
      <c r="M18">
        <v>82.951233199378066</v>
      </c>
      <c r="N18">
        <v>88.153723638578299</v>
      </c>
      <c r="O18">
        <v>82.951233199378066</v>
      </c>
      <c r="P18">
        <v>88.153723638578299</v>
      </c>
    </row>
    <row r="19" spans="1:16" ht="15" thickBot="1" x14ac:dyDescent="0.35">
      <c r="A19">
        <v>75</v>
      </c>
      <c r="B19">
        <v>221.29</v>
      </c>
      <c r="C19">
        <f t="shared" si="0"/>
        <v>16596.75</v>
      </c>
      <c r="D19">
        <f t="shared" si="1"/>
        <v>5625</v>
      </c>
      <c r="E19">
        <f t="shared" si="2"/>
        <v>48969.264099999993</v>
      </c>
      <c r="F19">
        <f t="shared" si="3"/>
        <v>5625</v>
      </c>
      <c r="H19" s="5">
        <v>67</v>
      </c>
      <c r="I19" s="5">
        <v>0.47594353688027696</v>
      </c>
      <c r="J19" s="5">
        <v>2.7201964516640698E-2</v>
      </c>
      <c r="K19" s="5">
        <v>17.496660455869662</v>
      </c>
      <c r="L19" s="5">
        <v>1.2895570665494099E-66</v>
      </c>
      <c r="M19" s="5">
        <v>0.42261602749071081</v>
      </c>
      <c r="N19" s="5">
        <v>0.52927104626984312</v>
      </c>
      <c r="O19" s="5">
        <v>0.42261602749071081</v>
      </c>
      <c r="P19" s="5">
        <v>0.52927104626984312</v>
      </c>
    </row>
    <row r="20" spans="1:16" x14ac:dyDescent="0.3">
      <c r="A20">
        <v>60</v>
      </c>
      <c r="B20">
        <v>89.22</v>
      </c>
      <c r="C20">
        <f t="shared" si="0"/>
        <v>5353.2</v>
      </c>
      <c r="D20">
        <f t="shared" si="1"/>
        <v>3600</v>
      </c>
      <c r="E20">
        <f t="shared" si="2"/>
        <v>7960.2083999999995</v>
      </c>
      <c r="F20">
        <f t="shared" si="3"/>
        <v>3600</v>
      </c>
    </row>
    <row r="21" spans="1:16" x14ac:dyDescent="0.3">
      <c r="A21">
        <v>57</v>
      </c>
      <c r="B21">
        <v>217.08</v>
      </c>
      <c r="C21">
        <f t="shared" si="0"/>
        <v>12373.560000000001</v>
      </c>
      <c r="D21">
        <f t="shared" si="1"/>
        <v>3249</v>
      </c>
      <c r="E21">
        <f t="shared" si="2"/>
        <v>47123.726400000007</v>
      </c>
      <c r="F21">
        <f t="shared" si="3"/>
        <v>3249</v>
      </c>
    </row>
    <row r="22" spans="1:16" x14ac:dyDescent="0.3">
      <c r="A22">
        <v>71</v>
      </c>
      <c r="B22">
        <v>193.94</v>
      </c>
      <c r="C22">
        <f t="shared" si="0"/>
        <v>13769.74</v>
      </c>
      <c r="D22">
        <f t="shared" si="1"/>
        <v>5041</v>
      </c>
      <c r="E22">
        <f t="shared" si="2"/>
        <v>37612.723599999998</v>
      </c>
      <c r="F22">
        <f t="shared" si="3"/>
        <v>5041</v>
      </c>
    </row>
    <row r="23" spans="1:16" x14ac:dyDescent="0.3">
      <c r="A23">
        <v>52</v>
      </c>
      <c r="B23">
        <v>233.29</v>
      </c>
      <c r="C23">
        <f t="shared" si="0"/>
        <v>12131.08</v>
      </c>
      <c r="D23">
        <f t="shared" si="1"/>
        <v>2704</v>
      </c>
      <c r="E23">
        <f t="shared" si="2"/>
        <v>54424.224099999999</v>
      </c>
      <c r="F23">
        <f t="shared" si="3"/>
        <v>2704</v>
      </c>
    </row>
    <row r="24" spans="1:16" x14ac:dyDescent="0.3">
      <c r="A24">
        <v>79</v>
      </c>
      <c r="B24">
        <v>228.7</v>
      </c>
      <c r="C24">
        <f t="shared" si="0"/>
        <v>18067.3</v>
      </c>
      <c r="D24">
        <f t="shared" si="1"/>
        <v>6241</v>
      </c>
      <c r="E24">
        <f t="shared" si="2"/>
        <v>52303.689999999995</v>
      </c>
      <c r="F24">
        <f t="shared" si="3"/>
        <v>6241</v>
      </c>
    </row>
    <row r="25" spans="1:16" x14ac:dyDescent="0.3">
      <c r="A25">
        <v>82</v>
      </c>
      <c r="B25">
        <v>208.3</v>
      </c>
      <c r="C25">
        <f t="shared" si="0"/>
        <v>17080.600000000002</v>
      </c>
      <c r="D25">
        <f t="shared" si="1"/>
        <v>6724</v>
      </c>
      <c r="E25">
        <f t="shared" si="2"/>
        <v>43388.890000000007</v>
      </c>
      <c r="F25">
        <f t="shared" si="3"/>
        <v>6724</v>
      </c>
    </row>
    <row r="26" spans="1:16" x14ac:dyDescent="0.3">
      <c r="A26">
        <v>71</v>
      </c>
      <c r="B26">
        <v>102.87</v>
      </c>
      <c r="C26">
        <f t="shared" si="0"/>
        <v>7303.77</v>
      </c>
      <c r="D26">
        <f t="shared" si="1"/>
        <v>5041</v>
      </c>
      <c r="E26">
        <f t="shared" si="2"/>
        <v>10582.236900000002</v>
      </c>
      <c r="F26">
        <f t="shared" si="3"/>
        <v>5041</v>
      </c>
    </row>
    <row r="27" spans="1:16" x14ac:dyDescent="0.3">
      <c r="A27">
        <v>80</v>
      </c>
      <c r="B27">
        <v>104.12</v>
      </c>
      <c r="C27">
        <f t="shared" si="0"/>
        <v>8329.6</v>
      </c>
      <c r="D27">
        <f t="shared" si="1"/>
        <v>6400</v>
      </c>
      <c r="E27">
        <f t="shared" si="2"/>
        <v>10840.974400000001</v>
      </c>
      <c r="F27">
        <f t="shared" si="3"/>
        <v>6400</v>
      </c>
    </row>
    <row r="28" spans="1:16" x14ac:dyDescent="0.3">
      <c r="A28">
        <v>65</v>
      </c>
      <c r="B28">
        <v>100.98</v>
      </c>
      <c r="C28">
        <f t="shared" si="0"/>
        <v>6563.7</v>
      </c>
      <c r="D28">
        <f t="shared" si="1"/>
        <v>4225</v>
      </c>
      <c r="E28">
        <f t="shared" si="2"/>
        <v>10196.9604</v>
      </c>
      <c r="F28">
        <f t="shared" si="3"/>
        <v>4225</v>
      </c>
    </row>
    <row r="29" spans="1:16" x14ac:dyDescent="0.3">
      <c r="A29">
        <v>58</v>
      </c>
      <c r="B29">
        <v>189.84</v>
      </c>
      <c r="C29">
        <f t="shared" si="0"/>
        <v>11010.72</v>
      </c>
      <c r="D29">
        <f t="shared" si="1"/>
        <v>3364</v>
      </c>
      <c r="E29">
        <f t="shared" si="2"/>
        <v>36039.225599999998</v>
      </c>
      <c r="F29">
        <f t="shared" si="3"/>
        <v>3364</v>
      </c>
      <c r="I29" s="4" t="s">
        <v>62</v>
      </c>
      <c r="J29">
        <f>SUM(D2:D5111)</f>
        <v>12160634.544000002</v>
      </c>
      <c r="M29" s="4" t="s">
        <v>62</v>
      </c>
      <c r="N29">
        <f>A5112*B5112</f>
        <v>119812882791.43985</v>
      </c>
    </row>
    <row r="30" spans="1:16" x14ac:dyDescent="0.3">
      <c r="A30">
        <v>69</v>
      </c>
      <c r="B30">
        <v>195.23</v>
      </c>
      <c r="C30">
        <f t="shared" si="0"/>
        <v>13470.869999999999</v>
      </c>
      <c r="D30">
        <f t="shared" si="1"/>
        <v>4761</v>
      </c>
      <c r="E30">
        <f t="shared" si="2"/>
        <v>38114.752899999999</v>
      </c>
      <c r="F30">
        <f t="shared" si="3"/>
        <v>4761</v>
      </c>
      <c r="I30" s="4" t="s">
        <v>62</v>
      </c>
      <c r="J30">
        <f>A5112*A5112</f>
        <v>48791508544.000023</v>
      </c>
      <c r="M30" s="4"/>
    </row>
    <row r="31" spans="1:16" x14ac:dyDescent="0.3">
      <c r="A31">
        <v>59</v>
      </c>
      <c r="B31">
        <v>211.78</v>
      </c>
      <c r="C31">
        <f t="shared" si="0"/>
        <v>12495.02</v>
      </c>
      <c r="D31">
        <f t="shared" si="1"/>
        <v>3481</v>
      </c>
      <c r="E31">
        <f t="shared" si="2"/>
        <v>44850.768400000001</v>
      </c>
      <c r="F31">
        <f t="shared" si="3"/>
        <v>3481</v>
      </c>
      <c r="I31" s="4" t="s">
        <v>62</v>
      </c>
      <c r="J31">
        <f>SUM(E2:E5111)</f>
        <v>68052572.590500012</v>
      </c>
      <c r="M31" s="4" t="s">
        <v>62</v>
      </c>
      <c r="N31">
        <f>SUM(C2:C5111)</f>
        <v>24692744.972000044</v>
      </c>
    </row>
    <row r="32" spans="1:16" x14ac:dyDescent="0.3">
      <c r="A32">
        <v>57</v>
      </c>
      <c r="B32">
        <v>212.08</v>
      </c>
      <c r="C32">
        <f t="shared" si="0"/>
        <v>12088.560000000001</v>
      </c>
      <c r="D32">
        <f t="shared" si="1"/>
        <v>3249</v>
      </c>
      <c r="E32">
        <f t="shared" si="2"/>
        <v>44977.926400000004</v>
      </c>
      <c r="F32">
        <f t="shared" si="3"/>
        <v>3249</v>
      </c>
      <c r="I32" s="4" t="s">
        <v>62</v>
      </c>
      <c r="J32">
        <f>B5112*B5112</f>
        <v>294213630838.03601</v>
      </c>
      <c r="M32" s="4"/>
    </row>
    <row r="33" spans="1:25" x14ac:dyDescent="0.3">
      <c r="A33">
        <v>42</v>
      </c>
      <c r="B33">
        <v>83.41</v>
      </c>
      <c r="C33">
        <f t="shared" si="0"/>
        <v>3503.22</v>
      </c>
      <c r="D33">
        <f t="shared" si="1"/>
        <v>1764</v>
      </c>
      <c r="E33">
        <f t="shared" si="2"/>
        <v>6957.2280999999994</v>
      </c>
      <c r="F33">
        <f t="shared" si="3"/>
        <v>1764</v>
      </c>
    </row>
    <row r="34" spans="1:25" x14ac:dyDescent="0.3">
      <c r="A34">
        <v>82</v>
      </c>
      <c r="B34">
        <v>196.92</v>
      </c>
      <c r="C34">
        <f t="shared" si="0"/>
        <v>16147.439999999999</v>
      </c>
      <c r="D34">
        <f t="shared" si="1"/>
        <v>6724</v>
      </c>
      <c r="E34">
        <f t="shared" si="2"/>
        <v>38777.486399999994</v>
      </c>
      <c r="F34">
        <f t="shared" si="3"/>
        <v>6724</v>
      </c>
      <c r="H34" t="s">
        <v>67</v>
      </c>
      <c r="I34" s="4" t="s">
        <v>62</v>
      </c>
      <c r="J34">
        <v>2.7E-2</v>
      </c>
    </row>
    <row r="35" spans="1:25" x14ac:dyDescent="0.3">
      <c r="A35">
        <v>80</v>
      </c>
      <c r="B35">
        <v>252.72</v>
      </c>
      <c r="C35">
        <f t="shared" si="0"/>
        <v>20217.599999999999</v>
      </c>
      <c r="D35">
        <f t="shared" si="1"/>
        <v>6400</v>
      </c>
      <c r="E35">
        <f t="shared" si="2"/>
        <v>63867.398399999998</v>
      </c>
      <c r="F35">
        <f t="shared" si="3"/>
        <v>6400</v>
      </c>
      <c r="H35" t="s">
        <v>66</v>
      </c>
      <c r="I35" s="4" t="s">
        <v>62</v>
      </c>
      <c r="J35">
        <f>((5111*N31)-N29)/SQRT(((5111*J29)-J30)*((5111*J31)-J32))</f>
        <v>0.23883421196323926</v>
      </c>
      <c r="L35" t="s">
        <v>68</v>
      </c>
    </row>
    <row r="36" spans="1:25" x14ac:dyDescent="0.3">
      <c r="A36">
        <v>48</v>
      </c>
      <c r="B36">
        <v>84.2</v>
      </c>
      <c r="C36">
        <f t="shared" si="0"/>
        <v>4041.6000000000004</v>
      </c>
      <c r="D36">
        <f t="shared" si="1"/>
        <v>2304</v>
      </c>
      <c r="E36">
        <f t="shared" si="2"/>
        <v>7089.64</v>
      </c>
      <c r="F36">
        <f t="shared" si="3"/>
        <v>2304</v>
      </c>
      <c r="X36" t="s">
        <v>76</v>
      </c>
    </row>
    <row r="37" spans="1:25" x14ac:dyDescent="0.3">
      <c r="A37">
        <v>82</v>
      </c>
      <c r="B37">
        <v>84.03</v>
      </c>
      <c r="C37">
        <f t="shared" si="0"/>
        <v>6890.46</v>
      </c>
      <c r="D37">
        <f t="shared" si="1"/>
        <v>6724</v>
      </c>
      <c r="E37">
        <f t="shared" si="2"/>
        <v>7061.0409</v>
      </c>
      <c r="F37">
        <f t="shared" si="3"/>
        <v>6724</v>
      </c>
      <c r="X37" t="s">
        <v>69</v>
      </c>
      <c r="Y37">
        <f>COUNT(A2:A5111)</f>
        <v>5110</v>
      </c>
    </row>
    <row r="38" spans="1:25" x14ac:dyDescent="0.3">
      <c r="A38">
        <v>74</v>
      </c>
      <c r="B38">
        <v>219.72</v>
      </c>
      <c r="C38">
        <f t="shared" si="0"/>
        <v>16259.28</v>
      </c>
      <c r="D38">
        <f t="shared" si="1"/>
        <v>5476</v>
      </c>
      <c r="E38">
        <f t="shared" si="2"/>
        <v>48276.878400000001</v>
      </c>
      <c r="F38">
        <f t="shared" si="3"/>
        <v>5476</v>
      </c>
      <c r="X38" s="8" t="s">
        <v>70</v>
      </c>
      <c r="Y38">
        <f>SUM(C2:C5111)</f>
        <v>24692744.972000044</v>
      </c>
    </row>
    <row r="39" spans="1:25" x14ac:dyDescent="0.3">
      <c r="A39">
        <v>72</v>
      </c>
      <c r="B39">
        <v>74.63</v>
      </c>
      <c r="C39">
        <f t="shared" si="0"/>
        <v>5373.36</v>
      </c>
      <c r="D39">
        <f t="shared" si="1"/>
        <v>5184</v>
      </c>
      <c r="E39">
        <f t="shared" si="2"/>
        <v>5569.6368999999995</v>
      </c>
      <c r="F39">
        <f t="shared" si="3"/>
        <v>5184</v>
      </c>
      <c r="X39" t="s">
        <v>71</v>
      </c>
      <c r="Y39">
        <f>SUM(A2:A5111)</f>
        <v>220888.00000000006</v>
      </c>
    </row>
    <row r="40" spans="1:25" x14ac:dyDescent="0.3">
      <c r="A40">
        <v>58</v>
      </c>
      <c r="B40">
        <v>92.62</v>
      </c>
      <c r="C40">
        <f t="shared" si="0"/>
        <v>5371.96</v>
      </c>
      <c r="D40">
        <f t="shared" si="1"/>
        <v>3364</v>
      </c>
      <c r="E40">
        <f t="shared" si="2"/>
        <v>8578.4644000000008</v>
      </c>
      <c r="F40">
        <f t="shared" si="3"/>
        <v>3364</v>
      </c>
      <c r="X40" t="s">
        <v>72</v>
      </c>
      <c r="Y40">
        <f>SUM(B2:B5111)</f>
        <v>542414.62999999919</v>
      </c>
    </row>
    <row r="41" spans="1:25" x14ac:dyDescent="0.3">
      <c r="A41">
        <v>49</v>
      </c>
      <c r="B41">
        <v>60.91</v>
      </c>
      <c r="C41">
        <f t="shared" si="0"/>
        <v>2984.5899999999997</v>
      </c>
      <c r="D41">
        <f t="shared" si="1"/>
        <v>2401</v>
      </c>
      <c r="E41">
        <f t="shared" si="2"/>
        <v>3710.0280999999995</v>
      </c>
      <c r="F41">
        <f t="shared" si="3"/>
        <v>2401</v>
      </c>
      <c r="X41" t="s">
        <v>73</v>
      </c>
      <c r="Y41">
        <f>SUM(F2:F5111)</f>
        <v>12160634.544000002</v>
      </c>
    </row>
    <row r="42" spans="1:25" x14ac:dyDescent="0.3">
      <c r="A42">
        <v>78</v>
      </c>
      <c r="B42">
        <v>78.03</v>
      </c>
      <c r="C42">
        <f t="shared" si="0"/>
        <v>6086.34</v>
      </c>
      <c r="D42">
        <f t="shared" si="1"/>
        <v>6084</v>
      </c>
      <c r="E42">
        <f t="shared" si="2"/>
        <v>6088.6809000000003</v>
      </c>
      <c r="F42">
        <f t="shared" si="3"/>
        <v>6084</v>
      </c>
    </row>
    <row r="43" spans="1:25" x14ac:dyDescent="0.3">
      <c r="A43">
        <v>54</v>
      </c>
      <c r="B43">
        <v>71.22</v>
      </c>
      <c r="C43">
        <f t="shared" si="0"/>
        <v>3845.88</v>
      </c>
      <c r="D43">
        <f t="shared" si="1"/>
        <v>2916</v>
      </c>
      <c r="E43">
        <f t="shared" si="2"/>
        <v>5072.2883999999995</v>
      </c>
      <c r="F43">
        <f t="shared" si="3"/>
        <v>2916</v>
      </c>
      <c r="X43" t="s">
        <v>75</v>
      </c>
      <c r="Y43">
        <f>Y39^2</f>
        <v>48791508544.000023</v>
      </c>
    </row>
    <row r="44" spans="1:25" x14ac:dyDescent="0.3">
      <c r="A44">
        <v>82</v>
      </c>
      <c r="B44">
        <v>144.9</v>
      </c>
      <c r="C44">
        <f t="shared" si="0"/>
        <v>11881.800000000001</v>
      </c>
      <c r="D44">
        <f t="shared" si="1"/>
        <v>6724</v>
      </c>
      <c r="E44">
        <f t="shared" si="2"/>
        <v>20996.010000000002</v>
      </c>
      <c r="F44">
        <f t="shared" si="3"/>
        <v>6724</v>
      </c>
    </row>
    <row r="45" spans="1:25" x14ac:dyDescent="0.3">
      <c r="A45">
        <v>63</v>
      </c>
      <c r="B45">
        <v>90.9</v>
      </c>
      <c r="C45">
        <f t="shared" si="0"/>
        <v>5726.7000000000007</v>
      </c>
      <c r="D45">
        <f t="shared" si="1"/>
        <v>3969</v>
      </c>
      <c r="E45">
        <f t="shared" si="2"/>
        <v>8262.8100000000013</v>
      </c>
      <c r="F45">
        <f t="shared" si="3"/>
        <v>3969</v>
      </c>
      <c r="X45" t="s">
        <v>77</v>
      </c>
      <c r="Y45">
        <f>((Y37*Y38)-(Y39*Y40))/((Y37*Y41)-Y43)</f>
        <v>0.47695593106020406</v>
      </c>
    </row>
    <row r="46" spans="1:25" x14ac:dyDescent="0.3">
      <c r="A46">
        <v>60</v>
      </c>
      <c r="B46">
        <v>213.03</v>
      </c>
      <c r="C46">
        <f t="shared" si="0"/>
        <v>12781.8</v>
      </c>
      <c r="D46">
        <f t="shared" si="1"/>
        <v>3600</v>
      </c>
      <c r="E46">
        <f t="shared" si="2"/>
        <v>45381.780899999998</v>
      </c>
      <c r="F46">
        <f t="shared" si="3"/>
        <v>3600</v>
      </c>
      <c r="X46" t="s">
        <v>78</v>
      </c>
      <c r="Y46">
        <f>((Y40*Y41)-(Y39*Y38))/((Y37*Y41)-Y43)</f>
        <v>85.530486947157044</v>
      </c>
    </row>
    <row r="47" spans="1:25" x14ac:dyDescent="0.3">
      <c r="A47">
        <v>76</v>
      </c>
      <c r="B47">
        <v>243.58</v>
      </c>
      <c r="C47">
        <f t="shared" si="0"/>
        <v>18512.080000000002</v>
      </c>
      <c r="D47">
        <f t="shared" si="1"/>
        <v>5776</v>
      </c>
      <c r="E47">
        <f t="shared" si="2"/>
        <v>59331.216400000005</v>
      </c>
      <c r="F47">
        <f t="shared" si="3"/>
        <v>5776</v>
      </c>
      <c r="X47" t="s">
        <v>79</v>
      </c>
    </row>
    <row r="48" spans="1:25" x14ac:dyDescent="0.3">
      <c r="A48">
        <v>75</v>
      </c>
      <c r="B48">
        <v>109.78</v>
      </c>
      <c r="C48">
        <f t="shared" si="0"/>
        <v>8233.5</v>
      </c>
      <c r="D48">
        <f t="shared" si="1"/>
        <v>5625</v>
      </c>
      <c r="E48">
        <f t="shared" si="2"/>
        <v>12051.6484</v>
      </c>
      <c r="F48">
        <f t="shared" si="3"/>
        <v>5625</v>
      </c>
    </row>
    <row r="49" spans="1:6" x14ac:dyDescent="0.3">
      <c r="A49">
        <v>58</v>
      </c>
      <c r="B49">
        <v>107.26</v>
      </c>
      <c r="C49">
        <f t="shared" si="0"/>
        <v>6221.08</v>
      </c>
      <c r="D49">
        <f t="shared" si="1"/>
        <v>3364</v>
      </c>
      <c r="E49">
        <f t="shared" si="2"/>
        <v>11504.707600000002</v>
      </c>
      <c r="F49">
        <f t="shared" si="3"/>
        <v>3364</v>
      </c>
    </row>
    <row r="50" spans="1:6" x14ac:dyDescent="0.3">
      <c r="A50">
        <v>81</v>
      </c>
      <c r="B50">
        <v>99.33</v>
      </c>
      <c r="C50">
        <f t="shared" si="0"/>
        <v>8045.73</v>
      </c>
      <c r="D50">
        <f t="shared" si="1"/>
        <v>6561</v>
      </c>
      <c r="E50">
        <f t="shared" si="2"/>
        <v>9866.4488999999994</v>
      </c>
      <c r="F50">
        <f t="shared" si="3"/>
        <v>6561</v>
      </c>
    </row>
    <row r="51" spans="1:6" x14ac:dyDescent="0.3">
      <c r="A51">
        <v>39</v>
      </c>
      <c r="B51">
        <v>58.09</v>
      </c>
      <c r="C51">
        <f t="shared" si="0"/>
        <v>2265.5100000000002</v>
      </c>
      <c r="D51">
        <f t="shared" si="1"/>
        <v>1521</v>
      </c>
      <c r="E51">
        <f t="shared" si="2"/>
        <v>3374.4481000000005</v>
      </c>
      <c r="F51">
        <f t="shared" si="3"/>
        <v>1521</v>
      </c>
    </row>
    <row r="52" spans="1:6" x14ac:dyDescent="0.3">
      <c r="A52">
        <v>76</v>
      </c>
      <c r="B52">
        <v>89.96</v>
      </c>
      <c r="C52">
        <f t="shared" si="0"/>
        <v>6836.9599999999991</v>
      </c>
      <c r="D52">
        <f t="shared" si="1"/>
        <v>5776</v>
      </c>
      <c r="E52">
        <f t="shared" si="2"/>
        <v>8092.8015999999989</v>
      </c>
      <c r="F52">
        <f t="shared" si="3"/>
        <v>5776</v>
      </c>
    </row>
    <row r="53" spans="1:6" x14ac:dyDescent="0.3">
      <c r="A53">
        <v>78</v>
      </c>
      <c r="B53">
        <v>75.319999999999993</v>
      </c>
      <c r="C53">
        <f t="shared" si="0"/>
        <v>5874.9599999999991</v>
      </c>
      <c r="D53">
        <f t="shared" si="1"/>
        <v>6084</v>
      </c>
      <c r="E53">
        <f t="shared" si="2"/>
        <v>5673.1023999999989</v>
      </c>
      <c r="F53">
        <f t="shared" si="3"/>
        <v>6084</v>
      </c>
    </row>
    <row r="54" spans="1:6" x14ac:dyDescent="0.3">
      <c r="A54">
        <v>79</v>
      </c>
      <c r="B54">
        <v>127.29</v>
      </c>
      <c r="C54">
        <f t="shared" si="0"/>
        <v>10055.91</v>
      </c>
      <c r="D54">
        <f t="shared" si="1"/>
        <v>6241</v>
      </c>
      <c r="E54">
        <f t="shared" si="2"/>
        <v>16202.744100000002</v>
      </c>
      <c r="F54">
        <f t="shared" si="3"/>
        <v>6241</v>
      </c>
    </row>
    <row r="55" spans="1:6" x14ac:dyDescent="0.3">
      <c r="A55">
        <v>77</v>
      </c>
      <c r="B55">
        <v>124.13</v>
      </c>
      <c r="C55">
        <f t="shared" si="0"/>
        <v>9558.01</v>
      </c>
      <c r="D55">
        <f t="shared" si="1"/>
        <v>5929</v>
      </c>
      <c r="E55">
        <f t="shared" si="2"/>
        <v>15408.256899999998</v>
      </c>
      <c r="F55">
        <f t="shared" si="3"/>
        <v>5929</v>
      </c>
    </row>
    <row r="56" spans="1:6" x14ac:dyDescent="0.3">
      <c r="A56">
        <v>63</v>
      </c>
      <c r="B56">
        <v>197.54</v>
      </c>
      <c r="C56">
        <f t="shared" si="0"/>
        <v>12445.019999999999</v>
      </c>
      <c r="D56">
        <f t="shared" si="1"/>
        <v>3969</v>
      </c>
      <c r="E56">
        <f t="shared" si="2"/>
        <v>39022.051599999999</v>
      </c>
      <c r="F56">
        <f t="shared" si="3"/>
        <v>3969</v>
      </c>
    </row>
    <row r="57" spans="1:6" x14ac:dyDescent="0.3">
      <c r="A57">
        <v>63</v>
      </c>
      <c r="B57">
        <v>196.71</v>
      </c>
      <c r="C57">
        <f t="shared" si="0"/>
        <v>12392.730000000001</v>
      </c>
      <c r="D57">
        <f t="shared" si="1"/>
        <v>3969</v>
      </c>
      <c r="E57">
        <f t="shared" si="2"/>
        <v>38694.824100000005</v>
      </c>
      <c r="F57">
        <f t="shared" si="3"/>
        <v>3969</v>
      </c>
    </row>
    <row r="58" spans="1:6" x14ac:dyDescent="0.3">
      <c r="A58">
        <v>82</v>
      </c>
      <c r="B58">
        <v>59.32</v>
      </c>
      <c r="C58">
        <f t="shared" si="0"/>
        <v>4864.24</v>
      </c>
      <c r="D58">
        <f t="shared" si="1"/>
        <v>6724</v>
      </c>
      <c r="E58">
        <f t="shared" si="2"/>
        <v>3518.8624</v>
      </c>
      <c r="F58">
        <f t="shared" si="3"/>
        <v>6724</v>
      </c>
    </row>
    <row r="59" spans="1:6" x14ac:dyDescent="0.3">
      <c r="A59">
        <v>78</v>
      </c>
      <c r="B59">
        <v>237.75</v>
      </c>
      <c r="C59">
        <f t="shared" si="0"/>
        <v>18544.5</v>
      </c>
      <c r="D59">
        <f t="shared" si="1"/>
        <v>6084</v>
      </c>
      <c r="E59">
        <f t="shared" si="2"/>
        <v>56525.0625</v>
      </c>
      <c r="F59">
        <f t="shared" si="3"/>
        <v>6084</v>
      </c>
    </row>
    <row r="60" spans="1:6" x14ac:dyDescent="0.3">
      <c r="A60">
        <v>73</v>
      </c>
      <c r="B60">
        <v>194.99</v>
      </c>
      <c r="C60">
        <f t="shared" si="0"/>
        <v>14234.27</v>
      </c>
      <c r="D60">
        <f t="shared" si="1"/>
        <v>5329</v>
      </c>
      <c r="E60">
        <f t="shared" si="2"/>
        <v>38021.100100000003</v>
      </c>
      <c r="F60">
        <f t="shared" si="3"/>
        <v>5329</v>
      </c>
    </row>
    <row r="61" spans="1:6" x14ac:dyDescent="0.3">
      <c r="A61">
        <v>54</v>
      </c>
      <c r="B61">
        <v>180.93</v>
      </c>
      <c r="C61">
        <f t="shared" si="0"/>
        <v>9770.2200000000012</v>
      </c>
      <c r="D61">
        <f t="shared" si="1"/>
        <v>2916</v>
      </c>
      <c r="E61">
        <f t="shared" si="2"/>
        <v>32735.664900000003</v>
      </c>
      <c r="F61">
        <f t="shared" si="3"/>
        <v>2916</v>
      </c>
    </row>
    <row r="62" spans="1:6" x14ac:dyDescent="0.3">
      <c r="A62">
        <v>56</v>
      </c>
      <c r="B62">
        <v>185.17</v>
      </c>
      <c r="C62">
        <f t="shared" si="0"/>
        <v>10369.519999999999</v>
      </c>
      <c r="D62">
        <f t="shared" si="1"/>
        <v>3136</v>
      </c>
      <c r="E62">
        <f t="shared" si="2"/>
        <v>34287.928899999999</v>
      </c>
      <c r="F62">
        <f t="shared" si="3"/>
        <v>3136</v>
      </c>
    </row>
    <row r="63" spans="1:6" x14ac:dyDescent="0.3">
      <c r="A63">
        <v>80</v>
      </c>
      <c r="B63">
        <v>74.900000000000006</v>
      </c>
      <c r="C63">
        <f t="shared" si="0"/>
        <v>5992</v>
      </c>
      <c r="D63">
        <f t="shared" si="1"/>
        <v>6400</v>
      </c>
      <c r="E63">
        <f t="shared" si="2"/>
        <v>5610.0100000000011</v>
      </c>
      <c r="F63">
        <f t="shared" si="3"/>
        <v>6400</v>
      </c>
    </row>
    <row r="64" spans="1:6" x14ac:dyDescent="0.3">
      <c r="A64">
        <v>67</v>
      </c>
      <c r="B64">
        <v>61.94</v>
      </c>
      <c r="C64">
        <f t="shared" si="0"/>
        <v>4149.9799999999996</v>
      </c>
      <c r="D64">
        <f t="shared" si="1"/>
        <v>4489</v>
      </c>
      <c r="E64">
        <f t="shared" si="2"/>
        <v>3836.5635999999995</v>
      </c>
      <c r="F64">
        <f t="shared" si="3"/>
        <v>4489</v>
      </c>
    </row>
    <row r="65" spans="1:6" x14ac:dyDescent="0.3">
      <c r="A65">
        <v>45</v>
      </c>
      <c r="B65">
        <v>93.72</v>
      </c>
      <c r="C65">
        <f t="shared" si="0"/>
        <v>4217.3999999999996</v>
      </c>
      <c r="D65">
        <f t="shared" si="1"/>
        <v>2025</v>
      </c>
      <c r="E65">
        <f t="shared" si="2"/>
        <v>8783.4383999999991</v>
      </c>
      <c r="F65">
        <f t="shared" si="3"/>
        <v>2025</v>
      </c>
    </row>
    <row r="66" spans="1:6" x14ac:dyDescent="0.3">
      <c r="A66">
        <v>75</v>
      </c>
      <c r="B66">
        <v>104.72</v>
      </c>
      <c r="C66">
        <f t="shared" si="0"/>
        <v>7854</v>
      </c>
      <c r="D66">
        <f t="shared" si="1"/>
        <v>5625</v>
      </c>
      <c r="E66">
        <f t="shared" si="2"/>
        <v>10966.278399999999</v>
      </c>
      <c r="F66">
        <f t="shared" si="3"/>
        <v>5625</v>
      </c>
    </row>
    <row r="67" spans="1:6" x14ac:dyDescent="0.3">
      <c r="A67">
        <v>78</v>
      </c>
      <c r="B67">
        <v>113.01</v>
      </c>
      <c r="C67">
        <f t="shared" ref="C67:C130" si="4">A67*B67</f>
        <v>8814.7800000000007</v>
      </c>
      <c r="D67">
        <f t="shared" ref="D67:D130" si="5">A67*A67</f>
        <v>6084</v>
      </c>
      <c r="E67">
        <f t="shared" ref="E67:E130" si="6">B67*B67</f>
        <v>12771.260100000001</v>
      </c>
      <c r="F67">
        <f t="shared" ref="F67:F130" si="7">A67^2</f>
        <v>6084</v>
      </c>
    </row>
    <row r="68" spans="1:6" x14ac:dyDescent="0.3">
      <c r="A68">
        <v>70</v>
      </c>
      <c r="B68">
        <v>221.58</v>
      </c>
      <c r="C68">
        <f t="shared" si="4"/>
        <v>15510.6</v>
      </c>
      <c r="D68">
        <f t="shared" si="5"/>
        <v>4900</v>
      </c>
      <c r="E68">
        <f t="shared" si="6"/>
        <v>49097.696400000008</v>
      </c>
      <c r="F68">
        <f t="shared" si="7"/>
        <v>4900</v>
      </c>
    </row>
    <row r="69" spans="1:6" x14ac:dyDescent="0.3">
      <c r="A69">
        <v>76</v>
      </c>
      <c r="B69">
        <v>104.47</v>
      </c>
      <c r="C69">
        <f t="shared" si="4"/>
        <v>7939.72</v>
      </c>
      <c r="D69">
        <f t="shared" si="5"/>
        <v>5776</v>
      </c>
      <c r="E69">
        <f t="shared" si="6"/>
        <v>10913.9809</v>
      </c>
      <c r="F69">
        <f t="shared" si="7"/>
        <v>5776</v>
      </c>
    </row>
    <row r="70" spans="1:6" x14ac:dyDescent="0.3">
      <c r="A70">
        <v>59</v>
      </c>
      <c r="B70">
        <v>86.23</v>
      </c>
      <c r="C70">
        <f t="shared" si="4"/>
        <v>5087.5700000000006</v>
      </c>
      <c r="D70">
        <f t="shared" si="5"/>
        <v>3481</v>
      </c>
      <c r="E70">
        <f t="shared" si="6"/>
        <v>7435.612900000001</v>
      </c>
      <c r="F70">
        <f t="shared" si="7"/>
        <v>3481</v>
      </c>
    </row>
    <row r="71" spans="1:6" x14ac:dyDescent="0.3">
      <c r="A71">
        <v>80</v>
      </c>
      <c r="B71">
        <v>72.67</v>
      </c>
      <c r="C71">
        <f t="shared" si="4"/>
        <v>5813.6</v>
      </c>
      <c r="D71">
        <f t="shared" si="5"/>
        <v>6400</v>
      </c>
      <c r="E71">
        <f t="shared" si="6"/>
        <v>5280.9288999999999</v>
      </c>
      <c r="F71">
        <f t="shared" si="7"/>
        <v>6400</v>
      </c>
    </row>
    <row r="72" spans="1:6" x14ac:dyDescent="0.3">
      <c r="A72">
        <v>76</v>
      </c>
      <c r="B72">
        <v>62.57</v>
      </c>
      <c r="C72">
        <f t="shared" si="4"/>
        <v>4755.32</v>
      </c>
      <c r="D72">
        <f t="shared" si="5"/>
        <v>5776</v>
      </c>
      <c r="E72">
        <f t="shared" si="6"/>
        <v>3915.0048999999999</v>
      </c>
      <c r="F72">
        <f t="shared" si="7"/>
        <v>5776</v>
      </c>
    </row>
    <row r="73" spans="1:6" x14ac:dyDescent="0.3">
      <c r="A73">
        <v>67</v>
      </c>
      <c r="B73">
        <v>179.12</v>
      </c>
      <c r="C73">
        <f t="shared" si="4"/>
        <v>12001.04</v>
      </c>
      <c r="D73">
        <f t="shared" si="5"/>
        <v>4489</v>
      </c>
      <c r="E73">
        <f t="shared" si="6"/>
        <v>32083.974400000003</v>
      </c>
      <c r="F73">
        <f t="shared" si="7"/>
        <v>4489</v>
      </c>
    </row>
    <row r="74" spans="1:6" x14ac:dyDescent="0.3">
      <c r="A74">
        <v>66</v>
      </c>
      <c r="B74">
        <v>116.55</v>
      </c>
      <c r="C74">
        <f t="shared" si="4"/>
        <v>7692.3</v>
      </c>
      <c r="D74">
        <f t="shared" si="5"/>
        <v>4356</v>
      </c>
      <c r="E74">
        <f t="shared" si="6"/>
        <v>13583.9025</v>
      </c>
      <c r="F74">
        <f t="shared" si="7"/>
        <v>4356</v>
      </c>
    </row>
    <row r="75" spans="1:6" x14ac:dyDescent="0.3">
      <c r="A75">
        <v>63</v>
      </c>
      <c r="B75">
        <v>228.56</v>
      </c>
      <c r="C75">
        <f t="shared" si="4"/>
        <v>14399.28</v>
      </c>
      <c r="D75">
        <f t="shared" si="5"/>
        <v>3969</v>
      </c>
      <c r="E75">
        <f t="shared" si="6"/>
        <v>52239.673600000002</v>
      </c>
      <c r="F75">
        <f t="shared" si="7"/>
        <v>3969</v>
      </c>
    </row>
    <row r="76" spans="1:6" x14ac:dyDescent="0.3">
      <c r="A76">
        <v>52</v>
      </c>
      <c r="B76">
        <v>96.59</v>
      </c>
      <c r="C76">
        <f t="shared" si="4"/>
        <v>5022.68</v>
      </c>
      <c r="D76">
        <f t="shared" si="5"/>
        <v>2704</v>
      </c>
      <c r="E76">
        <f t="shared" si="6"/>
        <v>9329.6280999999999</v>
      </c>
      <c r="F76">
        <f t="shared" si="7"/>
        <v>2704</v>
      </c>
    </row>
    <row r="77" spans="1:6" x14ac:dyDescent="0.3">
      <c r="A77">
        <v>80</v>
      </c>
      <c r="B77">
        <v>66.72</v>
      </c>
      <c r="C77">
        <f t="shared" si="4"/>
        <v>5337.6</v>
      </c>
      <c r="D77">
        <f t="shared" si="5"/>
        <v>6400</v>
      </c>
      <c r="E77">
        <f t="shared" si="6"/>
        <v>4451.5583999999999</v>
      </c>
      <c r="F77">
        <f t="shared" si="7"/>
        <v>6400</v>
      </c>
    </row>
    <row r="78" spans="1:6" x14ac:dyDescent="0.3">
      <c r="A78">
        <v>80</v>
      </c>
      <c r="B78">
        <v>240.09</v>
      </c>
      <c r="C78">
        <f t="shared" si="4"/>
        <v>19207.2</v>
      </c>
      <c r="D78">
        <f t="shared" si="5"/>
        <v>6400</v>
      </c>
      <c r="E78">
        <f t="shared" si="6"/>
        <v>57643.208100000003</v>
      </c>
      <c r="F78">
        <f t="shared" si="7"/>
        <v>6400</v>
      </c>
    </row>
    <row r="79" spans="1:6" x14ac:dyDescent="0.3">
      <c r="A79">
        <v>79</v>
      </c>
      <c r="B79">
        <v>110.85</v>
      </c>
      <c r="C79">
        <f t="shared" si="4"/>
        <v>8757.15</v>
      </c>
      <c r="D79">
        <f t="shared" si="5"/>
        <v>6241</v>
      </c>
      <c r="E79">
        <f t="shared" si="6"/>
        <v>12287.722499999998</v>
      </c>
      <c r="F79">
        <f t="shared" si="7"/>
        <v>6241</v>
      </c>
    </row>
    <row r="80" spans="1:6" x14ac:dyDescent="0.3">
      <c r="A80">
        <v>51</v>
      </c>
      <c r="B80">
        <v>165.31</v>
      </c>
      <c r="C80">
        <f t="shared" si="4"/>
        <v>8430.81</v>
      </c>
      <c r="D80">
        <f t="shared" si="5"/>
        <v>2601</v>
      </c>
      <c r="E80">
        <f t="shared" si="6"/>
        <v>27327.396100000002</v>
      </c>
      <c r="F80">
        <f t="shared" si="7"/>
        <v>2601</v>
      </c>
    </row>
    <row r="81" spans="1:6" x14ac:dyDescent="0.3">
      <c r="A81">
        <v>43</v>
      </c>
      <c r="B81">
        <v>143.43</v>
      </c>
      <c r="C81">
        <f t="shared" si="4"/>
        <v>6167.4900000000007</v>
      </c>
      <c r="D81">
        <f t="shared" si="5"/>
        <v>1849</v>
      </c>
      <c r="E81">
        <f t="shared" si="6"/>
        <v>20572.164900000003</v>
      </c>
      <c r="F81">
        <f t="shared" si="7"/>
        <v>1849</v>
      </c>
    </row>
    <row r="82" spans="1:6" x14ac:dyDescent="0.3">
      <c r="A82">
        <v>59</v>
      </c>
      <c r="B82">
        <v>96.16</v>
      </c>
      <c r="C82">
        <f t="shared" si="4"/>
        <v>5673.44</v>
      </c>
      <c r="D82">
        <f t="shared" si="5"/>
        <v>3481</v>
      </c>
      <c r="E82">
        <f t="shared" si="6"/>
        <v>9246.7456000000002</v>
      </c>
      <c r="F82">
        <f t="shared" si="7"/>
        <v>3481</v>
      </c>
    </row>
    <row r="83" spans="1:6" x14ac:dyDescent="0.3">
      <c r="A83">
        <v>66</v>
      </c>
      <c r="B83">
        <v>101.45</v>
      </c>
      <c r="C83">
        <f t="shared" si="4"/>
        <v>6695.7</v>
      </c>
      <c r="D83">
        <f t="shared" si="5"/>
        <v>4356</v>
      </c>
      <c r="E83">
        <f t="shared" si="6"/>
        <v>10292.102500000001</v>
      </c>
      <c r="F83">
        <f t="shared" si="7"/>
        <v>4356</v>
      </c>
    </row>
    <row r="84" spans="1:6" x14ac:dyDescent="0.3">
      <c r="A84">
        <v>79</v>
      </c>
      <c r="B84">
        <v>88.92</v>
      </c>
      <c r="C84">
        <f t="shared" si="4"/>
        <v>7024.68</v>
      </c>
      <c r="D84">
        <f t="shared" si="5"/>
        <v>6241</v>
      </c>
      <c r="E84">
        <f t="shared" si="6"/>
        <v>7906.7664000000004</v>
      </c>
      <c r="F84">
        <f t="shared" si="7"/>
        <v>6241</v>
      </c>
    </row>
    <row r="85" spans="1:6" x14ac:dyDescent="0.3">
      <c r="A85">
        <v>68</v>
      </c>
      <c r="B85">
        <v>79.790000000000006</v>
      </c>
      <c r="C85">
        <f t="shared" si="4"/>
        <v>5425.72</v>
      </c>
      <c r="D85">
        <f t="shared" si="5"/>
        <v>4624</v>
      </c>
      <c r="E85">
        <f t="shared" si="6"/>
        <v>6366.4441000000006</v>
      </c>
      <c r="F85">
        <f t="shared" si="7"/>
        <v>4624</v>
      </c>
    </row>
    <row r="86" spans="1:6" x14ac:dyDescent="0.3">
      <c r="A86">
        <v>58</v>
      </c>
      <c r="B86">
        <v>71.2</v>
      </c>
      <c r="C86">
        <f t="shared" si="4"/>
        <v>4129.6000000000004</v>
      </c>
      <c r="D86">
        <f t="shared" si="5"/>
        <v>3364</v>
      </c>
      <c r="E86">
        <f t="shared" si="6"/>
        <v>5069.4400000000005</v>
      </c>
      <c r="F86">
        <f t="shared" si="7"/>
        <v>3364</v>
      </c>
    </row>
    <row r="87" spans="1:6" x14ac:dyDescent="0.3">
      <c r="A87">
        <v>54</v>
      </c>
      <c r="B87">
        <v>96.97</v>
      </c>
      <c r="C87">
        <f t="shared" si="4"/>
        <v>5236.38</v>
      </c>
      <c r="D87">
        <f t="shared" si="5"/>
        <v>2916</v>
      </c>
      <c r="E87">
        <f t="shared" si="6"/>
        <v>9403.1808999999994</v>
      </c>
      <c r="F87">
        <f t="shared" si="7"/>
        <v>2916</v>
      </c>
    </row>
    <row r="88" spans="1:6" x14ac:dyDescent="0.3">
      <c r="A88">
        <v>61</v>
      </c>
      <c r="B88">
        <v>111.81</v>
      </c>
      <c r="C88">
        <f t="shared" si="4"/>
        <v>6820.41</v>
      </c>
      <c r="D88">
        <f t="shared" si="5"/>
        <v>3721</v>
      </c>
      <c r="E88">
        <f t="shared" si="6"/>
        <v>12501.4761</v>
      </c>
      <c r="F88">
        <f t="shared" si="7"/>
        <v>3721</v>
      </c>
    </row>
    <row r="89" spans="1:6" x14ac:dyDescent="0.3">
      <c r="A89">
        <v>70</v>
      </c>
      <c r="B89">
        <v>59.35</v>
      </c>
      <c r="C89">
        <f t="shared" si="4"/>
        <v>4154.5</v>
      </c>
      <c r="D89">
        <f t="shared" si="5"/>
        <v>4900</v>
      </c>
      <c r="E89">
        <f t="shared" si="6"/>
        <v>3522.4225000000001</v>
      </c>
      <c r="F89">
        <f t="shared" si="7"/>
        <v>4900</v>
      </c>
    </row>
    <row r="90" spans="1:6" x14ac:dyDescent="0.3">
      <c r="A90">
        <v>47</v>
      </c>
      <c r="B90">
        <v>86.94</v>
      </c>
      <c r="C90">
        <f t="shared" si="4"/>
        <v>4086.18</v>
      </c>
      <c r="D90">
        <f t="shared" si="5"/>
        <v>2209</v>
      </c>
      <c r="E90">
        <f t="shared" si="6"/>
        <v>7558.5635999999995</v>
      </c>
      <c r="F90">
        <f t="shared" si="7"/>
        <v>2209</v>
      </c>
    </row>
    <row r="91" spans="1:6" x14ac:dyDescent="0.3">
      <c r="A91">
        <v>74</v>
      </c>
      <c r="B91">
        <v>98.55</v>
      </c>
      <c r="C91">
        <f t="shared" si="4"/>
        <v>7292.7</v>
      </c>
      <c r="D91">
        <f t="shared" si="5"/>
        <v>5476</v>
      </c>
      <c r="E91">
        <f t="shared" si="6"/>
        <v>9712.1024999999991</v>
      </c>
      <c r="F91">
        <f t="shared" si="7"/>
        <v>5476</v>
      </c>
    </row>
    <row r="92" spans="1:6" x14ac:dyDescent="0.3">
      <c r="A92">
        <v>79</v>
      </c>
      <c r="B92">
        <v>226.98</v>
      </c>
      <c r="C92">
        <f t="shared" si="4"/>
        <v>17931.419999999998</v>
      </c>
      <c r="D92">
        <f t="shared" si="5"/>
        <v>6241</v>
      </c>
      <c r="E92">
        <f t="shared" si="6"/>
        <v>51519.920399999995</v>
      </c>
      <c r="F92">
        <f t="shared" si="7"/>
        <v>6241</v>
      </c>
    </row>
    <row r="93" spans="1:6" x14ac:dyDescent="0.3">
      <c r="A93">
        <v>81</v>
      </c>
      <c r="B93">
        <v>72.81</v>
      </c>
      <c r="C93">
        <f t="shared" si="4"/>
        <v>5897.6100000000006</v>
      </c>
      <c r="D93">
        <f t="shared" si="5"/>
        <v>6561</v>
      </c>
      <c r="E93">
        <f t="shared" si="6"/>
        <v>5301.2961000000005</v>
      </c>
      <c r="F93">
        <f t="shared" si="7"/>
        <v>6561</v>
      </c>
    </row>
    <row r="94" spans="1:6" x14ac:dyDescent="0.3">
      <c r="A94">
        <v>57</v>
      </c>
      <c r="B94">
        <v>68.02</v>
      </c>
      <c r="C94">
        <f t="shared" si="4"/>
        <v>3877.14</v>
      </c>
      <c r="D94">
        <f t="shared" si="5"/>
        <v>3249</v>
      </c>
      <c r="E94">
        <f t="shared" si="6"/>
        <v>4626.7203999999992</v>
      </c>
      <c r="F94">
        <f t="shared" si="7"/>
        <v>3249</v>
      </c>
    </row>
    <row r="95" spans="1:6" x14ac:dyDescent="0.3">
      <c r="A95">
        <v>80</v>
      </c>
      <c r="B95">
        <v>68.56</v>
      </c>
      <c r="C95">
        <f t="shared" si="4"/>
        <v>5484.8</v>
      </c>
      <c r="D95">
        <f t="shared" si="5"/>
        <v>6400</v>
      </c>
      <c r="E95">
        <f t="shared" si="6"/>
        <v>4700.4736000000003</v>
      </c>
      <c r="F95">
        <f t="shared" si="7"/>
        <v>6400</v>
      </c>
    </row>
    <row r="96" spans="1:6" x14ac:dyDescent="0.3">
      <c r="A96">
        <v>45</v>
      </c>
      <c r="B96">
        <v>64.14</v>
      </c>
      <c r="C96">
        <f t="shared" si="4"/>
        <v>2886.3</v>
      </c>
      <c r="D96">
        <f t="shared" si="5"/>
        <v>2025</v>
      </c>
      <c r="E96">
        <f t="shared" si="6"/>
        <v>4113.9395999999997</v>
      </c>
      <c r="F96">
        <f t="shared" si="7"/>
        <v>2025</v>
      </c>
    </row>
    <row r="97" spans="1:6" x14ac:dyDescent="0.3">
      <c r="A97">
        <v>78</v>
      </c>
      <c r="B97">
        <v>235.63</v>
      </c>
      <c r="C97">
        <f t="shared" si="4"/>
        <v>18379.14</v>
      </c>
      <c r="D97">
        <f t="shared" si="5"/>
        <v>6084</v>
      </c>
      <c r="E97">
        <f t="shared" si="6"/>
        <v>55521.496899999998</v>
      </c>
      <c r="F97">
        <f t="shared" si="7"/>
        <v>6084</v>
      </c>
    </row>
    <row r="98" spans="1:6" x14ac:dyDescent="0.3">
      <c r="A98">
        <v>70</v>
      </c>
      <c r="B98">
        <v>76.34</v>
      </c>
      <c r="C98">
        <f t="shared" si="4"/>
        <v>5343.8</v>
      </c>
      <c r="D98">
        <f t="shared" si="5"/>
        <v>4900</v>
      </c>
      <c r="E98">
        <f t="shared" si="6"/>
        <v>5827.7956000000004</v>
      </c>
      <c r="F98">
        <f t="shared" si="7"/>
        <v>4900</v>
      </c>
    </row>
    <row r="99" spans="1:6" x14ac:dyDescent="0.3">
      <c r="A99">
        <v>58</v>
      </c>
      <c r="B99">
        <v>240.59</v>
      </c>
      <c r="C99">
        <f t="shared" si="4"/>
        <v>13954.22</v>
      </c>
      <c r="D99">
        <f t="shared" si="5"/>
        <v>3364</v>
      </c>
      <c r="E99">
        <f t="shared" si="6"/>
        <v>57883.5481</v>
      </c>
      <c r="F99">
        <f t="shared" si="7"/>
        <v>3364</v>
      </c>
    </row>
    <row r="100" spans="1:6" x14ac:dyDescent="0.3">
      <c r="A100">
        <v>57</v>
      </c>
      <c r="B100">
        <v>78.92</v>
      </c>
      <c r="C100">
        <f t="shared" si="4"/>
        <v>4498.4400000000005</v>
      </c>
      <c r="D100">
        <f t="shared" si="5"/>
        <v>3249</v>
      </c>
      <c r="E100">
        <f t="shared" si="6"/>
        <v>6228.3663999999999</v>
      </c>
      <c r="F100">
        <f t="shared" si="7"/>
        <v>3249</v>
      </c>
    </row>
    <row r="101" spans="1:6" x14ac:dyDescent="0.3">
      <c r="A101">
        <v>69</v>
      </c>
      <c r="B101">
        <v>82.81</v>
      </c>
      <c r="C101">
        <f t="shared" si="4"/>
        <v>5713.89</v>
      </c>
      <c r="D101">
        <f t="shared" si="5"/>
        <v>4761</v>
      </c>
      <c r="E101">
        <f t="shared" si="6"/>
        <v>6857.4961000000003</v>
      </c>
      <c r="F101">
        <f t="shared" si="7"/>
        <v>4761</v>
      </c>
    </row>
    <row r="102" spans="1:6" x14ac:dyDescent="0.3">
      <c r="A102">
        <v>64</v>
      </c>
      <c r="B102">
        <v>74.099999999999994</v>
      </c>
      <c r="C102">
        <f t="shared" si="4"/>
        <v>4742.3999999999996</v>
      </c>
      <c r="D102">
        <f t="shared" si="5"/>
        <v>4096</v>
      </c>
      <c r="E102">
        <f t="shared" si="6"/>
        <v>5490.8099999999995</v>
      </c>
      <c r="F102">
        <f t="shared" si="7"/>
        <v>4096</v>
      </c>
    </row>
    <row r="103" spans="1:6" x14ac:dyDescent="0.3">
      <c r="A103">
        <v>77</v>
      </c>
      <c r="B103">
        <v>190.32</v>
      </c>
      <c r="C103">
        <f t="shared" si="4"/>
        <v>14654.64</v>
      </c>
      <c r="D103">
        <f t="shared" si="5"/>
        <v>5929</v>
      </c>
      <c r="E103">
        <f t="shared" si="6"/>
        <v>36221.702399999995</v>
      </c>
      <c r="F103">
        <f t="shared" si="7"/>
        <v>5929</v>
      </c>
    </row>
    <row r="104" spans="1:6" x14ac:dyDescent="0.3">
      <c r="A104">
        <v>74</v>
      </c>
      <c r="B104">
        <v>231.61</v>
      </c>
      <c r="C104">
        <f t="shared" si="4"/>
        <v>17139.14</v>
      </c>
      <c r="D104">
        <f t="shared" si="5"/>
        <v>5476</v>
      </c>
      <c r="E104">
        <f t="shared" si="6"/>
        <v>53643.192100000007</v>
      </c>
      <c r="F104">
        <f t="shared" si="7"/>
        <v>5476</v>
      </c>
    </row>
    <row r="105" spans="1:6" x14ac:dyDescent="0.3">
      <c r="A105">
        <v>81</v>
      </c>
      <c r="B105">
        <v>78.7</v>
      </c>
      <c r="C105">
        <f t="shared" si="4"/>
        <v>6374.7</v>
      </c>
      <c r="D105">
        <f t="shared" si="5"/>
        <v>6561</v>
      </c>
      <c r="E105">
        <f t="shared" si="6"/>
        <v>6193.6900000000005</v>
      </c>
      <c r="F105">
        <f t="shared" si="7"/>
        <v>6561</v>
      </c>
    </row>
    <row r="106" spans="1:6" x14ac:dyDescent="0.3">
      <c r="A106">
        <v>57</v>
      </c>
      <c r="B106">
        <v>110.52</v>
      </c>
      <c r="C106">
        <f t="shared" si="4"/>
        <v>6299.6399999999994</v>
      </c>
      <c r="D106">
        <f t="shared" si="5"/>
        <v>3249</v>
      </c>
      <c r="E106">
        <f t="shared" si="6"/>
        <v>12214.670399999999</v>
      </c>
      <c r="F106">
        <f t="shared" si="7"/>
        <v>3249</v>
      </c>
    </row>
    <row r="107" spans="1:6" x14ac:dyDescent="0.3">
      <c r="A107">
        <v>58</v>
      </c>
      <c r="B107">
        <v>82.3</v>
      </c>
      <c r="C107">
        <f t="shared" si="4"/>
        <v>4773.3999999999996</v>
      </c>
      <c r="D107">
        <f t="shared" si="5"/>
        <v>3364</v>
      </c>
      <c r="E107">
        <f t="shared" si="6"/>
        <v>6773.29</v>
      </c>
      <c r="F107">
        <f t="shared" si="7"/>
        <v>3364</v>
      </c>
    </row>
    <row r="108" spans="1:6" x14ac:dyDescent="0.3">
      <c r="A108">
        <v>50</v>
      </c>
      <c r="B108">
        <v>73.180000000000007</v>
      </c>
      <c r="C108">
        <f t="shared" si="4"/>
        <v>3659.0000000000005</v>
      </c>
      <c r="D108">
        <f t="shared" si="5"/>
        <v>2500</v>
      </c>
      <c r="E108">
        <f t="shared" si="6"/>
        <v>5355.3124000000007</v>
      </c>
      <c r="F108">
        <f t="shared" si="7"/>
        <v>2500</v>
      </c>
    </row>
    <row r="109" spans="1:6" x14ac:dyDescent="0.3">
      <c r="A109">
        <v>54</v>
      </c>
      <c r="B109">
        <v>191.82</v>
      </c>
      <c r="C109">
        <f t="shared" si="4"/>
        <v>10358.279999999999</v>
      </c>
      <c r="D109">
        <f t="shared" si="5"/>
        <v>2916</v>
      </c>
      <c r="E109">
        <f t="shared" si="6"/>
        <v>36794.912399999994</v>
      </c>
      <c r="F109">
        <f t="shared" si="7"/>
        <v>2916</v>
      </c>
    </row>
    <row r="110" spans="1:6" x14ac:dyDescent="0.3">
      <c r="A110">
        <v>79</v>
      </c>
      <c r="B110">
        <v>93.05</v>
      </c>
      <c r="C110">
        <f t="shared" si="4"/>
        <v>7350.95</v>
      </c>
      <c r="D110">
        <f t="shared" si="5"/>
        <v>6241</v>
      </c>
      <c r="E110">
        <f t="shared" si="6"/>
        <v>8658.3024999999998</v>
      </c>
      <c r="F110">
        <f t="shared" si="7"/>
        <v>6241</v>
      </c>
    </row>
    <row r="111" spans="1:6" x14ac:dyDescent="0.3">
      <c r="A111">
        <v>53</v>
      </c>
      <c r="B111">
        <v>64.17</v>
      </c>
      <c r="C111">
        <f t="shared" si="4"/>
        <v>3401.01</v>
      </c>
      <c r="D111">
        <f t="shared" si="5"/>
        <v>2809</v>
      </c>
      <c r="E111">
        <f t="shared" si="6"/>
        <v>4117.7889000000005</v>
      </c>
      <c r="F111">
        <f t="shared" si="7"/>
        <v>2809</v>
      </c>
    </row>
    <row r="112" spans="1:6" x14ac:dyDescent="0.3">
      <c r="A112">
        <v>79</v>
      </c>
      <c r="B112">
        <v>129.97999999999999</v>
      </c>
      <c r="C112">
        <f t="shared" si="4"/>
        <v>10268.42</v>
      </c>
      <c r="D112">
        <f t="shared" si="5"/>
        <v>6241</v>
      </c>
      <c r="E112">
        <f t="shared" si="6"/>
        <v>16894.800399999996</v>
      </c>
      <c r="F112">
        <f t="shared" si="7"/>
        <v>6241</v>
      </c>
    </row>
    <row r="113" spans="1:6" x14ac:dyDescent="0.3">
      <c r="A113">
        <v>80</v>
      </c>
      <c r="B113">
        <v>68.53</v>
      </c>
      <c r="C113">
        <f t="shared" si="4"/>
        <v>5482.4</v>
      </c>
      <c r="D113">
        <f t="shared" si="5"/>
        <v>6400</v>
      </c>
      <c r="E113">
        <f t="shared" si="6"/>
        <v>4696.3609000000006</v>
      </c>
      <c r="F113">
        <f t="shared" si="7"/>
        <v>6400</v>
      </c>
    </row>
    <row r="114" spans="1:6" x14ac:dyDescent="0.3">
      <c r="A114">
        <v>76</v>
      </c>
      <c r="B114">
        <v>106.41</v>
      </c>
      <c r="C114">
        <f t="shared" si="4"/>
        <v>8087.16</v>
      </c>
      <c r="D114">
        <f t="shared" si="5"/>
        <v>5776</v>
      </c>
      <c r="E114">
        <f t="shared" si="6"/>
        <v>11323.088099999999</v>
      </c>
      <c r="F114">
        <f t="shared" si="7"/>
        <v>5776</v>
      </c>
    </row>
    <row r="115" spans="1:6" x14ac:dyDescent="0.3">
      <c r="A115">
        <v>45</v>
      </c>
      <c r="B115">
        <v>224.1</v>
      </c>
      <c r="C115">
        <f t="shared" si="4"/>
        <v>10084.5</v>
      </c>
      <c r="D115">
        <f t="shared" si="5"/>
        <v>2025</v>
      </c>
      <c r="E115">
        <f t="shared" si="6"/>
        <v>50220.81</v>
      </c>
      <c r="F115">
        <f t="shared" si="7"/>
        <v>2025</v>
      </c>
    </row>
    <row r="116" spans="1:6" x14ac:dyDescent="0.3">
      <c r="A116">
        <v>68</v>
      </c>
      <c r="B116">
        <v>82.1</v>
      </c>
      <c r="C116">
        <f t="shared" si="4"/>
        <v>5582.7999999999993</v>
      </c>
      <c r="D116">
        <f t="shared" si="5"/>
        <v>4624</v>
      </c>
      <c r="E116">
        <f t="shared" si="6"/>
        <v>6740.4099999999989</v>
      </c>
      <c r="F116">
        <f t="shared" si="7"/>
        <v>4624</v>
      </c>
    </row>
    <row r="117" spans="1:6" x14ac:dyDescent="0.3">
      <c r="A117">
        <v>71</v>
      </c>
      <c r="B117">
        <v>216.94</v>
      </c>
      <c r="C117">
        <f t="shared" si="4"/>
        <v>15402.74</v>
      </c>
      <c r="D117">
        <f t="shared" si="5"/>
        <v>5041</v>
      </c>
      <c r="E117">
        <f t="shared" si="6"/>
        <v>47062.963599999995</v>
      </c>
      <c r="F117">
        <f t="shared" si="7"/>
        <v>5041</v>
      </c>
    </row>
    <row r="118" spans="1:6" x14ac:dyDescent="0.3">
      <c r="A118">
        <v>61</v>
      </c>
      <c r="B118">
        <v>76.11</v>
      </c>
      <c r="C118">
        <f t="shared" si="4"/>
        <v>4642.71</v>
      </c>
      <c r="D118">
        <f t="shared" si="5"/>
        <v>3721</v>
      </c>
      <c r="E118">
        <f t="shared" si="6"/>
        <v>5792.7321000000002</v>
      </c>
      <c r="F118">
        <f t="shared" si="7"/>
        <v>3721</v>
      </c>
    </row>
    <row r="119" spans="1:6" x14ac:dyDescent="0.3">
      <c r="A119">
        <v>74</v>
      </c>
      <c r="B119">
        <v>72.959999999999994</v>
      </c>
      <c r="C119">
        <f t="shared" si="4"/>
        <v>5399.04</v>
      </c>
      <c r="D119">
        <f t="shared" si="5"/>
        <v>5476</v>
      </c>
      <c r="E119">
        <f t="shared" si="6"/>
        <v>5323.1615999999995</v>
      </c>
      <c r="F119">
        <f t="shared" si="7"/>
        <v>5476</v>
      </c>
    </row>
    <row r="120" spans="1:6" x14ac:dyDescent="0.3">
      <c r="A120">
        <v>38</v>
      </c>
      <c r="B120">
        <v>82.28</v>
      </c>
      <c r="C120">
        <f t="shared" si="4"/>
        <v>3126.64</v>
      </c>
      <c r="D120">
        <f t="shared" si="5"/>
        <v>1444</v>
      </c>
      <c r="E120">
        <f t="shared" si="6"/>
        <v>6769.9984000000004</v>
      </c>
      <c r="F120">
        <f t="shared" si="7"/>
        <v>1444</v>
      </c>
    </row>
    <row r="121" spans="1:6" x14ac:dyDescent="0.3">
      <c r="A121">
        <v>77</v>
      </c>
      <c r="B121">
        <v>105.22</v>
      </c>
      <c r="C121">
        <f t="shared" si="4"/>
        <v>8101.94</v>
      </c>
      <c r="D121">
        <f t="shared" si="5"/>
        <v>5929</v>
      </c>
      <c r="E121">
        <f t="shared" si="6"/>
        <v>11071.2484</v>
      </c>
      <c r="F121">
        <f t="shared" si="7"/>
        <v>5929</v>
      </c>
    </row>
    <row r="122" spans="1:6" x14ac:dyDescent="0.3">
      <c r="A122">
        <v>58</v>
      </c>
      <c r="B122">
        <v>59.86</v>
      </c>
      <c r="C122">
        <f t="shared" si="4"/>
        <v>3471.88</v>
      </c>
      <c r="D122">
        <f t="shared" si="5"/>
        <v>3364</v>
      </c>
      <c r="E122">
        <f t="shared" si="6"/>
        <v>3583.2195999999999</v>
      </c>
      <c r="F122">
        <f t="shared" si="7"/>
        <v>3364</v>
      </c>
    </row>
    <row r="123" spans="1:6" x14ac:dyDescent="0.3">
      <c r="A123">
        <v>53</v>
      </c>
      <c r="B123">
        <v>62.55</v>
      </c>
      <c r="C123">
        <f t="shared" si="4"/>
        <v>3315.1499999999996</v>
      </c>
      <c r="D123">
        <f t="shared" si="5"/>
        <v>2809</v>
      </c>
      <c r="E123">
        <f t="shared" si="6"/>
        <v>3912.5024999999996</v>
      </c>
      <c r="F123">
        <f t="shared" si="7"/>
        <v>2809</v>
      </c>
    </row>
    <row r="124" spans="1:6" x14ac:dyDescent="0.3">
      <c r="A124">
        <v>80</v>
      </c>
      <c r="B124">
        <v>259.63</v>
      </c>
      <c r="C124">
        <f t="shared" si="4"/>
        <v>20770.400000000001</v>
      </c>
      <c r="D124">
        <f t="shared" si="5"/>
        <v>6400</v>
      </c>
      <c r="E124">
        <f t="shared" si="6"/>
        <v>67407.736900000004</v>
      </c>
      <c r="F124">
        <f t="shared" si="7"/>
        <v>6400</v>
      </c>
    </row>
    <row r="125" spans="1:6" x14ac:dyDescent="0.3">
      <c r="A125">
        <v>56</v>
      </c>
      <c r="B125">
        <v>249.31</v>
      </c>
      <c r="C125">
        <f t="shared" si="4"/>
        <v>13961.36</v>
      </c>
      <c r="D125">
        <f t="shared" si="5"/>
        <v>3136</v>
      </c>
      <c r="E125">
        <f t="shared" si="6"/>
        <v>62155.4761</v>
      </c>
      <c r="F125">
        <f t="shared" si="7"/>
        <v>3136</v>
      </c>
    </row>
    <row r="126" spans="1:6" x14ac:dyDescent="0.3">
      <c r="A126">
        <v>72</v>
      </c>
      <c r="B126">
        <v>219.91</v>
      </c>
      <c r="C126">
        <f t="shared" si="4"/>
        <v>15833.52</v>
      </c>
      <c r="D126">
        <f t="shared" si="5"/>
        <v>5184</v>
      </c>
      <c r="E126">
        <f t="shared" si="6"/>
        <v>48360.408100000001</v>
      </c>
      <c r="F126">
        <f t="shared" si="7"/>
        <v>5184</v>
      </c>
    </row>
    <row r="127" spans="1:6" x14ac:dyDescent="0.3">
      <c r="A127">
        <v>72</v>
      </c>
      <c r="B127">
        <v>131.41</v>
      </c>
      <c r="C127">
        <f t="shared" si="4"/>
        <v>9461.52</v>
      </c>
      <c r="D127">
        <f t="shared" si="5"/>
        <v>5184</v>
      </c>
      <c r="E127">
        <f t="shared" si="6"/>
        <v>17268.588100000001</v>
      </c>
      <c r="F127">
        <f t="shared" si="7"/>
        <v>5184</v>
      </c>
    </row>
    <row r="128" spans="1:6" x14ac:dyDescent="0.3">
      <c r="A128">
        <v>78</v>
      </c>
      <c r="B128">
        <v>93.13</v>
      </c>
      <c r="C128">
        <f t="shared" si="4"/>
        <v>7264.1399999999994</v>
      </c>
      <c r="D128">
        <f t="shared" si="5"/>
        <v>6084</v>
      </c>
      <c r="E128">
        <f t="shared" si="6"/>
        <v>8673.196899999999</v>
      </c>
      <c r="F128">
        <f t="shared" si="7"/>
        <v>6084</v>
      </c>
    </row>
    <row r="129" spans="1:6" x14ac:dyDescent="0.3">
      <c r="A129">
        <v>80</v>
      </c>
      <c r="B129">
        <v>73.540000000000006</v>
      </c>
      <c r="C129">
        <f t="shared" si="4"/>
        <v>5883.2000000000007</v>
      </c>
      <c r="D129">
        <f t="shared" si="5"/>
        <v>6400</v>
      </c>
      <c r="E129">
        <f t="shared" si="6"/>
        <v>5408.1316000000006</v>
      </c>
      <c r="F129">
        <f t="shared" si="7"/>
        <v>6400</v>
      </c>
    </row>
    <row r="130" spans="1:6" x14ac:dyDescent="0.3">
      <c r="A130">
        <v>82</v>
      </c>
      <c r="B130">
        <v>200.59</v>
      </c>
      <c r="C130">
        <f t="shared" si="4"/>
        <v>16448.38</v>
      </c>
      <c r="D130">
        <f t="shared" si="5"/>
        <v>6724</v>
      </c>
      <c r="E130">
        <f t="shared" si="6"/>
        <v>40236.348100000003</v>
      </c>
      <c r="F130">
        <f t="shared" si="7"/>
        <v>6724</v>
      </c>
    </row>
    <row r="131" spans="1:6" x14ac:dyDescent="0.3">
      <c r="A131">
        <v>75</v>
      </c>
      <c r="B131">
        <v>62.48</v>
      </c>
      <c r="C131">
        <f t="shared" ref="C131:C194" si="8">A131*B131</f>
        <v>4686</v>
      </c>
      <c r="D131">
        <f t="shared" ref="D131:D194" si="9">A131*A131</f>
        <v>5625</v>
      </c>
      <c r="E131">
        <f t="shared" ref="E131:E194" si="10">B131*B131</f>
        <v>3903.7503999999994</v>
      </c>
      <c r="F131">
        <f t="shared" ref="F131:F194" si="11">A131^2</f>
        <v>5625</v>
      </c>
    </row>
    <row r="132" spans="1:6" x14ac:dyDescent="0.3">
      <c r="A132">
        <v>73</v>
      </c>
      <c r="B132">
        <v>190.14</v>
      </c>
      <c r="C132">
        <f t="shared" si="8"/>
        <v>13880.22</v>
      </c>
      <c r="D132">
        <f t="shared" si="9"/>
        <v>5329</v>
      </c>
      <c r="E132">
        <f t="shared" si="10"/>
        <v>36153.219599999997</v>
      </c>
      <c r="F132">
        <f t="shared" si="11"/>
        <v>5329</v>
      </c>
    </row>
    <row r="133" spans="1:6" x14ac:dyDescent="0.3">
      <c r="A133">
        <v>78</v>
      </c>
      <c r="B133">
        <v>130.54</v>
      </c>
      <c r="C133">
        <f t="shared" si="8"/>
        <v>10182.119999999999</v>
      </c>
      <c r="D133">
        <f t="shared" si="9"/>
        <v>6084</v>
      </c>
      <c r="E133">
        <f t="shared" si="10"/>
        <v>17040.691599999998</v>
      </c>
      <c r="F133">
        <f t="shared" si="11"/>
        <v>6084</v>
      </c>
    </row>
    <row r="134" spans="1:6" x14ac:dyDescent="0.3">
      <c r="A134">
        <v>69</v>
      </c>
      <c r="B134">
        <v>182.99</v>
      </c>
      <c r="C134">
        <f t="shared" si="8"/>
        <v>12626.310000000001</v>
      </c>
      <c r="D134">
        <f t="shared" si="9"/>
        <v>4761</v>
      </c>
      <c r="E134">
        <f t="shared" si="10"/>
        <v>33485.340100000001</v>
      </c>
      <c r="F134">
        <f t="shared" si="11"/>
        <v>4761</v>
      </c>
    </row>
    <row r="135" spans="1:6" x14ac:dyDescent="0.3">
      <c r="A135">
        <v>38</v>
      </c>
      <c r="B135">
        <v>101.45</v>
      </c>
      <c r="C135">
        <f t="shared" si="8"/>
        <v>3855.1</v>
      </c>
      <c r="D135">
        <f t="shared" si="9"/>
        <v>1444</v>
      </c>
      <c r="E135">
        <f t="shared" si="10"/>
        <v>10292.102500000001</v>
      </c>
      <c r="F135">
        <f t="shared" si="11"/>
        <v>1444</v>
      </c>
    </row>
    <row r="136" spans="1:6" x14ac:dyDescent="0.3">
      <c r="A136">
        <v>68</v>
      </c>
      <c r="B136">
        <v>206.09</v>
      </c>
      <c r="C136">
        <f t="shared" si="8"/>
        <v>14014.12</v>
      </c>
      <c r="D136">
        <f t="shared" si="9"/>
        <v>4624</v>
      </c>
      <c r="E136">
        <f t="shared" si="10"/>
        <v>42473.088100000001</v>
      </c>
      <c r="F136">
        <f t="shared" si="11"/>
        <v>4624</v>
      </c>
    </row>
    <row r="137" spans="1:6" x14ac:dyDescent="0.3">
      <c r="A137">
        <v>71</v>
      </c>
      <c r="B137">
        <v>263.32</v>
      </c>
      <c r="C137">
        <f t="shared" si="8"/>
        <v>18695.72</v>
      </c>
      <c r="D137">
        <f t="shared" si="9"/>
        <v>5041</v>
      </c>
      <c r="E137">
        <f t="shared" si="10"/>
        <v>69337.422399999996</v>
      </c>
      <c r="F137">
        <f t="shared" si="11"/>
        <v>5041</v>
      </c>
    </row>
    <row r="138" spans="1:6" x14ac:dyDescent="0.3">
      <c r="A138">
        <v>76</v>
      </c>
      <c r="B138">
        <v>140.1</v>
      </c>
      <c r="C138">
        <f t="shared" si="8"/>
        <v>10647.6</v>
      </c>
      <c r="D138">
        <f t="shared" si="9"/>
        <v>5776</v>
      </c>
      <c r="E138">
        <f t="shared" si="10"/>
        <v>19628.009999999998</v>
      </c>
      <c r="F138">
        <f t="shared" si="11"/>
        <v>5776</v>
      </c>
    </row>
    <row r="139" spans="1:6" x14ac:dyDescent="0.3">
      <c r="A139">
        <v>76</v>
      </c>
      <c r="B139">
        <v>207.28</v>
      </c>
      <c r="C139">
        <f t="shared" si="8"/>
        <v>15753.28</v>
      </c>
      <c r="D139">
        <f t="shared" si="9"/>
        <v>5776</v>
      </c>
      <c r="E139">
        <f t="shared" si="10"/>
        <v>42964.998400000004</v>
      </c>
      <c r="F139">
        <f t="shared" si="11"/>
        <v>5776</v>
      </c>
    </row>
    <row r="140" spans="1:6" x14ac:dyDescent="0.3">
      <c r="A140">
        <v>76</v>
      </c>
      <c r="B140">
        <v>194.37</v>
      </c>
      <c r="C140">
        <f t="shared" si="8"/>
        <v>14772.12</v>
      </c>
      <c r="D140">
        <f t="shared" si="9"/>
        <v>5776</v>
      </c>
      <c r="E140">
        <f t="shared" si="10"/>
        <v>37779.696900000003</v>
      </c>
      <c r="F140">
        <f t="shared" si="11"/>
        <v>5776</v>
      </c>
    </row>
    <row r="141" spans="1:6" x14ac:dyDescent="0.3">
      <c r="A141">
        <v>75</v>
      </c>
      <c r="B141">
        <v>199.2</v>
      </c>
      <c r="C141">
        <f t="shared" si="8"/>
        <v>14940</v>
      </c>
      <c r="D141">
        <f t="shared" si="9"/>
        <v>5625</v>
      </c>
      <c r="E141">
        <f t="shared" si="10"/>
        <v>39680.639999999992</v>
      </c>
      <c r="F141">
        <f t="shared" si="11"/>
        <v>5625</v>
      </c>
    </row>
    <row r="142" spans="1:6" x14ac:dyDescent="0.3">
      <c r="A142">
        <v>82</v>
      </c>
      <c r="B142">
        <v>103.68</v>
      </c>
      <c r="C142">
        <f t="shared" si="8"/>
        <v>8501.76</v>
      </c>
      <c r="D142">
        <f t="shared" si="9"/>
        <v>6724</v>
      </c>
      <c r="E142">
        <f t="shared" si="10"/>
        <v>10749.542400000002</v>
      </c>
      <c r="F142">
        <f t="shared" si="11"/>
        <v>6724</v>
      </c>
    </row>
    <row r="143" spans="1:6" x14ac:dyDescent="0.3">
      <c r="A143">
        <v>59</v>
      </c>
      <c r="B143">
        <v>116.44</v>
      </c>
      <c r="C143">
        <f t="shared" si="8"/>
        <v>6869.96</v>
      </c>
      <c r="D143">
        <f t="shared" si="9"/>
        <v>3481</v>
      </c>
      <c r="E143">
        <f t="shared" si="10"/>
        <v>13558.273599999999</v>
      </c>
      <c r="F143">
        <f t="shared" si="11"/>
        <v>3481</v>
      </c>
    </row>
    <row r="144" spans="1:6" x14ac:dyDescent="0.3">
      <c r="A144">
        <v>74</v>
      </c>
      <c r="B144">
        <v>70.28</v>
      </c>
      <c r="C144">
        <f t="shared" si="8"/>
        <v>5200.72</v>
      </c>
      <c r="D144">
        <f t="shared" si="9"/>
        <v>5476</v>
      </c>
      <c r="E144">
        <f t="shared" si="10"/>
        <v>4939.2784000000001</v>
      </c>
      <c r="F144">
        <f t="shared" si="11"/>
        <v>5476</v>
      </c>
    </row>
    <row r="145" spans="1:6" x14ac:dyDescent="0.3">
      <c r="A145">
        <v>69</v>
      </c>
      <c r="B145">
        <v>72.17</v>
      </c>
      <c r="C145">
        <f t="shared" si="8"/>
        <v>4979.7300000000005</v>
      </c>
      <c r="D145">
        <f t="shared" si="9"/>
        <v>4761</v>
      </c>
      <c r="E145">
        <f t="shared" si="10"/>
        <v>5208.5088999999998</v>
      </c>
      <c r="F145">
        <f t="shared" si="11"/>
        <v>4761</v>
      </c>
    </row>
    <row r="146" spans="1:6" x14ac:dyDescent="0.3">
      <c r="A146">
        <v>72</v>
      </c>
      <c r="B146">
        <v>221.79</v>
      </c>
      <c r="C146">
        <f t="shared" si="8"/>
        <v>15968.88</v>
      </c>
      <c r="D146">
        <f t="shared" si="9"/>
        <v>5184</v>
      </c>
      <c r="E146">
        <f t="shared" si="10"/>
        <v>49190.804099999994</v>
      </c>
      <c r="F146">
        <f t="shared" si="11"/>
        <v>5184</v>
      </c>
    </row>
    <row r="147" spans="1:6" x14ac:dyDescent="0.3">
      <c r="A147">
        <v>66</v>
      </c>
      <c r="B147">
        <v>151.16</v>
      </c>
      <c r="C147">
        <f t="shared" si="8"/>
        <v>9976.56</v>
      </c>
      <c r="D147">
        <f t="shared" si="9"/>
        <v>4356</v>
      </c>
      <c r="E147">
        <f t="shared" si="10"/>
        <v>22849.345600000001</v>
      </c>
      <c r="F147">
        <f t="shared" si="11"/>
        <v>4356</v>
      </c>
    </row>
    <row r="148" spans="1:6" x14ac:dyDescent="0.3">
      <c r="A148">
        <v>65</v>
      </c>
      <c r="B148">
        <v>68.430000000000007</v>
      </c>
      <c r="C148">
        <f t="shared" si="8"/>
        <v>4447.9500000000007</v>
      </c>
      <c r="D148">
        <f t="shared" si="9"/>
        <v>4225</v>
      </c>
      <c r="E148">
        <f t="shared" si="10"/>
        <v>4682.6649000000007</v>
      </c>
      <c r="F148">
        <f t="shared" si="11"/>
        <v>4225</v>
      </c>
    </row>
    <row r="149" spans="1:6" x14ac:dyDescent="0.3">
      <c r="A149">
        <v>78</v>
      </c>
      <c r="B149">
        <v>67.290000000000006</v>
      </c>
      <c r="C149">
        <f t="shared" si="8"/>
        <v>5248.6200000000008</v>
      </c>
      <c r="D149">
        <f t="shared" si="9"/>
        <v>6084</v>
      </c>
      <c r="E149">
        <f t="shared" si="10"/>
        <v>4527.9441000000006</v>
      </c>
      <c r="F149">
        <f t="shared" si="11"/>
        <v>6084</v>
      </c>
    </row>
    <row r="150" spans="1:6" x14ac:dyDescent="0.3">
      <c r="A150">
        <v>57</v>
      </c>
      <c r="B150">
        <v>67.41</v>
      </c>
      <c r="C150">
        <f t="shared" si="8"/>
        <v>3842.37</v>
      </c>
      <c r="D150">
        <f t="shared" si="9"/>
        <v>3249</v>
      </c>
      <c r="E150">
        <f t="shared" si="10"/>
        <v>4544.1080999999995</v>
      </c>
      <c r="F150">
        <f t="shared" si="11"/>
        <v>3249</v>
      </c>
    </row>
    <row r="151" spans="1:6" x14ac:dyDescent="0.3">
      <c r="A151">
        <v>70</v>
      </c>
      <c r="B151">
        <v>239.07</v>
      </c>
      <c r="C151">
        <f t="shared" si="8"/>
        <v>16734.899999999998</v>
      </c>
      <c r="D151">
        <f t="shared" si="9"/>
        <v>4900</v>
      </c>
      <c r="E151">
        <f t="shared" si="10"/>
        <v>57154.464899999999</v>
      </c>
      <c r="F151">
        <f t="shared" si="11"/>
        <v>4900</v>
      </c>
    </row>
    <row r="152" spans="1:6" x14ac:dyDescent="0.3">
      <c r="A152">
        <v>79</v>
      </c>
      <c r="B152">
        <v>169.67</v>
      </c>
      <c r="C152">
        <f t="shared" si="8"/>
        <v>13403.929999999998</v>
      </c>
      <c r="D152">
        <f t="shared" si="9"/>
        <v>6241</v>
      </c>
      <c r="E152">
        <f t="shared" si="10"/>
        <v>28787.908899999995</v>
      </c>
      <c r="F152">
        <f t="shared" si="11"/>
        <v>6241</v>
      </c>
    </row>
    <row r="153" spans="1:6" x14ac:dyDescent="0.3">
      <c r="A153">
        <v>68</v>
      </c>
      <c r="B153">
        <v>223.83</v>
      </c>
      <c r="C153">
        <f t="shared" si="8"/>
        <v>15220.44</v>
      </c>
      <c r="D153">
        <f t="shared" si="9"/>
        <v>4624</v>
      </c>
      <c r="E153">
        <f t="shared" si="10"/>
        <v>50099.868900000009</v>
      </c>
      <c r="F153">
        <f t="shared" si="11"/>
        <v>4624</v>
      </c>
    </row>
    <row r="154" spans="1:6" x14ac:dyDescent="0.3">
      <c r="A154">
        <v>80</v>
      </c>
      <c r="B154">
        <v>76.569999999999993</v>
      </c>
      <c r="C154">
        <f t="shared" si="8"/>
        <v>6125.5999999999995</v>
      </c>
      <c r="D154">
        <f t="shared" si="9"/>
        <v>6400</v>
      </c>
      <c r="E154">
        <f t="shared" si="10"/>
        <v>5862.964899999999</v>
      </c>
      <c r="F154">
        <f t="shared" si="11"/>
        <v>6400</v>
      </c>
    </row>
    <row r="155" spans="1:6" x14ac:dyDescent="0.3">
      <c r="A155">
        <v>68</v>
      </c>
      <c r="B155">
        <v>77.819999999999993</v>
      </c>
      <c r="C155">
        <f t="shared" si="8"/>
        <v>5291.7599999999993</v>
      </c>
      <c r="D155">
        <f t="shared" si="9"/>
        <v>4624</v>
      </c>
      <c r="E155">
        <f t="shared" si="10"/>
        <v>6055.9523999999992</v>
      </c>
      <c r="F155">
        <f t="shared" si="11"/>
        <v>4624</v>
      </c>
    </row>
    <row r="156" spans="1:6" x14ac:dyDescent="0.3">
      <c r="A156">
        <v>55</v>
      </c>
      <c r="B156">
        <v>92.98</v>
      </c>
      <c r="C156">
        <f t="shared" si="8"/>
        <v>5113.9000000000005</v>
      </c>
      <c r="D156">
        <f t="shared" si="9"/>
        <v>3025</v>
      </c>
      <c r="E156">
        <f t="shared" si="10"/>
        <v>8645.2804000000015</v>
      </c>
      <c r="F156">
        <f t="shared" si="11"/>
        <v>3025</v>
      </c>
    </row>
    <row r="157" spans="1:6" x14ac:dyDescent="0.3">
      <c r="A157">
        <v>77</v>
      </c>
      <c r="B157">
        <v>231.56</v>
      </c>
      <c r="C157">
        <f t="shared" si="8"/>
        <v>17830.12</v>
      </c>
      <c r="D157">
        <f t="shared" si="9"/>
        <v>5929</v>
      </c>
      <c r="E157">
        <f t="shared" si="10"/>
        <v>53620.033600000002</v>
      </c>
      <c r="F157">
        <f t="shared" si="11"/>
        <v>5929</v>
      </c>
    </row>
    <row r="158" spans="1:6" x14ac:dyDescent="0.3">
      <c r="A158">
        <v>50</v>
      </c>
      <c r="B158">
        <v>102.16</v>
      </c>
      <c r="C158">
        <f t="shared" si="8"/>
        <v>5108</v>
      </c>
      <c r="D158">
        <f t="shared" si="9"/>
        <v>2500</v>
      </c>
      <c r="E158">
        <f t="shared" si="10"/>
        <v>10436.665599999998</v>
      </c>
      <c r="F158">
        <f t="shared" si="11"/>
        <v>2500</v>
      </c>
    </row>
    <row r="159" spans="1:6" x14ac:dyDescent="0.3">
      <c r="A159">
        <v>57</v>
      </c>
      <c r="B159">
        <v>221.89</v>
      </c>
      <c r="C159">
        <f t="shared" si="8"/>
        <v>12647.73</v>
      </c>
      <c r="D159">
        <f t="shared" si="9"/>
        <v>3249</v>
      </c>
      <c r="E159">
        <f t="shared" si="10"/>
        <v>49235.172099999996</v>
      </c>
      <c r="F159">
        <f t="shared" si="11"/>
        <v>3249</v>
      </c>
    </row>
    <row r="160" spans="1:6" x14ac:dyDescent="0.3">
      <c r="A160">
        <v>71</v>
      </c>
      <c r="B160">
        <v>195.71</v>
      </c>
      <c r="C160">
        <f t="shared" si="8"/>
        <v>13895.41</v>
      </c>
      <c r="D160">
        <f t="shared" si="9"/>
        <v>5041</v>
      </c>
      <c r="E160">
        <f t="shared" si="10"/>
        <v>38302.4041</v>
      </c>
      <c r="F160">
        <f t="shared" si="11"/>
        <v>5041</v>
      </c>
    </row>
    <row r="161" spans="1:6" x14ac:dyDescent="0.3">
      <c r="A161">
        <v>81</v>
      </c>
      <c r="B161">
        <v>74.02</v>
      </c>
      <c r="C161">
        <f t="shared" si="8"/>
        <v>5995.62</v>
      </c>
      <c r="D161">
        <f t="shared" si="9"/>
        <v>6561</v>
      </c>
      <c r="E161">
        <f t="shared" si="10"/>
        <v>5478.960399999999</v>
      </c>
      <c r="F161">
        <f t="shared" si="11"/>
        <v>6561</v>
      </c>
    </row>
    <row r="162" spans="1:6" x14ac:dyDescent="0.3">
      <c r="A162">
        <v>76</v>
      </c>
      <c r="B162">
        <v>57.92</v>
      </c>
      <c r="C162">
        <f t="shared" si="8"/>
        <v>4401.92</v>
      </c>
      <c r="D162">
        <f t="shared" si="9"/>
        <v>5776</v>
      </c>
      <c r="E162">
        <f t="shared" si="10"/>
        <v>3354.7264</v>
      </c>
      <c r="F162">
        <f t="shared" si="11"/>
        <v>5776</v>
      </c>
    </row>
    <row r="163" spans="1:6" x14ac:dyDescent="0.3">
      <c r="A163">
        <v>71</v>
      </c>
      <c r="B163">
        <v>81.760000000000005</v>
      </c>
      <c r="C163">
        <f t="shared" si="8"/>
        <v>5804.96</v>
      </c>
      <c r="D163">
        <f t="shared" si="9"/>
        <v>5041</v>
      </c>
      <c r="E163">
        <f t="shared" si="10"/>
        <v>6684.6976000000004</v>
      </c>
      <c r="F163">
        <f t="shared" si="11"/>
        <v>5041</v>
      </c>
    </row>
    <row r="164" spans="1:6" x14ac:dyDescent="0.3">
      <c r="A164">
        <v>1.32</v>
      </c>
      <c r="B164">
        <v>70.37</v>
      </c>
      <c r="C164">
        <f t="shared" si="8"/>
        <v>92.888400000000004</v>
      </c>
      <c r="D164">
        <f t="shared" si="9"/>
        <v>1.7424000000000002</v>
      </c>
      <c r="E164">
        <f t="shared" si="10"/>
        <v>4951.9369000000006</v>
      </c>
      <c r="F164">
        <f t="shared" si="11"/>
        <v>1.7424000000000002</v>
      </c>
    </row>
    <row r="165" spans="1:6" x14ac:dyDescent="0.3">
      <c r="A165">
        <v>78</v>
      </c>
      <c r="B165">
        <v>203.87</v>
      </c>
      <c r="C165">
        <f t="shared" si="8"/>
        <v>15901.86</v>
      </c>
      <c r="D165">
        <f t="shared" si="9"/>
        <v>6084</v>
      </c>
      <c r="E165">
        <f t="shared" si="10"/>
        <v>41562.976900000001</v>
      </c>
      <c r="F165">
        <f t="shared" si="11"/>
        <v>6084</v>
      </c>
    </row>
    <row r="166" spans="1:6" x14ac:dyDescent="0.3">
      <c r="A166">
        <v>70</v>
      </c>
      <c r="B166">
        <v>89.13</v>
      </c>
      <c r="C166">
        <f t="shared" si="8"/>
        <v>6239.0999999999995</v>
      </c>
      <c r="D166">
        <f t="shared" si="9"/>
        <v>4900</v>
      </c>
      <c r="E166">
        <f t="shared" si="10"/>
        <v>7944.156899999999</v>
      </c>
      <c r="F166">
        <f t="shared" si="11"/>
        <v>4900</v>
      </c>
    </row>
    <row r="167" spans="1:6" x14ac:dyDescent="0.3">
      <c r="A167">
        <v>78</v>
      </c>
      <c r="B167">
        <v>133.19</v>
      </c>
      <c r="C167">
        <f t="shared" si="8"/>
        <v>10388.82</v>
      </c>
      <c r="D167">
        <f t="shared" si="9"/>
        <v>6084</v>
      </c>
      <c r="E167">
        <f t="shared" si="10"/>
        <v>17739.576099999998</v>
      </c>
      <c r="F167">
        <f t="shared" si="11"/>
        <v>6084</v>
      </c>
    </row>
    <row r="168" spans="1:6" x14ac:dyDescent="0.3">
      <c r="A168">
        <v>56</v>
      </c>
      <c r="B168">
        <v>162.22999999999999</v>
      </c>
      <c r="C168">
        <f t="shared" si="8"/>
        <v>9084.8799999999992</v>
      </c>
      <c r="D168">
        <f t="shared" si="9"/>
        <v>3136</v>
      </c>
      <c r="E168">
        <f t="shared" si="10"/>
        <v>26318.572899999996</v>
      </c>
      <c r="F168">
        <f t="shared" si="11"/>
        <v>3136</v>
      </c>
    </row>
    <row r="169" spans="1:6" x14ac:dyDescent="0.3">
      <c r="A169">
        <v>79</v>
      </c>
      <c r="B169">
        <v>75.02</v>
      </c>
      <c r="C169">
        <f t="shared" si="8"/>
        <v>5926.58</v>
      </c>
      <c r="D169">
        <f t="shared" si="9"/>
        <v>6241</v>
      </c>
      <c r="E169">
        <f t="shared" si="10"/>
        <v>5628.000399999999</v>
      </c>
      <c r="F169">
        <f t="shared" si="11"/>
        <v>6241</v>
      </c>
    </row>
    <row r="170" spans="1:6" x14ac:dyDescent="0.3">
      <c r="A170">
        <v>79</v>
      </c>
      <c r="B170">
        <v>98.02</v>
      </c>
      <c r="C170">
        <f t="shared" si="8"/>
        <v>7743.58</v>
      </c>
      <c r="D170">
        <f t="shared" si="9"/>
        <v>6241</v>
      </c>
      <c r="E170">
        <f t="shared" si="10"/>
        <v>9607.9203999999991</v>
      </c>
      <c r="F170">
        <f t="shared" si="11"/>
        <v>6241</v>
      </c>
    </row>
    <row r="171" spans="1:6" x14ac:dyDescent="0.3">
      <c r="A171">
        <v>81</v>
      </c>
      <c r="B171">
        <v>91.54</v>
      </c>
      <c r="C171">
        <f t="shared" si="8"/>
        <v>7414.7400000000007</v>
      </c>
      <c r="D171">
        <f t="shared" si="9"/>
        <v>6561</v>
      </c>
      <c r="E171">
        <f t="shared" si="10"/>
        <v>8379.5716000000011</v>
      </c>
      <c r="F171">
        <f t="shared" si="11"/>
        <v>6561</v>
      </c>
    </row>
    <row r="172" spans="1:6" x14ac:dyDescent="0.3">
      <c r="A172">
        <v>64</v>
      </c>
      <c r="B172">
        <v>111.98</v>
      </c>
      <c r="C172">
        <f t="shared" si="8"/>
        <v>7166.72</v>
      </c>
      <c r="D172">
        <f t="shared" si="9"/>
        <v>4096</v>
      </c>
      <c r="E172">
        <f t="shared" si="10"/>
        <v>12539.520400000001</v>
      </c>
      <c r="F172">
        <f t="shared" si="11"/>
        <v>4096</v>
      </c>
    </row>
    <row r="173" spans="1:6" x14ac:dyDescent="0.3">
      <c r="A173">
        <v>79</v>
      </c>
      <c r="B173">
        <v>60.94</v>
      </c>
      <c r="C173">
        <f t="shared" si="8"/>
        <v>4814.26</v>
      </c>
      <c r="D173">
        <f t="shared" si="9"/>
        <v>6241</v>
      </c>
      <c r="E173">
        <f t="shared" si="10"/>
        <v>3713.6835999999998</v>
      </c>
      <c r="F173">
        <f t="shared" si="11"/>
        <v>6241</v>
      </c>
    </row>
    <row r="174" spans="1:6" x14ac:dyDescent="0.3">
      <c r="A174">
        <v>60</v>
      </c>
      <c r="B174">
        <v>97.43</v>
      </c>
      <c r="C174">
        <f t="shared" si="8"/>
        <v>5845.8</v>
      </c>
      <c r="D174">
        <f t="shared" si="9"/>
        <v>3600</v>
      </c>
      <c r="E174">
        <f t="shared" si="10"/>
        <v>9492.6049000000021</v>
      </c>
      <c r="F174">
        <f t="shared" si="11"/>
        <v>3600</v>
      </c>
    </row>
    <row r="175" spans="1:6" x14ac:dyDescent="0.3">
      <c r="A175">
        <v>80</v>
      </c>
      <c r="B175">
        <v>91.02</v>
      </c>
      <c r="C175">
        <f t="shared" si="8"/>
        <v>7281.5999999999995</v>
      </c>
      <c r="D175">
        <f t="shared" si="9"/>
        <v>6400</v>
      </c>
      <c r="E175">
        <f t="shared" si="10"/>
        <v>8284.6403999999984</v>
      </c>
      <c r="F175">
        <f t="shared" si="11"/>
        <v>6400</v>
      </c>
    </row>
    <row r="176" spans="1:6" x14ac:dyDescent="0.3">
      <c r="A176">
        <v>78</v>
      </c>
      <c r="B176">
        <v>60.67</v>
      </c>
      <c r="C176">
        <f t="shared" si="8"/>
        <v>4732.26</v>
      </c>
      <c r="D176">
        <f t="shared" si="9"/>
        <v>6084</v>
      </c>
      <c r="E176">
        <f t="shared" si="10"/>
        <v>3680.8489000000004</v>
      </c>
      <c r="F176">
        <f t="shared" si="11"/>
        <v>6084</v>
      </c>
    </row>
    <row r="177" spans="1:6" x14ac:dyDescent="0.3">
      <c r="A177">
        <v>72</v>
      </c>
      <c r="B177">
        <v>185.49</v>
      </c>
      <c r="C177">
        <f t="shared" si="8"/>
        <v>13355.28</v>
      </c>
      <c r="D177">
        <f t="shared" si="9"/>
        <v>5184</v>
      </c>
      <c r="E177">
        <f t="shared" si="10"/>
        <v>34406.540100000006</v>
      </c>
      <c r="F177">
        <f t="shared" si="11"/>
        <v>5184</v>
      </c>
    </row>
    <row r="178" spans="1:6" x14ac:dyDescent="0.3">
      <c r="A178">
        <v>80</v>
      </c>
      <c r="B178">
        <v>64.44</v>
      </c>
      <c r="C178">
        <f t="shared" si="8"/>
        <v>5155.2</v>
      </c>
      <c r="D178">
        <f t="shared" si="9"/>
        <v>6400</v>
      </c>
      <c r="E178">
        <f t="shared" si="10"/>
        <v>4152.5135999999993</v>
      </c>
      <c r="F178">
        <f t="shared" si="11"/>
        <v>6400</v>
      </c>
    </row>
    <row r="179" spans="1:6" x14ac:dyDescent="0.3">
      <c r="A179">
        <v>78</v>
      </c>
      <c r="B179">
        <v>56.11</v>
      </c>
      <c r="C179">
        <f t="shared" si="8"/>
        <v>4376.58</v>
      </c>
      <c r="D179">
        <f t="shared" si="9"/>
        <v>6084</v>
      </c>
      <c r="E179">
        <f t="shared" si="10"/>
        <v>3148.3321000000001</v>
      </c>
      <c r="F179">
        <f t="shared" si="11"/>
        <v>6084</v>
      </c>
    </row>
    <row r="180" spans="1:6" x14ac:dyDescent="0.3">
      <c r="A180">
        <v>80</v>
      </c>
      <c r="B180">
        <v>110.66</v>
      </c>
      <c r="C180">
        <f t="shared" si="8"/>
        <v>8852.7999999999993</v>
      </c>
      <c r="D180">
        <f t="shared" si="9"/>
        <v>6400</v>
      </c>
      <c r="E180">
        <f t="shared" si="10"/>
        <v>12245.6356</v>
      </c>
      <c r="F180">
        <f t="shared" si="11"/>
        <v>6400</v>
      </c>
    </row>
    <row r="181" spans="1:6" x14ac:dyDescent="0.3">
      <c r="A181">
        <v>81</v>
      </c>
      <c r="B181">
        <v>213.22</v>
      </c>
      <c r="C181">
        <f t="shared" si="8"/>
        <v>17270.82</v>
      </c>
      <c r="D181">
        <f t="shared" si="9"/>
        <v>6561</v>
      </c>
      <c r="E181">
        <f t="shared" si="10"/>
        <v>45462.768400000001</v>
      </c>
      <c r="F181">
        <f t="shared" si="11"/>
        <v>6561</v>
      </c>
    </row>
    <row r="182" spans="1:6" x14ac:dyDescent="0.3">
      <c r="A182">
        <v>46</v>
      </c>
      <c r="B182">
        <v>78.180000000000007</v>
      </c>
      <c r="C182">
        <f t="shared" si="8"/>
        <v>3596.28</v>
      </c>
      <c r="D182">
        <f t="shared" si="9"/>
        <v>2116</v>
      </c>
      <c r="E182">
        <f t="shared" si="10"/>
        <v>6112.1124000000009</v>
      </c>
      <c r="F182">
        <f t="shared" si="11"/>
        <v>2116</v>
      </c>
    </row>
    <row r="183" spans="1:6" x14ac:dyDescent="0.3">
      <c r="A183">
        <v>59</v>
      </c>
      <c r="B183">
        <v>111.04</v>
      </c>
      <c r="C183">
        <f t="shared" si="8"/>
        <v>6551.3600000000006</v>
      </c>
      <c r="D183">
        <f t="shared" si="9"/>
        <v>3481</v>
      </c>
      <c r="E183">
        <f t="shared" si="10"/>
        <v>12329.881600000001</v>
      </c>
      <c r="F183">
        <f t="shared" si="11"/>
        <v>3481</v>
      </c>
    </row>
    <row r="184" spans="1:6" x14ac:dyDescent="0.3">
      <c r="A184">
        <v>32</v>
      </c>
      <c r="B184">
        <v>76.13</v>
      </c>
      <c r="C184">
        <f t="shared" si="8"/>
        <v>2436.16</v>
      </c>
      <c r="D184">
        <f t="shared" si="9"/>
        <v>1024</v>
      </c>
      <c r="E184">
        <f t="shared" si="10"/>
        <v>5795.7768999999989</v>
      </c>
      <c r="F184">
        <f t="shared" si="11"/>
        <v>1024</v>
      </c>
    </row>
    <row r="185" spans="1:6" x14ac:dyDescent="0.3">
      <c r="A185">
        <v>77</v>
      </c>
      <c r="B185">
        <v>81.319999999999993</v>
      </c>
      <c r="C185">
        <f t="shared" si="8"/>
        <v>6261.6399999999994</v>
      </c>
      <c r="D185">
        <f t="shared" si="9"/>
        <v>5929</v>
      </c>
      <c r="E185">
        <f t="shared" si="10"/>
        <v>6612.942399999999</v>
      </c>
      <c r="F185">
        <f t="shared" si="11"/>
        <v>5929</v>
      </c>
    </row>
    <row r="186" spans="1:6" x14ac:dyDescent="0.3">
      <c r="A186">
        <v>61</v>
      </c>
      <c r="B186">
        <v>112.24</v>
      </c>
      <c r="C186">
        <f t="shared" si="8"/>
        <v>6846.6399999999994</v>
      </c>
      <c r="D186">
        <f t="shared" si="9"/>
        <v>3721</v>
      </c>
      <c r="E186">
        <f t="shared" si="10"/>
        <v>12597.817599999998</v>
      </c>
      <c r="F186">
        <f t="shared" si="11"/>
        <v>3721</v>
      </c>
    </row>
    <row r="187" spans="1:6" x14ac:dyDescent="0.3">
      <c r="A187">
        <v>63</v>
      </c>
      <c r="B187">
        <v>137.30000000000001</v>
      </c>
      <c r="C187">
        <f t="shared" si="8"/>
        <v>8649.9000000000015</v>
      </c>
      <c r="D187">
        <f t="shared" si="9"/>
        <v>3969</v>
      </c>
      <c r="E187">
        <f t="shared" si="10"/>
        <v>18851.290000000005</v>
      </c>
      <c r="F187">
        <f t="shared" si="11"/>
        <v>3969</v>
      </c>
    </row>
    <row r="188" spans="1:6" x14ac:dyDescent="0.3">
      <c r="A188">
        <v>63</v>
      </c>
      <c r="B188">
        <v>116.69</v>
      </c>
      <c r="C188">
        <f t="shared" si="8"/>
        <v>7351.47</v>
      </c>
      <c r="D188">
        <f t="shared" si="9"/>
        <v>3969</v>
      </c>
      <c r="E188">
        <f t="shared" si="10"/>
        <v>13616.5561</v>
      </c>
      <c r="F188">
        <f t="shared" si="11"/>
        <v>3969</v>
      </c>
    </row>
    <row r="189" spans="1:6" x14ac:dyDescent="0.3">
      <c r="A189">
        <v>82</v>
      </c>
      <c r="B189">
        <v>215.94</v>
      </c>
      <c r="C189">
        <f t="shared" si="8"/>
        <v>17707.079999999998</v>
      </c>
      <c r="D189">
        <f t="shared" si="9"/>
        <v>6724</v>
      </c>
      <c r="E189">
        <f t="shared" si="10"/>
        <v>46630.083599999998</v>
      </c>
      <c r="F189">
        <f t="shared" si="11"/>
        <v>6724</v>
      </c>
    </row>
    <row r="190" spans="1:6" x14ac:dyDescent="0.3">
      <c r="A190">
        <v>82</v>
      </c>
      <c r="B190">
        <v>86.62</v>
      </c>
      <c r="C190">
        <f t="shared" si="8"/>
        <v>7102.84</v>
      </c>
      <c r="D190">
        <f t="shared" si="9"/>
        <v>6724</v>
      </c>
      <c r="E190">
        <f t="shared" si="10"/>
        <v>7503.0244000000012</v>
      </c>
      <c r="F190">
        <f t="shared" si="11"/>
        <v>6724</v>
      </c>
    </row>
    <row r="191" spans="1:6" x14ac:dyDescent="0.3">
      <c r="A191">
        <v>61</v>
      </c>
      <c r="B191">
        <v>209.86</v>
      </c>
      <c r="C191">
        <f t="shared" si="8"/>
        <v>12801.460000000001</v>
      </c>
      <c r="D191">
        <f t="shared" si="9"/>
        <v>3721</v>
      </c>
      <c r="E191">
        <f t="shared" si="10"/>
        <v>44041.219600000004</v>
      </c>
      <c r="F191">
        <f t="shared" si="11"/>
        <v>3721</v>
      </c>
    </row>
    <row r="192" spans="1:6" x14ac:dyDescent="0.3">
      <c r="A192">
        <v>65</v>
      </c>
      <c r="B192">
        <v>205.77</v>
      </c>
      <c r="C192">
        <f t="shared" si="8"/>
        <v>13375.050000000001</v>
      </c>
      <c r="D192">
        <f t="shared" si="9"/>
        <v>4225</v>
      </c>
      <c r="E192">
        <f t="shared" si="10"/>
        <v>42341.292900000008</v>
      </c>
      <c r="F192">
        <f t="shared" si="11"/>
        <v>4225</v>
      </c>
    </row>
    <row r="193" spans="1:6" x14ac:dyDescent="0.3">
      <c r="A193">
        <v>51</v>
      </c>
      <c r="B193">
        <v>112.16</v>
      </c>
      <c r="C193">
        <f t="shared" si="8"/>
        <v>5720.16</v>
      </c>
      <c r="D193">
        <f t="shared" si="9"/>
        <v>2601</v>
      </c>
      <c r="E193">
        <f t="shared" si="10"/>
        <v>12579.865599999999</v>
      </c>
      <c r="F193">
        <f t="shared" si="11"/>
        <v>2601</v>
      </c>
    </row>
    <row r="194" spans="1:6" x14ac:dyDescent="0.3">
      <c r="A194">
        <v>59</v>
      </c>
      <c r="B194">
        <v>118.03</v>
      </c>
      <c r="C194">
        <f t="shared" si="8"/>
        <v>6963.77</v>
      </c>
      <c r="D194">
        <f t="shared" si="9"/>
        <v>3481</v>
      </c>
      <c r="E194">
        <f t="shared" si="10"/>
        <v>13931.080900000001</v>
      </c>
      <c r="F194">
        <f t="shared" si="11"/>
        <v>3481</v>
      </c>
    </row>
    <row r="195" spans="1:6" x14ac:dyDescent="0.3">
      <c r="A195">
        <v>68</v>
      </c>
      <c r="B195">
        <v>271.74</v>
      </c>
      <c r="C195">
        <f t="shared" ref="C195:C258" si="12">A195*B195</f>
        <v>18478.32</v>
      </c>
      <c r="D195">
        <f t="shared" ref="D195:D258" si="13">A195*A195</f>
        <v>4624</v>
      </c>
      <c r="E195">
        <f t="shared" ref="E195:E258" si="14">B195*B195</f>
        <v>73842.627600000007</v>
      </c>
      <c r="F195">
        <f t="shared" ref="F195:F258" si="15">A195^2</f>
        <v>4624</v>
      </c>
    </row>
    <row r="196" spans="1:6" x14ac:dyDescent="0.3">
      <c r="A196">
        <v>72</v>
      </c>
      <c r="B196">
        <v>97.92</v>
      </c>
      <c r="C196">
        <f t="shared" si="12"/>
        <v>7050.24</v>
      </c>
      <c r="D196">
        <f t="shared" si="13"/>
        <v>5184</v>
      </c>
      <c r="E196">
        <f t="shared" si="14"/>
        <v>9588.3263999999999</v>
      </c>
      <c r="F196">
        <f t="shared" si="15"/>
        <v>5184</v>
      </c>
    </row>
    <row r="197" spans="1:6" x14ac:dyDescent="0.3">
      <c r="A197">
        <v>59</v>
      </c>
      <c r="B197">
        <v>200.62</v>
      </c>
      <c r="C197">
        <f t="shared" si="12"/>
        <v>11836.58</v>
      </c>
      <c r="D197">
        <f t="shared" si="13"/>
        <v>3481</v>
      </c>
      <c r="E197">
        <f t="shared" si="14"/>
        <v>40248.384400000003</v>
      </c>
      <c r="F197">
        <f t="shared" si="15"/>
        <v>3481</v>
      </c>
    </row>
    <row r="198" spans="1:6" x14ac:dyDescent="0.3">
      <c r="A198">
        <v>70</v>
      </c>
      <c r="B198">
        <v>242.52</v>
      </c>
      <c r="C198">
        <f t="shared" si="12"/>
        <v>16976.400000000001</v>
      </c>
      <c r="D198">
        <f t="shared" si="13"/>
        <v>4900</v>
      </c>
      <c r="E198">
        <f t="shared" si="14"/>
        <v>58815.950400000002</v>
      </c>
      <c r="F198">
        <f t="shared" si="15"/>
        <v>4900</v>
      </c>
    </row>
    <row r="199" spans="1:6" x14ac:dyDescent="0.3">
      <c r="A199">
        <v>69</v>
      </c>
      <c r="B199">
        <v>93.81</v>
      </c>
      <c r="C199">
        <f t="shared" si="12"/>
        <v>6472.89</v>
      </c>
      <c r="D199">
        <f t="shared" si="13"/>
        <v>4761</v>
      </c>
      <c r="E199">
        <f t="shared" si="14"/>
        <v>8800.3161</v>
      </c>
      <c r="F199">
        <f t="shared" si="15"/>
        <v>4761</v>
      </c>
    </row>
    <row r="200" spans="1:6" x14ac:dyDescent="0.3">
      <c r="A200">
        <v>79</v>
      </c>
      <c r="B200">
        <v>114.77</v>
      </c>
      <c r="C200">
        <f t="shared" si="12"/>
        <v>9066.83</v>
      </c>
      <c r="D200">
        <f t="shared" si="13"/>
        <v>6241</v>
      </c>
      <c r="E200">
        <f t="shared" si="14"/>
        <v>13172.152899999999</v>
      </c>
      <c r="F200">
        <f t="shared" si="15"/>
        <v>6241</v>
      </c>
    </row>
    <row r="201" spans="1:6" x14ac:dyDescent="0.3">
      <c r="A201">
        <v>74</v>
      </c>
      <c r="B201">
        <v>74.959999999999994</v>
      </c>
      <c r="C201">
        <f t="shared" si="12"/>
        <v>5547.04</v>
      </c>
      <c r="D201">
        <f t="shared" si="13"/>
        <v>5476</v>
      </c>
      <c r="E201">
        <f t="shared" si="14"/>
        <v>5619.0015999999987</v>
      </c>
      <c r="F201">
        <f t="shared" si="15"/>
        <v>5476</v>
      </c>
    </row>
    <row r="202" spans="1:6" x14ac:dyDescent="0.3">
      <c r="A202">
        <v>74</v>
      </c>
      <c r="B202">
        <v>167.13</v>
      </c>
      <c r="C202">
        <f t="shared" si="12"/>
        <v>12367.619999999999</v>
      </c>
      <c r="D202">
        <f t="shared" si="13"/>
        <v>5476</v>
      </c>
      <c r="E202">
        <f t="shared" si="14"/>
        <v>27932.436899999997</v>
      </c>
      <c r="F202">
        <f t="shared" si="15"/>
        <v>5476</v>
      </c>
    </row>
    <row r="203" spans="1:6" x14ac:dyDescent="0.3">
      <c r="A203">
        <v>80</v>
      </c>
      <c r="B203">
        <v>175.29</v>
      </c>
      <c r="C203">
        <f t="shared" si="12"/>
        <v>14023.199999999999</v>
      </c>
      <c r="D203">
        <f t="shared" si="13"/>
        <v>6400</v>
      </c>
      <c r="E203">
        <f t="shared" si="14"/>
        <v>30726.584099999996</v>
      </c>
      <c r="F203">
        <f t="shared" si="15"/>
        <v>6400</v>
      </c>
    </row>
    <row r="204" spans="1:6" x14ac:dyDescent="0.3">
      <c r="A204">
        <v>77</v>
      </c>
      <c r="B204">
        <v>90</v>
      </c>
      <c r="C204">
        <f t="shared" si="12"/>
        <v>6930</v>
      </c>
      <c r="D204">
        <f t="shared" si="13"/>
        <v>5929</v>
      </c>
      <c r="E204">
        <f t="shared" si="14"/>
        <v>8100</v>
      </c>
      <c r="F204">
        <f t="shared" si="15"/>
        <v>5929</v>
      </c>
    </row>
    <row r="205" spans="1:6" x14ac:dyDescent="0.3">
      <c r="A205">
        <v>78</v>
      </c>
      <c r="B205">
        <v>109.47</v>
      </c>
      <c r="C205">
        <f t="shared" si="12"/>
        <v>8538.66</v>
      </c>
      <c r="D205">
        <f t="shared" si="13"/>
        <v>6084</v>
      </c>
      <c r="E205">
        <f t="shared" si="14"/>
        <v>11983.680899999999</v>
      </c>
      <c r="F205">
        <f t="shared" si="15"/>
        <v>6084</v>
      </c>
    </row>
    <row r="206" spans="1:6" x14ac:dyDescent="0.3">
      <c r="A206">
        <v>54</v>
      </c>
      <c r="B206">
        <v>87.85</v>
      </c>
      <c r="C206">
        <f t="shared" si="12"/>
        <v>4743.8999999999996</v>
      </c>
      <c r="D206">
        <f t="shared" si="13"/>
        <v>2916</v>
      </c>
      <c r="E206">
        <f t="shared" si="14"/>
        <v>7717.6224999999986</v>
      </c>
      <c r="F206">
        <f t="shared" si="15"/>
        <v>2916</v>
      </c>
    </row>
    <row r="207" spans="1:6" x14ac:dyDescent="0.3">
      <c r="A207">
        <v>78</v>
      </c>
      <c r="B207">
        <v>106.74</v>
      </c>
      <c r="C207">
        <f t="shared" si="12"/>
        <v>8325.7199999999993</v>
      </c>
      <c r="D207">
        <f t="shared" si="13"/>
        <v>6084</v>
      </c>
      <c r="E207">
        <f t="shared" si="14"/>
        <v>11393.427599999999</v>
      </c>
      <c r="F207">
        <f t="shared" si="15"/>
        <v>6084</v>
      </c>
    </row>
    <row r="208" spans="1:6" x14ac:dyDescent="0.3">
      <c r="A208">
        <v>81</v>
      </c>
      <c r="B208">
        <v>80.13</v>
      </c>
      <c r="C208">
        <f t="shared" si="12"/>
        <v>6490.53</v>
      </c>
      <c r="D208">
        <f t="shared" si="13"/>
        <v>6561</v>
      </c>
      <c r="E208">
        <f t="shared" si="14"/>
        <v>6420.8168999999989</v>
      </c>
      <c r="F208">
        <f t="shared" si="15"/>
        <v>6561</v>
      </c>
    </row>
    <row r="209" spans="1:6" x14ac:dyDescent="0.3">
      <c r="A209">
        <v>78</v>
      </c>
      <c r="B209">
        <v>90.19</v>
      </c>
      <c r="C209">
        <f t="shared" si="12"/>
        <v>7034.82</v>
      </c>
      <c r="D209">
        <f t="shared" si="13"/>
        <v>6084</v>
      </c>
      <c r="E209">
        <f t="shared" si="14"/>
        <v>8134.2360999999992</v>
      </c>
      <c r="F209">
        <f t="shared" si="15"/>
        <v>6084</v>
      </c>
    </row>
    <row r="210" spans="1:6" x14ac:dyDescent="0.3">
      <c r="A210">
        <v>78</v>
      </c>
      <c r="B210">
        <v>134.80000000000001</v>
      </c>
      <c r="C210">
        <f t="shared" si="12"/>
        <v>10514.400000000001</v>
      </c>
      <c r="D210">
        <f t="shared" si="13"/>
        <v>6084</v>
      </c>
      <c r="E210">
        <f t="shared" si="14"/>
        <v>18171.040000000005</v>
      </c>
      <c r="F210">
        <f t="shared" si="15"/>
        <v>6084</v>
      </c>
    </row>
    <row r="211" spans="1:6" x14ac:dyDescent="0.3">
      <c r="A211">
        <v>63</v>
      </c>
      <c r="B211">
        <v>106.58</v>
      </c>
      <c r="C211">
        <f t="shared" si="12"/>
        <v>6714.54</v>
      </c>
      <c r="D211">
        <f t="shared" si="13"/>
        <v>3969</v>
      </c>
      <c r="E211">
        <f t="shared" si="14"/>
        <v>11359.296399999999</v>
      </c>
      <c r="F211">
        <f t="shared" si="15"/>
        <v>3969</v>
      </c>
    </row>
    <row r="212" spans="1:6" x14ac:dyDescent="0.3">
      <c r="A212">
        <v>39</v>
      </c>
      <c r="B212">
        <v>83.24</v>
      </c>
      <c r="C212">
        <f t="shared" si="12"/>
        <v>3246.3599999999997</v>
      </c>
      <c r="D212">
        <f t="shared" si="13"/>
        <v>1521</v>
      </c>
      <c r="E212">
        <f t="shared" si="14"/>
        <v>6928.8975999999993</v>
      </c>
      <c r="F212">
        <f t="shared" si="15"/>
        <v>1521</v>
      </c>
    </row>
    <row r="213" spans="1:6" x14ac:dyDescent="0.3">
      <c r="A213">
        <v>51</v>
      </c>
      <c r="B213">
        <v>103.43</v>
      </c>
      <c r="C213">
        <f t="shared" si="12"/>
        <v>5274.93</v>
      </c>
      <c r="D213">
        <f t="shared" si="13"/>
        <v>2601</v>
      </c>
      <c r="E213">
        <f t="shared" si="14"/>
        <v>10697.764900000002</v>
      </c>
      <c r="F213">
        <f t="shared" si="15"/>
        <v>2601</v>
      </c>
    </row>
    <row r="214" spans="1:6" x14ac:dyDescent="0.3">
      <c r="A214">
        <v>63</v>
      </c>
      <c r="B214">
        <v>208.65</v>
      </c>
      <c r="C214">
        <f t="shared" si="12"/>
        <v>13144.95</v>
      </c>
      <c r="D214">
        <f t="shared" si="13"/>
        <v>3969</v>
      </c>
      <c r="E214">
        <f t="shared" si="14"/>
        <v>43534.822500000002</v>
      </c>
      <c r="F214">
        <f t="shared" si="15"/>
        <v>3969</v>
      </c>
    </row>
    <row r="215" spans="1:6" x14ac:dyDescent="0.3">
      <c r="A215">
        <v>48</v>
      </c>
      <c r="B215">
        <v>74.11</v>
      </c>
      <c r="C215">
        <f t="shared" si="12"/>
        <v>3557.2799999999997</v>
      </c>
      <c r="D215">
        <f t="shared" si="13"/>
        <v>2304</v>
      </c>
      <c r="E215">
        <f t="shared" si="14"/>
        <v>5492.2920999999997</v>
      </c>
      <c r="F215">
        <f t="shared" si="15"/>
        <v>2304</v>
      </c>
    </row>
    <row r="216" spans="1:6" x14ac:dyDescent="0.3">
      <c r="A216">
        <v>81</v>
      </c>
      <c r="B216">
        <v>95.84</v>
      </c>
      <c r="C216">
        <f t="shared" si="12"/>
        <v>7763.04</v>
      </c>
      <c r="D216">
        <f t="shared" si="13"/>
        <v>6561</v>
      </c>
      <c r="E216">
        <f t="shared" si="14"/>
        <v>9185.3056000000015</v>
      </c>
      <c r="F216">
        <f t="shared" si="15"/>
        <v>6561</v>
      </c>
    </row>
    <row r="217" spans="1:6" x14ac:dyDescent="0.3">
      <c r="A217">
        <v>79</v>
      </c>
      <c r="B217">
        <v>205.33</v>
      </c>
      <c r="C217">
        <f t="shared" si="12"/>
        <v>16221.070000000002</v>
      </c>
      <c r="D217">
        <f t="shared" si="13"/>
        <v>6241</v>
      </c>
      <c r="E217">
        <f t="shared" si="14"/>
        <v>42160.408900000002</v>
      </c>
      <c r="F217">
        <f t="shared" si="15"/>
        <v>6241</v>
      </c>
    </row>
    <row r="218" spans="1:6" x14ac:dyDescent="0.3">
      <c r="A218">
        <v>78</v>
      </c>
      <c r="B218">
        <v>116.1</v>
      </c>
      <c r="C218">
        <f t="shared" si="12"/>
        <v>9055.7999999999993</v>
      </c>
      <c r="D218">
        <f t="shared" si="13"/>
        <v>6084</v>
      </c>
      <c r="E218">
        <f t="shared" si="14"/>
        <v>13479.21</v>
      </c>
      <c r="F218">
        <f t="shared" si="15"/>
        <v>6084</v>
      </c>
    </row>
    <row r="219" spans="1:6" x14ac:dyDescent="0.3">
      <c r="A219">
        <v>55</v>
      </c>
      <c r="B219">
        <v>210.4</v>
      </c>
      <c r="C219">
        <f t="shared" si="12"/>
        <v>11572</v>
      </c>
      <c r="D219">
        <f t="shared" si="13"/>
        <v>3025</v>
      </c>
      <c r="E219">
        <f t="shared" si="14"/>
        <v>44268.160000000003</v>
      </c>
      <c r="F219">
        <f t="shared" si="15"/>
        <v>3025</v>
      </c>
    </row>
    <row r="220" spans="1:6" x14ac:dyDescent="0.3">
      <c r="A220">
        <v>76</v>
      </c>
      <c r="B220">
        <v>199.86</v>
      </c>
      <c r="C220">
        <f t="shared" si="12"/>
        <v>15189.36</v>
      </c>
      <c r="D220">
        <f t="shared" si="13"/>
        <v>5776</v>
      </c>
      <c r="E220">
        <f t="shared" si="14"/>
        <v>39944.019600000007</v>
      </c>
      <c r="F220">
        <f t="shared" si="15"/>
        <v>5776</v>
      </c>
    </row>
    <row r="221" spans="1:6" x14ac:dyDescent="0.3">
      <c r="A221">
        <v>73</v>
      </c>
      <c r="B221">
        <v>219.73</v>
      </c>
      <c r="C221">
        <f t="shared" si="12"/>
        <v>16040.289999999999</v>
      </c>
      <c r="D221">
        <f t="shared" si="13"/>
        <v>5329</v>
      </c>
      <c r="E221">
        <f t="shared" si="14"/>
        <v>48281.272899999996</v>
      </c>
      <c r="F221">
        <f t="shared" si="15"/>
        <v>5329</v>
      </c>
    </row>
    <row r="222" spans="1:6" x14ac:dyDescent="0.3">
      <c r="A222">
        <v>81</v>
      </c>
      <c r="B222">
        <v>250.89</v>
      </c>
      <c r="C222">
        <f t="shared" si="12"/>
        <v>20322.09</v>
      </c>
      <c r="D222">
        <f t="shared" si="13"/>
        <v>6561</v>
      </c>
      <c r="E222">
        <f t="shared" si="14"/>
        <v>62945.792099999991</v>
      </c>
      <c r="F222">
        <f t="shared" si="15"/>
        <v>6561</v>
      </c>
    </row>
    <row r="223" spans="1:6" x14ac:dyDescent="0.3">
      <c r="A223">
        <v>79</v>
      </c>
      <c r="B223">
        <v>72.73</v>
      </c>
      <c r="C223">
        <f t="shared" si="12"/>
        <v>5745.67</v>
      </c>
      <c r="D223">
        <f t="shared" si="13"/>
        <v>6241</v>
      </c>
      <c r="E223">
        <f t="shared" si="14"/>
        <v>5289.652900000001</v>
      </c>
      <c r="F223">
        <f t="shared" si="15"/>
        <v>6241</v>
      </c>
    </row>
    <row r="224" spans="1:6" x14ac:dyDescent="0.3">
      <c r="A224">
        <v>63</v>
      </c>
      <c r="B224">
        <v>205.35</v>
      </c>
      <c r="C224">
        <f t="shared" si="12"/>
        <v>12937.05</v>
      </c>
      <c r="D224">
        <f t="shared" si="13"/>
        <v>3969</v>
      </c>
      <c r="E224">
        <f t="shared" si="14"/>
        <v>42168.622499999998</v>
      </c>
      <c r="F224">
        <f t="shared" si="15"/>
        <v>3969</v>
      </c>
    </row>
    <row r="225" spans="1:6" x14ac:dyDescent="0.3">
      <c r="A225">
        <v>81</v>
      </c>
      <c r="B225">
        <v>70.3</v>
      </c>
      <c r="C225">
        <f t="shared" si="12"/>
        <v>5694.3</v>
      </c>
      <c r="D225">
        <f t="shared" si="13"/>
        <v>6561</v>
      </c>
      <c r="E225">
        <f t="shared" si="14"/>
        <v>4942.0899999999992</v>
      </c>
      <c r="F225">
        <f t="shared" si="15"/>
        <v>6561</v>
      </c>
    </row>
    <row r="226" spans="1:6" x14ac:dyDescent="0.3">
      <c r="A226">
        <v>49</v>
      </c>
      <c r="B226">
        <v>104.86</v>
      </c>
      <c r="C226">
        <f t="shared" si="12"/>
        <v>5138.1400000000003</v>
      </c>
      <c r="D226">
        <f t="shared" si="13"/>
        <v>2401</v>
      </c>
      <c r="E226">
        <f t="shared" si="14"/>
        <v>10995.6196</v>
      </c>
      <c r="F226">
        <f t="shared" si="15"/>
        <v>2401</v>
      </c>
    </row>
    <row r="227" spans="1:6" x14ac:dyDescent="0.3">
      <c r="A227">
        <v>57</v>
      </c>
      <c r="B227">
        <v>216.58</v>
      </c>
      <c r="C227">
        <f t="shared" si="12"/>
        <v>12345.060000000001</v>
      </c>
      <c r="D227">
        <f t="shared" si="13"/>
        <v>3249</v>
      </c>
      <c r="E227">
        <f t="shared" si="14"/>
        <v>46906.896400000005</v>
      </c>
      <c r="F227">
        <f t="shared" si="15"/>
        <v>3249</v>
      </c>
    </row>
    <row r="228" spans="1:6" x14ac:dyDescent="0.3">
      <c r="A228">
        <v>81</v>
      </c>
      <c r="B228">
        <v>184.4</v>
      </c>
      <c r="C228">
        <f t="shared" si="12"/>
        <v>14936.4</v>
      </c>
      <c r="D228">
        <f t="shared" si="13"/>
        <v>6561</v>
      </c>
      <c r="E228">
        <f t="shared" si="14"/>
        <v>34003.360000000001</v>
      </c>
      <c r="F228">
        <f t="shared" si="15"/>
        <v>6561</v>
      </c>
    </row>
    <row r="229" spans="1:6" x14ac:dyDescent="0.3">
      <c r="A229">
        <v>74</v>
      </c>
      <c r="B229">
        <v>60.98</v>
      </c>
      <c r="C229">
        <f t="shared" si="12"/>
        <v>4512.5199999999995</v>
      </c>
      <c r="D229">
        <f t="shared" si="13"/>
        <v>5476</v>
      </c>
      <c r="E229">
        <f t="shared" si="14"/>
        <v>3718.5603999999998</v>
      </c>
      <c r="F229">
        <f t="shared" si="15"/>
        <v>5476</v>
      </c>
    </row>
    <row r="230" spans="1:6" x14ac:dyDescent="0.3">
      <c r="A230">
        <v>39</v>
      </c>
      <c r="B230">
        <v>97.76</v>
      </c>
      <c r="C230">
        <f t="shared" si="12"/>
        <v>3812.6400000000003</v>
      </c>
      <c r="D230">
        <f t="shared" si="13"/>
        <v>1521</v>
      </c>
      <c r="E230">
        <f t="shared" si="14"/>
        <v>9557.017600000001</v>
      </c>
      <c r="F230">
        <f t="shared" si="15"/>
        <v>1521</v>
      </c>
    </row>
    <row r="231" spans="1:6" x14ac:dyDescent="0.3">
      <c r="A231">
        <v>80</v>
      </c>
      <c r="B231">
        <v>66.03</v>
      </c>
      <c r="C231">
        <f t="shared" si="12"/>
        <v>5282.4</v>
      </c>
      <c r="D231">
        <f t="shared" si="13"/>
        <v>6400</v>
      </c>
      <c r="E231">
        <f t="shared" si="14"/>
        <v>4359.9609</v>
      </c>
      <c r="F231">
        <f t="shared" si="15"/>
        <v>6400</v>
      </c>
    </row>
    <row r="232" spans="1:6" x14ac:dyDescent="0.3">
      <c r="A232">
        <v>81</v>
      </c>
      <c r="B232">
        <v>81.95</v>
      </c>
      <c r="C232">
        <f t="shared" si="12"/>
        <v>6637.95</v>
      </c>
      <c r="D232">
        <f t="shared" si="13"/>
        <v>6561</v>
      </c>
      <c r="E232">
        <f t="shared" si="14"/>
        <v>6715.8025000000007</v>
      </c>
      <c r="F232">
        <f t="shared" si="15"/>
        <v>6561</v>
      </c>
    </row>
    <row r="233" spans="1:6" x14ac:dyDescent="0.3">
      <c r="A233">
        <v>79</v>
      </c>
      <c r="B233">
        <v>97.73</v>
      </c>
      <c r="C233">
        <f t="shared" si="12"/>
        <v>7720.67</v>
      </c>
      <c r="D233">
        <f t="shared" si="13"/>
        <v>6241</v>
      </c>
      <c r="E233">
        <f t="shared" si="14"/>
        <v>9551.152900000001</v>
      </c>
      <c r="F233">
        <f t="shared" si="15"/>
        <v>6241</v>
      </c>
    </row>
    <row r="234" spans="1:6" x14ac:dyDescent="0.3">
      <c r="A234">
        <v>73</v>
      </c>
      <c r="B234">
        <v>70.94</v>
      </c>
      <c r="C234">
        <f t="shared" si="12"/>
        <v>5178.62</v>
      </c>
      <c r="D234">
        <f t="shared" si="13"/>
        <v>5329</v>
      </c>
      <c r="E234">
        <f t="shared" si="14"/>
        <v>5032.4835999999996</v>
      </c>
      <c r="F234">
        <f t="shared" si="15"/>
        <v>5329</v>
      </c>
    </row>
    <row r="235" spans="1:6" x14ac:dyDescent="0.3">
      <c r="A235">
        <v>77</v>
      </c>
      <c r="B235">
        <v>199.84</v>
      </c>
      <c r="C235">
        <f t="shared" si="12"/>
        <v>15387.68</v>
      </c>
      <c r="D235">
        <f t="shared" si="13"/>
        <v>5929</v>
      </c>
      <c r="E235">
        <f t="shared" si="14"/>
        <v>39936.025600000001</v>
      </c>
      <c r="F235">
        <f t="shared" si="15"/>
        <v>5929</v>
      </c>
    </row>
    <row r="236" spans="1:6" x14ac:dyDescent="0.3">
      <c r="A236">
        <v>78</v>
      </c>
      <c r="B236">
        <v>218.46</v>
      </c>
      <c r="C236">
        <f t="shared" si="12"/>
        <v>17039.88</v>
      </c>
      <c r="D236">
        <f t="shared" si="13"/>
        <v>6084</v>
      </c>
      <c r="E236">
        <f t="shared" si="14"/>
        <v>47724.7716</v>
      </c>
      <c r="F236">
        <f t="shared" si="15"/>
        <v>6084</v>
      </c>
    </row>
    <row r="237" spans="1:6" x14ac:dyDescent="0.3">
      <c r="A237">
        <v>68</v>
      </c>
      <c r="B237">
        <v>211.06</v>
      </c>
      <c r="C237">
        <f t="shared" si="12"/>
        <v>14352.08</v>
      </c>
      <c r="D237">
        <f t="shared" si="13"/>
        <v>4624</v>
      </c>
      <c r="E237">
        <f t="shared" si="14"/>
        <v>44546.323600000003</v>
      </c>
      <c r="F237">
        <f t="shared" si="15"/>
        <v>4624</v>
      </c>
    </row>
    <row r="238" spans="1:6" x14ac:dyDescent="0.3">
      <c r="A238">
        <v>57</v>
      </c>
      <c r="B238">
        <v>86.3</v>
      </c>
      <c r="C238">
        <f t="shared" si="12"/>
        <v>4919.0999999999995</v>
      </c>
      <c r="D238">
        <f t="shared" si="13"/>
        <v>3249</v>
      </c>
      <c r="E238">
        <f t="shared" si="14"/>
        <v>7447.69</v>
      </c>
      <c r="F238">
        <f t="shared" si="15"/>
        <v>3249</v>
      </c>
    </row>
    <row r="239" spans="1:6" x14ac:dyDescent="0.3">
      <c r="A239">
        <v>77</v>
      </c>
      <c r="B239">
        <v>162.13999999999999</v>
      </c>
      <c r="C239">
        <f t="shared" si="12"/>
        <v>12484.779999999999</v>
      </c>
      <c r="D239">
        <f t="shared" si="13"/>
        <v>5929</v>
      </c>
      <c r="E239">
        <f t="shared" si="14"/>
        <v>26289.379599999997</v>
      </c>
      <c r="F239">
        <f t="shared" si="15"/>
        <v>5929</v>
      </c>
    </row>
    <row r="240" spans="1:6" x14ac:dyDescent="0.3">
      <c r="A240">
        <v>51</v>
      </c>
      <c r="B240">
        <v>88.2</v>
      </c>
      <c r="C240">
        <f t="shared" si="12"/>
        <v>4498.2</v>
      </c>
      <c r="D240">
        <f t="shared" si="13"/>
        <v>2601</v>
      </c>
      <c r="E240">
        <f t="shared" si="14"/>
        <v>7779.2400000000007</v>
      </c>
      <c r="F240">
        <f t="shared" si="15"/>
        <v>2601</v>
      </c>
    </row>
    <row r="241" spans="1:6" x14ac:dyDescent="0.3">
      <c r="A241">
        <v>60</v>
      </c>
      <c r="B241">
        <v>91.92</v>
      </c>
      <c r="C241">
        <f t="shared" si="12"/>
        <v>5515.2</v>
      </c>
      <c r="D241">
        <f t="shared" si="13"/>
        <v>3600</v>
      </c>
      <c r="E241">
        <f t="shared" si="14"/>
        <v>8449.2864000000009</v>
      </c>
      <c r="F241">
        <f t="shared" si="15"/>
        <v>3600</v>
      </c>
    </row>
    <row r="242" spans="1:6" x14ac:dyDescent="0.3">
      <c r="A242">
        <v>66</v>
      </c>
      <c r="B242">
        <v>76.459999999999994</v>
      </c>
      <c r="C242">
        <f t="shared" si="12"/>
        <v>5046.3599999999997</v>
      </c>
      <c r="D242">
        <f t="shared" si="13"/>
        <v>4356</v>
      </c>
      <c r="E242">
        <f t="shared" si="14"/>
        <v>5846.1315999999988</v>
      </c>
      <c r="F242">
        <f t="shared" si="15"/>
        <v>4356</v>
      </c>
    </row>
    <row r="243" spans="1:6" x14ac:dyDescent="0.3">
      <c r="A243">
        <v>57</v>
      </c>
      <c r="B243">
        <v>197.28</v>
      </c>
      <c r="C243">
        <f t="shared" si="12"/>
        <v>11244.960000000001</v>
      </c>
      <c r="D243">
        <f t="shared" si="13"/>
        <v>3249</v>
      </c>
      <c r="E243">
        <f t="shared" si="14"/>
        <v>38919.398399999998</v>
      </c>
      <c r="F243">
        <f t="shared" si="15"/>
        <v>3249</v>
      </c>
    </row>
    <row r="244" spans="1:6" x14ac:dyDescent="0.3">
      <c r="A244">
        <v>68</v>
      </c>
      <c r="B244">
        <v>233.94</v>
      </c>
      <c r="C244">
        <f t="shared" si="12"/>
        <v>15907.92</v>
      </c>
      <c r="D244">
        <f t="shared" si="13"/>
        <v>4624</v>
      </c>
      <c r="E244">
        <f t="shared" si="14"/>
        <v>54727.923600000002</v>
      </c>
      <c r="F244">
        <f t="shared" si="15"/>
        <v>4624</v>
      </c>
    </row>
    <row r="245" spans="1:6" x14ac:dyDescent="0.3">
      <c r="A245">
        <v>68</v>
      </c>
      <c r="B245">
        <v>247.51</v>
      </c>
      <c r="C245">
        <f t="shared" si="12"/>
        <v>16830.68</v>
      </c>
      <c r="D245">
        <f t="shared" si="13"/>
        <v>4624</v>
      </c>
      <c r="E245">
        <f t="shared" si="14"/>
        <v>61261.200099999995</v>
      </c>
      <c r="F245">
        <f t="shared" si="15"/>
        <v>4624</v>
      </c>
    </row>
    <row r="246" spans="1:6" x14ac:dyDescent="0.3">
      <c r="A246">
        <v>57</v>
      </c>
      <c r="B246">
        <v>84.96</v>
      </c>
      <c r="C246">
        <f t="shared" si="12"/>
        <v>4842.7199999999993</v>
      </c>
      <c r="D246">
        <f t="shared" si="13"/>
        <v>3249</v>
      </c>
      <c r="E246">
        <f t="shared" si="14"/>
        <v>7218.2015999999985</v>
      </c>
      <c r="F246">
        <f t="shared" si="15"/>
        <v>3249</v>
      </c>
    </row>
    <row r="247" spans="1:6" x14ac:dyDescent="0.3">
      <c r="A247">
        <v>14</v>
      </c>
      <c r="B247">
        <v>57.93</v>
      </c>
      <c r="C247">
        <f t="shared" si="12"/>
        <v>811.02</v>
      </c>
      <c r="D247">
        <f t="shared" si="13"/>
        <v>196</v>
      </c>
      <c r="E247">
        <f t="shared" si="14"/>
        <v>3355.8849</v>
      </c>
      <c r="F247">
        <f t="shared" si="15"/>
        <v>196</v>
      </c>
    </row>
    <row r="248" spans="1:6" x14ac:dyDescent="0.3">
      <c r="A248">
        <v>75</v>
      </c>
      <c r="B248">
        <v>78.8</v>
      </c>
      <c r="C248">
        <f t="shared" si="12"/>
        <v>5910</v>
      </c>
      <c r="D248">
        <f t="shared" si="13"/>
        <v>5625</v>
      </c>
      <c r="E248">
        <f t="shared" si="14"/>
        <v>6209.44</v>
      </c>
      <c r="F248">
        <f t="shared" si="15"/>
        <v>5625</v>
      </c>
    </row>
    <row r="249" spans="1:6" x14ac:dyDescent="0.3">
      <c r="A249">
        <v>71</v>
      </c>
      <c r="B249">
        <v>87.8</v>
      </c>
      <c r="C249">
        <f t="shared" si="12"/>
        <v>6233.8</v>
      </c>
      <c r="D249">
        <f t="shared" si="13"/>
        <v>5041</v>
      </c>
      <c r="E249">
        <f t="shared" si="14"/>
        <v>7708.8399999999992</v>
      </c>
      <c r="F249">
        <f t="shared" si="15"/>
        <v>5041</v>
      </c>
    </row>
    <row r="250" spans="1:6" x14ac:dyDescent="0.3">
      <c r="A250">
        <v>78</v>
      </c>
      <c r="B250">
        <v>78.81</v>
      </c>
      <c r="C250">
        <f t="shared" si="12"/>
        <v>6147.18</v>
      </c>
      <c r="D250">
        <f t="shared" si="13"/>
        <v>6084</v>
      </c>
      <c r="E250">
        <f t="shared" si="14"/>
        <v>6211.0161000000007</v>
      </c>
      <c r="F250">
        <f t="shared" si="15"/>
        <v>6084</v>
      </c>
    </row>
    <row r="251" spans="1:6" x14ac:dyDescent="0.3">
      <c r="A251">
        <v>3</v>
      </c>
      <c r="B251">
        <v>95.12</v>
      </c>
      <c r="C251">
        <f t="shared" si="12"/>
        <v>285.36</v>
      </c>
      <c r="D251">
        <f t="shared" si="13"/>
        <v>9</v>
      </c>
      <c r="E251">
        <f t="shared" si="14"/>
        <v>9047.8144000000011</v>
      </c>
      <c r="F251">
        <f t="shared" si="15"/>
        <v>9</v>
      </c>
    </row>
    <row r="252" spans="1:6" x14ac:dyDescent="0.3">
      <c r="A252">
        <v>58</v>
      </c>
      <c r="B252">
        <v>87.96</v>
      </c>
      <c r="C252">
        <f t="shared" si="12"/>
        <v>5101.6799999999994</v>
      </c>
      <c r="D252">
        <f t="shared" si="13"/>
        <v>3364</v>
      </c>
      <c r="E252">
        <f t="shared" si="14"/>
        <v>7736.9615999999987</v>
      </c>
      <c r="F252">
        <f t="shared" si="15"/>
        <v>3364</v>
      </c>
    </row>
    <row r="253" spans="1:6" x14ac:dyDescent="0.3">
      <c r="A253">
        <v>8</v>
      </c>
      <c r="B253">
        <v>110.89</v>
      </c>
      <c r="C253">
        <f t="shared" si="12"/>
        <v>887.12</v>
      </c>
      <c r="D253">
        <f t="shared" si="13"/>
        <v>64</v>
      </c>
      <c r="E253">
        <f t="shared" si="14"/>
        <v>12296.5921</v>
      </c>
      <c r="F253">
        <f t="shared" si="15"/>
        <v>64</v>
      </c>
    </row>
    <row r="254" spans="1:6" x14ac:dyDescent="0.3">
      <c r="A254">
        <v>70</v>
      </c>
      <c r="B254">
        <v>69.040000000000006</v>
      </c>
      <c r="C254">
        <f t="shared" si="12"/>
        <v>4832.8</v>
      </c>
      <c r="D254">
        <f t="shared" si="13"/>
        <v>4900</v>
      </c>
      <c r="E254">
        <f t="shared" si="14"/>
        <v>4766.5216000000009</v>
      </c>
      <c r="F254">
        <f t="shared" si="15"/>
        <v>4900</v>
      </c>
    </row>
    <row r="255" spans="1:6" x14ac:dyDescent="0.3">
      <c r="A255">
        <v>14</v>
      </c>
      <c r="B255">
        <v>161.28</v>
      </c>
      <c r="C255">
        <f t="shared" si="12"/>
        <v>2257.92</v>
      </c>
      <c r="D255">
        <f t="shared" si="13"/>
        <v>196</v>
      </c>
      <c r="E255">
        <f t="shared" si="14"/>
        <v>26011.238400000002</v>
      </c>
      <c r="F255">
        <f t="shared" si="15"/>
        <v>196</v>
      </c>
    </row>
    <row r="256" spans="1:6" x14ac:dyDescent="0.3">
      <c r="A256">
        <v>47</v>
      </c>
      <c r="B256">
        <v>210.95</v>
      </c>
      <c r="C256">
        <f t="shared" si="12"/>
        <v>9914.65</v>
      </c>
      <c r="D256">
        <f t="shared" si="13"/>
        <v>2209</v>
      </c>
      <c r="E256">
        <f t="shared" si="14"/>
        <v>44499.902499999997</v>
      </c>
      <c r="F256">
        <f t="shared" si="15"/>
        <v>2209</v>
      </c>
    </row>
    <row r="257" spans="1:6" x14ac:dyDescent="0.3">
      <c r="A257">
        <v>52</v>
      </c>
      <c r="B257">
        <v>77.59</v>
      </c>
      <c r="C257">
        <f t="shared" si="12"/>
        <v>4034.6800000000003</v>
      </c>
      <c r="D257">
        <f t="shared" si="13"/>
        <v>2704</v>
      </c>
      <c r="E257">
        <f t="shared" si="14"/>
        <v>6020.2081000000007</v>
      </c>
      <c r="F257">
        <f t="shared" si="15"/>
        <v>2704</v>
      </c>
    </row>
    <row r="258" spans="1:6" x14ac:dyDescent="0.3">
      <c r="A258">
        <v>75</v>
      </c>
      <c r="B258">
        <v>243.53</v>
      </c>
      <c r="C258">
        <f t="shared" si="12"/>
        <v>18264.75</v>
      </c>
      <c r="D258">
        <f t="shared" si="13"/>
        <v>5625</v>
      </c>
      <c r="E258">
        <f t="shared" si="14"/>
        <v>59306.8609</v>
      </c>
      <c r="F258">
        <f t="shared" si="15"/>
        <v>5625</v>
      </c>
    </row>
    <row r="259" spans="1:6" x14ac:dyDescent="0.3">
      <c r="A259">
        <v>32</v>
      </c>
      <c r="B259">
        <v>77.67</v>
      </c>
      <c r="C259">
        <f t="shared" ref="C259:C322" si="16">A259*B259</f>
        <v>2485.44</v>
      </c>
      <c r="D259">
        <f t="shared" ref="D259:D322" si="17">A259*A259</f>
        <v>1024</v>
      </c>
      <c r="E259">
        <f t="shared" ref="E259:E322" si="18">B259*B259</f>
        <v>6032.6289000000006</v>
      </c>
      <c r="F259">
        <f t="shared" ref="F259:F322" si="19">A259^2</f>
        <v>1024</v>
      </c>
    </row>
    <row r="260" spans="1:6" x14ac:dyDescent="0.3">
      <c r="A260">
        <v>74</v>
      </c>
      <c r="B260">
        <v>205.84</v>
      </c>
      <c r="C260">
        <f t="shared" si="16"/>
        <v>15232.16</v>
      </c>
      <c r="D260">
        <f t="shared" si="17"/>
        <v>5476</v>
      </c>
      <c r="E260">
        <f t="shared" si="18"/>
        <v>42370.105600000003</v>
      </c>
      <c r="F260">
        <f t="shared" si="19"/>
        <v>5476</v>
      </c>
    </row>
    <row r="261" spans="1:6" x14ac:dyDescent="0.3">
      <c r="A261">
        <v>79</v>
      </c>
      <c r="B261">
        <v>77.08</v>
      </c>
      <c r="C261">
        <f t="shared" si="16"/>
        <v>6089.32</v>
      </c>
      <c r="D261">
        <f t="shared" si="17"/>
        <v>6241</v>
      </c>
      <c r="E261">
        <f t="shared" si="18"/>
        <v>5941.3263999999999</v>
      </c>
      <c r="F261">
        <f t="shared" si="19"/>
        <v>6241</v>
      </c>
    </row>
    <row r="262" spans="1:6" x14ac:dyDescent="0.3">
      <c r="A262">
        <v>79</v>
      </c>
      <c r="B262">
        <v>57.08</v>
      </c>
      <c r="C262">
        <f t="shared" si="16"/>
        <v>4509.32</v>
      </c>
      <c r="D262">
        <f t="shared" si="17"/>
        <v>6241</v>
      </c>
      <c r="E262">
        <f t="shared" si="18"/>
        <v>3258.1263999999996</v>
      </c>
      <c r="F262">
        <f t="shared" si="19"/>
        <v>6241</v>
      </c>
    </row>
    <row r="263" spans="1:6" x14ac:dyDescent="0.3">
      <c r="A263">
        <v>37</v>
      </c>
      <c r="B263">
        <v>162.96</v>
      </c>
      <c r="C263">
        <f t="shared" si="16"/>
        <v>6029.52</v>
      </c>
      <c r="D263">
        <f t="shared" si="17"/>
        <v>1369</v>
      </c>
      <c r="E263">
        <f t="shared" si="18"/>
        <v>26555.961600000002</v>
      </c>
      <c r="F263">
        <f t="shared" si="19"/>
        <v>1369</v>
      </c>
    </row>
    <row r="264" spans="1:6" x14ac:dyDescent="0.3">
      <c r="A264">
        <v>37</v>
      </c>
      <c r="B264">
        <v>73.5</v>
      </c>
      <c r="C264">
        <f t="shared" si="16"/>
        <v>2719.5</v>
      </c>
      <c r="D264">
        <f t="shared" si="17"/>
        <v>1369</v>
      </c>
      <c r="E264">
        <f t="shared" si="18"/>
        <v>5402.25</v>
      </c>
      <c r="F264">
        <f t="shared" si="19"/>
        <v>1369</v>
      </c>
    </row>
    <row r="265" spans="1:6" x14ac:dyDescent="0.3">
      <c r="A265">
        <v>40</v>
      </c>
      <c r="B265">
        <v>95.04</v>
      </c>
      <c r="C265">
        <f t="shared" si="16"/>
        <v>3801.6000000000004</v>
      </c>
      <c r="D265">
        <f t="shared" si="17"/>
        <v>1600</v>
      </c>
      <c r="E265">
        <f t="shared" si="18"/>
        <v>9032.6016000000018</v>
      </c>
      <c r="F265">
        <f t="shared" si="19"/>
        <v>1600</v>
      </c>
    </row>
    <row r="266" spans="1:6" x14ac:dyDescent="0.3">
      <c r="A266">
        <v>35</v>
      </c>
      <c r="B266">
        <v>85.37</v>
      </c>
      <c r="C266">
        <f t="shared" si="16"/>
        <v>2987.9500000000003</v>
      </c>
      <c r="D266">
        <f t="shared" si="17"/>
        <v>1225</v>
      </c>
      <c r="E266">
        <f t="shared" si="18"/>
        <v>7288.036900000001</v>
      </c>
      <c r="F266">
        <f t="shared" si="19"/>
        <v>1225</v>
      </c>
    </row>
    <row r="267" spans="1:6" x14ac:dyDescent="0.3">
      <c r="A267">
        <v>20</v>
      </c>
      <c r="B267">
        <v>84.62</v>
      </c>
      <c r="C267">
        <f t="shared" si="16"/>
        <v>1692.4</v>
      </c>
      <c r="D267">
        <f t="shared" si="17"/>
        <v>400</v>
      </c>
      <c r="E267">
        <f t="shared" si="18"/>
        <v>7160.5444000000007</v>
      </c>
      <c r="F267">
        <f t="shared" si="19"/>
        <v>400</v>
      </c>
    </row>
    <row r="268" spans="1:6" x14ac:dyDescent="0.3">
      <c r="A268">
        <v>42</v>
      </c>
      <c r="B268">
        <v>82.67</v>
      </c>
      <c r="C268">
        <f t="shared" si="16"/>
        <v>3472.14</v>
      </c>
      <c r="D268">
        <f t="shared" si="17"/>
        <v>1764</v>
      </c>
      <c r="E268">
        <f t="shared" si="18"/>
        <v>6834.3289000000004</v>
      </c>
      <c r="F268">
        <f t="shared" si="19"/>
        <v>1764</v>
      </c>
    </row>
    <row r="269" spans="1:6" x14ac:dyDescent="0.3">
      <c r="A269">
        <v>44</v>
      </c>
      <c r="B269">
        <v>57.33</v>
      </c>
      <c r="C269">
        <f t="shared" si="16"/>
        <v>2522.52</v>
      </c>
      <c r="D269">
        <f t="shared" si="17"/>
        <v>1936</v>
      </c>
      <c r="E269">
        <f t="shared" si="18"/>
        <v>3286.7288999999996</v>
      </c>
      <c r="F269">
        <f t="shared" si="19"/>
        <v>1936</v>
      </c>
    </row>
    <row r="270" spans="1:6" x14ac:dyDescent="0.3">
      <c r="A270">
        <v>79</v>
      </c>
      <c r="B270">
        <v>67.84</v>
      </c>
      <c r="C270">
        <f t="shared" si="16"/>
        <v>5359.3600000000006</v>
      </c>
      <c r="D270">
        <f t="shared" si="17"/>
        <v>6241</v>
      </c>
      <c r="E270">
        <f t="shared" si="18"/>
        <v>4602.2656000000006</v>
      </c>
      <c r="F270">
        <f t="shared" si="19"/>
        <v>6241</v>
      </c>
    </row>
    <row r="271" spans="1:6" x14ac:dyDescent="0.3">
      <c r="A271">
        <v>65</v>
      </c>
      <c r="B271">
        <v>75.7</v>
      </c>
      <c r="C271">
        <f t="shared" si="16"/>
        <v>4920.5</v>
      </c>
      <c r="D271">
        <f t="shared" si="17"/>
        <v>4225</v>
      </c>
      <c r="E271">
        <f t="shared" si="18"/>
        <v>5730.4900000000007</v>
      </c>
      <c r="F271">
        <f t="shared" si="19"/>
        <v>4225</v>
      </c>
    </row>
    <row r="272" spans="1:6" x14ac:dyDescent="0.3">
      <c r="A272">
        <v>57</v>
      </c>
      <c r="B272">
        <v>129.54</v>
      </c>
      <c r="C272">
        <f t="shared" si="16"/>
        <v>7383.78</v>
      </c>
      <c r="D272">
        <f t="shared" si="17"/>
        <v>3249</v>
      </c>
      <c r="E272">
        <f t="shared" si="18"/>
        <v>16780.611599999997</v>
      </c>
      <c r="F272">
        <f t="shared" si="19"/>
        <v>3249</v>
      </c>
    </row>
    <row r="273" spans="1:6" x14ac:dyDescent="0.3">
      <c r="A273">
        <v>49</v>
      </c>
      <c r="B273">
        <v>60.22</v>
      </c>
      <c r="C273">
        <f t="shared" si="16"/>
        <v>2950.7799999999997</v>
      </c>
      <c r="D273">
        <f t="shared" si="17"/>
        <v>2401</v>
      </c>
      <c r="E273">
        <f t="shared" si="18"/>
        <v>3626.4483999999998</v>
      </c>
      <c r="F273">
        <f t="shared" si="19"/>
        <v>2401</v>
      </c>
    </row>
    <row r="274" spans="1:6" x14ac:dyDescent="0.3">
      <c r="A274">
        <v>71</v>
      </c>
      <c r="B274">
        <v>198.21</v>
      </c>
      <c r="C274">
        <f t="shared" si="16"/>
        <v>14072.91</v>
      </c>
      <c r="D274">
        <f t="shared" si="17"/>
        <v>5041</v>
      </c>
      <c r="E274">
        <f t="shared" si="18"/>
        <v>39287.204100000003</v>
      </c>
      <c r="F274">
        <f t="shared" si="19"/>
        <v>5041</v>
      </c>
    </row>
    <row r="275" spans="1:6" x14ac:dyDescent="0.3">
      <c r="A275">
        <v>59</v>
      </c>
      <c r="B275">
        <v>109.82</v>
      </c>
      <c r="C275">
        <f t="shared" si="16"/>
        <v>6479.3799999999992</v>
      </c>
      <c r="D275">
        <f t="shared" si="17"/>
        <v>3481</v>
      </c>
      <c r="E275">
        <f t="shared" si="18"/>
        <v>12060.432399999998</v>
      </c>
      <c r="F275">
        <f t="shared" si="19"/>
        <v>3481</v>
      </c>
    </row>
    <row r="276" spans="1:6" x14ac:dyDescent="0.3">
      <c r="A276">
        <v>25</v>
      </c>
      <c r="B276">
        <v>60.84</v>
      </c>
      <c r="C276">
        <f t="shared" si="16"/>
        <v>1521</v>
      </c>
      <c r="D276">
        <f t="shared" si="17"/>
        <v>625</v>
      </c>
      <c r="E276">
        <f t="shared" si="18"/>
        <v>3701.5056000000004</v>
      </c>
      <c r="F276">
        <f t="shared" si="19"/>
        <v>625</v>
      </c>
    </row>
    <row r="277" spans="1:6" x14ac:dyDescent="0.3">
      <c r="A277">
        <v>67</v>
      </c>
      <c r="B277">
        <v>94.61</v>
      </c>
      <c r="C277">
        <f t="shared" si="16"/>
        <v>6338.87</v>
      </c>
      <c r="D277">
        <f t="shared" si="17"/>
        <v>4489</v>
      </c>
      <c r="E277">
        <f t="shared" si="18"/>
        <v>8951.0521000000008</v>
      </c>
      <c r="F277">
        <f t="shared" si="19"/>
        <v>4489</v>
      </c>
    </row>
    <row r="278" spans="1:6" x14ac:dyDescent="0.3">
      <c r="A278">
        <v>38</v>
      </c>
      <c r="B278">
        <v>97.49</v>
      </c>
      <c r="C278">
        <f t="shared" si="16"/>
        <v>3704.62</v>
      </c>
      <c r="D278">
        <f t="shared" si="17"/>
        <v>1444</v>
      </c>
      <c r="E278">
        <f t="shared" si="18"/>
        <v>9504.3000999999986</v>
      </c>
      <c r="F278">
        <f t="shared" si="19"/>
        <v>1444</v>
      </c>
    </row>
    <row r="279" spans="1:6" x14ac:dyDescent="0.3">
      <c r="A279">
        <v>54</v>
      </c>
      <c r="B279">
        <v>206.72</v>
      </c>
      <c r="C279">
        <f t="shared" si="16"/>
        <v>11162.88</v>
      </c>
      <c r="D279">
        <f t="shared" si="17"/>
        <v>2916</v>
      </c>
      <c r="E279">
        <f t="shared" si="18"/>
        <v>42733.1584</v>
      </c>
      <c r="F279">
        <f t="shared" si="19"/>
        <v>2916</v>
      </c>
    </row>
    <row r="280" spans="1:6" x14ac:dyDescent="0.3">
      <c r="A280">
        <v>70</v>
      </c>
      <c r="B280">
        <v>214.45</v>
      </c>
      <c r="C280">
        <f t="shared" si="16"/>
        <v>15011.5</v>
      </c>
      <c r="D280">
        <f t="shared" si="17"/>
        <v>4900</v>
      </c>
      <c r="E280">
        <f t="shared" si="18"/>
        <v>45988.802499999998</v>
      </c>
      <c r="F280">
        <f t="shared" si="19"/>
        <v>4900</v>
      </c>
    </row>
    <row r="281" spans="1:6" x14ac:dyDescent="0.3">
      <c r="A281">
        <v>27</v>
      </c>
      <c r="B281">
        <v>82.9</v>
      </c>
      <c r="C281">
        <f t="shared" si="16"/>
        <v>2238.3000000000002</v>
      </c>
      <c r="D281">
        <f t="shared" si="17"/>
        <v>729</v>
      </c>
      <c r="E281">
        <f t="shared" si="18"/>
        <v>6872.4100000000008</v>
      </c>
      <c r="F281">
        <f t="shared" si="19"/>
        <v>729</v>
      </c>
    </row>
    <row r="282" spans="1:6" x14ac:dyDescent="0.3">
      <c r="A282">
        <v>47</v>
      </c>
      <c r="B282">
        <v>103.26</v>
      </c>
      <c r="C282">
        <f t="shared" si="16"/>
        <v>4853.22</v>
      </c>
      <c r="D282">
        <f t="shared" si="17"/>
        <v>2209</v>
      </c>
      <c r="E282">
        <f t="shared" si="18"/>
        <v>10662.627600000002</v>
      </c>
      <c r="F282">
        <f t="shared" si="19"/>
        <v>2209</v>
      </c>
    </row>
    <row r="283" spans="1:6" x14ac:dyDescent="0.3">
      <c r="A283">
        <v>58</v>
      </c>
      <c r="B283">
        <v>55.78</v>
      </c>
      <c r="C283">
        <f t="shared" si="16"/>
        <v>3235.2400000000002</v>
      </c>
      <c r="D283">
        <f t="shared" si="17"/>
        <v>3364</v>
      </c>
      <c r="E283">
        <f t="shared" si="18"/>
        <v>3111.4084000000003</v>
      </c>
      <c r="F283">
        <f t="shared" si="19"/>
        <v>3364</v>
      </c>
    </row>
    <row r="284" spans="1:6" x14ac:dyDescent="0.3">
      <c r="A284">
        <v>3</v>
      </c>
      <c r="B284">
        <v>73.739999999999995</v>
      </c>
      <c r="C284">
        <f t="shared" si="16"/>
        <v>221.21999999999997</v>
      </c>
      <c r="D284">
        <f t="shared" si="17"/>
        <v>9</v>
      </c>
      <c r="E284">
        <f t="shared" si="18"/>
        <v>5437.5875999999989</v>
      </c>
      <c r="F284">
        <f t="shared" si="19"/>
        <v>9</v>
      </c>
    </row>
    <row r="285" spans="1:6" x14ac:dyDescent="0.3">
      <c r="A285">
        <v>58</v>
      </c>
      <c r="B285">
        <v>149.75</v>
      </c>
      <c r="C285">
        <f t="shared" si="16"/>
        <v>8685.5</v>
      </c>
      <c r="D285">
        <f t="shared" si="17"/>
        <v>3364</v>
      </c>
      <c r="E285">
        <f t="shared" si="18"/>
        <v>22425.0625</v>
      </c>
      <c r="F285">
        <f t="shared" si="19"/>
        <v>3364</v>
      </c>
    </row>
    <row r="286" spans="1:6" x14ac:dyDescent="0.3">
      <c r="A286">
        <v>14</v>
      </c>
      <c r="B286">
        <v>82.34</v>
      </c>
      <c r="C286">
        <f t="shared" si="16"/>
        <v>1152.76</v>
      </c>
      <c r="D286">
        <f t="shared" si="17"/>
        <v>196</v>
      </c>
      <c r="E286">
        <f t="shared" si="18"/>
        <v>6779.8756000000003</v>
      </c>
      <c r="F286">
        <f t="shared" si="19"/>
        <v>196</v>
      </c>
    </row>
    <row r="287" spans="1:6" x14ac:dyDescent="0.3">
      <c r="A287">
        <v>32</v>
      </c>
      <c r="B287">
        <v>62.6</v>
      </c>
      <c r="C287">
        <f t="shared" si="16"/>
        <v>2003.2</v>
      </c>
      <c r="D287">
        <f t="shared" si="17"/>
        <v>1024</v>
      </c>
      <c r="E287">
        <f t="shared" si="18"/>
        <v>3918.76</v>
      </c>
      <c r="F287">
        <f t="shared" si="19"/>
        <v>1024</v>
      </c>
    </row>
    <row r="288" spans="1:6" x14ac:dyDescent="0.3">
      <c r="A288">
        <v>23</v>
      </c>
      <c r="B288">
        <v>94.09</v>
      </c>
      <c r="C288">
        <f t="shared" si="16"/>
        <v>2164.0700000000002</v>
      </c>
      <c r="D288">
        <f t="shared" si="17"/>
        <v>529</v>
      </c>
      <c r="E288">
        <f t="shared" si="18"/>
        <v>8852.928100000001</v>
      </c>
      <c r="F288">
        <f t="shared" si="19"/>
        <v>529</v>
      </c>
    </row>
    <row r="289" spans="1:6" x14ac:dyDescent="0.3">
      <c r="A289">
        <v>55</v>
      </c>
      <c r="B289">
        <v>55.42</v>
      </c>
      <c r="C289">
        <f t="shared" si="16"/>
        <v>3048.1</v>
      </c>
      <c r="D289">
        <f t="shared" si="17"/>
        <v>3025</v>
      </c>
      <c r="E289">
        <f t="shared" si="18"/>
        <v>3071.3764000000001</v>
      </c>
      <c r="F289">
        <f t="shared" si="19"/>
        <v>3025</v>
      </c>
    </row>
    <row r="290" spans="1:6" x14ac:dyDescent="0.3">
      <c r="A290">
        <v>17</v>
      </c>
      <c r="B290">
        <v>82.18</v>
      </c>
      <c r="C290">
        <f t="shared" si="16"/>
        <v>1397.0600000000002</v>
      </c>
      <c r="D290">
        <f t="shared" si="17"/>
        <v>289</v>
      </c>
      <c r="E290">
        <f t="shared" si="18"/>
        <v>6753.5524000000014</v>
      </c>
      <c r="F290">
        <f t="shared" si="19"/>
        <v>289</v>
      </c>
    </row>
    <row r="291" spans="1:6" x14ac:dyDescent="0.3">
      <c r="A291">
        <v>59</v>
      </c>
      <c r="B291">
        <v>117.92</v>
      </c>
      <c r="C291">
        <f t="shared" si="16"/>
        <v>6957.28</v>
      </c>
      <c r="D291">
        <f t="shared" si="17"/>
        <v>3481</v>
      </c>
      <c r="E291">
        <f t="shared" si="18"/>
        <v>13905.126400000001</v>
      </c>
      <c r="F291">
        <f t="shared" si="19"/>
        <v>3481</v>
      </c>
    </row>
    <row r="292" spans="1:6" x14ac:dyDescent="0.3">
      <c r="A292">
        <v>13</v>
      </c>
      <c r="B292">
        <v>114.84</v>
      </c>
      <c r="C292">
        <f t="shared" si="16"/>
        <v>1492.92</v>
      </c>
      <c r="D292">
        <f t="shared" si="17"/>
        <v>169</v>
      </c>
      <c r="E292">
        <f t="shared" si="18"/>
        <v>13188.225600000002</v>
      </c>
      <c r="F292">
        <f t="shared" si="19"/>
        <v>169</v>
      </c>
    </row>
    <row r="293" spans="1:6" x14ac:dyDescent="0.3">
      <c r="A293">
        <v>4</v>
      </c>
      <c r="B293">
        <v>79.17</v>
      </c>
      <c r="C293">
        <f t="shared" si="16"/>
        <v>316.68</v>
      </c>
      <c r="D293">
        <f t="shared" si="17"/>
        <v>16</v>
      </c>
      <c r="E293">
        <f t="shared" si="18"/>
        <v>6267.8888999999999</v>
      </c>
      <c r="F293">
        <f t="shared" si="19"/>
        <v>16</v>
      </c>
    </row>
    <row r="294" spans="1:6" x14ac:dyDescent="0.3">
      <c r="A294">
        <v>16</v>
      </c>
      <c r="B294">
        <v>110.63</v>
      </c>
      <c r="C294">
        <f t="shared" si="16"/>
        <v>1770.08</v>
      </c>
      <c r="D294">
        <f t="shared" si="17"/>
        <v>256</v>
      </c>
      <c r="E294">
        <f t="shared" si="18"/>
        <v>12238.996899999998</v>
      </c>
      <c r="F294">
        <f t="shared" si="19"/>
        <v>256</v>
      </c>
    </row>
    <row r="295" spans="1:6" x14ac:dyDescent="0.3">
      <c r="A295">
        <v>67</v>
      </c>
      <c r="B295">
        <v>190.7</v>
      </c>
      <c r="C295">
        <f t="shared" si="16"/>
        <v>12776.9</v>
      </c>
      <c r="D295">
        <f t="shared" si="17"/>
        <v>4489</v>
      </c>
      <c r="E295">
        <f t="shared" si="18"/>
        <v>36366.49</v>
      </c>
      <c r="F295">
        <f t="shared" si="19"/>
        <v>4489</v>
      </c>
    </row>
    <row r="296" spans="1:6" x14ac:dyDescent="0.3">
      <c r="A296">
        <v>22</v>
      </c>
      <c r="B296">
        <v>79.81</v>
      </c>
      <c r="C296">
        <f t="shared" si="16"/>
        <v>1755.8200000000002</v>
      </c>
      <c r="D296">
        <f t="shared" si="17"/>
        <v>484</v>
      </c>
      <c r="E296">
        <f t="shared" si="18"/>
        <v>6369.6361000000006</v>
      </c>
      <c r="F296">
        <f t="shared" si="19"/>
        <v>484</v>
      </c>
    </row>
    <row r="297" spans="1:6" x14ac:dyDescent="0.3">
      <c r="A297">
        <v>45</v>
      </c>
      <c r="B297">
        <v>113.63</v>
      </c>
      <c r="C297">
        <f t="shared" si="16"/>
        <v>5113.3499999999995</v>
      </c>
      <c r="D297">
        <f t="shared" si="17"/>
        <v>2025</v>
      </c>
      <c r="E297">
        <f t="shared" si="18"/>
        <v>12911.776899999999</v>
      </c>
      <c r="F297">
        <f t="shared" si="19"/>
        <v>2025</v>
      </c>
    </row>
    <row r="298" spans="1:6" x14ac:dyDescent="0.3">
      <c r="A298">
        <v>66</v>
      </c>
      <c r="B298">
        <v>141.24</v>
      </c>
      <c r="C298">
        <f t="shared" si="16"/>
        <v>9321.84</v>
      </c>
      <c r="D298">
        <f t="shared" si="17"/>
        <v>4356</v>
      </c>
      <c r="E298">
        <f t="shared" si="18"/>
        <v>19948.737600000004</v>
      </c>
      <c r="F298">
        <f t="shared" si="19"/>
        <v>4356</v>
      </c>
    </row>
    <row r="299" spans="1:6" x14ac:dyDescent="0.3">
      <c r="A299">
        <v>58</v>
      </c>
      <c r="B299">
        <v>56.96</v>
      </c>
      <c r="C299">
        <f t="shared" si="16"/>
        <v>3303.68</v>
      </c>
      <c r="D299">
        <f t="shared" si="17"/>
        <v>3364</v>
      </c>
      <c r="E299">
        <f t="shared" si="18"/>
        <v>3244.4416000000001</v>
      </c>
      <c r="F299">
        <f t="shared" si="19"/>
        <v>3364</v>
      </c>
    </row>
    <row r="300" spans="1:6" x14ac:dyDescent="0.3">
      <c r="A300">
        <v>69</v>
      </c>
      <c r="B300">
        <v>203.04</v>
      </c>
      <c r="C300">
        <f t="shared" si="16"/>
        <v>14009.76</v>
      </c>
      <c r="D300">
        <f t="shared" si="17"/>
        <v>4761</v>
      </c>
      <c r="E300">
        <f t="shared" si="18"/>
        <v>41225.241599999994</v>
      </c>
      <c r="F300">
        <f t="shared" si="19"/>
        <v>4761</v>
      </c>
    </row>
    <row r="301" spans="1:6" x14ac:dyDescent="0.3">
      <c r="A301">
        <v>58</v>
      </c>
      <c r="B301">
        <v>94.3</v>
      </c>
      <c r="C301">
        <f t="shared" si="16"/>
        <v>5469.4</v>
      </c>
      <c r="D301">
        <f t="shared" si="17"/>
        <v>3364</v>
      </c>
      <c r="E301">
        <f t="shared" si="18"/>
        <v>8892.49</v>
      </c>
      <c r="F301">
        <f t="shared" si="19"/>
        <v>3364</v>
      </c>
    </row>
    <row r="302" spans="1:6" x14ac:dyDescent="0.3">
      <c r="A302">
        <v>53</v>
      </c>
      <c r="B302">
        <v>81.510000000000005</v>
      </c>
      <c r="C302">
        <f t="shared" si="16"/>
        <v>4320.0300000000007</v>
      </c>
      <c r="D302">
        <f t="shared" si="17"/>
        <v>2809</v>
      </c>
      <c r="E302">
        <f t="shared" si="18"/>
        <v>6643.8801000000012</v>
      </c>
      <c r="F302">
        <f t="shared" si="19"/>
        <v>2809</v>
      </c>
    </row>
    <row r="303" spans="1:6" x14ac:dyDescent="0.3">
      <c r="A303">
        <v>78</v>
      </c>
      <c r="B303">
        <v>137.74</v>
      </c>
      <c r="C303">
        <f t="shared" si="16"/>
        <v>10743.720000000001</v>
      </c>
      <c r="D303">
        <f t="shared" si="17"/>
        <v>6084</v>
      </c>
      <c r="E303">
        <f t="shared" si="18"/>
        <v>18972.307600000004</v>
      </c>
      <c r="F303">
        <f t="shared" si="19"/>
        <v>6084</v>
      </c>
    </row>
    <row r="304" spans="1:6" x14ac:dyDescent="0.3">
      <c r="A304">
        <v>44</v>
      </c>
      <c r="B304">
        <v>81.84</v>
      </c>
      <c r="C304">
        <f t="shared" si="16"/>
        <v>3600.96</v>
      </c>
      <c r="D304">
        <f t="shared" si="17"/>
        <v>1936</v>
      </c>
      <c r="E304">
        <f t="shared" si="18"/>
        <v>6697.7856000000002</v>
      </c>
      <c r="F304">
        <f t="shared" si="19"/>
        <v>1936</v>
      </c>
    </row>
    <row r="305" spans="1:6" x14ac:dyDescent="0.3">
      <c r="A305">
        <v>66</v>
      </c>
      <c r="B305">
        <v>242.3</v>
      </c>
      <c r="C305">
        <f t="shared" si="16"/>
        <v>15991.800000000001</v>
      </c>
      <c r="D305">
        <f t="shared" si="17"/>
        <v>4356</v>
      </c>
      <c r="E305">
        <f t="shared" si="18"/>
        <v>58709.290000000008</v>
      </c>
      <c r="F305">
        <f t="shared" si="19"/>
        <v>4356</v>
      </c>
    </row>
    <row r="306" spans="1:6" x14ac:dyDescent="0.3">
      <c r="A306">
        <v>27</v>
      </c>
      <c r="B306">
        <v>102.64</v>
      </c>
      <c r="C306">
        <f t="shared" si="16"/>
        <v>2771.28</v>
      </c>
      <c r="D306">
        <f t="shared" si="17"/>
        <v>729</v>
      </c>
      <c r="E306">
        <f t="shared" si="18"/>
        <v>10534.9696</v>
      </c>
      <c r="F306">
        <f t="shared" si="19"/>
        <v>729</v>
      </c>
    </row>
    <row r="307" spans="1:6" x14ac:dyDescent="0.3">
      <c r="A307">
        <v>43</v>
      </c>
      <c r="B307">
        <v>146.01</v>
      </c>
      <c r="C307">
        <f t="shared" si="16"/>
        <v>6278.4299999999994</v>
      </c>
      <c r="D307">
        <f t="shared" si="17"/>
        <v>1849</v>
      </c>
      <c r="E307">
        <f t="shared" si="18"/>
        <v>21318.920099999996</v>
      </c>
      <c r="F307">
        <f t="shared" si="19"/>
        <v>1849</v>
      </c>
    </row>
    <row r="308" spans="1:6" x14ac:dyDescent="0.3">
      <c r="A308">
        <v>13</v>
      </c>
      <c r="B308">
        <v>75.42</v>
      </c>
      <c r="C308">
        <f t="shared" si="16"/>
        <v>980.46</v>
      </c>
      <c r="D308">
        <f t="shared" si="17"/>
        <v>169</v>
      </c>
      <c r="E308">
        <f t="shared" si="18"/>
        <v>5688.1764000000003</v>
      </c>
      <c r="F308">
        <f t="shared" si="19"/>
        <v>169</v>
      </c>
    </row>
    <row r="309" spans="1:6" x14ac:dyDescent="0.3">
      <c r="A309">
        <v>51</v>
      </c>
      <c r="B309">
        <v>220.49</v>
      </c>
      <c r="C309">
        <f t="shared" si="16"/>
        <v>11244.99</v>
      </c>
      <c r="D309">
        <f t="shared" si="17"/>
        <v>2601</v>
      </c>
      <c r="E309">
        <f t="shared" si="18"/>
        <v>48615.840100000001</v>
      </c>
      <c r="F309">
        <f t="shared" si="19"/>
        <v>2601</v>
      </c>
    </row>
    <row r="310" spans="1:6" x14ac:dyDescent="0.3">
      <c r="A310">
        <v>30</v>
      </c>
      <c r="B310">
        <v>61.45</v>
      </c>
      <c r="C310">
        <f t="shared" si="16"/>
        <v>1843.5</v>
      </c>
      <c r="D310">
        <f t="shared" si="17"/>
        <v>900</v>
      </c>
      <c r="E310">
        <f t="shared" si="18"/>
        <v>3776.1025000000004</v>
      </c>
      <c r="F310">
        <f t="shared" si="19"/>
        <v>900</v>
      </c>
    </row>
    <row r="311" spans="1:6" x14ac:dyDescent="0.3">
      <c r="A311">
        <v>46</v>
      </c>
      <c r="B311">
        <v>88.19</v>
      </c>
      <c r="C311">
        <f t="shared" si="16"/>
        <v>4056.74</v>
      </c>
      <c r="D311">
        <f t="shared" si="17"/>
        <v>2116</v>
      </c>
      <c r="E311">
        <f t="shared" si="18"/>
        <v>7777.4760999999999</v>
      </c>
      <c r="F311">
        <f t="shared" si="19"/>
        <v>2116</v>
      </c>
    </row>
    <row r="312" spans="1:6" x14ac:dyDescent="0.3">
      <c r="A312">
        <v>43</v>
      </c>
      <c r="B312">
        <v>115.22</v>
      </c>
      <c r="C312">
        <f t="shared" si="16"/>
        <v>4954.46</v>
      </c>
      <c r="D312">
        <f t="shared" si="17"/>
        <v>1849</v>
      </c>
      <c r="E312">
        <f t="shared" si="18"/>
        <v>13275.6484</v>
      </c>
      <c r="F312">
        <f t="shared" si="19"/>
        <v>1849</v>
      </c>
    </row>
    <row r="313" spans="1:6" x14ac:dyDescent="0.3">
      <c r="A313">
        <v>79</v>
      </c>
      <c r="B313">
        <v>97.93</v>
      </c>
      <c r="C313">
        <f t="shared" si="16"/>
        <v>7736.47</v>
      </c>
      <c r="D313">
        <f t="shared" si="17"/>
        <v>6241</v>
      </c>
      <c r="E313">
        <f t="shared" si="18"/>
        <v>9590.2849000000006</v>
      </c>
      <c r="F313">
        <f t="shared" si="19"/>
        <v>6241</v>
      </c>
    </row>
    <row r="314" spans="1:6" x14ac:dyDescent="0.3">
      <c r="A314">
        <v>27</v>
      </c>
      <c r="B314">
        <v>85.6</v>
      </c>
      <c r="C314">
        <f t="shared" si="16"/>
        <v>2311.1999999999998</v>
      </c>
      <c r="D314">
        <f t="shared" si="17"/>
        <v>729</v>
      </c>
      <c r="E314">
        <f t="shared" si="18"/>
        <v>7327.3599999999988</v>
      </c>
      <c r="F314">
        <f t="shared" si="19"/>
        <v>729</v>
      </c>
    </row>
    <row r="315" spans="1:6" x14ac:dyDescent="0.3">
      <c r="A315">
        <v>38</v>
      </c>
      <c r="B315">
        <v>79.83</v>
      </c>
      <c r="C315">
        <f t="shared" si="16"/>
        <v>3033.54</v>
      </c>
      <c r="D315">
        <f t="shared" si="17"/>
        <v>1444</v>
      </c>
      <c r="E315">
        <f t="shared" si="18"/>
        <v>6372.8288999999995</v>
      </c>
      <c r="F315">
        <f t="shared" si="19"/>
        <v>1444</v>
      </c>
    </row>
    <row r="316" spans="1:6" x14ac:dyDescent="0.3">
      <c r="A316">
        <v>78</v>
      </c>
      <c r="B316">
        <v>218.46</v>
      </c>
      <c r="C316">
        <f t="shared" si="16"/>
        <v>17039.88</v>
      </c>
      <c r="D316">
        <f t="shared" si="17"/>
        <v>6084</v>
      </c>
      <c r="E316">
        <f t="shared" si="18"/>
        <v>47724.7716</v>
      </c>
      <c r="F316">
        <f t="shared" si="19"/>
        <v>6084</v>
      </c>
    </row>
    <row r="317" spans="1:6" x14ac:dyDescent="0.3">
      <c r="A317">
        <v>57</v>
      </c>
      <c r="B317">
        <v>62.2</v>
      </c>
      <c r="C317">
        <f t="shared" si="16"/>
        <v>3545.4</v>
      </c>
      <c r="D317">
        <f t="shared" si="17"/>
        <v>3249</v>
      </c>
      <c r="E317">
        <f t="shared" si="18"/>
        <v>3868.84</v>
      </c>
      <c r="F317">
        <f t="shared" si="19"/>
        <v>3249</v>
      </c>
    </row>
    <row r="318" spans="1:6" x14ac:dyDescent="0.3">
      <c r="A318">
        <v>61</v>
      </c>
      <c r="B318">
        <v>69.150000000000006</v>
      </c>
      <c r="C318">
        <f t="shared" si="16"/>
        <v>4218.1500000000005</v>
      </c>
      <c r="D318">
        <f t="shared" si="17"/>
        <v>3721</v>
      </c>
      <c r="E318">
        <f t="shared" si="18"/>
        <v>4781.7225000000008</v>
      </c>
      <c r="F318">
        <f t="shared" si="19"/>
        <v>3721</v>
      </c>
    </row>
    <row r="319" spans="1:6" x14ac:dyDescent="0.3">
      <c r="A319">
        <v>37</v>
      </c>
      <c r="B319">
        <v>127.71</v>
      </c>
      <c r="C319">
        <f t="shared" si="16"/>
        <v>4725.2699999999995</v>
      </c>
      <c r="D319">
        <f t="shared" si="17"/>
        <v>1369</v>
      </c>
      <c r="E319">
        <f t="shared" si="18"/>
        <v>16309.844099999998</v>
      </c>
      <c r="F319">
        <f t="shared" si="19"/>
        <v>1369</v>
      </c>
    </row>
    <row r="320" spans="1:6" x14ac:dyDescent="0.3">
      <c r="A320">
        <v>48</v>
      </c>
      <c r="B320">
        <v>216.7</v>
      </c>
      <c r="C320">
        <f t="shared" si="16"/>
        <v>10401.599999999999</v>
      </c>
      <c r="D320">
        <f t="shared" si="17"/>
        <v>2304</v>
      </c>
      <c r="E320">
        <f t="shared" si="18"/>
        <v>46958.889999999992</v>
      </c>
      <c r="F320">
        <f t="shared" si="19"/>
        <v>2304</v>
      </c>
    </row>
    <row r="321" spans="1:6" x14ac:dyDescent="0.3">
      <c r="A321">
        <v>29</v>
      </c>
      <c r="B321">
        <v>71.89</v>
      </c>
      <c r="C321">
        <f t="shared" si="16"/>
        <v>2084.81</v>
      </c>
      <c r="D321">
        <f t="shared" si="17"/>
        <v>841</v>
      </c>
      <c r="E321">
        <f t="shared" si="18"/>
        <v>5168.1720999999998</v>
      </c>
      <c r="F321">
        <f t="shared" si="19"/>
        <v>841</v>
      </c>
    </row>
    <row r="322" spans="1:6" x14ac:dyDescent="0.3">
      <c r="A322">
        <v>22</v>
      </c>
      <c r="B322">
        <v>103.56</v>
      </c>
      <c r="C322">
        <f t="shared" si="16"/>
        <v>2278.3200000000002</v>
      </c>
      <c r="D322">
        <f t="shared" si="17"/>
        <v>484</v>
      </c>
      <c r="E322">
        <f t="shared" si="18"/>
        <v>10724.6736</v>
      </c>
      <c r="F322">
        <f t="shared" si="19"/>
        <v>484</v>
      </c>
    </row>
    <row r="323" spans="1:6" x14ac:dyDescent="0.3">
      <c r="A323">
        <v>11</v>
      </c>
      <c r="B323">
        <v>79.03</v>
      </c>
      <c r="C323">
        <f t="shared" ref="C323:C386" si="20">A323*B323</f>
        <v>869.33</v>
      </c>
      <c r="D323">
        <f t="shared" ref="D323:D386" si="21">A323*A323</f>
        <v>121</v>
      </c>
      <c r="E323">
        <f t="shared" ref="E323:E386" si="22">B323*B323</f>
        <v>6245.7408999999998</v>
      </c>
      <c r="F323">
        <f t="shared" ref="F323:F386" si="23">A323^2</f>
        <v>121</v>
      </c>
    </row>
    <row r="324" spans="1:6" x14ac:dyDescent="0.3">
      <c r="A324">
        <v>22</v>
      </c>
      <c r="B324">
        <v>69.94</v>
      </c>
      <c r="C324">
        <f t="shared" si="20"/>
        <v>1538.6799999999998</v>
      </c>
      <c r="D324">
        <f t="shared" si="21"/>
        <v>484</v>
      </c>
      <c r="E324">
        <f t="shared" si="22"/>
        <v>4891.6035999999995</v>
      </c>
      <c r="F324">
        <f t="shared" si="23"/>
        <v>484</v>
      </c>
    </row>
    <row r="325" spans="1:6" x14ac:dyDescent="0.3">
      <c r="A325">
        <v>53</v>
      </c>
      <c r="B325">
        <v>90.12</v>
      </c>
      <c r="C325">
        <f t="shared" si="20"/>
        <v>4776.3600000000006</v>
      </c>
      <c r="D325">
        <f t="shared" si="21"/>
        <v>2809</v>
      </c>
      <c r="E325">
        <f t="shared" si="22"/>
        <v>8121.6144000000004</v>
      </c>
      <c r="F325">
        <f t="shared" si="23"/>
        <v>2809</v>
      </c>
    </row>
    <row r="326" spans="1:6" x14ac:dyDescent="0.3">
      <c r="A326">
        <v>27</v>
      </c>
      <c r="B326">
        <v>95.1</v>
      </c>
      <c r="C326">
        <f t="shared" si="20"/>
        <v>2567.6999999999998</v>
      </c>
      <c r="D326">
        <f t="shared" si="21"/>
        <v>729</v>
      </c>
      <c r="E326">
        <f t="shared" si="22"/>
        <v>9044.0099999999984</v>
      </c>
      <c r="F326">
        <f t="shared" si="23"/>
        <v>729</v>
      </c>
    </row>
    <row r="327" spans="1:6" x14ac:dyDescent="0.3">
      <c r="A327">
        <v>76</v>
      </c>
      <c r="B327">
        <v>234.58</v>
      </c>
      <c r="C327">
        <f t="shared" si="20"/>
        <v>17828.080000000002</v>
      </c>
      <c r="D327">
        <f t="shared" si="21"/>
        <v>5776</v>
      </c>
      <c r="E327">
        <f t="shared" si="22"/>
        <v>55027.776400000002</v>
      </c>
      <c r="F327">
        <f t="shared" si="23"/>
        <v>5776</v>
      </c>
    </row>
    <row r="328" spans="1:6" x14ac:dyDescent="0.3">
      <c r="A328">
        <v>57</v>
      </c>
      <c r="B328">
        <v>235.85</v>
      </c>
      <c r="C328">
        <f t="shared" si="20"/>
        <v>13443.449999999999</v>
      </c>
      <c r="D328">
        <f t="shared" si="21"/>
        <v>3249</v>
      </c>
      <c r="E328">
        <f t="shared" si="22"/>
        <v>55625.222499999996</v>
      </c>
      <c r="F328">
        <f t="shared" si="23"/>
        <v>3249</v>
      </c>
    </row>
    <row r="329" spans="1:6" x14ac:dyDescent="0.3">
      <c r="A329">
        <v>8</v>
      </c>
      <c r="B329">
        <v>78.05</v>
      </c>
      <c r="C329">
        <f t="shared" si="20"/>
        <v>624.4</v>
      </c>
      <c r="D329">
        <f t="shared" si="21"/>
        <v>64</v>
      </c>
      <c r="E329">
        <f t="shared" si="22"/>
        <v>6091.8024999999998</v>
      </c>
      <c r="F329">
        <f t="shared" si="23"/>
        <v>64</v>
      </c>
    </row>
    <row r="330" spans="1:6" x14ac:dyDescent="0.3">
      <c r="A330">
        <v>21</v>
      </c>
      <c r="B330">
        <v>89.44</v>
      </c>
      <c r="C330">
        <f t="shared" si="20"/>
        <v>1878.24</v>
      </c>
      <c r="D330">
        <f t="shared" si="21"/>
        <v>441</v>
      </c>
      <c r="E330">
        <f t="shared" si="22"/>
        <v>7999.5135999999993</v>
      </c>
      <c r="F330">
        <f t="shared" si="23"/>
        <v>441</v>
      </c>
    </row>
    <row r="331" spans="1:6" x14ac:dyDescent="0.3">
      <c r="A331">
        <v>18</v>
      </c>
      <c r="B331">
        <v>111.38</v>
      </c>
      <c r="C331">
        <f t="shared" si="20"/>
        <v>2004.84</v>
      </c>
      <c r="D331">
        <f t="shared" si="21"/>
        <v>324</v>
      </c>
      <c r="E331">
        <f t="shared" si="22"/>
        <v>12405.5044</v>
      </c>
      <c r="F331">
        <f t="shared" si="23"/>
        <v>324</v>
      </c>
    </row>
    <row r="332" spans="1:6" x14ac:dyDescent="0.3">
      <c r="A332">
        <v>78</v>
      </c>
      <c r="B332">
        <v>243.5</v>
      </c>
      <c r="C332">
        <f t="shared" si="20"/>
        <v>18993</v>
      </c>
      <c r="D332">
        <f t="shared" si="21"/>
        <v>6084</v>
      </c>
      <c r="E332">
        <f t="shared" si="22"/>
        <v>59292.25</v>
      </c>
      <c r="F332">
        <f t="shared" si="23"/>
        <v>6084</v>
      </c>
    </row>
    <row r="333" spans="1:6" x14ac:dyDescent="0.3">
      <c r="A333">
        <v>78</v>
      </c>
      <c r="B333">
        <v>182.2</v>
      </c>
      <c r="C333">
        <f t="shared" si="20"/>
        <v>14211.599999999999</v>
      </c>
      <c r="D333">
        <f t="shared" si="21"/>
        <v>6084</v>
      </c>
      <c r="E333">
        <f t="shared" si="22"/>
        <v>33196.839999999997</v>
      </c>
      <c r="F333">
        <f t="shared" si="23"/>
        <v>6084</v>
      </c>
    </row>
    <row r="334" spans="1:6" x14ac:dyDescent="0.3">
      <c r="A334">
        <v>33</v>
      </c>
      <c r="B334">
        <v>229.92</v>
      </c>
      <c r="C334">
        <f t="shared" si="20"/>
        <v>7587.36</v>
      </c>
      <c r="D334">
        <f t="shared" si="21"/>
        <v>1089</v>
      </c>
      <c r="E334">
        <f t="shared" si="22"/>
        <v>52863.206399999995</v>
      </c>
      <c r="F334">
        <f t="shared" si="23"/>
        <v>1089</v>
      </c>
    </row>
    <row r="335" spans="1:6" x14ac:dyDescent="0.3">
      <c r="A335">
        <v>52</v>
      </c>
      <c r="B335">
        <v>82.24</v>
      </c>
      <c r="C335">
        <f t="shared" si="20"/>
        <v>4276.4799999999996</v>
      </c>
      <c r="D335">
        <f t="shared" si="21"/>
        <v>2704</v>
      </c>
      <c r="E335">
        <f t="shared" si="22"/>
        <v>6763.4175999999989</v>
      </c>
      <c r="F335">
        <f t="shared" si="23"/>
        <v>2704</v>
      </c>
    </row>
    <row r="336" spans="1:6" x14ac:dyDescent="0.3">
      <c r="A336">
        <v>51</v>
      </c>
      <c r="B336">
        <v>89.84</v>
      </c>
      <c r="C336">
        <f t="shared" si="20"/>
        <v>4581.84</v>
      </c>
      <c r="D336">
        <f t="shared" si="21"/>
        <v>2601</v>
      </c>
      <c r="E336">
        <f t="shared" si="22"/>
        <v>8071.2256000000007</v>
      </c>
      <c r="F336">
        <f t="shared" si="23"/>
        <v>2601</v>
      </c>
    </row>
    <row r="337" spans="1:6" x14ac:dyDescent="0.3">
      <c r="A337">
        <v>11</v>
      </c>
      <c r="B337">
        <v>90.69</v>
      </c>
      <c r="C337">
        <f t="shared" si="20"/>
        <v>997.58999999999992</v>
      </c>
      <c r="D337">
        <f t="shared" si="21"/>
        <v>121</v>
      </c>
      <c r="E337">
        <f t="shared" si="22"/>
        <v>8224.6760999999988</v>
      </c>
      <c r="F337">
        <f t="shared" si="23"/>
        <v>121</v>
      </c>
    </row>
    <row r="338" spans="1:6" x14ac:dyDescent="0.3">
      <c r="A338">
        <v>48</v>
      </c>
      <c r="B338">
        <v>84.38</v>
      </c>
      <c r="C338">
        <f t="shared" si="20"/>
        <v>4050.24</v>
      </c>
      <c r="D338">
        <f t="shared" si="21"/>
        <v>2304</v>
      </c>
      <c r="E338">
        <f t="shared" si="22"/>
        <v>7119.9843999999994</v>
      </c>
      <c r="F338">
        <f t="shared" si="23"/>
        <v>2304</v>
      </c>
    </row>
    <row r="339" spans="1:6" x14ac:dyDescent="0.3">
      <c r="A339">
        <v>82</v>
      </c>
      <c r="B339">
        <v>215.6</v>
      </c>
      <c r="C339">
        <f t="shared" si="20"/>
        <v>17679.2</v>
      </c>
      <c r="D339">
        <f t="shared" si="21"/>
        <v>6724</v>
      </c>
      <c r="E339">
        <f t="shared" si="22"/>
        <v>46483.360000000001</v>
      </c>
      <c r="F339">
        <f t="shared" si="23"/>
        <v>6724</v>
      </c>
    </row>
    <row r="340" spans="1:6" x14ac:dyDescent="0.3">
      <c r="A340">
        <v>54</v>
      </c>
      <c r="B340">
        <v>91.61</v>
      </c>
      <c r="C340">
        <f t="shared" si="20"/>
        <v>4946.9399999999996</v>
      </c>
      <c r="D340">
        <f t="shared" si="21"/>
        <v>2916</v>
      </c>
      <c r="E340">
        <f t="shared" si="22"/>
        <v>8392.3920999999991</v>
      </c>
      <c r="F340">
        <f t="shared" si="23"/>
        <v>2916</v>
      </c>
    </row>
    <row r="341" spans="1:6" x14ac:dyDescent="0.3">
      <c r="A341">
        <v>49</v>
      </c>
      <c r="B341">
        <v>138.16</v>
      </c>
      <c r="C341">
        <f t="shared" si="20"/>
        <v>6769.84</v>
      </c>
      <c r="D341">
        <f t="shared" si="21"/>
        <v>2401</v>
      </c>
      <c r="E341">
        <f t="shared" si="22"/>
        <v>19088.185600000001</v>
      </c>
      <c r="F341">
        <f t="shared" si="23"/>
        <v>2401</v>
      </c>
    </row>
    <row r="342" spans="1:6" x14ac:dyDescent="0.3">
      <c r="A342">
        <v>24</v>
      </c>
      <c r="B342">
        <v>75.23</v>
      </c>
      <c r="C342">
        <f t="shared" si="20"/>
        <v>1805.52</v>
      </c>
      <c r="D342">
        <f t="shared" si="21"/>
        <v>576</v>
      </c>
      <c r="E342">
        <f t="shared" si="22"/>
        <v>5659.5529000000006</v>
      </c>
      <c r="F342">
        <f t="shared" si="23"/>
        <v>576</v>
      </c>
    </row>
    <row r="343" spans="1:6" x14ac:dyDescent="0.3">
      <c r="A343">
        <v>37</v>
      </c>
      <c r="B343">
        <v>75.180000000000007</v>
      </c>
      <c r="C343">
        <f t="shared" si="20"/>
        <v>2781.6600000000003</v>
      </c>
      <c r="D343">
        <f t="shared" si="21"/>
        <v>1369</v>
      </c>
      <c r="E343">
        <f t="shared" si="22"/>
        <v>5652.032400000001</v>
      </c>
      <c r="F343">
        <f t="shared" si="23"/>
        <v>1369</v>
      </c>
    </row>
    <row r="344" spans="1:6" x14ac:dyDescent="0.3">
      <c r="A344">
        <v>34</v>
      </c>
      <c r="B344">
        <v>106.23</v>
      </c>
      <c r="C344">
        <f t="shared" si="20"/>
        <v>3611.82</v>
      </c>
      <c r="D344">
        <f t="shared" si="21"/>
        <v>1156</v>
      </c>
      <c r="E344">
        <f t="shared" si="22"/>
        <v>11284.812900000001</v>
      </c>
      <c r="F344">
        <f t="shared" si="23"/>
        <v>1156</v>
      </c>
    </row>
    <row r="345" spans="1:6" x14ac:dyDescent="0.3">
      <c r="A345">
        <v>64</v>
      </c>
      <c r="B345">
        <v>239.64</v>
      </c>
      <c r="C345">
        <f t="shared" si="20"/>
        <v>15336.96</v>
      </c>
      <c r="D345">
        <f t="shared" si="21"/>
        <v>4096</v>
      </c>
      <c r="E345">
        <f t="shared" si="22"/>
        <v>57427.32959999999</v>
      </c>
      <c r="F345">
        <f t="shared" si="23"/>
        <v>4096</v>
      </c>
    </row>
    <row r="346" spans="1:6" x14ac:dyDescent="0.3">
      <c r="A346">
        <v>66</v>
      </c>
      <c r="B346">
        <v>58.95</v>
      </c>
      <c r="C346">
        <f t="shared" si="20"/>
        <v>3890.7000000000003</v>
      </c>
      <c r="D346">
        <f t="shared" si="21"/>
        <v>4356</v>
      </c>
      <c r="E346">
        <f t="shared" si="22"/>
        <v>3475.1025000000004</v>
      </c>
      <c r="F346">
        <f t="shared" si="23"/>
        <v>4356</v>
      </c>
    </row>
    <row r="347" spans="1:6" x14ac:dyDescent="0.3">
      <c r="A347">
        <v>23</v>
      </c>
      <c r="B347">
        <v>99.92</v>
      </c>
      <c r="C347">
        <f t="shared" si="20"/>
        <v>2298.16</v>
      </c>
      <c r="D347">
        <f t="shared" si="21"/>
        <v>529</v>
      </c>
      <c r="E347">
        <f t="shared" si="22"/>
        <v>9984.0064000000002</v>
      </c>
      <c r="F347">
        <f t="shared" si="23"/>
        <v>529</v>
      </c>
    </row>
    <row r="348" spans="1:6" x14ac:dyDescent="0.3">
      <c r="A348">
        <v>68</v>
      </c>
      <c r="B348">
        <v>116.23</v>
      </c>
      <c r="C348">
        <f t="shared" si="20"/>
        <v>7903.64</v>
      </c>
      <c r="D348">
        <f t="shared" si="21"/>
        <v>4624</v>
      </c>
      <c r="E348">
        <f t="shared" si="22"/>
        <v>13509.412900000001</v>
      </c>
      <c r="F348">
        <f t="shared" si="23"/>
        <v>4624</v>
      </c>
    </row>
    <row r="349" spans="1:6" x14ac:dyDescent="0.3">
      <c r="A349">
        <v>55</v>
      </c>
      <c r="B349">
        <v>118.82</v>
      </c>
      <c r="C349">
        <f t="shared" si="20"/>
        <v>6535.0999999999995</v>
      </c>
      <c r="D349">
        <f t="shared" si="21"/>
        <v>3025</v>
      </c>
      <c r="E349">
        <f t="shared" si="22"/>
        <v>14118.192399999998</v>
      </c>
      <c r="F349">
        <f t="shared" si="23"/>
        <v>3025</v>
      </c>
    </row>
    <row r="350" spans="1:6" x14ac:dyDescent="0.3">
      <c r="A350">
        <v>25</v>
      </c>
      <c r="B350">
        <v>66.3</v>
      </c>
      <c r="C350">
        <f t="shared" si="20"/>
        <v>1657.5</v>
      </c>
      <c r="D350">
        <f t="shared" si="21"/>
        <v>625</v>
      </c>
      <c r="E350">
        <f t="shared" si="22"/>
        <v>4395.6899999999996</v>
      </c>
      <c r="F350">
        <f t="shared" si="23"/>
        <v>625</v>
      </c>
    </row>
    <row r="351" spans="1:6" x14ac:dyDescent="0.3">
      <c r="A351">
        <v>48</v>
      </c>
      <c r="B351">
        <v>101.41</v>
      </c>
      <c r="C351">
        <f t="shared" si="20"/>
        <v>4867.68</v>
      </c>
      <c r="D351">
        <f t="shared" si="21"/>
        <v>2304</v>
      </c>
      <c r="E351">
        <f t="shared" si="22"/>
        <v>10283.988099999999</v>
      </c>
      <c r="F351">
        <f t="shared" si="23"/>
        <v>2304</v>
      </c>
    </row>
    <row r="352" spans="1:6" x14ac:dyDescent="0.3">
      <c r="A352">
        <v>79</v>
      </c>
      <c r="B352">
        <v>200.28</v>
      </c>
      <c r="C352">
        <f t="shared" si="20"/>
        <v>15822.12</v>
      </c>
      <c r="D352">
        <f t="shared" si="21"/>
        <v>6241</v>
      </c>
      <c r="E352">
        <f t="shared" si="22"/>
        <v>40112.078399999999</v>
      </c>
      <c r="F352">
        <f t="shared" si="23"/>
        <v>6241</v>
      </c>
    </row>
    <row r="353" spans="1:6" x14ac:dyDescent="0.3">
      <c r="A353">
        <v>47</v>
      </c>
      <c r="B353">
        <v>136.80000000000001</v>
      </c>
      <c r="C353">
        <f t="shared" si="20"/>
        <v>6429.6</v>
      </c>
      <c r="D353">
        <f t="shared" si="21"/>
        <v>2209</v>
      </c>
      <c r="E353">
        <f t="shared" si="22"/>
        <v>18714.240000000002</v>
      </c>
      <c r="F353">
        <f t="shared" si="23"/>
        <v>2209</v>
      </c>
    </row>
    <row r="354" spans="1:6" x14ac:dyDescent="0.3">
      <c r="A354">
        <v>20</v>
      </c>
      <c r="B354">
        <v>96.57</v>
      </c>
      <c r="C354">
        <f t="shared" si="20"/>
        <v>1931.3999999999999</v>
      </c>
      <c r="D354">
        <f t="shared" si="21"/>
        <v>400</v>
      </c>
      <c r="E354">
        <f t="shared" si="22"/>
        <v>9325.7648999999983</v>
      </c>
      <c r="F354">
        <f t="shared" si="23"/>
        <v>400</v>
      </c>
    </row>
    <row r="355" spans="1:6" x14ac:dyDescent="0.3">
      <c r="A355">
        <v>60</v>
      </c>
      <c r="B355">
        <v>66.42</v>
      </c>
      <c r="C355">
        <f t="shared" si="20"/>
        <v>3985.2000000000003</v>
      </c>
      <c r="D355">
        <f t="shared" si="21"/>
        <v>3600</v>
      </c>
      <c r="E355">
        <f t="shared" si="22"/>
        <v>4411.6163999999999</v>
      </c>
      <c r="F355">
        <f t="shared" si="23"/>
        <v>3600</v>
      </c>
    </row>
    <row r="356" spans="1:6" x14ac:dyDescent="0.3">
      <c r="A356">
        <v>32</v>
      </c>
      <c r="B356">
        <v>98.09</v>
      </c>
      <c r="C356">
        <f t="shared" si="20"/>
        <v>3138.88</v>
      </c>
      <c r="D356">
        <f t="shared" si="21"/>
        <v>1024</v>
      </c>
      <c r="E356">
        <f t="shared" si="22"/>
        <v>9621.6481000000003</v>
      </c>
      <c r="F356">
        <f t="shared" si="23"/>
        <v>1024</v>
      </c>
    </row>
    <row r="357" spans="1:6" x14ac:dyDescent="0.3">
      <c r="A357">
        <v>66</v>
      </c>
      <c r="B357">
        <v>205.23</v>
      </c>
      <c r="C357">
        <f t="shared" si="20"/>
        <v>13545.179999999998</v>
      </c>
      <c r="D357">
        <f t="shared" si="21"/>
        <v>4356</v>
      </c>
      <c r="E357">
        <f t="shared" si="22"/>
        <v>42119.352899999998</v>
      </c>
      <c r="F357">
        <f t="shared" si="23"/>
        <v>4356</v>
      </c>
    </row>
    <row r="358" spans="1:6" x14ac:dyDescent="0.3">
      <c r="A358">
        <v>43</v>
      </c>
      <c r="B358">
        <v>86.78</v>
      </c>
      <c r="C358">
        <f t="shared" si="20"/>
        <v>3731.54</v>
      </c>
      <c r="D358">
        <f t="shared" si="21"/>
        <v>1849</v>
      </c>
      <c r="E358">
        <f t="shared" si="22"/>
        <v>7530.7683999999999</v>
      </c>
      <c r="F358">
        <f t="shared" si="23"/>
        <v>1849</v>
      </c>
    </row>
    <row r="359" spans="1:6" x14ac:dyDescent="0.3">
      <c r="A359">
        <v>36</v>
      </c>
      <c r="B359">
        <v>126.82</v>
      </c>
      <c r="C359">
        <f t="shared" si="20"/>
        <v>4565.5199999999995</v>
      </c>
      <c r="D359">
        <f t="shared" si="21"/>
        <v>1296</v>
      </c>
      <c r="E359">
        <f t="shared" si="22"/>
        <v>16083.312399999999</v>
      </c>
      <c r="F359">
        <f t="shared" si="23"/>
        <v>1296</v>
      </c>
    </row>
    <row r="360" spans="1:6" x14ac:dyDescent="0.3">
      <c r="A360">
        <v>52</v>
      </c>
      <c r="B360">
        <v>78.400000000000006</v>
      </c>
      <c r="C360">
        <f t="shared" si="20"/>
        <v>4076.8</v>
      </c>
      <c r="D360">
        <f t="shared" si="21"/>
        <v>2704</v>
      </c>
      <c r="E360">
        <f t="shared" si="22"/>
        <v>6146.5600000000013</v>
      </c>
      <c r="F360">
        <f t="shared" si="23"/>
        <v>2704</v>
      </c>
    </row>
    <row r="361" spans="1:6" x14ac:dyDescent="0.3">
      <c r="A361">
        <v>29</v>
      </c>
      <c r="B361">
        <v>63.69</v>
      </c>
      <c r="C361">
        <f t="shared" si="20"/>
        <v>1847.01</v>
      </c>
      <c r="D361">
        <f t="shared" si="21"/>
        <v>841</v>
      </c>
      <c r="E361">
        <f t="shared" si="22"/>
        <v>4056.4160999999999</v>
      </c>
      <c r="F361">
        <f t="shared" si="23"/>
        <v>841</v>
      </c>
    </row>
    <row r="362" spans="1:6" x14ac:dyDescent="0.3">
      <c r="A362">
        <v>76</v>
      </c>
      <c r="B362">
        <v>209.58</v>
      </c>
      <c r="C362">
        <f t="shared" si="20"/>
        <v>15928.080000000002</v>
      </c>
      <c r="D362">
        <f t="shared" si="21"/>
        <v>5776</v>
      </c>
      <c r="E362">
        <f t="shared" si="22"/>
        <v>43923.776400000002</v>
      </c>
      <c r="F362">
        <f t="shared" si="23"/>
        <v>5776</v>
      </c>
    </row>
    <row r="363" spans="1:6" x14ac:dyDescent="0.3">
      <c r="A363">
        <v>39</v>
      </c>
      <c r="B363">
        <v>89.86</v>
      </c>
      <c r="C363">
        <f t="shared" si="20"/>
        <v>3504.54</v>
      </c>
      <c r="D363">
        <f t="shared" si="21"/>
        <v>1521</v>
      </c>
      <c r="E363">
        <f t="shared" si="22"/>
        <v>8074.8195999999998</v>
      </c>
      <c r="F363">
        <f t="shared" si="23"/>
        <v>1521</v>
      </c>
    </row>
    <row r="364" spans="1:6" x14ac:dyDescent="0.3">
      <c r="A364">
        <v>76</v>
      </c>
      <c r="B364">
        <v>110.99</v>
      </c>
      <c r="C364">
        <f t="shared" si="20"/>
        <v>8435.24</v>
      </c>
      <c r="D364">
        <f t="shared" si="21"/>
        <v>5776</v>
      </c>
      <c r="E364">
        <f t="shared" si="22"/>
        <v>12318.780099999998</v>
      </c>
      <c r="F364">
        <f t="shared" si="23"/>
        <v>5776</v>
      </c>
    </row>
    <row r="365" spans="1:6" x14ac:dyDescent="0.3">
      <c r="A365">
        <v>0.64</v>
      </c>
      <c r="B365">
        <v>83.82</v>
      </c>
      <c r="C365">
        <f t="shared" si="20"/>
        <v>53.644799999999996</v>
      </c>
      <c r="D365">
        <f t="shared" si="21"/>
        <v>0.40960000000000002</v>
      </c>
      <c r="E365">
        <f t="shared" si="22"/>
        <v>7025.7923999999985</v>
      </c>
      <c r="F365">
        <f t="shared" si="23"/>
        <v>0.40960000000000002</v>
      </c>
    </row>
    <row r="366" spans="1:6" x14ac:dyDescent="0.3">
      <c r="A366">
        <v>34</v>
      </c>
      <c r="B366">
        <v>137.96</v>
      </c>
      <c r="C366">
        <f t="shared" si="20"/>
        <v>4690.6400000000003</v>
      </c>
      <c r="D366">
        <f t="shared" si="21"/>
        <v>1156</v>
      </c>
      <c r="E366">
        <f t="shared" si="22"/>
        <v>19032.961600000002</v>
      </c>
      <c r="F366">
        <f t="shared" si="23"/>
        <v>1156</v>
      </c>
    </row>
    <row r="367" spans="1:6" x14ac:dyDescent="0.3">
      <c r="A367">
        <v>72</v>
      </c>
      <c r="B367">
        <v>210.78</v>
      </c>
      <c r="C367">
        <f t="shared" si="20"/>
        <v>15176.16</v>
      </c>
      <c r="D367">
        <f t="shared" si="21"/>
        <v>5184</v>
      </c>
      <c r="E367">
        <f t="shared" si="22"/>
        <v>44428.208400000003</v>
      </c>
      <c r="F367">
        <f t="shared" si="23"/>
        <v>5184</v>
      </c>
    </row>
    <row r="368" spans="1:6" x14ac:dyDescent="0.3">
      <c r="A368">
        <v>43</v>
      </c>
      <c r="B368">
        <v>118.89</v>
      </c>
      <c r="C368">
        <f t="shared" si="20"/>
        <v>5112.2700000000004</v>
      </c>
      <c r="D368">
        <f t="shared" si="21"/>
        <v>1849</v>
      </c>
      <c r="E368">
        <f t="shared" si="22"/>
        <v>14134.8321</v>
      </c>
      <c r="F368">
        <f t="shared" si="23"/>
        <v>1849</v>
      </c>
    </row>
    <row r="369" spans="1:6" x14ac:dyDescent="0.3">
      <c r="A369">
        <v>57</v>
      </c>
      <c r="B369">
        <v>72.55</v>
      </c>
      <c r="C369">
        <f t="shared" si="20"/>
        <v>4135.3499999999995</v>
      </c>
      <c r="D369">
        <f t="shared" si="21"/>
        <v>3249</v>
      </c>
      <c r="E369">
        <f t="shared" si="22"/>
        <v>5263.5024999999996</v>
      </c>
      <c r="F369">
        <f t="shared" si="23"/>
        <v>3249</v>
      </c>
    </row>
    <row r="370" spans="1:6" x14ac:dyDescent="0.3">
      <c r="A370">
        <v>44</v>
      </c>
      <c r="B370">
        <v>107.41</v>
      </c>
      <c r="C370">
        <f t="shared" si="20"/>
        <v>4726.04</v>
      </c>
      <c r="D370">
        <f t="shared" si="21"/>
        <v>1936</v>
      </c>
      <c r="E370">
        <f t="shared" si="22"/>
        <v>11536.908099999999</v>
      </c>
      <c r="F370">
        <f t="shared" si="23"/>
        <v>1936</v>
      </c>
    </row>
    <row r="371" spans="1:6" x14ac:dyDescent="0.3">
      <c r="A371">
        <v>4</v>
      </c>
      <c r="B371">
        <v>93.25</v>
      </c>
      <c r="C371">
        <f t="shared" si="20"/>
        <v>373</v>
      </c>
      <c r="D371">
        <f t="shared" si="21"/>
        <v>16</v>
      </c>
      <c r="E371">
        <f t="shared" si="22"/>
        <v>8695.5625</v>
      </c>
      <c r="F371">
        <f t="shared" si="23"/>
        <v>16</v>
      </c>
    </row>
    <row r="372" spans="1:6" x14ac:dyDescent="0.3">
      <c r="A372">
        <v>44</v>
      </c>
      <c r="B372">
        <v>74.91</v>
      </c>
      <c r="C372">
        <f t="shared" si="20"/>
        <v>3296.04</v>
      </c>
      <c r="D372">
        <f t="shared" si="21"/>
        <v>1936</v>
      </c>
      <c r="E372">
        <f t="shared" si="22"/>
        <v>5611.5080999999991</v>
      </c>
      <c r="F372">
        <f t="shared" si="23"/>
        <v>1936</v>
      </c>
    </row>
    <row r="373" spans="1:6" x14ac:dyDescent="0.3">
      <c r="A373">
        <v>18</v>
      </c>
      <c r="B373">
        <v>80.05</v>
      </c>
      <c r="C373">
        <f t="shared" si="20"/>
        <v>1440.8999999999999</v>
      </c>
      <c r="D373">
        <f t="shared" si="21"/>
        <v>324</v>
      </c>
      <c r="E373">
        <f t="shared" si="22"/>
        <v>6408.0024999999996</v>
      </c>
      <c r="F373">
        <f t="shared" si="23"/>
        <v>324</v>
      </c>
    </row>
    <row r="374" spans="1:6" x14ac:dyDescent="0.3">
      <c r="A374">
        <v>41</v>
      </c>
      <c r="B374">
        <v>99.8</v>
      </c>
      <c r="C374">
        <f t="shared" si="20"/>
        <v>4091.7999999999997</v>
      </c>
      <c r="D374">
        <f t="shared" si="21"/>
        <v>1681</v>
      </c>
      <c r="E374">
        <f t="shared" si="22"/>
        <v>9960.0399999999991</v>
      </c>
      <c r="F374">
        <f t="shared" si="23"/>
        <v>1681</v>
      </c>
    </row>
    <row r="375" spans="1:6" x14ac:dyDescent="0.3">
      <c r="A375">
        <v>23</v>
      </c>
      <c r="B375">
        <v>91.97</v>
      </c>
      <c r="C375">
        <f t="shared" si="20"/>
        <v>2115.31</v>
      </c>
      <c r="D375">
        <f t="shared" si="21"/>
        <v>529</v>
      </c>
      <c r="E375">
        <f t="shared" si="22"/>
        <v>8458.4809000000005</v>
      </c>
      <c r="F375">
        <f t="shared" si="23"/>
        <v>529</v>
      </c>
    </row>
    <row r="376" spans="1:6" x14ac:dyDescent="0.3">
      <c r="A376">
        <v>53</v>
      </c>
      <c r="B376">
        <v>64.400000000000006</v>
      </c>
      <c r="C376">
        <f t="shared" si="20"/>
        <v>3413.2000000000003</v>
      </c>
      <c r="D376">
        <f t="shared" si="21"/>
        <v>2809</v>
      </c>
      <c r="E376">
        <f t="shared" si="22"/>
        <v>4147.3600000000006</v>
      </c>
      <c r="F376">
        <f t="shared" si="23"/>
        <v>2809</v>
      </c>
    </row>
    <row r="377" spans="1:6" x14ac:dyDescent="0.3">
      <c r="A377">
        <v>56</v>
      </c>
      <c r="B377">
        <v>73.02</v>
      </c>
      <c r="C377">
        <f t="shared" si="20"/>
        <v>4089.12</v>
      </c>
      <c r="D377">
        <f t="shared" si="21"/>
        <v>3136</v>
      </c>
      <c r="E377">
        <f t="shared" si="22"/>
        <v>5331.9203999999991</v>
      </c>
      <c r="F377">
        <f t="shared" si="23"/>
        <v>3136</v>
      </c>
    </row>
    <row r="378" spans="1:6" x14ac:dyDescent="0.3">
      <c r="A378">
        <v>0.88</v>
      </c>
      <c r="B378">
        <v>88.11</v>
      </c>
      <c r="C378">
        <f t="shared" si="20"/>
        <v>77.536799999999999</v>
      </c>
      <c r="D378">
        <f t="shared" si="21"/>
        <v>0.77439999999999998</v>
      </c>
      <c r="E378">
        <f t="shared" si="22"/>
        <v>7763.3720999999996</v>
      </c>
      <c r="F378">
        <f t="shared" si="23"/>
        <v>0.77439999999999998</v>
      </c>
    </row>
    <row r="379" spans="1:6" x14ac:dyDescent="0.3">
      <c r="A379">
        <v>25</v>
      </c>
      <c r="B379">
        <v>138.29</v>
      </c>
      <c r="C379">
        <f t="shared" si="20"/>
        <v>3457.25</v>
      </c>
      <c r="D379">
        <f t="shared" si="21"/>
        <v>625</v>
      </c>
      <c r="E379">
        <f t="shared" si="22"/>
        <v>19124.124099999997</v>
      </c>
      <c r="F379">
        <f t="shared" si="23"/>
        <v>625</v>
      </c>
    </row>
    <row r="380" spans="1:6" x14ac:dyDescent="0.3">
      <c r="A380">
        <v>14</v>
      </c>
      <c r="B380">
        <v>72.36</v>
      </c>
      <c r="C380">
        <f t="shared" si="20"/>
        <v>1013.04</v>
      </c>
      <c r="D380">
        <f t="shared" si="21"/>
        <v>196</v>
      </c>
      <c r="E380">
        <f t="shared" si="22"/>
        <v>5235.9696000000004</v>
      </c>
      <c r="F380">
        <f t="shared" si="23"/>
        <v>196</v>
      </c>
    </row>
    <row r="381" spans="1:6" x14ac:dyDescent="0.3">
      <c r="A381">
        <v>53</v>
      </c>
      <c r="B381">
        <v>68.760000000000005</v>
      </c>
      <c r="C381">
        <f t="shared" si="20"/>
        <v>3644.28</v>
      </c>
      <c r="D381">
        <f t="shared" si="21"/>
        <v>2809</v>
      </c>
      <c r="E381">
        <f t="shared" si="22"/>
        <v>4727.9376000000011</v>
      </c>
      <c r="F381">
        <f t="shared" si="23"/>
        <v>2809</v>
      </c>
    </row>
    <row r="382" spans="1:6" x14ac:dyDescent="0.3">
      <c r="A382">
        <v>4</v>
      </c>
      <c r="B382">
        <v>106.22</v>
      </c>
      <c r="C382">
        <f t="shared" si="20"/>
        <v>424.88</v>
      </c>
      <c r="D382">
        <f t="shared" si="21"/>
        <v>16</v>
      </c>
      <c r="E382">
        <f t="shared" si="22"/>
        <v>11282.688399999999</v>
      </c>
      <c r="F382">
        <f t="shared" si="23"/>
        <v>16</v>
      </c>
    </row>
    <row r="383" spans="1:6" x14ac:dyDescent="0.3">
      <c r="A383">
        <v>39</v>
      </c>
      <c r="B383">
        <v>101.52</v>
      </c>
      <c r="C383">
        <f t="shared" si="20"/>
        <v>3959.2799999999997</v>
      </c>
      <c r="D383">
        <f t="shared" si="21"/>
        <v>1521</v>
      </c>
      <c r="E383">
        <f t="shared" si="22"/>
        <v>10306.310399999998</v>
      </c>
      <c r="F383">
        <f t="shared" si="23"/>
        <v>1521</v>
      </c>
    </row>
    <row r="384" spans="1:6" x14ac:dyDescent="0.3">
      <c r="A384">
        <v>53</v>
      </c>
      <c r="B384">
        <v>109.51</v>
      </c>
      <c r="C384">
        <f t="shared" si="20"/>
        <v>5804.0300000000007</v>
      </c>
      <c r="D384">
        <f t="shared" si="21"/>
        <v>2809</v>
      </c>
      <c r="E384">
        <f t="shared" si="22"/>
        <v>11992.440100000002</v>
      </c>
      <c r="F384">
        <f t="shared" si="23"/>
        <v>2809</v>
      </c>
    </row>
    <row r="385" spans="1:6" x14ac:dyDescent="0.3">
      <c r="A385">
        <v>5</v>
      </c>
      <c r="B385">
        <v>85.84</v>
      </c>
      <c r="C385">
        <f t="shared" si="20"/>
        <v>429.20000000000005</v>
      </c>
      <c r="D385">
        <f t="shared" si="21"/>
        <v>25</v>
      </c>
      <c r="E385">
        <f t="shared" si="22"/>
        <v>7368.5056000000004</v>
      </c>
      <c r="F385">
        <f t="shared" si="23"/>
        <v>25</v>
      </c>
    </row>
    <row r="386" spans="1:6" x14ac:dyDescent="0.3">
      <c r="A386">
        <v>4</v>
      </c>
      <c r="B386">
        <v>110.15</v>
      </c>
      <c r="C386">
        <f t="shared" si="20"/>
        <v>440.6</v>
      </c>
      <c r="D386">
        <f t="shared" si="21"/>
        <v>16</v>
      </c>
      <c r="E386">
        <f t="shared" si="22"/>
        <v>12133.022500000001</v>
      </c>
      <c r="F386">
        <f t="shared" si="23"/>
        <v>16</v>
      </c>
    </row>
    <row r="387" spans="1:6" x14ac:dyDescent="0.3">
      <c r="A387">
        <v>37</v>
      </c>
      <c r="B387">
        <v>91.72</v>
      </c>
      <c r="C387">
        <f t="shared" ref="C387:C450" si="24">A387*B387</f>
        <v>3393.64</v>
      </c>
      <c r="D387">
        <f t="shared" ref="D387:D450" si="25">A387*A387</f>
        <v>1369</v>
      </c>
      <c r="E387">
        <f t="shared" ref="E387:E450" si="26">B387*B387</f>
        <v>8412.5583999999999</v>
      </c>
      <c r="F387">
        <f t="shared" ref="F387:F450" si="27">A387^2</f>
        <v>1369</v>
      </c>
    </row>
    <row r="388" spans="1:6" x14ac:dyDescent="0.3">
      <c r="A388">
        <v>70</v>
      </c>
      <c r="B388">
        <v>251.6</v>
      </c>
      <c r="C388">
        <f t="shared" si="24"/>
        <v>17612</v>
      </c>
      <c r="D388">
        <f t="shared" si="25"/>
        <v>4900</v>
      </c>
      <c r="E388">
        <f t="shared" si="26"/>
        <v>63302.559999999998</v>
      </c>
      <c r="F388">
        <f t="shared" si="27"/>
        <v>4900</v>
      </c>
    </row>
    <row r="389" spans="1:6" x14ac:dyDescent="0.3">
      <c r="A389">
        <v>24</v>
      </c>
      <c r="B389">
        <v>123.1</v>
      </c>
      <c r="C389">
        <f t="shared" si="24"/>
        <v>2954.3999999999996</v>
      </c>
      <c r="D389">
        <f t="shared" si="25"/>
        <v>576</v>
      </c>
      <c r="E389">
        <f t="shared" si="26"/>
        <v>15153.609999999999</v>
      </c>
      <c r="F389">
        <f t="shared" si="27"/>
        <v>576</v>
      </c>
    </row>
    <row r="390" spans="1:6" x14ac:dyDescent="0.3">
      <c r="A390">
        <v>55</v>
      </c>
      <c r="B390">
        <v>97.4</v>
      </c>
      <c r="C390">
        <f t="shared" si="24"/>
        <v>5357</v>
      </c>
      <c r="D390">
        <f t="shared" si="25"/>
        <v>3025</v>
      </c>
      <c r="E390">
        <f t="shared" si="26"/>
        <v>9486.76</v>
      </c>
      <c r="F390">
        <f t="shared" si="27"/>
        <v>3025</v>
      </c>
    </row>
    <row r="391" spans="1:6" x14ac:dyDescent="0.3">
      <c r="A391">
        <v>70</v>
      </c>
      <c r="B391">
        <v>68.34</v>
      </c>
      <c r="C391">
        <f t="shared" si="24"/>
        <v>4783.8</v>
      </c>
      <c r="D391">
        <f t="shared" si="25"/>
        <v>4900</v>
      </c>
      <c r="E391">
        <f t="shared" si="26"/>
        <v>4670.3556000000008</v>
      </c>
      <c r="F391">
        <f t="shared" si="27"/>
        <v>4900</v>
      </c>
    </row>
    <row r="392" spans="1:6" x14ac:dyDescent="0.3">
      <c r="A392">
        <v>34</v>
      </c>
      <c r="B392">
        <v>80.81</v>
      </c>
      <c r="C392">
        <f t="shared" si="24"/>
        <v>2747.54</v>
      </c>
      <c r="D392">
        <f t="shared" si="25"/>
        <v>1156</v>
      </c>
      <c r="E392">
        <f t="shared" si="26"/>
        <v>6530.2561000000005</v>
      </c>
      <c r="F392">
        <f t="shared" si="27"/>
        <v>1156</v>
      </c>
    </row>
    <row r="393" spans="1:6" x14ac:dyDescent="0.3">
      <c r="A393">
        <v>26</v>
      </c>
      <c r="B393">
        <v>120.31</v>
      </c>
      <c r="C393">
        <f t="shared" si="24"/>
        <v>3128.06</v>
      </c>
      <c r="D393">
        <f t="shared" si="25"/>
        <v>676</v>
      </c>
      <c r="E393">
        <f t="shared" si="26"/>
        <v>14474.4961</v>
      </c>
      <c r="F393">
        <f t="shared" si="27"/>
        <v>676</v>
      </c>
    </row>
    <row r="394" spans="1:6" x14ac:dyDescent="0.3">
      <c r="A394">
        <v>39</v>
      </c>
      <c r="B394">
        <v>83.51</v>
      </c>
      <c r="C394">
        <f t="shared" si="24"/>
        <v>3256.8900000000003</v>
      </c>
      <c r="D394">
        <f t="shared" si="25"/>
        <v>1521</v>
      </c>
      <c r="E394">
        <f t="shared" si="26"/>
        <v>6973.9201000000012</v>
      </c>
      <c r="F394">
        <f t="shared" si="27"/>
        <v>1521</v>
      </c>
    </row>
    <row r="395" spans="1:6" x14ac:dyDescent="0.3">
      <c r="A395">
        <v>38</v>
      </c>
      <c r="B395">
        <v>74.09</v>
      </c>
      <c r="C395">
        <f t="shared" si="24"/>
        <v>2815.42</v>
      </c>
      <c r="D395">
        <f t="shared" si="25"/>
        <v>1444</v>
      </c>
      <c r="E395">
        <f t="shared" si="26"/>
        <v>5489.3281000000006</v>
      </c>
      <c r="F395">
        <f t="shared" si="27"/>
        <v>1444</v>
      </c>
    </row>
    <row r="396" spans="1:6" x14ac:dyDescent="0.3">
      <c r="A396">
        <v>20</v>
      </c>
      <c r="B396">
        <v>91.6</v>
      </c>
      <c r="C396">
        <f t="shared" si="24"/>
        <v>1832</v>
      </c>
      <c r="D396">
        <f t="shared" si="25"/>
        <v>400</v>
      </c>
      <c r="E396">
        <f t="shared" si="26"/>
        <v>8390.56</v>
      </c>
      <c r="F396">
        <f t="shared" si="27"/>
        <v>400</v>
      </c>
    </row>
    <row r="397" spans="1:6" x14ac:dyDescent="0.3">
      <c r="A397">
        <v>17</v>
      </c>
      <c r="B397">
        <v>87.52</v>
      </c>
      <c r="C397">
        <f t="shared" si="24"/>
        <v>1487.84</v>
      </c>
      <c r="D397">
        <f t="shared" si="25"/>
        <v>289</v>
      </c>
      <c r="E397">
        <f t="shared" si="26"/>
        <v>7659.750399999999</v>
      </c>
      <c r="F397">
        <f t="shared" si="27"/>
        <v>289</v>
      </c>
    </row>
    <row r="398" spans="1:6" x14ac:dyDescent="0.3">
      <c r="A398">
        <v>60</v>
      </c>
      <c r="B398">
        <v>213.37</v>
      </c>
      <c r="C398">
        <f t="shared" si="24"/>
        <v>12802.2</v>
      </c>
      <c r="D398">
        <f t="shared" si="25"/>
        <v>3600</v>
      </c>
      <c r="E398">
        <f t="shared" si="26"/>
        <v>45526.7569</v>
      </c>
      <c r="F398">
        <f t="shared" si="27"/>
        <v>3600</v>
      </c>
    </row>
    <row r="399" spans="1:6" x14ac:dyDescent="0.3">
      <c r="A399">
        <v>75</v>
      </c>
      <c r="B399">
        <v>75.39</v>
      </c>
      <c r="C399">
        <f t="shared" si="24"/>
        <v>5654.25</v>
      </c>
      <c r="D399">
        <f t="shared" si="25"/>
        <v>5625</v>
      </c>
      <c r="E399">
        <f t="shared" si="26"/>
        <v>5683.6521000000002</v>
      </c>
      <c r="F399">
        <f t="shared" si="27"/>
        <v>5625</v>
      </c>
    </row>
    <row r="400" spans="1:6" x14ac:dyDescent="0.3">
      <c r="A400">
        <v>31</v>
      </c>
      <c r="B400">
        <v>122.41</v>
      </c>
      <c r="C400">
        <f t="shared" si="24"/>
        <v>3794.71</v>
      </c>
      <c r="D400">
        <f t="shared" si="25"/>
        <v>961</v>
      </c>
      <c r="E400">
        <f t="shared" si="26"/>
        <v>14984.2081</v>
      </c>
      <c r="F400">
        <f t="shared" si="27"/>
        <v>961</v>
      </c>
    </row>
    <row r="401" spans="1:6" x14ac:dyDescent="0.3">
      <c r="A401">
        <v>58</v>
      </c>
      <c r="B401">
        <v>223.36</v>
      </c>
      <c r="C401">
        <f t="shared" si="24"/>
        <v>12954.880000000001</v>
      </c>
      <c r="D401">
        <f t="shared" si="25"/>
        <v>3364</v>
      </c>
      <c r="E401">
        <f t="shared" si="26"/>
        <v>49889.689600000005</v>
      </c>
      <c r="F401">
        <f t="shared" si="27"/>
        <v>3364</v>
      </c>
    </row>
    <row r="402" spans="1:6" x14ac:dyDescent="0.3">
      <c r="A402">
        <v>5</v>
      </c>
      <c r="B402">
        <v>84.59</v>
      </c>
      <c r="C402">
        <f t="shared" si="24"/>
        <v>422.95000000000005</v>
      </c>
      <c r="D402">
        <f t="shared" si="25"/>
        <v>25</v>
      </c>
      <c r="E402">
        <f t="shared" si="26"/>
        <v>7155.468100000001</v>
      </c>
      <c r="F402">
        <f t="shared" si="27"/>
        <v>25</v>
      </c>
    </row>
    <row r="403" spans="1:6" x14ac:dyDescent="0.3">
      <c r="A403">
        <v>13</v>
      </c>
      <c r="B403">
        <v>70.16</v>
      </c>
      <c r="C403">
        <f t="shared" si="24"/>
        <v>912.07999999999993</v>
      </c>
      <c r="D403">
        <f t="shared" si="25"/>
        <v>169</v>
      </c>
      <c r="E403">
        <f t="shared" si="26"/>
        <v>4922.4255999999996</v>
      </c>
      <c r="F403">
        <f t="shared" si="27"/>
        <v>169</v>
      </c>
    </row>
    <row r="404" spans="1:6" x14ac:dyDescent="0.3">
      <c r="A404">
        <v>22</v>
      </c>
      <c r="B404">
        <v>107.52</v>
      </c>
      <c r="C404">
        <f t="shared" si="24"/>
        <v>2365.44</v>
      </c>
      <c r="D404">
        <f t="shared" si="25"/>
        <v>484</v>
      </c>
      <c r="E404">
        <f t="shared" si="26"/>
        <v>11560.550399999998</v>
      </c>
      <c r="F404">
        <f t="shared" si="27"/>
        <v>484</v>
      </c>
    </row>
    <row r="405" spans="1:6" x14ac:dyDescent="0.3">
      <c r="A405">
        <v>52</v>
      </c>
      <c r="B405">
        <v>80.88</v>
      </c>
      <c r="C405">
        <f t="shared" si="24"/>
        <v>4205.76</v>
      </c>
      <c r="D405">
        <f t="shared" si="25"/>
        <v>2704</v>
      </c>
      <c r="E405">
        <f t="shared" si="26"/>
        <v>6541.5743999999995</v>
      </c>
      <c r="F405">
        <f t="shared" si="27"/>
        <v>2704</v>
      </c>
    </row>
    <row r="406" spans="1:6" x14ac:dyDescent="0.3">
      <c r="A406">
        <v>61</v>
      </c>
      <c r="B406">
        <v>93.48</v>
      </c>
      <c r="C406">
        <f t="shared" si="24"/>
        <v>5702.2800000000007</v>
      </c>
      <c r="D406">
        <f t="shared" si="25"/>
        <v>3721</v>
      </c>
      <c r="E406">
        <f t="shared" si="26"/>
        <v>8738.510400000001</v>
      </c>
      <c r="F406">
        <f t="shared" si="27"/>
        <v>3721</v>
      </c>
    </row>
    <row r="407" spans="1:6" x14ac:dyDescent="0.3">
      <c r="A407">
        <v>78</v>
      </c>
      <c r="B407">
        <v>70.209999999999994</v>
      </c>
      <c r="C407">
        <f t="shared" si="24"/>
        <v>5476.3799999999992</v>
      </c>
      <c r="D407">
        <f t="shared" si="25"/>
        <v>6084</v>
      </c>
      <c r="E407">
        <f t="shared" si="26"/>
        <v>4929.4440999999988</v>
      </c>
      <c r="F407">
        <f t="shared" si="27"/>
        <v>6084</v>
      </c>
    </row>
    <row r="408" spans="1:6" x14ac:dyDescent="0.3">
      <c r="A408">
        <v>57</v>
      </c>
      <c r="B408">
        <v>86.67</v>
      </c>
      <c r="C408">
        <f t="shared" si="24"/>
        <v>4940.1900000000005</v>
      </c>
      <c r="D408">
        <f t="shared" si="25"/>
        <v>3249</v>
      </c>
      <c r="E408">
        <f t="shared" si="26"/>
        <v>7511.6889000000001</v>
      </c>
      <c r="F408">
        <f t="shared" si="27"/>
        <v>3249</v>
      </c>
    </row>
    <row r="409" spans="1:6" x14ac:dyDescent="0.3">
      <c r="A409">
        <v>21</v>
      </c>
      <c r="B409">
        <v>101.37</v>
      </c>
      <c r="C409">
        <f t="shared" si="24"/>
        <v>2128.77</v>
      </c>
      <c r="D409">
        <f t="shared" si="25"/>
        <v>441</v>
      </c>
      <c r="E409">
        <f t="shared" si="26"/>
        <v>10275.876900000001</v>
      </c>
      <c r="F409">
        <f t="shared" si="27"/>
        <v>441</v>
      </c>
    </row>
    <row r="410" spans="1:6" x14ac:dyDescent="0.3">
      <c r="A410">
        <v>22</v>
      </c>
      <c r="B410">
        <v>105.22</v>
      </c>
      <c r="C410">
        <f t="shared" si="24"/>
        <v>2314.84</v>
      </c>
      <c r="D410">
        <f t="shared" si="25"/>
        <v>484</v>
      </c>
      <c r="E410">
        <f t="shared" si="26"/>
        <v>11071.2484</v>
      </c>
      <c r="F410">
        <f t="shared" si="27"/>
        <v>484</v>
      </c>
    </row>
    <row r="411" spans="1:6" x14ac:dyDescent="0.3">
      <c r="A411">
        <v>80</v>
      </c>
      <c r="B411">
        <v>70.31</v>
      </c>
      <c r="C411">
        <f t="shared" si="24"/>
        <v>5624.8</v>
      </c>
      <c r="D411">
        <f t="shared" si="25"/>
        <v>6400</v>
      </c>
      <c r="E411">
        <f t="shared" si="26"/>
        <v>4943.4961000000003</v>
      </c>
      <c r="F411">
        <f t="shared" si="27"/>
        <v>6400</v>
      </c>
    </row>
    <row r="412" spans="1:6" x14ac:dyDescent="0.3">
      <c r="A412">
        <v>7</v>
      </c>
      <c r="B412">
        <v>64.06</v>
      </c>
      <c r="C412">
        <f t="shared" si="24"/>
        <v>448.42</v>
      </c>
      <c r="D412">
        <f t="shared" si="25"/>
        <v>49</v>
      </c>
      <c r="E412">
        <f t="shared" si="26"/>
        <v>4103.6836000000003</v>
      </c>
      <c r="F412">
        <f t="shared" si="27"/>
        <v>49</v>
      </c>
    </row>
    <row r="413" spans="1:6" x14ac:dyDescent="0.3">
      <c r="A413">
        <v>64</v>
      </c>
      <c r="B413">
        <v>178.29</v>
      </c>
      <c r="C413">
        <f t="shared" si="24"/>
        <v>11410.56</v>
      </c>
      <c r="D413">
        <f t="shared" si="25"/>
        <v>4096</v>
      </c>
      <c r="E413">
        <f t="shared" si="26"/>
        <v>31787.324099999998</v>
      </c>
      <c r="F413">
        <f t="shared" si="27"/>
        <v>4096</v>
      </c>
    </row>
    <row r="414" spans="1:6" x14ac:dyDescent="0.3">
      <c r="A414">
        <v>64</v>
      </c>
      <c r="B414">
        <v>81.599999999999994</v>
      </c>
      <c r="C414">
        <f t="shared" si="24"/>
        <v>5222.3999999999996</v>
      </c>
      <c r="D414">
        <f t="shared" si="25"/>
        <v>4096</v>
      </c>
      <c r="E414">
        <f t="shared" si="26"/>
        <v>6658.5599999999995</v>
      </c>
      <c r="F414">
        <f t="shared" si="27"/>
        <v>4096</v>
      </c>
    </row>
    <row r="415" spans="1:6" x14ac:dyDescent="0.3">
      <c r="A415">
        <v>38</v>
      </c>
      <c r="B415">
        <v>147.47999999999999</v>
      </c>
      <c r="C415">
        <f t="shared" si="24"/>
        <v>5604.24</v>
      </c>
      <c r="D415">
        <f t="shared" si="25"/>
        <v>1444</v>
      </c>
      <c r="E415">
        <f t="shared" si="26"/>
        <v>21750.350399999996</v>
      </c>
      <c r="F415">
        <f t="shared" si="27"/>
        <v>1444</v>
      </c>
    </row>
    <row r="416" spans="1:6" x14ac:dyDescent="0.3">
      <c r="A416">
        <v>12</v>
      </c>
      <c r="B416">
        <v>86.86</v>
      </c>
      <c r="C416">
        <f t="shared" si="24"/>
        <v>1042.32</v>
      </c>
      <c r="D416">
        <f t="shared" si="25"/>
        <v>144</v>
      </c>
      <c r="E416">
        <f t="shared" si="26"/>
        <v>7544.6596</v>
      </c>
      <c r="F416">
        <f t="shared" si="27"/>
        <v>144</v>
      </c>
    </row>
    <row r="417" spans="1:6" x14ac:dyDescent="0.3">
      <c r="A417">
        <v>33</v>
      </c>
      <c r="B417">
        <v>71.16</v>
      </c>
      <c r="C417">
        <f t="shared" si="24"/>
        <v>2348.2799999999997</v>
      </c>
      <c r="D417">
        <f t="shared" si="25"/>
        <v>1089</v>
      </c>
      <c r="E417">
        <f t="shared" si="26"/>
        <v>5063.7455999999993</v>
      </c>
      <c r="F417">
        <f t="shared" si="27"/>
        <v>1089</v>
      </c>
    </row>
    <row r="418" spans="1:6" x14ac:dyDescent="0.3">
      <c r="A418">
        <v>3</v>
      </c>
      <c r="B418">
        <v>73.2</v>
      </c>
      <c r="C418">
        <f t="shared" si="24"/>
        <v>219.60000000000002</v>
      </c>
      <c r="D418">
        <f t="shared" si="25"/>
        <v>9</v>
      </c>
      <c r="E418">
        <f t="shared" si="26"/>
        <v>5358.2400000000007</v>
      </c>
      <c r="F418">
        <f t="shared" si="27"/>
        <v>9</v>
      </c>
    </row>
    <row r="419" spans="1:6" x14ac:dyDescent="0.3">
      <c r="A419">
        <v>37</v>
      </c>
      <c r="B419">
        <v>203.81</v>
      </c>
      <c r="C419">
        <f t="shared" si="24"/>
        <v>7540.97</v>
      </c>
      <c r="D419">
        <f t="shared" si="25"/>
        <v>1369</v>
      </c>
      <c r="E419">
        <f t="shared" si="26"/>
        <v>41538.516100000001</v>
      </c>
      <c r="F419">
        <f t="shared" si="27"/>
        <v>1369</v>
      </c>
    </row>
    <row r="420" spans="1:6" x14ac:dyDescent="0.3">
      <c r="A420">
        <v>22</v>
      </c>
      <c r="B420">
        <v>82</v>
      </c>
      <c r="C420">
        <f t="shared" si="24"/>
        <v>1804</v>
      </c>
      <c r="D420">
        <f t="shared" si="25"/>
        <v>484</v>
      </c>
      <c r="E420">
        <f t="shared" si="26"/>
        <v>6724</v>
      </c>
      <c r="F420">
        <f t="shared" si="27"/>
        <v>484</v>
      </c>
    </row>
    <row r="421" spans="1:6" x14ac:dyDescent="0.3">
      <c r="A421">
        <v>24</v>
      </c>
      <c r="B421">
        <v>97.55</v>
      </c>
      <c r="C421">
        <f t="shared" si="24"/>
        <v>2341.1999999999998</v>
      </c>
      <c r="D421">
        <f t="shared" si="25"/>
        <v>576</v>
      </c>
      <c r="E421">
        <f t="shared" si="26"/>
        <v>9516.0024999999987</v>
      </c>
      <c r="F421">
        <f t="shared" si="27"/>
        <v>576</v>
      </c>
    </row>
    <row r="422" spans="1:6" x14ac:dyDescent="0.3">
      <c r="A422">
        <v>75</v>
      </c>
      <c r="B422">
        <v>94.29</v>
      </c>
      <c r="C422">
        <f t="shared" si="24"/>
        <v>7071.7500000000009</v>
      </c>
      <c r="D422">
        <f t="shared" si="25"/>
        <v>5625</v>
      </c>
      <c r="E422">
        <f t="shared" si="26"/>
        <v>8890.6041000000005</v>
      </c>
      <c r="F422">
        <f t="shared" si="27"/>
        <v>5625</v>
      </c>
    </row>
    <row r="423" spans="1:6" x14ac:dyDescent="0.3">
      <c r="A423">
        <v>12</v>
      </c>
      <c r="B423">
        <v>75.22</v>
      </c>
      <c r="C423">
        <f t="shared" si="24"/>
        <v>902.64</v>
      </c>
      <c r="D423">
        <f t="shared" si="25"/>
        <v>144</v>
      </c>
      <c r="E423">
        <f t="shared" si="26"/>
        <v>5658.0483999999997</v>
      </c>
      <c r="F423">
        <f t="shared" si="27"/>
        <v>144</v>
      </c>
    </row>
    <row r="424" spans="1:6" x14ac:dyDescent="0.3">
      <c r="A424">
        <v>63</v>
      </c>
      <c r="B424">
        <v>90.07</v>
      </c>
      <c r="C424">
        <f t="shared" si="24"/>
        <v>5674.41</v>
      </c>
      <c r="D424">
        <f t="shared" si="25"/>
        <v>3969</v>
      </c>
      <c r="E424">
        <f t="shared" si="26"/>
        <v>8112.6048999999985</v>
      </c>
      <c r="F424">
        <f t="shared" si="27"/>
        <v>3969</v>
      </c>
    </row>
    <row r="425" spans="1:6" x14ac:dyDescent="0.3">
      <c r="A425">
        <v>52</v>
      </c>
      <c r="B425">
        <v>73.73</v>
      </c>
      <c r="C425">
        <f t="shared" si="24"/>
        <v>3833.96</v>
      </c>
      <c r="D425">
        <f t="shared" si="25"/>
        <v>2704</v>
      </c>
      <c r="E425">
        <f t="shared" si="26"/>
        <v>5436.112900000001</v>
      </c>
      <c r="F425">
        <f t="shared" si="27"/>
        <v>2704</v>
      </c>
    </row>
    <row r="426" spans="1:6" x14ac:dyDescent="0.3">
      <c r="A426">
        <v>68</v>
      </c>
      <c r="B426">
        <v>79.58</v>
      </c>
      <c r="C426">
        <f t="shared" si="24"/>
        <v>5411.44</v>
      </c>
      <c r="D426">
        <f t="shared" si="25"/>
        <v>4624</v>
      </c>
      <c r="E426">
        <f t="shared" si="26"/>
        <v>6332.9763999999996</v>
      </c>
      <c r="F426">
        <f t="shared" si="27"/>
        <v>4624</v>
      </c>
    </row>
    <row r="427" spans="1:6" x14ac:dyDescent="0.3">
      <c r="A427">
        <v>5</v>
      </c>
      <c r="B427">
        <v>77.88</v>
      </c>
      <c r="C427">
        <f t="shared" si="24"/>
        <v>389.4</v>
      </c>
      <c r="D427">
        <f t="shared" si="25"/>
        <v>25</v>
      </c>
      <c r="E427">
        <f t="shared" si="26"/>
        <v>6065.2943999999989</v>
      </c>
      <c r="F427">
        <f t="shared" si="27"/>
        <v>25</v>
      </c>
    </row>
    <row r="428" spans="1:6" x14ac:dyDescent="0.3">
      <c r="A428">
        <v>56</v>
      </c>
      <c r="B428">
        <v>205.26</v>
      </c>
      <c r="C428">
        <f t="shared" si="24"/>
        <v>11494.56</v>
      </c>
      <c r="D428">
        <f t="shared" si="25"/>
        <v>3136</v>
      </c>
      <c r="E428">
        <f t="shared" si="26"/>
        <v>42131.667599999993</v>
      </c>
      <c r="F428">
        <f t="shared" si="27"/>
        <v>3136</v>
      </c>
    </row>
    <row r="429" spans="1:6" x14ac:dyDescent="0.3">
      <c r="A429">
        <v>43</v>
      </c>
      <c r="B429">
        <v>58.63</v>
      </c>
      <c r="C429">
        <f t="shared" si="24"/>
        <v>2521.09</v>
      </c>
      <c r="D429">
        <f t="shared" si="25"/>
        <v>1849</v>
      </c>
      <c r="E429">
        <f t="shared" si="26"/>
        <v>3437.4769000000001</v>
      </c>
      <c r="F429">
        <f t="shared" si="27"/>
        <v>1849</v>
      </c>
    </row>
    <row r="430" spans="1:6" x14ac:dyDescent="0.3">
      <c r="A430">
        <v>40</v>
      </c>
      <c r="B430">
        <v>139.9</v>
      </c>
      <c r="C430">
        <f t="shared" si="24"/>
        <v>5596</v>
      </c>
      <c r="D430">
        <f t="shared" si="25"/>
        <v>1600</v>
      </c>
      <c r="E430">
        <f t="shared" si="26"/>
        <v>19572.010000000002</v>
      </c>
      <c r="F430">
        <f t="shared" si="27"/>
        <v>1600</v>
      </c>
    </row>
    <row r="431" spans="1:6" x14ac:dyDescent="0.3">
      <c r="A431">
        <v>53</v>
      </c>
      <c r="B431">
        <v>211.03</v>
      </c>
      <c r="C431">
        <f t="shared" si="24"/>
        <v>11184.59</v>
      </c>
      <c r="D431">
        <f t="shared" si="25"/>
        <v>2809</v>
      </c>
      <c r="E431">
        <f t="shared" si="26"/>
        <v>44533.660900000003</v>
      </c>
      <c r="F431">
        <f t="shared" si="27"/>
        <v>2809</v>
      </c>
    </row>
    <row r="432" spans="1:6" x14ac:dyDescent="0.3">
      <c r="A432">
        <v>52</v>
      </c>
      <c r="B432">
        <v>72.790000000000006</v>
      </c>
      <c r="C432">
        <f t="shared" si="24"/>
        <v>3785.0800000000004</v>
      </c>
      <c r="D432">
        <f t="shared" si="25"/>
        <v>2704</v>
      </c>
      <c r="E432">
        <f t="shared" si="26"/>
        <v>5298.3841000000011</v>
      </c>
      <c r="F432">
        <f t="shared" si="27"/>
        <v>2704</v>
      </c>
    </row>
    <row r="433" spans="1:6" x14ac:dyDescent="0.3">
      <c r="A433">
        <v>31</v>
      </c>
      <c r="B433">
        <v>91.65</v>
      </c>
      <c r="C433">
        <f t="shared" si="24"/>
        <v>2841.15</v>
      </c>
      <c r="D433">
        <f t="shared" si="25"/>
        <v>961</v>
      </c>
      <c r="E433">
        <f t="shared" si="26"/>
        <v>8399.7225000000017</v>
      </c>
      <c r="F433">
        <f t="shared" si="27"/>
        <v>961</v>
      </c>
    </row>
    <row r="434" spans="1:6" x14ac:dyDescent="0.3">
      <c r="A434">
        <v>63</v>
      </c>
      <c r="B434">
        <v>79.92</v>
      </c>
      <c r="C434">
        <f t="shared" si="24"/>
        <v>5034.96</v>
      </c>
      <c r="D434">
        <f t="shared" si="25"/>
        <v>3969</v>
      </c>
      <c r="E434">
        <f t="shared" si="26"/>
        <v>6387.2064</v>
      </c>
      <c r="F434">
        <f t="shared" si="27"/>
        <v>3969</v>
      </c>
    </row>
    <row r="435" spans="1:6" x14ac:dyDescent="0.3">
      <c r="A435">
        <v>69</v>
      </c>
      <c r="B435">
        <v>225.47</v>
      </c>
      <c r="C435">
        <f t="shared" si="24"/>
        <v>15557.43</v>
      </c>
      <c r="D435">
        <f t="shared" si="25"/>
        <v>4761</v>
      </c>
      <c r="E435">
        <f t="shared" si="26"/>
        <v>50836.7209</v>
      </c>
      <c r="F435">
        <f t="shared" si="27"/>
        <v>4761</v>
      </c>
    </row>
    <row r="436" spans="1:6" x14ac:dyDescent="0.3">
      <c r="A436">
        <v>64</v>
      </c>
      <c r="B436">
        <v>94.48</v>
      </c>
      <c r="C436">
        <f t="shared" si="24"/>
        <v>6046.72</v>
      </c>
      <c r="D436">
        <f t="shared" si="25"/>
        <v>4096</v>
      </c>
      <c r="E436">
        <f t="shared" si="26"/>
        <v>8926.4704000000002</v>
      </c>
      <c r="F436">
        <f t="shared" si="27"/>
        <v>4096</v>
      </c>
    </row>
    <row r="437" spans="1:6" x14ac:dyDescent="0.3">
      <c r="A437">
        <v>64</v>
      </c>
      <c r="B437">
        <v>82.34</v>
      </c>
      <c r="C437">
        <f t="shared" si="24"/>
        <v>5269.76</v>
      </c>
      <c r="D437">
        <f t="shared" si="25"/>
        <v>4096</v>
      </c>
      <c r="E437">
        <f t="shared" si="26"/>
        <v>6779.8756000000003</v>
      </c>
      <c r="F437">
        <f t="shared" si="27"/>
        <v>4096</v>
      </c>
    </row>
    <row r="438" spans="1:6" x14ac:dyDescent="0.3">
      <c r="A438">
        <v>62</v>
      </c>
      <c r="B438">
        <v>180.63</v>
      </c>
      <c r="C438">
        <f t="shared" si="24"/>
        <v>11199.06</v>
      </c>
      <c r="D438">
        <f t="shared" si="25"/>
        <v>3844</v>
      </c>
      <c r="E438">
        <f t="shared" si="26"/>
        <v>32627.196899999999</v>
      </c>
      <c r="F438">
        <f t="shared" si="27"/>
        <v>3844</v>
      </c>
    </row>
    <row r="439" spans="1:6" x14ac:dyDescent="0.3">
      <c r="A439">
        <v>2</v>
      </c>
      <c r="B439">
        <v>92.48</v>
      </c>
      <c r="C439">
        <f t="shared" si="24"/>
        <v>184.96</v>
      </c>
      <c r="D439">
        <f t="shared" si="25"/>
        <v>4</v>
      </c>
      <c r="E439">
        <f t="shared" si="26"/>
        <v>8552.5504000000001</v>
      </c>
      <c r="F439">
        <f t="shared" si="27"/>
        <v>4</v>
      </c>
    </row>
    <row r="440" spans="1:6" x14ac:dyDescent="0.3">
      <c r="A440">
        <v>53</v>
      </c>
      <c r="B440">
        <v>116.66</v>
      </c>
      <c r="C440">
        <f t="shared" si="24"/>
        <v>6182.98</v>
      </c>
      <c r="D440">
        <f t="shared" si="25"/>
        <v>2809</v>
      </c>
      <c r="E440">
        <f t="shared" si="26"/>
        <v>13609.5556</v>
      </c>
      <c r="F440">
        <f t="shared" si="27"/>
        <v>2809</v>
      </c>
    </row>
    <row r="441" spans="1:6" x14ac:dyDescent="0.3">
      <c r="A441">
        <v>65</v>
      </c>
      <c r="B441">
        <v>112.09</v>
      </c>
      <c r="C441">
        <f t="shared" si="24"/>
        <v>7285.85</v>
      </c>
      <c r="D441">
        <f t="shared" si="25"/>
        <v>4225</v>
      </c>
      <c r="E441">
        <f t="shared" si="26"/>
        <v>12564.168100000001</v>
      </c>
      <c r="F441">
        <f t="shared" si="27"/>
        <v>4225</v>
      </c>
    </row>
    <row r="442" spans="1:6" x14ac:dyDescent="0.3">
      <c r="A442">
        <v>22</v>
      </c>
      <c r="B442">
        <v>130.34</v>
      </c>
      <c r="C442">
        <f t="shared" si="24"/>
        <v>2867.48</v>
      </c>
      <c r="D442">
        <f t="shared" si="25"/>
        <v>484</v>
      </c>
      <c r="E442">
        <f t="shared" si="26"/>
        <v>16988.515600000002</v>
      </c>
      <c r="F442">
        <f t="shared" si="27"/>
        <v>484</v>
      </c>
    </row>
    <row r="443" spans="1:6" x14ac:dyDescent="0.3">
      <c r="A443">
        <v>26</v>
      </c>
      <c r="B443">
        <v>82.59</v>
      </c>
      <c r="C443">
        <f t="shared" si="24"/>
        <v>2147.34</v>
      </c>
      <c r="D443">
        <f t="shared" si="25"/>
        <v>676</v>
      </c>
      <c r="E443">
        <f t="shared" si="26"/>
        <v>6821.1081000000004</v>
      </c>
      <c r="F443">
        <f t="shared" si="27"/>
        <v>676</v>
      </c>
    </row>
    <row r="444" spans="1:6" x14ac:dyDescent="0.3">
      <c r="A444">
        <v>53</v>
      </c>
      <c r="B444">
        <v>123.87</v>
      </c>
      <c r="C444">
        <f t="shared" si="24"/>
        <v>6565.1100000000006</v>
      </c>
      <c r="D444">
        <f t="shared" si="25"/>
        <v>2809</v>
      </c>
      <c r="E444">
        <f t="shared" si="26"/>
        <v>15343.776900000001</v>
      </c>
      <c r="F444">
        <f t="shared" si="27"/>
        <v>2809</v>
      </c>
    </row>
    <row r="445" spans="1:6" x14ac:dyDescent="0.3">
      <c r="A445">
        <v>20</v>
      </c>
      <c r="B445">
        <v>98.7</v>
      </c>
      <c r="C445">
        <f t="shared" si="24"/>
        <v>1974</v>
      </c>
      <c r="D445">
        <f t="shared" si="25"/>
        <v>400</v>
      </c>
      <c r="E445">
        <f t="shared" si="26"/>
        <v>9741.69</v>
      </c>
      <c r="F445">
        <f t="shared" si="27"/>
        <v>400</v>
      </c>
    </row>
    <row r="446" spans="1:6" x14ac:dyDescent="0.3">
      <c r="A446">
        <v>63</v>
      </c>
      <c r="B446">
        <v>227.1</v>
      </c>
      <c r="C446">
        <f t="shared" si="24"/>
        <v>14307.3</v>
      </c>
      <c r="D446">
        <f t="shared" si="25"/>
        <v>3969</v>
      </c>
      <c r="E446">
        <f t="shared" si="26"/>
        <v>51574.409999999996</v>
      </c>
      <c r="F446">
        <f t="shared" si="27"/>
        <v>3969</v>
      </c>
    </row>
    <row r="447" spans="1:6" x14ac:dyDescent="0.3">
      <c r="A447">
        <v>13</v>
      </c>
      <c r="B447">
        <v>55.39</v>
      </c>
      <c r="C447">
        <f t="shared" si="24"/>
        <v>720.07</v>
      </c>
      <c r="D447">
        <f t="shared" si="25"/>
        <v>169</v>
      </c>
      <c r="E447">
        <f t="shared" si="26"/>
        <v>3068.0520999999999</v>
      </c>
      <c r="F447">
        <f t="shared" si="27"/>
        <v>169</v>
      </c>
    </row>
    <row r="448" spans="1:6" x14ac:dyDescent="0.3">
      <c r="A448">
        <v>21</v>
      </c>
      <c r="B448">
        <v>66.069999999999993</v>
      </c>
      <c r="C448">
        <f t="shared" si="24"/>
        <v>1387.4699999999998</v>
      </c>
      <c r="D448">
        <f t="shared" si="25"/>
        <v>441</v>
      </c>
      <c r="E448">
        <f t="shared" si="26"/>
        <v>4365.2448999999988</v>
      </c>
      <c r="F448">
        <f t="shared" si="27"/>
        <v>441</v>
      </c>
    </row>
    <row r="449" spans="1:6" x14ac:dyDescent="0.3">
      <c r="A449">
        <v>65</v>
      </c>
      <c r="B449">
        <v>104.21</v>
      </c>
      <c r="C449">
        <f t="shared" si="24"/>
        <v>6773.65</v>
      </c>
      <c r="D449">
        <f t="shared" si="25"/>
        <v>4225</v>
      </c>
      <c r="E449">
        <f t="shared" si="26"/>
        <v>10859.724099999999</v>
      </c>
      <c r="F449">
        <f t="shared" si="27"/>
        <v>4225</v>
      </c>
    </row>
    <row r="450" spans="1:6" x14ac:dyDescent="0.3">
      <c r="A450">
        <v>65</v>
      </c>
      <c r="B450">
        <v>145.15</v>
      </c>
      <c r="C450">
        <f t="shared" si="24"/>
        <v>9434.75</v>
      </c>
      <c r="D450">
        <f t="shared" si="25"/>
        <v>4225</v>
      </c>
      <c r="E450">
        <f t="shared" si="26"/>
        <v>21068.522500000003</v>
      </c>
      <c r="F450">
        <f t="shared" si="27"/>
        <v>4225</v>
      </c>
    </row>
    <row r="451" spans="1:6" x14ac:dyDescent="0.3">
      <c r="A451">
        <v>42</v>
      </c>
      <c r="B451">
        <v>68.19</v>
      </c>
      <c r="C451">
        <f t="shared" ref="C451:C514" si="28">A451*B451</f>
        <v>2863.98</v>
      </c>
      <c r="D451">
        <f t="shared" ref="D451:D514" si="29">A451*A451</f>
        <v>1764</v>
      </c>
      <c r="E451">
        <f t="shared" ref="E451:E514" si="30">B451*B451</f>
        <v>4649.8760999999995</v>
      </c>
      <c r="F451">
        <f t="shared" ref="F451:F514" si="31">A451^2</f>
        <v>1764</v>
      </c>
    </row>
    <row r="452" spans="1:6" x14ac:dyDescent="0.3">
      <c r="A452">
        <v>72</v>
      </c>
      <c r="B452">
        <v>97.53</v>
      </c>
      <c r="C452">
        <f t="shared" si="28"/>
        <v>7022.16</v>
      </c>
      <c r="D452">
        <f t="shared" si="29"/>
        <v>5184</v>
      </c>
      <c r="E452">
        <f t="shared" si="30"/>
        <v>9512.1008999999995</v>
      </c>
      <c r="F452">
        <f t="shared" si="31"/>
        <v>5184</v>
      </c>
    </row>
    <row r="453" spans="1:6" x14ac:dyDescent="0.3">
      <c r="A453">
        <v>13</v>
      </c>
      <c r="B453">
        <v>122.31</v>
      </c>
      <c r="C453">
        <f t="shared" si="28"/>
        <v>1590.03</v>
      </c>
      <c r="D453">
        <f t="shared" si="29"/>
        <v>169</v>
      </c>
      <c r="E453">
        <f t="shared" si="30"/>
        <v>14959.7361</v>
      </c>
      <c r="F453">
        <f t="shared" si="31"/>
        <v>169</v>
      </c>
    </row>
    <row r="454" spans="1:6" x14ac:dyDescent="0.3">
      <c r="A454">
        <v>29</v>
      </c>
      <c r="B454">
        <v>83.51</v>
      </c>
      <c r="C454">
        <f t="shared" si="28"/>
        <v>2421.79</v>
      </c>
      <c r="D454">
        <f t="shared" si="29"/>
        <v>841</v>
      </c>
      <c r="E454">
        <f t="shared" si="30"/>
        <v>6973.9201000000012</v>
      </c>
      <c r="F454">
        <f t="shared" si="31"/>
        <v>841</v>
      </c>
    </row>
    <row r="455" spans="1:6" x14ac:dyDescent="0.3">
      <c r="A455">
        <v>59</v>
      </c>
      <c r="B455">
        <v>86.46</v>
      </c>
      <c r="C455">
        <f t="shared" si="28"/>
        <v>5101.1399999999994</v>
      </c>
      <c r="D455">
        <f t="shared" si="29"/>
        <v>3481</v>
      </c>
      <c r="E455">
        <f t="shared" si="30"/>
        <v>7475.3315999999986</v>
      </c>
      <c r="F455">
        <f t="shared" si="31"/>
        <v>3481</v>
      </c>
    </row>
    <row r="456" spans="1:6" x14ac:dyDescent="0.3">
      <c r="A456">
        <v>42</v>
      </c>
      <c r="B456">
        <v>112.06</v>
      </c>
      <c r="C456">
        <f t="shared" si="28"/>
        <v>4706.5200000000004</v>
      </c>
      <c r="D456">
        <f t="shared" si="29"/>
        <v>1764</v>
      </c>
      <c r="E456">
        <f t="shared" si="30"/>
        <v>12557.443600000001</v>
      </c>
      <c r="F456">
        <f t="shared" si="31"/>
        <v>1764</v>
      </c>
    </row>
    <row r="457" spans="1:6" x14ac:dyDescent="0.3">
      <c r="A457">
        <v>13</v>
      </c>
      <c r="B457">
        <v>92.14</v>
      </c>
      <c r="C457">
        <f t="shared" si="28"/>
        <v>1197.82</v>
      </c>
      <c r="D457">
        <f t="shared" si="29"/>
        <v>169</v>
      </c>
      <c r="E457">
        <f t="shared" si="30"/>
        <v>8489.7795999999998</v>
      </c>
      <c r="F457">
        <f t="shared" si="31"/>
        <v>169</v>
      </c>
    </row>
    <row r="458" spans="1:6" x14ac:dyDescent="0.3">
      <c r="A458">
        <v>75</v>
      </c>
      <c r="B458">
        <v>201.76</v>
      </c>
      <c r="C458">
        <f t="shared" si="28"/>
        <v>15132</v>
      </c>
      <c r="D458">
        <f t="shared" si="29"/>
        <v>5625</v>
      </c>
      <c r="E458">
        <f t="shared" si="30"/>
        <v>40707.097599999994</v>
      </c>
      <c r="F458">
        <f t="shared" si="31"/>
        <v>5625</v>
      </c>
    </row>
    <row r="459" spans="1:6" x14ac:dyDescent="0.3">
      <c r="A459">
        <v>33</v>
      </c>
      <c r="B459">
        <v>74.44</v>
      </c>
      <c r="C459">
        <f t="shared" si="28"/>
        <v>2456.52</v>
      </c>
      <c r="D459">
        <f t="shared" si="29"/>
        <v>1089</v>
      </c>
      <c r="E459">
        <f t="shared" si="30"/>
        <v>5541.3135999999995</v>
      </c>
      <c r="F459">
        <f t="shared" si="31"/>
        <v>1089</v>
      </c>
    </row>
    <row r="460" spans="1:6" x14ac:dyDescent="0.3">
      <c r="A460">
        <v>43</v>
      </c>
      <c r="B460">
        <v>95.93</v>
      </c>
      <c r="C460">
        <f t="shared" si="28"/>
        <v>4124.9900000000007</v>
      </c>
      <c r="D460">
        <f t="shared" si="29"/>
        <v>1849</v>
      </c>
      <c r="E460">
        <f t="shared" si="30"/>
        <v>9202.5649000000012</v>
      </c>
      <c r="F460">
        <f t="shared" si="31"/>
        <v>1849</v>
      </c>
    </row>
    <row r="461" spans="1:6" x14ac:dyDescent="0.3">
      <c r="A461">
        <v>11</v>
      </c>
      <c r="B461">
        <v>87.51</v>
      </c>
      <c r="C461">
        <f t="shared" si="28"/>
        <v>962.61</v>
      </c>
      <c r="D461">
        <f t="shared" si="29"/>
        <v>121</v>
      </c>
      <c r="E461">
        <f t="shared" si="30"/>
        <v>7658.0001000000011</v>
      </c>
      <c r="F461">
        <f t="shared" si="31"/>
        <v>121</v>
      </c>
    </row>
    <row r="462" spans="1:6" x14ac:dyDescent="0.3">
      <c r="A462">
        <v>7</v>
      </c>
      <c r="B462">
        <v>72.349999999999994</v>
      </c>
      <c r="C462">
        <f t="shared" si="28"/>
        <v>506.44999999999993</v>
      </c>
      <c r="D462">
        <f t="shared" si="29"/>
        <v>49</v>
      </c>
      <c r="E462">
        <f t="shared" si="30"/>
        <v>5234.5224999999991</v>
      </c>
      <c r="F462">
        <f t="shared" si="31"/>
        <v>49</v>
      </c>
    </row>
    <row r="463" spans="1:6" x14ac:dyDescent="0.3">
      <c r="A463">
        <v>16</v>
      </c>
      <c r="B463">
        <v>113.47</v>
      </c>
      <c r="C463">
        <f t="shared" si="28"/>
        <v>1815.52</v>
      </c>
      <c r="D463">
        <f t="shared" si="29"/>
        <v>256</v>
      </c>
      <c r="E463">
        <f t="shared" si="30"/>
        <v>12875.4409</v>
      </c>
      <c r="F463">
        <f t="shared" si="31"/>
        <v>256</v>
      </c>
    </row>
    <row r="464" spans="1:6" x14ac:dyDescent="0.3">
      <c r="A464">
        <v>44</v>
      </c>
      <c r="B464">
        <v>103.78</v>
      </c>
      <c r="C464">
        <f t="shared" si="28"/>
        <v>4566.32</v>
      </c>
      <c r="D464">
        <f t="shared" si="29"/>
        <v>1936</v>
      </c>
      <c r="E464">
        <f t="shared" si="30"/>
        <v>10770.288399999999</v>
      </c>
      <c r="F464">
        <f t="shared" si="31"/>
        <v>1936</v>
      </c>
    </row>
    <row r="465" spans="1:6" x14ac:dyDescent="0.3">
      <c r="A465">
        <v>78</v>
      </c>
      <c r="B465">
        <v>115.43</v>
      </c>
      <c r="C465">
        <f t="shared" si="28"/>
        <v>9003.5400000000009</v>
      </c>
      <c r="D465">
        <f t="shared" si="29"/>
        <v>6084</v>
      </c>
      <c r="E465">
        <f t="shared" si="30"/>
        <v>13324.084900000002</v>
      </c>
      <c r="F465">
        <f t="shared" si="31"/>
        <v>6084</v>
      </c>
    </row>
    <row r="466" spans="1:6" x14ac:dyDescent="0.3">
      <c r="A466">
        <v>25</v>
      </c>
      <c r="B466">
        <v>95.59</v>
      </c>
      <c r="C466">
        <f t="shared" si="28"/>
        <v>2389.75</v>
      </c>
      <c r="D466">
        <f t="shared" si="29"/>
        <v>625</v>
      </c>
      <c r="E466">
        <f t="shared" si="30"/>
        <v>9137.4481000000014</v>
      </c>
      <c r="F466">
        <f t="shared" si="31"/>
        <v>625</v>
      </c>
    </row>
    <row r="467" spans="1:6" x14ac:dyDescent="0.3">
      <c r="A467">
        <v>69</v>
      </c>
      <c r="B467">
        <v>101.52</v>
      </c>
      <c r="C467">
        <f t="shared" si="28"/>
        <v>7004.88</v>
      </c>
      <c r="D467">
        <f t="shared" si="29"/>
        <v>4761</v>
      </c>
      <c r="E467">
        <f t="shared" si="30"/>
        <v>10306.310399999998</v>
      </c>
      <c r="F467">
        <f t="shared" si="31"/>
        <v>4761</v>
      </c>
    </row>
    <row r="468" spans="1:6" x14ac:dyDescent="0.3">
      <c r="A468">
        <v>61</v>
      </c>
      <c r="B468">
        <v>170.05</v>
      </c>
      <c r="C468">
        <f t="shared" si="28"/>
        <v>10373.050000000001</v>
      </c>
      <c r="D468">
        <f t="shared" si="29"/>
        <v>3721</v>
      </c>
      <c r="E468">
        <f t="shared" si="30"/>
        <v>28917.002500000002</v>
      </c>
      <c r="F468">
        <f t="shared" si="31"/>
        <v>3721</v>
      </c>
    </row>
    <row r="469" spans="1:6" x14ac:dyDescent="0.3">
      <c r="A469">
        <v>43</v>
      </c>
      <c r="B469">
        <v>217.3</v>
      </c>
      <c r="C469">
        <f t="shared" si="28"/>
        <v>9343.9</v>
      </c>
      <c r="D469">
        <f t="shared" si="29"/>
        <v>1849</v>
      </c>
      <c r="E469">
        <f t="shared" si="30"/>
        <v>47219.290000000008</v>
      </c>
      <c r="F469">
        <f t="shared" si="31"/>
        <v>1849</v>
      </c>
    </row>
    <row r="470" spans="1:6" x14ac:dyDescent="0.3">
      <c r="A470">
        <v>38</v>
      </c>
      <c r="B470">
        <v>196.01</v>
      </c>
      <c r="C470">
        <f t="shared" si="28"/>
        <v>7448.3799999999992</v>
      </c>
      <c r="D470">
        <f t="shared" si="29"/>
        <v>1444</v>
      </c>
      <c r="E470">
        <f t="shared" si="30"/>
        <v>38419.920099999996</v>
      </c>
      <c r="F470">
        <f t="shared" si="31"/>
        <v>1444</v>
      </c>
    </row>
    <row r="471" spans="1:6" x14ac:dyDescent="0.3">
      <c r="A471">
        <v>68</v>
      </c>
      <c r="B471">
        <v>92.21</v>
      </c>
      <c r="C471">
        <f t="shared" si="28"/>
        <v>6270.28</v>
      </c>
      <c r="D471">
        <f t="shared" si="29"/>
        <v>4624</v>
      </c>
      <c r="E471">
        <f t="shared" si="30"/>
        <v>8502.6840999999986</v>
      </c>
      <c r="F471">
        <f t="shared" si="31"/>
        <v>4624</v>
      </c>
    </row>
    <row r="472" spans="1:6" x14ac:dyDescent="0.3">
      <c r="A472">
        <v>26</v>
      </c>
      <c r="B472">
        <v>100.09</v>
      </c>
      <c r="C472">
        <f t="shared" si="28"/>
        <v>2602.34</v>
      </c>
      <c r="D472">
        <f t="shared" si="29"/>
        <v>676</v>
      </c>
      <c r="E472">
        <f t="shared" si="30"/>
        <v>10018.008100000001</v>
      </c>
      <c r="F472">
        <f t="shared" si="31"/>
        <v>676</v>
      </c>
    </row>
    <row r="473" spans="1:6" x14ac:dyDescent="0.3">
      <c r="A473">
        <v>18</v>
      </c>
      <c r="B473">
        <v>93.88</v>
      </c>
      <c r="C473">
        <f t="shared" si="28"/>
        <v>1689.84</v>
      </c>
      <c r="D473">
        <f t="shared" si="29"/>
        <v>324</v>
      </c>
      <c r="E473">
        <f t="shared" si="30"/>
        <v>8813.4543999999987</v>
      </c>
      <c r="F473">
        <f t="shared" si="31"/>
        <v>324</v>
      </c>
    </row>
    <row r="474" spans="1:6" x14ac:dyDescent="0.3">
      <c r="A474">
        <v>43</v>
      </c>
      <c r="B474">
        <v>75.05</v>
      </c>
      <c r="C474">
        <f t="shared" si="28"/>
        <v>3227.15</v>
      </c>
      <c r="D474">
        <f t="shared" si="29"/>
        <v>1849</v>
      </c>
      <c r="E474">
        <f t="shared" si="30"/>
        <v>5632.5024999999996</v>
      </c>
      <c r="F474">
        <f t="shared" si="31"/>
        <v>1849</v>
      </c>
    </row>
    <row r="475" spans="1:6" x14ac:dyDescent="0.3">
      <c r="A475">
        <v>43</v>
      </c>
      <c r="B475">
        <v>70.08</v>
      </c>
      <c r="C475">
        <f t="shared" si="28"/>
        <v>3013.44</v>
      </c>
      <c r="D475">
        <f t="shared" si="29"/>
        <v>1849</v>
      </c>
      <c r="E475">
        <f t="shared" si="30"/>
        <v>4911.2064</v>
      </c>
      <c r="F475">
        <f t="shared" si="31"/>
        <v>1849</v>
      </c>
    </row>
    <row r="476" spans="1:6" x14ac:dyDescent="0.3">
      <c r="A476">
        <v>32</v>
      </c>
      <c r="B476">
        <v>74.2</v>
      </c>
      <c r="C476">
        <f t="shared" si="28"/>
        <v>2374.4</v>
      </c>
      <c r="D476">
        <f t="shared" si="29"/>
        <v>1024</v>
      </c>
      <c r="E476">
        <f t="shared" si="30"/>
        <v>5505.64</v>
      </c>
      <c r="F476">
        <f t="shared" si="31"/>
        <v>1024</v>
      </c>
    </row>
    <row r="477" spans="1:6" x14ac:dyDescent="0.3">
      <c r="A477">
        <v>81</v>
      </c>
      <c r="B477">
        <v>69.010000000000005</v>
      </c>
      <c r="C477">
        <f t="shared" si="28"/>
        <v>5589.81</v>
      </c>
      <c r="D477">
        <f t="shared" si="29"/>
        <v>6561</v>
      </c>
      <c r="E477">
        <f t="shared" si="30"/>
        <v>4762.3801000000003</v>
      </c>
      <c r="F477">
        <f t="shared" si="31"/>
        <v>6561</v>
      </c>
    </row>
    <row r="478" spans="1:6" x14ac:dyDescent="0.3">
      <c r="A478">
        <v>25</v>
      </c>
      <c r="B478">
        <v>96.17</v>
      </c>
      <c r="C478">
        <f t="shared" si="28"/>
        <v>2404.25</v>
      </c>
      <c r="D478">
        <f t="shared" si="29"/>
        <v>625</v>
      </c>
      <c r="E478">
        <f t="shared" si="30"/>
        <v>9248.6689000000006</v>
      </c>
      <c r="F478">
        <f t="shared" si="31"/>
        <v>625</v>
      </c>
    </row>
    <row r="479" spans="1:6" x14ac:dyDescent="0.3">
      <c r="A479">
        <v>61</v>
      </c>
      <c r="B479">
        <v>184.15</v>
      </c>
      <c r="C479">
        <f t="shared" si="28"/>
        <v>11233.15</v>
      </c>
      <c r="D479">
        <f t="shared" si="29"/>
        <v>3721</v>
      </c>
      <c r="E479">
        <f t="shared" si="30"/>
        <v>33911.222500000003</v>
      </c>
      <c r="F479">
        <f t="shared" si="31"/>
        <v>3721</v>
      </c>
    </row>
    <row r="480" spans="1:6" x14ac:dyDescent="0.3">
      <c r="A480">
        <v>66</v>
      </c>
      <c r="B480">
        <v>87.24</v>
      </c>
      <c r="C480">
        <f t="shared" si="28"/>
        <v>5757.8399999999992</v>
      </c>
      <c r="D480">
        <f t="shared" si="29"/>
        <v>4356</v>
      </c>
      <c r="E480">
        <f t="shared" si="30"/>
        <v>7610.8175999999994</v>
      </c>
      <c r="F480">
        <f t="shared" si="31"/>
        <v>4356</v>
      </c>
    </row>
    <row r="481" spans="1:6" x14ac:dyDescent="0.3">
      <c r="A481">
        <v>54</v>
      </c>
      <c r="B481">
        <v>198.69</v>
      </c>
      <c r="C481">
        <f t="shared" si="28"/>
        <v>10729.26</v>
      </c>
      <c r="D481">
        <f t="shared" si="29"/>
        <v>2916</v>
      </c>
      <c r="E481">
        <f t="shared" si="30"/>
        <v>39477.716099999998</v>
      </c>
      <c r="F481">
        <f t="shared" si="31"/>
        <v>2916</v>
      </c>
    </row>
    <row r="482" spans="1:6" x14ac:dyDescent="0.3">
      <c r="A482">
        <v>11</v>
      </c>
      <c r="B482">
        <v>82.58</v>
      </c>
      <c r="C482">
        <f t="shared" si="28"/>
        <v>908.38</v>
      </c>
      <c r="D482">
        <f t="shared" si="29"/>
        <v>121</v>
      </c>
      <c r="E482">
        <f t="shared" si="30"/>
        <v>6819.4564</v>
      </c>
      <c r="F482">
        <f t="shared" si="31"/>
        <v>121</v>
      </c>
    </row>
    <row r="483" spans="1:6" x14ac:dyDescent="0.3">
      <c r="A483">
        <v>53</v>
      </c>
      <c r="B483">
        <v>96.88</v>
      </c>
      <c r="C483">
        <f t="shared" si="28"/>
        <v>5134.6399999999994</v>
      </c>
      <c r="D483">
        <f t="shared" si="29"/>
        <v>2809</v>
      </c>
      <c r="E483">
        <f t="shared" si="30"/>
        <v>9385.7343999999994</v>
      </c>
      <c r="F483">
        <f t="shared" si="31"/>
        <v>2809</v>
      </c>
    </row>
    <row r="484" spans="1:6" x14ac:dyDescent="0.3">
      <c r="A484">
        <v>78</v>
      </c>
      <c r="B484">
        <v>73.319999999999993</v>
      </c>
      <c r="C484">
        <f t="shared" si="28"/>
        <v>5718.9599999999991</v>
      </c>
      <c r="D484">
        <f t="shared" si="29"/>
        <v>6084</v>
      </c>
      <c r="E484">
        <f t="shared" si="30"/>
        <v>5375.8223999999991</v>
      </c>
      <c r="F484">
        <f t="shared" si="31"/>
        <v>6084</v>
      </c>
    </row>
    <row r="485" spans="1:6" x14ac:dyDescent="0.3">
      <c r="A485">
        <v>9</v>
      </c>
      <c r="B485">
        <v>94.59</v>
      </c>
      <c r="C485">
        <f t="shared" si="28"/>
        <v>851.31000000000006</v>
      </c>
      <c r="D485">
        <f t="shared" si="29"/>
        <v>81</v>
      </c>
      <c r="E485">
        <f t="shared" si="30"/>
        <v>8947.2681000000011</v>
      </c>
      <c r="F485">
        <f t="shared" si="31"/>
        <v>81</v>
      </c>
    </row>
    <row r="486" spans="1:6" x14ac:dyDescent="0.3">
      <c r="A486">
        <v>48</v>
      </c>
      <c r="B486">
        <v>132.08000000000001</v>
      </c>
      <c r="C486">
        <f t="shared" si="28"/>
        <v>6339.84</v>
      </c>
      <c r="D486">
        <f t="shared" si="29"/>
        <v>2304</v>
      </c>
      <c r="E486">
        <f t="shared" si="30"/>
        <v>17445.126400000005</v>
      </c>
      <c r="F486">
        <f t="shared" si="31"/>
        <v>2304</v>
      </c>
    </row>
    <row r="487" spans="1:6" x14ac:dyDescent="0.3">
      <c r="A487">
        <v>31</v>
      </c>
      <c r="B487">
        <v>98.99</v>
      </c>
      <c r="C487">
        <f t="shared" si="28"/>
        <v>3068.69</v>
      </c>
      <c r="D487">
        <f t="shared" si="29"/>
        <v>961</v>
      </c>
      <c r="E487">
        <f t="shared" si="30"/>
        <v>9799.0200999999997</v>
      </c>
      <c r="F487">
        <f t="shared" si="31"/>
        <v>961</v>
      </c>
    </row>
    <row r="488" spans="1:6" x14ac:dyDescent="0.3">
      <c r="A488">
        <v>20</v>
      </c>
      <c r="B488">
        <v>104.48</v>
      </c>
      <c r="C488">
        <f t="shared" si="28"/>
        <v>2089.6</v>
      </c>
      <c r="D488">
        <f t="shared" si="29"/>
        <v>400</v>
      </c>
      <c r="E488">
        <f t="shared" si="30"/>
        <v>10916.070400000001</v>
      </c>
      <c r="F488">
        <f t="shared" si="31"/>
        <v>400</v>
      </c>
    </row>
    <row r="489" spans="1:6" x14ac:dyDescent="0.3">
      <c r="A489">
        <v>21</v>
      </c>
      <c r="B489">
        <v>98.01</v>
      </c>
      <c r="C489">
        <f t="shared" si="28"/>
        <v>2058.21</v>
      </c>
      <c r="D489">
        <f t="shared" si="29"/>
        <v>441</v>
      </c>
      <c r="E489">
        <f t="shared" si="30"/>
        <v>9605.9601000000002</v>
      </c>
      <c r="F489">
        <f t="shared" si="31"/>
        <v>441</v>
      </c>
    </row>
    <row r="490" spans="1:6" x14ac:dyDescent="0.3">
      <c r="A490">
        <v>42</v>
      </c>
      <c r="B490">
        <v>79.14</v>
      </c>
      <c r="C490">
        <f t="shared" si="28"/>
        <v>3323.88</v>
      </c>
      <c r="D490">
        <f t="shared" si="29"/>
        <v>1764</v>
      </c>
      <c r="E490">
        <f t="shared" si="30"/>
        <v>6263.1396000000004</v>
      </c>
      <c r="F490">
        <f t="shared" si="31"/>
        <v>1764</v>
      </c>
    </row>
    <row r="491" spans="1:6" x14ac:dyDescent="0.3">
      <c r="A491">
        <v>35</v>
      </c>
      <c r="B491">
        <v>89.32</v>
      </c>
      <c r="C491">
        <f t="shared" si="28"/>
        <v>3126.2</v>
      </c>
      <c r="D491">
        <f t="shared" si="29"/>
        <v>1225</v>
      </c>
      <c r="E491">
        <f t="shared" si="30"/>
        <v>7978.0623999999989</v>
      </c>
      <c r="F491">
        <f t="shared" si="31"/>
        <v>1225</v>
      </c>
    </row>
    <row r="492" spans="1:6" x14ac:dyDescent="0.3">
      <c r="A492">
        <v>53</v>
      </c>
      <c r="B492">
        <v>65.239999999999995</v>
      </c>
      <c r="C492">
        <f t="shared" si="28"/>
        <v>3457.72</v>
      </c>
      <c r="D492">
        <f t="shared" si="29"/>
        <v>2809</v>
      </c>
      <c r="E492">
        <f t="shared" si="30"/>
        <v>4256.257599999999</v>
      </c>
      <c r="F492">
        <f t="shared" si="31"/>
        <v>2809</v>
      </c>
    </row>
    <row r="493" spans="1:6" x14ac:dyDescent="0.3">
      <c r="A493">
        <v>60</v>
      </c>
      <c r="B493">
        <v>80.98</v>
      </c>
      <c r="C493">
        <f t="shared" si="28"/>
        <v>4858.8</v>
      </c>
      <c r="D493">
        <f t="shared" si="29"/>
        <v>3600</v>
      </c>
      <c r="E493">
        <f t="shared" si="30"/>
        <v>6557.760400000001</v>
      </c>
      <c r="F493">
        <f t="shared" si="31"/>
        <v>3600</v>
      </c>
    </row>
    <row r="494" spans="1:6" x14ac:dyDescent="0.3">
      <c r="A494">
        <v>74</v>
      </c>
      <c r="B494">
        <v>186.17</v>
      </c>
      <c r="C494">
        <f t="shared" si="28"/>
        <v>13776.58</v>
      </c>
      <c r="D494">
        <f t="shared" si="29"/>
        <v>5476</v>
      </c>
      <c r="E494">
        <f t="shared" si="30"/>
        <v>34659.268899999995</v>
      </c>
      <c r="F494">
        <f t="shared" si="31"/>
        <v>5476</v>
      </c>
    </row>
    <row r="495" spans="1:6" x14ac:dyDescent="0.3">
      <c r="A495">
        <v>23</v>
      </c>
      <c r="B495">
        <v>69.239999999999995</v>
      </c>
      <c r="C495">
        <f t="shared" si="28"/>
        <v>1592.52</v>
      </c>
      <c r="D495">
        <f t="shared" si="29"/>
        <v>529</v>
      </c>
      <c r="E495">
        <f t="shared" si="30"/>
        <v>4794.1775999999991</v>
      </c>
      <c r="F495">
        <f t="shared" si="31"/>
        <v>529</v>
      </c>
    </row>
    <row r="496" spans="1:6" x14ac:dyDescent="0.3">
      <c r="A496">
        <v>55</v>
      </c>
      <c r="B496">
        <v>111.19</v>
      </c>
      <c r="C496">
        <f t="shared" si="28"/>
        <v>6115.45</v>
      </c>
      <c r="D496">
        <f t="shared" si="29"/>
        <v>3025</v>
      </c>
      <c r="E496">
        <f t="shared" si="30"/>
        <v>12363.2161</v>
      </c>
      <c r="F496">
        <f t="shared" si="31"/>
        <v>3025</v>
      </c>
    </row>
    <row r="497" spans="1:6" x14ac:dyDescent="0.3">
      <c r="A497">
        <v>71</v>
      </c>
      <c r="B497">
        <v>93.28</v>
      </c>
      <c r="C497">
        <f t="shared" si="28"/>
        <v>6622.88</v>
      </c>
      <c r="D497">
        <f t="shared" si="29"/>
        <v>5041</v>
      </c>
      <c r="E497">
        <f t="shared" si="30"/>
        <v>8701.1584000000003</v>
      </c>
      <c r="F497">
        <f t="shared" si="31"/>
        <v>5041</v>
      </c>
    </row>
    <row r="498" spans="1:6" x14ac:dyDescent="0.3">
      <c r="A498">
        <v>5</v>
      </c>
      <c r="B498">
        <v>122.19</v>
      </c>
      <c r="C498">
        <f t="shared" si="28"/>
        <v>610.95000000000005</v>
      </c>
      <c r="D498">
        <f t="shared" si="29"/>
        <v>25</v>
      </c>
      <c r="E498">
        <f t="shared" si="30"/>
        <v>14930.3961</v>
      </c>
      <c r="F498">
        <f t="shared" si="31"/>
        <v>25</v>
      </c>
    </row>
    <row r="499" spans="1:6" x14ac:dyDescent="0.3">
      <c r="A499">
        <v>14</v>
      </c>
      <c r="B499">
        <v>129.53</v>
      </c>
      <c r="C499">
        <f t="shared" si="28"/>
        <v>1813.42</v>
      </c>
      <c r="D499">
        <f t="shared" si="29"/>
        <v>196</v>
      </c>
      <c r="E499">
        <f t="shared" si="30"/>
        <v>16778.0209</v>
      </c>
      <c r="F499">
        <f t="shared" si="31"/>
        <v>196</v>
      </c>
    </row>
    <row r="500" spans="1:6" x14ac:dyDescent="0.3">
      <c r="A500">
        <v>15</v>
      </c>
      <c r="B500">
        <v>114.53</v>
      </c>
      <c r="C500">
        <f t="shared" si="28"/>
        <v>1717.95</v>
      </c>
      <c r="D500">
        <f t="shared" si="29"/>
        <v>225</v>
      </c>
      <c r="E500">
        <f t="shared" si="30"/>
        <v>13117.1209</v>
      </c>
      <c r="F500">
        <f t="shared" si="31"/>
        <v>225</v>
      </c>
    </row>
    <row r="501" spans="1:6" x14ac:dyDescent="0.3">
      <c r="A501">
        <v>66</v>
      </c>
      <c r="B501">
        <v>93.73</v>
      </c>
      <c r="C501">
        <f t="shared" si="28"/>
        <v>6186.18</v>
      </c>
      <c r="D501">
        <f t="shared" si="29"/>
        <v>4356</v>
      </c>
      <c r="E501">
        <f t="shared" si="30"/>
        <v>8785.3129000000008</v>
      </c>
      <c r="F501">
        <f t="shared" si="31"/>
        <v>4356</v>
      </c>
    </row>
    <row r="502" spans="1:6" x14ac:dyDescent="0.3">
      <c r="A502">
        <v>56</v>
      </c>
      <c r="B502">
        <v>77.489999999999995</v>
      </c>
      <c r="C502">
        <f t="shared" si="28"/>
        <v>4339.4399999999996</v>
      </c>
      <c r="D502">
        <f t="shared" si="29"/>
        <v>3136</v>
      </c>
      <c r="E502">
        <f t="shared" si="30"/>
        <v>6004.7000999999991</v>
      </c>
      <c r="F502">
        <f t="shared" si="31"/>
        <v>3136</v>
      </c>
    </row>
    <row r="503" spans="1:6" x14ac:dyDescent="0.3">
      <c r="A503">
        <v>60</v>
      </c>
      <c r="B503">
        <v>65.38</v>
      </c>
      <c r="C503">
        <f t="shared" si="28"/>
        <v>3922.7999999999997</v>
      </c>
      <c r="D503">
        <f t="shared" si="29"/>
        <v>3600</v>
      </c>
      <c r="E503">
        <f t="shared" si="30"/>
        <v>4274.5443999999998</v>
      </c>
      <c r="F503">
        <f t="shared" si="31"/>
        <v>3600</v>
      </c>
    </row>
    <row r="504" spans="1:6" x14ac:dyDescent="0.3">
      <c r="A504">
        <v>57</v>
      </c>
      <c r="B504">
        <v>94.18</v>
      </c>
      <c r="C504">
        <f t="shared" si="28"/>
        <v>5368.26</v>
      </c>
      <c r="D504">
        <f t="shared" si="29"/>
        <v>3249</v>
      </c>
      <c r="E504">
        <f t="shared" si="30"/>
        <v>8869.872400000002</v>
      </c>
      <c r="F504">
        <f t="shared" si="31"/>
        <v>3249</v>
      </c>
    </row>
    <row r="505" spans="1:6" x14ac:dyDescent="0.3">
      <c r="A505">
        <v>29</v>
      </c>
      <c r="B505">
        <v>118.7</v>
      </c>
      <c r="C505">
        <f t="shared" si="28"/>
        <v>3442.3</v>
      </c>
      <c r="D505">
        <f t="shared" si="29"/>
        <v>841</v>
      </c>
      <c r="E505">
        <f t="shared" si="30"/>
        <v>14089.69</v>
      </c>
      <c r="F505">
        <f t="shared" si="31"/>
        <v>841</v>
      </c>
    </row>
    <row r="506" spans="1:6" x14ac:dyDescent="0.3">
      <c r="A506">
        <v>76</v>
      </c>
      <c r="B506">
        <v>96.29</v>
      </c>
      <c r="C506">
        <f t="shared" si="28"/>
        <v>7318.0400000000009</v>
      </c>
      <c r="D506">
        <f t="shared" si="29"/>
        <v>5776</v>
      </c>
      <c r="E506">
        <f t="shared" si="30"/>
        <v>9271.7641000000003</v>
      </c>
      <c r="F506">
        <f t="shared" si="31"/>
        <v>5776</v>
      </c>
    </row>
    <row r="507" spans="1:6" x14ac:dyDescent="0.3">
      <c r="A507">
        <v>52</v>
      </c>
      <c r="B507">
        <v>74.64</v>
      </c>
      <c r="C507">
        <f t="shared" si="28"/>
        <v>3881.28</v>
      </c>
      <c r="D507">
        <f t="shared" si="29"/>
        <v>2704</v>
      </c>
      <c r="E507">
        <f t="shared" si="30"/>
        <v>5571.1296000000002</v>
      </c>
      <c r="F507">
        <f t="shared" si="31"/>
        <v>2704</v>
      </c>
    </row>
    <row r="508" spans="1:6" x14ac:dyDescent="0.3">
      <c r="A508">
        <v>42</v>
      </c>
      <c r="B508">
        <v>96.99</v>
      </c>
      <c r="C508">
        <f t="shared" si="28"/>
        <v>4073.58</v>
      </c>
      <c r="D508">
        <f t="shared" si="29"/>
        <v>1764</v>
      </c>
      <c r="E508">
        <f t="shared" si="30"/>
        <v>9407.0600999999988</v>
      </c>
      <c r="F508">
        <f t="shared" si="31"/>
        <v>1764</v>
      </c>
    </row>
    <row r="509" spans="1:6" x14ac:dyDescent="0.3">
      <c r="A509">
        <v>71</v>
      </c>
      <c r="B509">
        <v>100.61</v>
      </c>
      <c r="C509">
        <f t="shared" si="28"/>
        <v>7143.31</v>
      </c>
      <c r="D509">
        <f t="shared" si="29"/>
        <v>5041</v>
      </c>
      <c r="E509">
        <f t="shared" si="30"/>
        <v>10122.372100000001</v>
      </c>
      <c r="F509">
        <f t="shared" si="31"/>
        <v>5041</v>
      </c>
    </row>
    <row r="510" spans="1:6" x14ac:dyDescent="0.3">
      <c r="A510">
        <v>64</v>
      </c>
      <c r="B510">
        <v>97.08</v>
      </c>
      <c r="C510">
        <f t="shared" si="28"/>
        <v>6213.12</v>
      </c>
      <c r="D510">
        <f t="shared" si="29"/>
        <v>4096</v>
      </c>
      <c r="E510">
        <f t="shared" si="30"/>
        <v>9424.5263999999988</v>
      </c>
      <c r="F510">
        <f t="shared" si="31"/>
        <v>4096</v>
      </c>
    </row>
    <row r="511" spans="1:6" x14ac:dyDescent="0.3">
      <c r="A511">
        <v>39</v>
      </c>
      <c r="B511">
        <v>84.79</v>
      </c>
      <c r="C511">
        <f t="shared" si="28"/>
        <v>3306.8100000000004</v>
      </c>
      <c r="D511">
        <f t="shared" si="29"/>
        <v>1521</v>
      </c>
      <c r="E511">
        <f t="shared" si="30"/>
        <v>7189.3441000000012</v>
      </c>
      <c r="F511">
        <f t="shared" si="31"/>
        <v>1521</v>
      </c>
    </row>
    <row r="512" spans="1:6" x14ac:dyDescent="0.3">
      <c r="A512">
        <v>46</v>
      </c>
      <c r="B512">
        <v>78.75</v>
      </c>
      <c r="C512">
        <f t="shared" si="28"/>
        <v>3622.5</v>
      </c>
      <c r="D512">
        <f t="shared" si="29"/>
        <v>2116</v>
      </c>
      <c r="E512">
        <f t="shared" si="30"/>
        <v>6201.5625</v>
      </c>
      <c r="F512">
        <f t="shared" si="31"/>
        <v>2116</v>
      </c>
    </row>
    <row r="513" spans="1:6" x14ac:dyDescent="0.3">
      <c r="A513">
        <v>51</v>
      </c>
      <c r="B513">
        <v>82.93</v>
      </c>
      <c r="C513">
        <f t="shared" si="28"/>
        <v>4229.43</v>
      </c>
      <c r="D513">
        <f t="shared" si="29"/>
        <v>2601</v>
      </c>
      <c r="E513">
        <f t="shared" si="30"/>
        <v>6877.3849000000009</v>
      </c>
      <c r="F513">
        <f t="shared" si="31"/>
        <v>2601</v>
      </c>
    </row>
    <row r="514" spans="1:6" x14ac:dyDescent="0.3">
      <c r="A514">
        <v>31</v>
      </c>
      <c r="B514">
        <v>88.78</v>
      </c>
      <c r="C514">
        <f t="shared" si="28"/>
        <v>2752.18</v>
      </c>
      <c r="D514">
        <f t="shared" si="29"/>
        <v>961</v>
      </c>
      <c r="E514">
        <f t="shared" si="30"/>
        <v>7881.8883999999998</v>
      </c>
      <c r="F514">
        <f t="shared" si="31"/>
        <v>961</v>
      </c>
    </row>
    <row r="515" spans="1:6" x14ac:dyDescent="0.3">
      <c r="A515">
        <v>22</v>
      </c>
      <c r="B515">
        <v>122.1</v>
      </c>
      <c r="C515">
        <f t="shared" ref="C515:C578" si="32">A515*B515</f>
        <v>2686.2</v>
      </c>
      <c r="D515">
        <f t="shared" ref="D515:D578" si="33">A515*A515</f>
        <v>484</v>
      </c>
      <c r="E515">
        <f t="shared" ref="E515:E578" si="34">B515*B515</f>
        <v>14908.409999999998</v>
      </c>
      <c r="F515">
        <f t="shared" ref="F515:F578" si="35">A515^2</f>
        <v>484</v>
      </c>
    </row>
    <row r="516" spans="1:6" x14ac:dyDescent="0.3">
      <c r="A516">
        <v>41</v>
      </c>
      <c r="B516">
        <v>74.81</v>
      </c>
      <c r="C516">
        <f t="shared" si="32"/>
        <v>3067.21</v>
      </c>
      <c r="D516">
        <f t="shared" si="33"/>
        <v>1681</v>
      </c>
      <c r="E516">
        <f t="shared" si="34"/>
        <v>5596.5361000000003</v>
      </c>
      <c r="F516">
        <f t="shared" si="35"/>
        <v>1681</v>
      </c>
    </row>
    <row r="517" spans="1:6" x14ac:dyDescent="0.3">
      <c r="A517">
        <v>28</v>
      </c>
      <c r="B517">
        <v>183.45</v>
      </c>
      <c r="C517">
        <f t="shared" si="32"/>
        <v>5136.5999999999995</v>
      </c>
      <c r="D517">
        <f t="shared" si="33"/>
        <v>784</v>
      </c>
      <c r="E517">
        <f t="shared" si="34"/>
        <v>33653.902499999997</v>
      </c>
      <c r="F517">
        <f t="shared" si="35"/>
        <v>784</v>
      </c>
    </row>
    <row r="518" spans="1:6" x14ac:dyDescent="0.3">
      <c r="A518">
        <v>44</v>
      </c>
      <c r="B518">
        <v>114.94</v>
      </c>
      <c r="C518">
        <f t="shared" si="32"/>
        <v>5057.3599999999997</v>
      </c>
      <c r="D518">
        <f t="shared" si="33"/>
        <v>1936</v>
      </c>
      <c r="E518">
        <f t="shared" si="34"/>
        <v>13211.203599999999</v>
      </c>
      <c r="F518">
        <f t="shared" si="35"/>
        <v>1936</v>
      </c>
    </row>
    <row r="519" spans="1:6" x14ac:dyDescent="0.3">
      <c r="A519">
        <v>68</v>
      </c>
      <c r="B519">
        <v>104.38</v>
      </c>
      <c r="C519">
        <f t="shared" si="32"/>
        <v>7097.84</v>
      </c>
      <c r="D519">
        <f t="shared" si="33"/>
        <v>4624</v>
      </c>
      <c r="E519">
        <f t="shared" si="34"/>
        <v>10895.184399999998</v>
      </c>
      <c r="F519">
        <f t="shared" si="35"/>
        <v>4624</v>
      </c>
    </row>
    <row r="520" spans="1:6" x14ac:dyDescent="0.3">
      <c r="A520">
        <v>49</v>
      </c>
      <c r="B520">
        <v>102.91</v>
      </c>
      <c r="C520">
        <f t="shared" si="32"/>
        <v>5042.59</v>
      </c>
      <c r="D520">
        <f t="shared" si="33"/>
        <v>2401</v>
      </c>
      <c r="E520">
        <f t="shared" si="34"/>
        <v>10590.4681</v>
      </c>
      <c r="F520">
        <f t="shared" si="35"/>
        <v>2401</v>
      </c>
    </row>
    <row r="521" spans="1:6" x14ac:dyDescent="0.3">
      <c r="A521">
        <v>10</v>
      </c>
      <c r="B521">
        <v>108.79</v>
      </c>
      <c r="C521">
        <f t="shared" si="32"/>
        <v>1087.9000000000001</v>
      </c>
      <c r="D521">
        <f t="shared" si="33"/>
        <v>100</v>
      </c>
      <c r="E521">
        <f t="shared" si="34"/>
        <v>11835.264100000002</v>
      </c>
      <c r="F521">
        <f t="shared" si="35"/>
        <v>100</v>
      </c>
    </row>
    <row r="522" spans="1:6" x14ac:dyDescent="0.3">
      <c r="A522">
        <v>31</v>
      </c>
      <c r="B522">
        <v>73.31</v>
      </c>
      <c r="C522">
        <f t="shared" si="32"/>
        <v>2272.61</v>
      </c>
      <c r="D522">
        <f t="shared" si="33"/>
        <v>961</v>
      </c>
      <c r="E522">
        <f t="shared" si="34"/>
        <v>5374.3561</v>
      </c>
      <c r="F522">
        <f t="shared" si="35"/>
        <v>961</v>
      </c>
    </row>
    <row r="523" spans="1:6" x14ac:dyDescent="0.3">
      <c r="A523">
        <v>67</v>
      </c>
      <c r="B523">
        <v>68.52</v>
      </c>
      <c r="C523">
        <f t="shared" si="32"/>
        <v>4590.84</v>
      </c>
      <c r="D523">
        <f t="shared" si="33"/>
        <v>4489</v>
      </c>
      <c r="E523">
        <f t="shared" si="34"/>
        <v>4694.9903999999997</v>
      </c>
      <c r="F523">
        <f t="shared" si="35"/>
        <v>4489</v>
      </c>
    </row>
    <row r="524" spans="1:6" x14ac:dyDescent="0.3">
      <c r="A524">
        <v>40</v>
      </c>
      <c r="B524">
        <v>89.77</v>
      </c>
      <c r="C524">
        <f t="shared" si="32"/>
        <v>3590.7999999999997</v>
      </c>
      <c r="D524">
        <f t="shared" si="33"/>
        <v>1600</v>
      </c>
      <c r="E524">
        <f t="shared" si="34"/>
        <v>8058.6528999999991</v>
      </c>
      <c r="F524">
        <f t="shared" si="35"/>
        <v>1600</v>
      </c>
    </row>
    <row r="525" spans="1:6" x14ac:dyDescent="0.3">
      <c r="A525">
        <v>70</v>
      </c>
      <c r="B525">
        <v>102.64</v>
      </c>
      <c r="C525">
        <f t="shared" si="32"/>
        <v>7184.8</v>
      </c>
      <c r="D525">
        <f t="shared" si="33"/>
        <v>4900</v>
      </c>
      <c r="E525">
        <f t="shared" si="34"/>
        <v>10534.9696</v>
      </c>
      <c r="F525">
        <f t="shared" si="35"/>
        <v>4900</v>
      </c>
    </row>
    <row r="526" spans="1:6" x14ac:dyDescent="0.3">
      <c r="A526">
        <v>38</v>
      </c>
      <c r="B526">
        <v>70.92</v>
      </c>
      <c r="C526">
        <f t="shared" si="32"/>
        <v>2694.96</v>
      </c>
      <c r="D526">
        <f t="shared" si="33"/>
        <v>1444</v>
      </c>
      <c r="E526">
        <f t="shared" si="34"/>
        <v>5029.6464000000005</v>
      </c>
      <c r="F526">
        <f t="shared" si="35"/>
        <v>1444</v>
      </c>
    </row>
    <row r="527" spans="1:6" x14ac:dyDescent="0.3">
      <c r="A527">
        <v>5</v>
      </c>
      <c r="B527">
        <v>86.11</v>
      </c>
      <c r="C527">
        <f t="shared" si="32"/>
        <v>430.55</v>
      </c>
      <c r="D527">
        <f t="shared" si="33"/>
        <v>25</v>
      </c>
      <c r="E527">
        <f t="shared" si="34"/>
        <v>7414.9321</v>
      </c>
      <c r="F527">
        <f t="shared" si="35"/>
        <v>25</v>
      </c>
    </row>
    <row r="528" spans="1:6" x14ac:dyDescent="0.3">
      <c r="A528">
        <v>54</v>
      </c>
      <c r="B528">
        <v>129.16</v>
      </c>
      <c r="C528">
        <f t="shared" si="32"/>
        <v>6974.6399999999994</v>
      </c>
      <c r="D528">
        <f t="shared" si="33"/>
        <v>2916</v>
      </c>
      <c r="E528">
        <f t="shared" si="34"/>
        <v>16682.3056</v>
      </c>
      <c r="F528">
        <f t="shared" si="35"/>
        <v>2916</v>
      </c>
    </row>
    <row r="529" spans="1:6" x14ac:dyDescent="0.3">
      <c r="A529">
        <v>30</v>
      </c>
      <c r="B529">
        <v>113.85</v>
      </c>
      <c r="C529">
        <f t="shared" si="32"/>
        <v>3415.5</v>
      </c>
      <c r="D529">
        <f t="shared" si="33"/>
        <v>900</v>
      </c>
      <c r="E529">
        <f t="shared" si="34"/>
        <v>12961.822499999998</v>
      </c>
      <c r="F529">
        <f t="shared" si="35"/>
        <v>900</v>
      </c>
    </row>
    <row r="530" spans="1:6" x14ac:dyDescent="0.3">
      <c r="A530">
        <v>23</v>
      </c>
      <c r="B530">
        <v>79.349999999999994</v>
      </c>
      <c r="C530">
        <f t="shared" si="32"/>
        <v>1825.05</v>
      </c>
      <c r="D530">
        <f t="shared" si="33"/>
        <v>529</v>
      </c>
      <c r="E530">
        <f t="shared" si="34"/>
        <v>6296.4224999999988</v>
      </c>
      <c r="F530">
        <f t="shared" si="35"/>
        <v>529</v>
      </c>
    </row>
    <row r="531" spans="1:6" x14ac:dyDescent="0.3">
      <c r="A531">
        <v>31</v>
      </c>
      <c r="B531">
        <v>80.790000000000006</v>
      </c>
      <c r="C531">
        <f t="shared" si="32"/>
        <v>2504.4900000000002</v>
      </c>
      <c r="D531">
        <f t="shared" si="33"/>
        <v>961</v>
      </c>
      <c r="E531">
        <f t="shared" si="34"/>
        <v>6527.0241000000015</v>
      </c>
      <c r="F531">
        <f t="shared" si="35"/>
        <v>961</v>
      </c>
    </row>
    <row r="532" spans="1:6" x14ac:dyDescent="0.3">
      <c r="A532">
        <v>72</v>
      </c>
      <c r="B532">
        <v>114.01</v>
      </c>
      <c r="C532">
        <f t="shared" si="32"/>
        <v>8208.7200000000012</v>
      </c>
      <c r="D532">
        <f t="shared" si="33"/>
        <v>5184</v>
      </c>
      <c r="E532">
        <f t="shared" si="34"/>
        <v>12998.280100000002</v>
      </c>
      <c r="F532">
        <f t="shared" si="35"/>
        <v>5184</v>
      </c>
    </row>
    <row r="533" spans="1:6" x14ac:dyDescent="0.3">
      <c r="A533">
        <v>23</v>
      </c>
      <c r="B533">
        <v>93.74</v>
      </c>
      <c r="C533">
        <f t="shared" si="32"/>
        <v>2156.02</v>
      </c>
      <c r="D533">
        <f t="shared" si="33"/>
        <v>529</v>
      </c>
      <c r="E533">
        <f t="shared" si="34"/>
        <v>8787.1875999999993</v>
      </c>
      <c r="F533">
        <f t="shared" si="35"/>
        <v>529</v>
      </c>
    </row>
    <row r="534" spans="1:6" x14ac:dyDescent="0.3">
      <c r="A534">
        <v>25</v>
      </c>
      <c r="B534">
        <v>90.65</v>
      </c>
      <c r="C534">
        <f t="shared" si="32"/>
        <v>2266.25</v>
      </c>
      <c r="D534">
        <f t="shared" si="33"/>
        <v>625</v>
      </c>
      <c r="E534">
        <f t="shared" si="34"/>
        <v>8217.4225000000006</v>
      </c>
      <c r="F534">
        <f t="shared" si="35"/>
        <v>625</v>
      </c>
    </row>
    <row r="535" spans="1:6" x14ac:dyDescent="0.3">
      <c r="A535">
        <v>51</v>
      </c>
      <c r="B535">
        <v>98.41</v>
      </c>
      <c r="C535">
        <f t="shared" si="32"/>
        <v>5018.91</v>
      </c>
      <c r="D535">
        <f t="shared" si="33"/>
        <v>2601</v>
      </c>
      <c r="E535">
        <f t="shared" si="34"/>
        <v>9684.5280999999995</v>
      </c>
      <c r="F535">
        <f t="shared" si="35"/>
        <v>2601</v>
      </c>
    </row>
    <row r="536" spans="1:6" x14ac:dyDescent="0.3">
      <c r="A536">
        <v>20</v>
      </c>
      <c r="B536">
        <v>127.18</v>
      </c>
      <c r="C536">
        <f t="shared" si="32"/>
        <v>2543.6000000000004</v>
      </c>
      <c r="D536">
        <f t="shared" si="33"/>
        <v>400</v>
      </c>
      <c r="E536">
        <f t="shared" si="34"/>
        <v>16174.752400000001</v>
      </c>
      <c r="F536">
        <f t="shared" si="35"/>
        <v>400</v>
      </c>
    </row>
    <row r="537" spans="1:6" x14ac:dyDescent="0.3">
      <c r="A537">
        <v>12</v>
      </c>
      <c r="B537">
        <v>138.06</v>
      </c>
      <c r="C537">
        <f t="shared" si="32"/>
        <v>1656.72</v>
      </c>
      <c r="D537">
        <f t="shared" si="33"/>
        <v>144</v>
      </c>
      <c r="E537">
        <f t="shared" si="34"/>
        <v>19060.563600000001</v>
      </c>
      <c r="F537">
        <f t="shared" si="35"/>
        <v>144</v>
      </c>
    </row>
    <row r="538" spans="1:6" x14ac:dyDescent="0.3">
      <c r="A538">
        <v>57</v>
      </c>
      <c r="B538">
        <v>89.44</v>
      </c>
      <c r="C538">
        <f t="shared" si="32"/>
        <v>5098.08</v>
      </c>
      <c r="D538">
        <f t="shared" si="33"/>
        <v>3249</v>
      </c>
      <c r="E538">
        <f t="shared" si="34"/>
        <v>7999.5135999999993</v>
      </c>
      <c r="F538">
        <f t="shared" si="35"/>
        <v>3249</v>
      </c>
    </row>
    <row r="539" spans="1:6" x14ac:dyDescent="0.3">
      <c r="A539">
        <v>65</v>
      </c>
      <c r="B539">
        <v>105.61</v>
      </c>
      <c r="C539">
        <f t="shared" si="32"/>
        <v>6864.65</v>
      </c>
      <c r="D539">
        <f t="shared" si="33"/>
        <v>4225</v>
      </c>
      <c r="E539">
        <f t="shared" si="34"/>
        <v>11153.472099999999</v>
      </c>
      <c r="F539">
        <f t="shared" si="35"/>
        <v>4225</v>
      </c>
    </row>
    <row r="540" spans="1:6" x14ac:dyDescent="0.3">
      <c r="A540">
        <v>16</v>
      </c>
      <c r="B540">
        <v>155.43</v>
      </c>
      <c r="C540">
        <f t="shared" si="32"/>
        <v>2486.88</v>
      </c>
      <c r="D540">
        <f t="shared" si="33"/>
        <v>256</v>
      </c>
      <c r="E540">
        <f t="shared" si="34"/>
        <v>24158.484900000003</v>
      </c>
      <c r="F540">
        <f t="shared" si="35"/>
        <v>256</v>
      </c>
    </row>
    <row r="541" spans="1:6" x14ac:dyDescent="0.3">
      <c r="A541">
        <v>43</v>
      </c>
      <c r="B541">
        <v>80.83</v>
      </c>
      <c r="C541">
        <f t="shared" si="32"/>
        <v>3475.69</v>
      </c>
      <c r="D541">
        <f t="shared" si="33"/>
        <v>1849</v>
      </c>
      <c r="E541">
        <f t="shared" si="34"/>
        <v>6533.4888999999994</v>
      </c>
      <c r="F541">
        <f t="shared" si="35"/>
        <v>1849</v>
      </c>
    </row>
    <row r="542" spans="1:6" x14ac:dyDescent="0.3">
      <c r="A542">
        <v>30</v>
      </c>
      <c r="B542">
        <v>80.19</v>
      </c>
      <c r="C542">
        <f t="shared" si="32"/>
        <v>2405.6999999999998</v>
      </c>
      <c r="D542">
        <f t="shared" si="33"/>
        <v>900</v>
      </c>
      <c r="E542">
        <f t="shared" si="34"/>
        <v>6430.4360999999999</v>
      </c>
      <c r="F542">
        <f t="shared" si="35"/>
        <v>900</v>
      </c>
    </row>
    <row r="543" spans="1:6" x14ac:dyDescent="0.3">
      <c r="A543">
        <v>29</v>
      </c>
      <c r="B543">
        <v>60.34</v>
      </c>
      <c r="C543">
        <f t="shared" si="32"/>
        <v>1749.8600000000001</v>
      </c>
      <c r="D543">
        <f t="shared" si="33"/>
        <v>841</v>
      </c>
      <c r="E543">
        <f t="shared" si="34"/>
        <v>3640.9156000000003</v>
      </c>
      <c r="F543">
        <f t="shared" si="35"/>
        <v>841</v>
      </c>
    </row>
    <row r="544" spans="1:6" x14ac:dyDescent="0.3">
      <c r="A544">
        <v>54</v>
      </c>
      <c r="B544">
        <v>79.3</v>
      </c>
      <c r="C544">
        <f t="shared" si="32"/>
        <v>4282.2</v>
      </c>
      <c r="D544">
        <f t="shared" si="33"/>
        <v>2916</v>
      </c>
      <c r="E544">
        <f t="shared" si="34"/>
        <v>6288.49</v>
      </c>
      <c r="F544">
        <f t="shared" si="35"/>
        <v>2916</v>
      </c>
    </row>
    <row r="545" spans="1:6" x14ac:dyDescent="0.3">
      <c r="A545">
        <v>57</v>
      </c>
      <c r="B545">
        <v>98.44</v>
      </c>
      <c r="C545">
        <f t="shared" si="32"/>
        <v>5611.08</v>
      </c>
      <c r="D545">
        <f t="shared" si="33"/>
        <v>3249</v>
      </c>
      <c r="E545">
        <f t="shared" si="34"/>
        <v>9690.4336000000003</v>
      </c>
      <c r="F545">
        <f t="shared" si="35"/>
        <v>3249</v>
      </c>
    </row>
    <row r="546" spans="1:6" x14ac:dyDescent="0.3">
      <c r="A546">
        <v>42</v>
      </c>
      <c r="B546">
        <v>210.48</v>
      </c>
      <c r="C546">
        <f t="shared" si="32"/>
        <v>8840.16</v>
      </c>
      <c r="D546">
        <f t="shared" si="33"/>
        <v>1764</v>
      </c>
      <c r="E546">
        <f t="shared" si="34"/>
        <v>44301.830399999999</v>
      </c>
      <c r="F546">
        <f t="shared" si="35"/>
        <v>1764</v>
      </c>
    </row>
    <row r="547" spans="1:6" x14ac:dyDescent="0.3">
      <c r="A547">
        <v>18</v>
      </c>
      <c r="B547">
        <v>70.34</v>
      </c>
      <c r="C547">
        <f t="shared" si="32"/>
        <v>1266.1200000000001</v>
      </c>
      <c r="D547">
        <f t="shared" si="33"/>
        <v>324</v>
      </c>
      <c r="E547">
        <f t="shared" si="34"/>
        <v>4947.7156000000004</v>
      </c>
      <c r="F547">
        <f t="shared" si="35"/>
        <v>324</v>
      </c>
    </row>
    <row r="548" spans="1:6" x14ac:dyDescent="0.3">
      <c r="A548">
        <v>9</v>
      </c>
      <c r="B548">
        <v>122.22</v>
      </c>
      <c r="C548">
        <f t="shared" si="32"/>
        <v>1099.98</v>
      </c>
      <c r="D548">
        <f t="shared" si="33"/>
        <v>81</v>
      </c>
      <c r="E548">
        <f t="shared" si="34"/>
        <v>14937.7284</v>
      </c>
      <c r="F548">
        <f t="shared" si="35"/>
        <v>81</v>
      </c>
    </row>
    <row r="549" spans="1:6" x14ac:dyDescent="0.3">
      <c r="A549">
        <v>26</v>
      </c>
      <c r="B549">
        <v>75.290000000000006</v>
      </c>
      <c r="C549">
        <f t="shared" si="32"/>
        <v>1957.5400000000002</v>
      </c>
      <c r="D549">
        <f t="shared" si="33"/>
        <v>676</v>
      </c>
      <c r="E549">
        <f t="shared" si="34"/>
        <v>5668.5841000000009</v>
      </c>
      <c r="F549">
        <f t="shared" si="35"/>
        <v>676</v>
      </c>
    </row>
    <row r="550" spans="1:6" x14ac:dyDescent="0.3">
      <c r="A550">
        <v>40</v>
      </c>
      <c r="B550">
        <v>100.35</v>
      </c>
      <c r="C550">
        <f t="shared" si="32"/>
        <v>4014</v>
      </c>
      <c r="D550">
        <f t="shared" si="33"/>
        <v>1600</v>
      </c>
      <c r="E550">
        <f t="shared" si="34"/>
        <v>10070.122499999999</v>
      </c>
      <c r="F550">
        <f t="shared" si="35"/>
        <v>1600</v>
      </c>
    </row>
    <row r="551" spans="1:6" x14ac:dyDescent="0.3">
      <c r="A551">
        <v>77</v>
      </c>
      <c r="B551">
        <v>193.83</v>
      </c>
      <c r="C551">
        <f t="shared" si="32"/>
        <v>14924.910000000002</v>
      </c>
      <c r="D551">
        <f t="shared" si="33"/>
        <v>5929</v>
      </c>
      <c r="E551">
        <f t="shared" si="34"/>
        <v>37570.068900000006</v>
      </c>
      <c r="F551">
        <f t="shared" si="35"/>
        <v>5929</v>
      </c>
    </row>
    <row r="552" spans="1:6" x14ac:dyDescent="0.3">
      <c r="A552">
        <v>15</v>
      </c>
      <c r="B552">
        <v>126.96</v>
      </c>
      <c r="C552">
        <f t="shared" si="32"/>
        <v>1904.3999999999999</v>
      </c>
      <c r="D552">
        <f t="shared" si="33"/>
        <v>225</v>
      </c>
      <c r="E552">
        <f t="shared" si="34"/>
        <v>16118.841599999998</v>
      </c>
      <c r="F552">
        <f t="shared" si="35"/>
        <v>225</v>
      </c>
    </row>
    <row r="553" spans="1:6" x14ac:dyDescent="0.3">
      <c r="A553">
        <v>76</v>
      </c>
      <c r="B553">
        <v>183.34</v>
      </c>
      <c r="C553">
        <f t="shared" si="32"/>
        <v>13933.84</v>
      </c>
      <c r="D553">
        <f t="shared" si="33"/>
        <v>5776</v>
      </c>
      <c r="E553">
        <f t="shared" si="34"/>
        <v>33613.5556</v>
      </c>
      <c r="F553">
        <f t="shared" si="35"/>
        <v>5776</v>
      </c>
    </row>
    <row r="554" spans="1:6" x14ac:dyDescent="0.3">
      <c r="A554">
        <v>52</v>
      </c>
      <c r="B554">
        <v>247.69</v>
      </c>
      <c r="C554">
        <f t="shared" si="32"/>
        <v>12879.88</v>
      </c>
      <c r="D554">
        <f t="shared" si="33"/>
        <v>2704</v>
      </c>
      <c r="E554">
        <f t="shared" si="34"/>
        <v>61350.3361</v>
      </c>
      <c r="F554">
        <f t="shared" si="35"/>
        <v>2704</v>
      </c>
    </row>
    <row r="555" spans="1:6" x14ac:dyDescent="0.3">
      <c r="A555">
        <v>55</v>
      </c>
      <c r="B555">
        <v>76.2</v>
      </c>
      <c r="C555">
        <f t="shared" si="32"/>
        <v>4191</v>
      </c>
      <c r="D555">
        <f t="shared" si="33"/>
        <v>3025</v>
      </c>
      <c r="E555">
        <f t="shared" si="34"/>
        <v>5806.4400000000005</v>
      </c>
      <c r="F555">
        <f t="shared" si="35"/>
        <v>3025</v>
      </c>
    </row>
    <row r="556" spans="1:6" x14ac:dyDescent="0.3">
      <c r="A556">
        <v>5</v>
      </c>
      <c r="B556">
        <v>71.430000000000007</v>
      </c>
      <c r="C556">
        <f t="shared" si="32"/>
        <v>357.15000000000003</v>
      </c>
      <c r="D556">
        <f t="shared" si="33"/>
        <v>25</v>
      </c>
      <c r="E556">
        <f t="shared" si="34"/>
        <v>5102.2449000000006</v>
      </c>
      <c r="F556">
        <f t="shared" si="35"/>
        <v>25</v>
      </c>
    </row>
    <row r="557" spans="1:6" x14ac:dyDescent="0.3">
      <c r="A557">
        <v>55</v>
      </c>
      <c r="B557">
        <v>93.36</v>
      </c>
      <c r="C557">
        <f t="shared" si="32"/>
        <v>5134.8</v>
      </c>
      <c r="D557">
        <f t="shared" si="33"/>
        <v>3025</v>
      </c>
      <c r="E557">
        <f t="shared" si="34"/>
        <v>8716.0895999999993</v>
      </c>
      <c r="F557">
        <f t="shared" si="35"/>
        <v>3025</v>
      </c>
    </row>
    <row r="558" spans="1:6" x14ac:dyDescent="0.3">
      <c r="A558">
        <v>36</v>
      </c>
      <c r="B558">
        <v>61.29</v>
      </c>
      <c r="C558">
        <f t="shared" si="32"/>
        <v>2206.44</v>
      </c>
      <c r="D558">
        <f t="shared" si="33"/>
        <v>1296</v>
      </c>
      <c r="E558">
        <f t="shared" si="34"/>
        <v>3756.4640999999997</v>
      </c>
      <c r="F558">
        <f t="shared" si="35"/>
        <v>1296</v>
      </c>
    </row>
    <row r="559" spans="1:6" x14ac:dyDescent="0.3">
      <c r="A559">
        <v>46</v>
      </c>
      <c r="B559">
        <v>103.62</v>
      </c>
      <c r="C559">
        <f t="shared" si="32"/>
        <v>4766.5200000000004</v>
      </c>
      <c r="D559">
        <f t="shared" si="33"/>
        <v>2116</v>
      </c>
      <c r="E559">
        <f t="shared" si="34"/>
        <v>10737.1044</v>
      </c>
      <c r="F559">
        <f t="shared" si="35"/>
        <v>2116</v>
      </c>
    </row>
    <row r="560" spans="1:6" x14ac:dyDescent="0.3">
      <c r="A560">
        <v>5</v>
      </c>
      <c r="B560">
        <v>100.52</v>
      </c>
      <c r="C560">
        <f t="shared" si="32"/>
        <v>502.59999999999997</v>
      </c>
      <c r="D560">
        <f t="shared" si="33"/>
        <v>25</v>
      </c>
      <c r="E560">
        <f t="shared" si="34"/>
        <v>10104.270399999999</v>
      </c>
      <c r="F560">
        <f t="shared" si="35"/>
        <v>25</v>
      </c>
    </row>
    <row r="561" spans="1:6" x14ac:dyDescent="0.3">
      <c r="A561">
        <v>39</v>
      </c>
      <c r="B561">
        <v>191.47</v>
      </c>
      <c r="C561">
        <f t="shared" si="32"/>
        <v>7467.33</v>
      </c>
      <c r="D561">
        <f t="shared" si="33"/>
        <v>1521</v>
      </c>
      <c r="E561">
        <f t="shared" si="34"/>
        <v>36660.760900000001</v>
      </c>
      <c r="F561">
        <f t="shared" si="35"/>
        <v>1521</v>
      </c>
    </row>
    <row r="562" spans="1:6" x14ac:dyDescent="0.3">
      <c r="A562">
        <v>12</v>
      </c>
      <c r="B562">
        <v>67.06</v>
      </c>
      <c r="C562">
        <f t="shared" si="32"/>
        <v>804.72</v>
      </c>
      <c r="D562">
        <f t="shared" si="33"/>
        <v>144</v>
      </c>
      <c r="E562">
        <f t="shared" si="34"/>
        <v>4497.0436</v>
      </c>
      <c r="F562">
        <f t="shared" si="35"/>
        <v>144</v>
      </c>
    </row>
    <row r="563" spans="1:6" x14ac:dyDescent="0.3">
      <c r="A563">
        <v>67</v>
      </c>
      <c r="B563">
        <v>144.1</v>
      </c>
      <c r="C563">
        <f t="shared" si="32"/>
        <v>9654.6999999999989</v>
      </c>
      <c r="D563">
        <f t="shared" si="33"/>
        <v>4489</v>
      </c>
      <c r="E563">
        <f t="shared" si="34"/>
        <v>20764.809999999998</v>
      </c>
      <c r="F563">
        <f t="shared" si="35"/>
        <v>4489</v>
      </c>
    </row>
    <row r="564" spans="1:6" x14ac:dyDescent="0.3">
      <c r="A564">
        <v>1.8</v>
      </c>
      <c r="B564">
        <v>58.26</v>
      </c>
      <c r="C564">
        <f t="shared" si="32"/>
        <v>104.86799999999999</v>
      </c>
      <c r="D564">
        <f t="shared" si="33"/>
        <v>3.24</v>
      </c>
      <c r="E564">
        <f t="shared" si="34"/>
        <v>3394.2275999999997</v>
      </c>
      <c r="F564">
        <f t="shared" si="35"/>
        <v>3.24</v>
      </c>
    </row>
    <row r="565" spans="1:6" x14ac:dyDescent="0.3">
      <c r="A565">
        <v>72</v>
      </c>
      <c r="B565">
        <v>239.82</v>
      </c>
      <c r="C565">
        <f t="shared" si="32"/>
        <v>17267.04</v>
      </c>
      <c r="D565">
        <f t="shared" si="33"/>
        <v>5184</v>
      </c>
      <c r="E565">
        <f t="shared" si="34"/>
        <v>57513.632399999995</v>
      </c>
      <c r="F565">
        <f t="shared" si="35"/>
        <v>5184</v>
      </c>
    </row>
    <row r="566" spans="1:6" x14ac:dyDescent="0.3">
      <c r="A566">
        <v>0.32</v>
      </c>
      <c r="B566">
        <v>73.709999999999994</v>
      </c>
      <c r="C566">
        <f t="shared" si="32"/>
        <v>23.587199999999999</v>
      </c>
      <c r="D566">
        <f t="shared" si="33"/>
        <v>0.1024</v>
      </c>
      <c r="E566">
        <f t="shared" si="34"/>
        <v>5433.1640999999991</v>
      </c>
      <c r="F566">
        <f t="shared" si="35"/>
        <v>0.1024</v>
      </c>
    </row>
    <row r="567" spans="1:6" x14ac:dyDescent="0.3">
      <c r="A567">
        <v>64</v>
      </c>
      <c r="B567">
        <v>88.53</v>
      </c>
      <c r="C567">
        <f t="shared" si="32"/>
        <v>5665.92</v>
      </c>
      <c r="D567">
        <f t="shared" si="33"/>
        <v>4096</v>
      </c>
      <c r="E567">
        <f t="shared" si="34"/>
        <v>7837.5609000000004</v>
      </c>
      <c r="F567">
        <f t="shared" si="35"/>
        <v>4096</v>
      </c>
    </row>
    <row r="568" spans="1:6" x14ac:dyDescent="0.3">
      <c r="A568">
        <v>27</v>
      </c>
      <c r="B568">
        <v>114.79</v>
      </c>
      <c r="C568">
        <f t="shared" si="32"/>
        <v>3099.3300000000004</v>
      </c>
      <c r="D568">
        <f t="shared" si="33"/>
        <v>729</v>
      </c>
      <c r="E568">
        <f t="shared" si="34"/>
        <v>13176.744100000002</v>
      </c>
      <c r="F568">
        <f t="shared" si="35"/>
        <v>729</v>
      </c>
    </row>
    <row r="569" spans="1:6" x14ac:dyDescent="0.3">
      <c r="A569">
        <v>25</v>
      </c>
      <c r="B569">
        <v>113.8</v>
      </c>
      <c r="C569">
        <f t="shared" si="32"/>
        <v>2845</v>
      </c>
      <c r="D569">
        <f t="shared" si="33"/>
        <v>625</v>
      </c>
      <c r="E569">
        <f t="shared" si="34"/>
        <v>12950.439999999999</v>
      </c>
      <c r="F569">
        <f t="shared" si="35"/>
        <v>625</v>
      </c>
    </row>
    <row r="570" spans="1:6" x14ac:dyDescent="0.3">
      <c r="A570">
        <v>81</v>
      </c>
      <c r="B570">
        <v>71.91</v>
      </c>
      <c r="C570">
        <f t="shared" si="32"/>
        <v>5824.71</v>
      </c>
      <c r="D570">
        <f t="shared" si="33"/>
        <v>6561</v>
      </c>
      <c r="E570">
        <f t="shared" si="34"/>
        <v>5171.0480999999991</v>
      </c>
      <c r="F570">
        <f t="shared" si="35"/>
        <v>6561</v>
      </c>
    </row>
    <row r="571" spans="1:6" x14ac:dyDescent="0.3">
      <c r="A571">
        <v>32</v>
      </c>
      <c r="B571">
        <v>65.3</v>
      </c>
      <c r="C571">
        <f t="shared" si="32"/>
        <v>2089.6</v>
      </c>
      <c r="D571">
        <f t="shared" si="33"/>
        <v>1024</v>
      </c>
      <c r="E571">
        <f t="shared" si="34"/>
        <v>4264.0899999999992</v>
      </c>
      <c r="F571">
        <f t="shared" si="35"/>
        <v>1024</v>
      </c>
    </row>
    <row r="572" spans="1:6" x14ac:dyDescent="0.3">
      <c r="A572">
        <v>57</v>
      </c>
      <c r="B572">
        <v>189.57</v>
      </c>
      <c r="C572">
        <f t="shared" si="32"/>
        <v>10805.49</v>
      </c>
      <c r="D572">
        <f t="shared" si="33"/>
        <v>3249</v>
      </c>
      <c r="E572">
        <f t="shared" si="34"/>
        <v>35936.784899999999</v>
      </c>
      <c r="F572">
        <f t="shared" si="35"/>
        <v>3249</v>
      </c>
    </row>
    <row r="573" spans="1:6" x14ac:dyDescent="0.3">
      <c r="A573">
        <v>52</v>
      </c>
      <c r="B573">
        <v>114.25</v>
      </c>
      <c r="C573">
        <f t="shared" si="32"/>
        <v>5941</v>
      </c>
      <c r="D573">
        <f t="shared" si="33"/>
        <v>2704</v>
      </c>
      <c r="E573">
        <f t="shared" si="34"/>
        <v>13053.0625</v>
      </c>
      <c r="F573">
        <f t="shared" si="35"/>
        <v>2704</v>
      </c>
    </row>
    <row r="574" spans="1:6" x14ac:dyDescent="0.3">
      <c r="A574">
        <v>54</v>
      </c>
      <c r="B574">
        <v>81.260000000000005</v>
      </c>
      <c r="C574">
        <f t="shared" si="32"/>
        <v>4388.04</v>
      </c>
      <c r="D574">
        <f t="shared" si="33"/>
        <v>2916</v>
      </c>
      <c r="E574">
        <f t="shared" si="34"/>
        <v>6603.1876000000011</v>
      </c>
      <c r="F574">
        <f t="shared" si="35"/>
        <v>2916</v>
      </c>
    </row>
    <row r="575" spans="1:6" x14ac:dyDescent="0.3">
      <c r="A575">
        <v>36</v>
      </c>
      <c r="B575">
        <v>87.88</v>
      </c>
      <c r="C575">
        <f t="shared" si="32"/>
        <v>3163.68</v>
      </c>
      <c r="D575">
        <f t="shared" si="33"/>
        <v>1296</v>
      </c>
      <c r="E575">
        <f t="shared" si="34"/>
        <v>7722.8943999999992</v>
      </c>
      <c r="F575">
        <f t="shared" si="35"/>
        <v>1296</v>
      </c>
    </row>
    <row r="576" spans="1:6" x14ac:dyDescent="0.3">
      <c r="A576">
        <v>18</v>
      </c>
      <c r="B576">
        <v>112.17</v>
      </c>
      <c r="C576">
        <f t="shared" si="32"/>
        <v>2019.06</v>
      </c>
      <c r="D576">
        <f t="shared" si="33"/>
        <v>324</v>
      </c>
      <c r="E576">
        <f t="shared" si="34"/>
        <v>12582.108900000001</v>
      </c>
      <c r="F576">
        <f t="shared" si="35"/>
        <v>324</v>
      </c>
    </row>
    <row r="577" spans="1:6" x14ac:dyDescent="0.3">
      <c r="A577">
        <v>45</v>
      </c>
      <c r="B577">
        <v>99.97</v>
      </c>
      <c r="C577">
        <f t="shared" si="32"/>
        <v>4498.6499999999996</v>
      </c>
      <c r="D577">
        <f t="shared" si="33"/>
        <v>2025</v>
      </c>
      <c r="E577">
        <f t="shared" si="34"/>
        <v>9994.0008999999991</v>
      </c>
      <c r="F577">
        <f t="shared" si="35"/>
        <v>2025</v>
      </c>
    </row>
    <row r="578" spans="1:6" x14ac:dyDescent="0.3">
      <c r="A578">
        <v>29</v>
      </c>
      <c r="B578">
        <v>207.58</v>
      </c>
      <c r="C578">
        <f t="shared" si="32"/>
        <v>6019.8200000000006</v>
      </c>
      <c r="D578">
        <f t="shared" si="33"/>
        <v>841</v>
      </c>
      <c r="E578">
        <f t="shared" si="34"/>
        <v>43089.456400000003</v>
      </c>
      <c r="F578">
        <f t="shared" si="35"/>
        <v>841</v>
      </c>
    </row>
    <row r="579" spans="1:6" x14ac:dyDescent="0.3">
      <c r="A579">
        <v>51</v>
      </c>
      <c r="B579">
        <v>109.16</v>
      </c>
      <c r="C579">
        <f t="shared" ref="C579:C642" si="36">A579*B579</f>
        <v>5567.16</v>
      </c>
      <c r="D579">
        <f t="shared" ref="D579:D642" si="37">A579*A579</f>
        <v>2601</v>
      </c>
      <c r="E579">
        <f t="shared" ref="E579:E642" si="38">B579*B579</f>
        <v>11915.9056</v>
      </c>
      <c r="F579">
        <f t="shared" ref="F579:F642" si="39">A579^2</f>
        <v>2601</v>
      </c>
    </row>
    <row r="580" spans="1:6" x14ac:dyDescent="0.3">
      <c r="A580">
        <v>23</v>
      </c>
      <c r="B580">
        <v>74.459999999999994</v>
      </c>
      <c r="C580">
        <f t="shared" si="36"/>
        <v>1712.58</v>
      </c>
      <c r="D580">
        <f t="shared" si="37"/>
        <v>529</v>
      </c>
      <c r="E580">
        <f t="shared" si="38"/>
        <v>5544.2915999999987</v>
      </c>
      <c r="F580">
        <f t="shared" si="39"/>
        <v>529</v>
      </c>
    </row>
    <row r="581" spans="1:6" x14ac:dyDescent="0.3">
      <c r="A581">
        <v>54</v>
      </c>
      <c r="B581">
        <v>118.51</v>
      </c>
      <c r="C581">
        <f t="shared" si="36"/>
        <v>6399.54</v>
      </c>
      <c r="D581">
        <f t="shared" si="37"/>
        <v>2916</v>
      </c>
      <c r="E581">
        <f t="shared" si="38"/>
        <v>14044.620100000002</v>
      </c>
      <c r="F581">
        <f t="shared" si="39"/>
        <v>2916</v>
      </c>
    </row>
    <row r="582" spans="1:6" x14ac:dyDescent="0.3">
      <c r="A582">
        <v>54</v>
      </c>
      <c r="B582">
        <v>107.47</v>
      </c>
      <c r="C582">
        <f t="shared" si="36"/>
        <v>5803.38</v>
      </c>
      <c r="D582">
        <f t="shared" si="37"/>
        <v>2916</v>
      </c>
      <c r="E582">
        <f t="shared" si="38"/>
        <v>11549.8009</v>
      </c>
      <c r="F582">
        <f t="shared" si="39"/>
        <v>2916</v>
      </c>
    </row>
    <row r="583" spans="1:6" x14ac:dyDescent="0.3">
      <c r="A583">
        <v>18</v>
      </c>
      <c r="B583">
        <v>182.86</v>
      </c>
      <c r="C583">
        <f t="shared" si="36"/>
        <v>3291.4800000000005</v>
      </c>
      <c r="D583">
        <f t="shared" si="37"/>
        <v>324</v>
      </c>
      <c r="E583">
        <f t="shared" si="38"/>
        <v>33437.779600000002</v>
      </c>
      <c r="F583">
        <f t="shared" si="39"/>
        <v>324</v>
      </c>
    </row>
    <row r="584" spans="1:6" x14ac:dyDescent="0.3">
      <c r="A584">
        <v>26</v>
      </c>
      <c r="B584">
        <v>59.17</v>
      </c>
      <c r="C584">
        <f t="shared" si="36"/>
        <v>1538.42</v>
      </c>
      <c r="D584">
        <f t="shared" si="37"/>
        <v>676</v>
      </c>
      <c r="E584">
        <f t="shared" si="38"/>
        <v>3501.0889000000002</v>
      </c>
      <c r="F584">
        <f t="shared" si="39"/>
        <v>676</v>
      </c>
    </row>
    <row r="585" spans="1:6" x14ac:dyDescent="0.3">
      <c r="A585">
        <v>72</v>
      </c>
      <c r="B585">
        <v>215.64</v>
      </c>
      <c r="C585">
        <f t="shared" si="36"/>
        <v>15526.079999999998</v>
      </c>
      <c r="D585">
        <f t="shared" si="37"/>
        <v>5184</v>
      </c>
      <c r="E585">
        <f t="shared" si="38"/>
        <v>46500.609599999996</v>
      </c>
      <c r="F585">
        <f t="shared" si="39"/>
        <v>5184</v>
      </c>
    </row>
    <row r="586" spans="1:6" x14ac:dyDescent="0.3">
      <c r="A586">
        <v>5</v>
      </c>
      <c r="B586">
        <v>163.69999999999999</v>
      </c>
      <c r="C586">
        <f t="shared" si="36"/>
        <v>818.5</v>
      </c>
      <c r="D586">
        <f t="shared" si="37"/>
        <v>25</v>
      </c>
      <c r="E586">
        <f t="shared" si="38"/>
        <v>26797.689999999995</v>
      </c>
      <c r="F586">
        <f t="shared" si="39"/>
        <v>25</v>
      </c>
    </row>
    <row r="587" spans="1:6" x14ac:dyDescent="0.3">
      <c r="A587">
        <v>65</v>
      </c>
      <c r="B587">
        <v>196.36</v>
      </c>
      <c r="C587">
        <f t="shared" si="36"/>
        <v>12763.400000000001</v>
      </c>
      <c r="D587">
        <f t="shared" si="37"/>
        <v>4225</v>
      </c>
      <c r="E587">
        <f t="shared" si="38"/>
        <v>38557.249600000003</v>
      </c>
      <c r="F587">
        <f t="shared" si="39"/>
        <v>4225</v>
      </c>
    </row>
    <row r="588" spans="1:6" x14ac:dyDescent="0.3">
      <c r="A588">
        <v>42</v>
      </c>
      <c r="B588">
        <v>139.77000000000001</v>
      </c>
      <c r="C588">
        <f t="shared" si="36"/>
        <v>5870.34</v>
      </c>
      <c r="D588">
        <f t="shared" si="37"/>
        <v>1764</v>
      </c>
      <c r="E588">
        <f t="shared" si="38"/>
        <v>19535.652900000005</v>
      </c>
      <c r="F588">
        <f t="shared" si="39"/>
        <v>1764</v>
      </c>
    </row>
    <row r="589" spans="1:6" x14ac:dyDescent="0.3">
      <c r="A589">
        <v>47</v>
      </c>
      <c r="B589">
        <v>141.22999999999999</v>
      </c>
      <c r="C589">
        <f t="shared" si="36"/>
        <v>6637.8099999999995</v>
      </c>
      <c r="D589">
        <f t="shared" si="37"/>
        <v>2209</v>
      </c>
      <c r="E589">
        <f t="shared" si="38"/>
        <v>19945.912899999996</v>
      </c>
      <c r="F589">
        <f t="shared" si="39"/>
        <v>2209</v>
      </c>
    </row>
    <row r="590" spans="1:6" x14ac:dyDescent="0.3">
      <c r="A590">
        <v>24</v>
      </c>
      <c r="B590">
        <v>89.99</v>
      </c>
      <c r="C590">
        <f t="shared" si="36"/>
        <v>2159.7599999999998</v>
      </c>
      <c r="D590">
        <f t="shared" si="37"/>
        <v>576</v>
      </c>
      <c r="E590">
        <f t="shared" si="38"/>
        <v>8098.2000999999991</v>
      </c>
      <c r="F590">
        <f t="shared" si="39"/>
        <v>576</v>
      </c>
    </row>
    <row r="591" spans="1:6" x14ac:dyDescent="0.3">
      <c r="A591">
        <v>57</v>
      </c>
      <c r="B591">
        <v>108.53</v>
      </c>
      <c r="C591">
        <f t="shared" si="36"/>
        <v>6186.21</v>
      </c>
      <c r="D591">
        <f t="shared" si="37"/>
        <v>3249</v>
      </c>
      <c r="E591">
        <f t="shared" si="38"/>
        <v>11778.760900000001</v>
      </c>
      <c r="F591">
        <f t="shared" si="39"/>
        <v>3249</v>
      </c>
    </row>
    <row r="592" spans="1:6" x14ac:dyDescent="0.3">
      <c r="A592">
        <v>51</v>
      </c>
      <c r="B592">
        <v>63.61</v>
      </c>
      <c r="C592">
        <f t="shared" si="36"/>
        <v>3244.11</v>
      </c>
      <c r="D592">
        <f t="shared" si="37"/>
        <v>2601</v>
      </c>
      <c r="E592">
        <f t="shared" si="38"/>
        <v>4046.2320999999997</v>
      </c>
      <c r="F592">
        <f t="shared" si="39"/>
        <v>2601</v>
      </c>
    </row>
    <row r="593" spans="1:6" x14ac:dyDescent="0.3">
      <c r="A593">
        <v>48</v>
      </c>
      <c r="B593">
        <v>85.54</v>
      </c>
      <c r="C593">
        <f t="shared" si="36"/>
        <v>4105.92</v>
      </c>
      <c r="D593">
        <f t="shared" si="37"/>
        <v>2304</v>
      </c>
      <c r="E593">
        <f t="shared" si="38"/>
        <v>7317.0916000000007</v>
      </c>
      <c r="F593">
        <f t="shared" si="39"/>
        <v>2304</v>
      </c>
    </row>
    <row r="594" spans="1:6" x14ac:dyDescent="0.3">
      <c r="A594">
        <v>56</v>
      </c>
      <c r="B594">
        <v>100.83</v>
      </c>
      <c r="C594">
        <f t="shared" si="36"/>
        <v>5646.48</v>
      </c>
      <c r="D594">
        <f t="shared" si="37"/>
        <v>3136</v>
      </c>
      <c r="E594">
        <f t="shared" si="38"/>
        <v>10166.688899999999</v>
      </c>
      <c r="F594">
        <f t="shared" si="39"/>
        <v>3136</v>
      </c>
    </row>
    <row r="595" spans="1:6" x14ac:dyDescent="0.3">
      <c r="A595">
        <v>30</v>
      </c>
      <c r="B595">
        <v>59.82</v>
      </c>
      <c r="C595">
        <f t="shared" si="36"/>
        <v>1794.6</v>
      </c>
      <c r="D595">
        <f t="shared" si="37"/>
        <v>900</v>
      </c>
      <c r="E595">
        <f t="shared" si="38"/>
        <v>3578.4324000000001</v>
      </c>
      <c r="F595">
        <f t="shared" si="39"/>
        <v>900</v>
      </c>
    </row>
    <row r="596" spans="1:6" x14ac:dyDescent="0.3">
      <c r="A596">
        <v>63</v>
      </c>
      <c r="B596">
        <v>105.95</v>
      </c>
      <c r="C596">
        <f t="shared" si="36"/>
        <v>6674.85</v>
      </c>
      <c r="D596">
        <f t="shared" si="37"/>
        <v>3969</v>
      </c>
      <c r="E596">
        <f t="shared" si="38"/>
        <v>11225.4025</v>
      </c>
      <c r="F596">
        <f t="shared" si="39"/>
        <v>3969</v>
      </c>
    </row>
    <row r="597" spans="1:6" x14ac:dyDescent="0.3">
      <c r="A597">
        <v>46</v>
      </c>
      <c r="B597">
        <v>188.11</v>
      </c>
      <c r="C597">
        <f t="shared" si="36"/>
        <v>8653.0600000000013</v>
      </c>
      <c r="D597">
        <f t="shared" si="37"/>
        <v>2116</v>
      </c>
      <c r="E597">
        <f t="shared" si="38"/>
        <v>35385.372100000008</v>
      </c>
      <c r="F597">
        <f t="shared" si="39"/>
        <v>2116</v>
      </c>
    </row>
    <row r="598" spans="1:6" x14ac:dyDescent="0.3">
      <c r="A598">
        <v>53</v>
      </c>
      <c r="B598">
        <v>71.150000000000006</v>
      </c>
      <c r="C598">
        <f t="shared" si="36"/>
        <v>3770.9500000000003</v>
      </c>
      <c r="D598">
        <f t="shared" si="37"/>
        <v>2809</v>
      </c>
      <c r="E598">
        <f t="shared" si="38"/>
        <v>5062.3225000000011</v>
      </c>
      <c r="F598">
        <f t="shared" si="39"/>
        <v>2809</v>
      </c>
    </row>
    <row r="599" spans="1:6" x14ac:dyDescent="0.3">
      <c r="A599">
        <v>1.08</v>
      </c>
      <c r="B599">
        <v>60.53</v>
      </c>
      <c r="C599">
        <f t="shared" si="36"/>
        <v>65.372399999999999</v>
      </c>
      <c r="D599">
        <f t="shared" si="37"/>
        <v>1.1664000000000001</v>
      </c>
      <c r="E599">
        <f t="shared" si="38"/>
        <v>3663.8809000000001</v>
      </c>
      <c r="F599">
        <f t="shared" si="39"/>
        <v>1.1664000000000001</v>
      </c>
    </row>
    <row r="600" spans="1:6" x14ac:dyDescent="0.3">
      <c r="A600">
        <v>15</v>
      </c>
      <c r="B600">
        <v>205.5</v>
      </c>
      <c r="C600">
        <f t="shared" si="36"/>
        <v>3082.5</v>
      </c>
      <c r="D600">
        <f t="shared" si="37"/>
        <v>225</v>
      </c>
      <c r="E600">
        <f t="shared" si="38"/>
        <v>42230.25</v>
      </c>
      <c r="F600">
        <f t="shared" si="39"/>
        <v>225</v>
      </c>
    </row>
    <row r="601" spans="1:6" x14ac:dyDescent="0.3">
      <c r="A601">
        <v>59</v>
      </c>
      <c r="B601">
        <v>204.86</v>
      </c>
      <c r="C601">
        <f t="shared" si="36"/>
        <v>12086.740000000002</v>
      </c>
      <c r="D601">
        <f t="shared" si="37"/>
        <v>3481</v>
      </c>
      <c r="E601">
        <f t="shared" si="38"/>
        <v>41967.619600000005</v>
      </c>
      <c r="F601">
        <f t="shared" si="39"/>
        <v>3481</v>
      </c>
    </row>
    <row r="602" spans="1:6" x14ac:dyDescent="0.3">
      <c r="A602">
        <v>24</v>
      </c>
      <c r="B602">
        <v>115.03</v>
      </c>
      <c r="C602">
        <f t="shared" si="36"/>
        <v>2760.7200000000003</v>
      </c>
      <c r="D602">
        <f t="shared" si="37"/>
        <v>576</v>
      </c>
      <c r="E602">
        <f t="shared" si="38"/>
        <v>13231.900900000001</v>
      </c>
      <c r="F602">
        <f t="shared" si="39"/>
        <v>576</v>
      </c>
    </row>
    <row r="603" spans="1:6" x14ac:dyDescent="0.3">
      <c r="A603">
        <v>53</v>
      </c>
      <c r="B603">
        <v>79.87</v>
      </c>
      <c r="C603">
        <f t="shared" si="36"/>
        <v>4233.1100000000006</v>
      </c>
      <c r="D603">
        <f t="shared" si="37"/>
        <v>2809</v>
      </c>
      <c r="E603">
        <f t="shared" si="38"/>
        <v>6379.2169000000004</v>
      </c>
      <c r="F603">
        <f t="shared" si="39"/>
        <v>2809</v>
      </c>
    </row>
    <row r="604" spans="1:6" x14ac:dyDescent="0.3">
      <c r="A604">
        <v>39</v>
      </c>
      <c r="B604">
        <v>97.89</v>
      </c>
      <c r="C604">
        <f t="shared" si="36"/>
        <v>3817.71</v>
      </c>
      <c r="D604">
        <f t="shared" si="37"/>
        <v>1521</v>
      </c>
      <c r="E604">
        <f t="shared" si="38"/>
        <v>9582.4521000000004</v>
      </c>
      <c r="F604">
        <f t="shared" si="39"/>
        <v>1521</v>
      </c>
    </row>
    <row r="605" spans="1:6" x14ac:dyDescent="0.3">
      <c r="A605">
        <v>23</v>
      </c>
      <c r="B605">
        <v>125.26</v>
      </c>
      <c r="C605">
        <f t="shared" si="36"/>
        <v>2880.98</v>
      </c>
      <c r="D605">
        <f t="shared" si="37"/>
        <v>529</v>
      </c>
      <c r="E605">
        <f t="shared" si="38"/>
        <v>15690.067600000002</v>
      </c>
      <c r="F605">
        <f t="shared" si="39"/>
        <v>529</v>
      </c>
    </row>
    <row r="606" spans="1:6" x14ac:dyDescent="0.3">
      <c r="A606">
        <v>31</v>
      </c>
      <c r="B606">
        <v>114.32</v>
      </c>
      <c r="C606">
        <f t="shared" si="36"/>
        <v>3543.9199999999996</v>
      </c>
      <c r="D606">
        <f t="shared" si="37"/>
        <v>961</v>
      </c>
      <c r="E606">
        <f t="shared" si="38"/>
        <v>13069.062399999999</v>
      </c>
      <c r="F606">
        <f t="shared" si="39"/>
        <v>961</v>
      </c>
    </row>
    <row r="607" spans="1:6" x14ac:dyDescent="0.3">
      <c r="A607">
        <v>5</v>
      </c>
      <c r="B607">
        <v>92.23</v>
      </c>
      <c r="C607">
        <f t="shared" si="36"/>
        <v>461.15000000000003</v>
      </c>
      <c r="D607">
        <f t="shared" si="37"/>
        <v>25</v>
      </c>
      <c r="E607">
        <f t="shared" si="38"/>
        <v>8506.3729000000003</v>
      </c>
      <c r="F607">
        <f t="shared" si="39"/>
        <v>25</v>
      </c>
    </row>
    <row r="608" spans="1:6" x14ac:dyDescent="0.3">
      <c r="A608">
        <v>44</v>
      </c>
      <c r="B608">
        <v>83.51</v>
      </c>
      <c r="C608">
        <f t="shared" si="36"/>
        <v>3674.44</v>
      </c>
      <c r="D608">
        <f t="shared" si="37"/>
        <v>1936</v>
      </c>
      <c r="E608">
        <f t="shared" si="38"/>
        <v>6973.9201000000012</v>
      </c>
      <c r="F608">
        <f t="shared" si="39"/>
        <v>1936</v>
      </c>
    </row>
    <row r="609" spans="1:6" x14ac:dyDescent="0.3">
      <c r="A609">
        <v>1.8</v>
      </c>
      <c r="B609">
        <v>102.34</v>
      </c>
      <c r="C609">
        <f t="shared" si="36"/>
        <v>184.21200000000002</v>
      </c>
      <c r="D609">
        <f t="shared" si="37"/>
        <v>3.24</v>
      </c>
      <c r="E609">
        <f t="shared" si="38"/>
        <v>10473.475600000002</v>
      </c>
      <c r="F609">
        <f t="shared" si="39"/>
        <v>3.24</v>
      </c>
    </row>
    <row r="610" spans="1:6" x14ac:dyDescent="0.3">
      <c r="A610">
        <v>40</v>
      </c>
      <c r="B610">
        <v>144.47999999999999</v>
      </c>
      <c r="C610">
        <f t="shared" si="36"/>
        <v>5779.2</v>
      </c>
      <c r="D610">
        <f t="shared" si="37"/>
        <v>1600</v>
      </c>
      <c r="E610">
        <f t="shared" si="38"/>
        <v>20874.470399999998</v>
      </c>
      <c r="F610">
        <f t="shared" si="39"/>
        <v>1600</v>
      </c>
    </row>
    <row r="611" spans="1:6" x14ac:dyDescent="0.3">
      <c r="A611">
        <v>7</v>
      </c>
      <c r="B611">
        <v>88.39</v>
      </c>
      <c r="C611">
        <f t="shared" si="36"/>
        <v>618.73</v>
      </c>
      <c r="D611">
        <f t="shared" si="37"/>
        <v>49</v>
      </c>
      <c r="E611">
        <f t="shared" si="38"/>
        <v>7812.7920999999997</v>
      </c>
      <c r="F611">
        <f t="shared" si="39"/>
        <v>49</v>
      </c>
    </row>
    <row r="612" spans="1:6" x14ac:dyDescent="0.3">
      <c r="A612">
        <v>56</v>
      </c>
      <c r="B612">
        <v>228.08</v>
      </c>
      <c r="C612">
        <f t="shared" si="36"/>
        <v>12772.480000000001</v>
      </c>
      <c r="D612">
        <f t="shared" si="37"/>
        <v>3136</v>
      </c>
      <c r="E612">
        <f t="shared" si="38"/>
        <v>52020.486400000009</v>
      </c>
      <c r="F612">
        <f t="shared" si="39"/>
        <v>3136</v>
      </c>
    </row>
    <row r="613" spans="1:6" x14ac:dyDescent="0.3">
      <c r="A613">
        <v>42</v>
      </c>
      <c r="B613">
        <v>93.79</v>
      </c>
      <c r="C613">
        <f t="shared" si="36"/>
        <v>3939.1800000000003</v>
      </c>
      <c r="D613">
        <f t="shared" si="37"/>
        <v>1764</v>
      </c>
      <c r="E613">
        <f t="shared" si="38"/>
        <v>8796.5641000000014</v>
      </c>
      <c r="F613">
        <f t="shared" si="39"/>
        <v>1764</v>
      </c>
    </row>
    <row r="614" spans="1:6" x14ac:dyDescent="0.3">
      <c r="A614">
        <v>48</v>
      </c>
      <c r="B614">
        <v>147.13999999999999</v>
      </c>
      <c r="C614">
        <f t="shared" si="36"/>
        <v>7062.7199999999993</v>
      </c>
      <c r="D614">
        <f t="shared" si="37"/>
        <v>2304</v>
      </c>
      <c r="E614">
        <f t="shared" si="38"/>
        <v>21650.179599999996</v>
      </c>
      <c r="F614">
        <f t="shared" si="39"/>
        <v>2304</v>
      </c>
    </row>
    <row r="615" spans="1:6" x14ac:dyDescent="0.3">
      <c r="A615">
        <v>82</v>
      </c>
      <c r="B615">
        <v>106.43</v>
      </c>
      <c r="C615">
        <f t="shared" si="36"/>
        <v>8727.26</v>
      </c>
      <c r="D615">
        <f t="shared" si="37"/>
        <v>6724</v>
      </c>
      <c r="E615">
        <f t="shared" si="38"/>
        <v>11327.344900000002</v>
      </c>
      <c r="F615">
        <f t="shared" si="39"/>
        <v>6724</v>
      </c>
    </row>
    <row r="616" spans="1:6" x14ac:dyDescent="0.3">
      <c r="A616">
        <v>52</v>
      </c>
      <c r="B616">
        <v>88.04</v>
      </c>
      <c r="C616">
        <f t="shared" si="36"/>
        <v>4578.08</v>
      </c>
      <c r="D616">
        <f t="shared" si="37"/>
        <v>2704</v>
      </c>
      <c r="E616">
        <f t="shared" si="38"/>
        <v>7751.0416000000014</v>
      </c>
      <c r="F616">
        <f t="shared" si="39"/>
        <v>2704</v>
      </c>
    </row>
    <row r="617" spans="1:6" x14ac:dyDescent="0.3">
      <c r="A617">
        <v>42</v>
      </c>
      <c r="B617">
        <v>92.2</v>
      </c>
      <c r="C617">
        <f t="shared" si="36"/>
        <v>3872.4</v>
      </c>
      <c r="D617">
        <f t="shared" si="37"/>
        <v>1764</v>
      </c>
      <c r="E617">
        <f t="shared" si="38"/>
        <v>8500.84</v>
      </c>
      <c r="F617">
        <f t="shared" si="39"/>
        <v>1764</v>
      </c>
    </row>
    <row r="618" spans="1:6" x14ac:dyDescent="0.3">
      <c r="A618">
        <v>73</v>
      </c>
      <c r="B618">
        <v>219.53</v>
      </c>
      <c r="C618">
        <f t="shared" si="36"/>
        <v>16025.69</v>
      </c>
      <c r="D618">
        <f t="shared" si="37"/>
        <v>5329</v>
      </c>
      <c r="E618">
        <f t="shared" si="38"/>
        <v>48193.420899999997</v>
      </c>
      <c r="F618">
        <f t="shared" si="39"/>
        <v>5329</v>
      </c>
    </row>
    <row r="619" spans="1:6" x14ac:dyDescent="0.3">
      <c r="A619">
        <v>55</v>
      </c>
      <c r="B619">
        <v>75.56</v>
      </c>
      <c r="C619">
        <f t="shared" si="36"/>
        <v>4155.8</v>
      </c>
      <c r="D619">
        <f t="shared" si="37"/>
        <v>3025</v>
      </c>
      <c r="E619">
        <f t="shared" si="38"/>
        <v>5709.3136000000004</v>
      </c>
      <c r="F619">
        <f t="shared" si="39"/>
        <v>3025</v>
      </c>
    </row>
    <row r="620" spans="1:6" x14ac:dyDescent="0.3">
      <c r="A620">
        <v>50</v>
      </c>
      <c r="B620">
        <v>158.31</v>
      </c>
      <c r="C620">
        <f t="shared" si="36"/>
        <v>7915.5</v>
      </c>
      <c r="D620">
        <f t="shared" si="37"/>
        <v>2500</v>
      </c>
      <c r="E620">
        <f t="shared" si="38"/>
        <v>25062.056100000002</v>
      </c>
      <c r="F620">
        <f t="shared" si="39"/>
        <v>2500</v>
      </c>
    </row>
    <row r="621" spans="1:6" x14ac:dyDescent="0.3">
      <c r="A621">
        <v>43</v>
      </c>
      <c r="B621">
        <v>111.43</v>
      </c>
      <c r="C621">
        <f t="shared" si="36"/>
        <v>4791.4900000000007</v>
      </c>
      <c r="D621">
        <f t="shared" si="37"/>
        <v>1849</v>
      </c>
      <c r="E621">
        <f t="shared" si="38"/>
        <v>12416.644900000001</v>
      </c>
      <c r="F621">
        <f t="shared" si="39"/>
        <v>1849</v>
      </c>
    </row>
    <row r="622" spans="1:6" x14ac:dyDescent="0.3">
      <c r="A622">
        <v>33</v>
      </c>
      <c r="B622">
        <v>219.97</v>
      </c>
      <c r="C622">
        <f t="shared" si="36"/>
        <v>7259.01</v>
      </c>
      <c r="D622">
        <f t="shared" si="37"/>
        <v>1089</v>
      </c>
      <c r="E622">
        <f t="shared" si="38"/>
        <v>48386.800900000002</v>
      </c>
      <c r="F622">
        <f t="shared" si="39"/>
        <v>1089</v>
      </c>
    </row>
    <row r="623" spans="1:6" x14ac:dyDescent="0.3">
      <c r="A623">
        <v>80</v>
      </c>
      <c r="B623">
        <v>148.91</v>
      </c>
      <c r="C623">
        <f t="shared" si="36"/>
        <v>11912.8</v>
      </c>
      <c r="D623">
        <f t="shared" si="37"/>
        <v>6400</v>
      </c>
      <c r="E623">
        <f t="shared" si="38"/>
        <v>22174.188099999999</v>
      </c>
      <c r="F623">
        <f t="shared" si="39"/>
        <v>6400</v>
      </c>
    </row>
    <row r="624" spans="1:6" x14ac:dyDescent="0.3">
      <c r="A624">
        <v>33</v>
      </c>
      <c r="B624">
        <v>69.400000000000006</v>
      </c>
      <c r="C624">
        <f t="shared" si="36"/>
        <v>2290.2000000000003</v>
      </c>
      <c r="D624">
        <f t="shared" si="37"/>
        <v>1089</v>
      </c>
      <c r="E624">
        <f t="shared" si="38"/>
        <v>4816.3600000000006</v>
      </c>
      <c r="F624">
        <f t="shared" si="39"/>
        <v>1089</v>
      </c>
    </row>
    <row r="625" spans="1:6" x14ac:dyDescent="0.3">
      <c r="A625">
        <v>74</v>
      </c>
      <c r="B625">
        <v>68.34</v>
      </c>
      <c r="C625">
        <f t="shared" si="36"/>
        <v>5057.16</v>
      </c>
      <c r="D625">
        <f t="shared" si="37"/>
        <v>5476</v>
      </c>
      <c r="E625">
        <f t="shared" si="38"/>
        <v>4670.3556000000008</v>
      </c>
      <c r="F625">
        <f t="shared" si="39"/>
        <v>5476</v>
      </c>
    </row>
    <row r="626" spans="1:6" x14ac:dyDescent="0.3">
      <c r="A626">
        <v>65</v>
      </c>
      <c r="B626">
        <v>58.37</v>
      </c>
      <c r="C626">
        <f t="shared" si="36"/>
        <v>3794.0499999999997</v>
      </c>
      <c r="D626">
        <f t="shared" si="37"/>
        <v>4225</v>
      </c>
      <c r="E626">
        <f t="shared" si="38"/>
        <v>3407.0568999999996</v>
      </c>
      <c r="F626">
        <f t="shared" si="39"/>
        <v>4225</v>
      </c>
    </row>
    <row r="627" spans="1:6" x14ac:dyDescent="0.3">
      <c r="A627">
        <v>40</v>
      </c>
      <c r="B627">
        <v>71.2</v>
      </c>
      <c r="C627">
        <f t="shared" si="36"/>
        <v>2848</v>
      </c>
      <c r="D627">
        <f t="shared" si="37"/>
        <v>1600</v>
      </c>
      <c r="E627">
        <f t="shared" si="38"/>
        <v>5069.4400000000005</v>
      </c>
      <c r="F627">
        <f t="shared" si="39"/>
        <v>1600</v>
      </c>
    </row>
    <row r="628" spans="1:6" x14ac:dyDescent="0.3">
      <c r="A628">
        <v>52</v>
      </c>
      <c r="B628">
        <v>101.5</v>
      </c>
      <c r="C628">
        <f t="shared" si="36"/>
        <v>5278</v>
      </c>
      <c r="D628">
        <f t="shared" si="37"/>
        <v>2704</v>
      </c>
      <c r="E628">
        <f t="shared" si="38"/>
        <v>10302.25</v>
      </c>
      <c r="F628">
        <f t="shared" si="39"/>
        <v>2704</v>
      </c>
    </row>
    <row r="629" spans="1:6" x14ac:dyDescent="0.3">
      <c r="A629">
        <v>66</v>
      </c>
      <c r="B629">
        <v>92.04</v>
      </c>
      <c r="C629">
        <f t="shared" si="36"/>
        <v>6074.64</v>
      </c>
      <c r="D629">
        <f t="shared" si="37"/>
        <v>4356</v>
      </c>
      <c r="E629">
        <f t="shared" si="38"/>
        <v>8471.361600000002</v>
      </c>
      <c r="F629">
        <f t="shared" si="39"/>
        <v>4356</v>
      </c>
    </row>
    <row r="630" spans="1:6" x14ac:dyDescent="0.3">
      <c r="A630">
        <v>20</v>
      </c>
      <c r="B630">
        <v>73</v>
      </c>
      <c r="C630">
        <f t="shared" si="36"/>
        <v>1460</v>
      </c>
      <c r="D630">
        <f t="shared" si="37"/>
        <v>400</v>
      </c>
      <c r="E630">
        <f t="shared" si="38"/>
        <v>5329</v>
      </c>
      <c r="F630">
        <f t="shared" si="39"/>
        <v>400</v>
      </c>
    </row>
    <row r="631" spans="1:6" x14ac:dyDescent="0.3">
      <c r="A631">
        <v>51</v>
      </c>
      <c r="B631">
        <v>111.15</v>
      </c>
      <c r="C631">
        <f t="shared" si="36"/>
        <v>5668.6500000000005</v>
      </c>
      <c r="D631">
        <f t="shared" si="37"/>
        <v>2601</v>
      </c>
      <c r="E631">
        <f t="shared" si="38"/>
        <v>12354.322500000002</v>
      </c>
      <c r="F631">
        <f t="shared" si="39"/>
        <v>2601</v>
      </c>
    </row>
    <row r="632" spans="1:6" x14ac:dyDescent="0.3">
      <c r="A632">
        <v>60</v>
      </c>
      <c r="B632">
        <v>58.65</v>
      </c>
      <c r="C632">
        <f t="shared" si="36"/>
        <v>3519</v>
      </c>
      <c r="D632">
        <f t="shared" si="37"/>
        <v>3600</v>
      </c>
      <c r="E632">
        <f t="shared" si="38"/>
        <v>3439.8224999999998</v>
      </c>
      <c r="F632">
        <f t="shared" si="39"/>
        <v>3600</v>
      </c>
    </row>
    <row r="633" spans="1:6" x14ac:dyDescent="0.3">
      <c r="A633">
        <v>59</v>
      </c>
      <c r="B633">
        <v>100.54</v>
      </c>
      <c r="C633">
        <f t="shared" si="36"/>
        <v>5931.8600000000006</v>
      </c>
      <c r="D633">
        <f t="shared" si="37"/>
        <v>3481</v>
      </c>
      <c r="E633">
        <f t="shared" si="38"/>
        <v>10108.2916</v>
      </c>
      <c r="F633">
        <f t="shared" si="39"/>
        <v>3481</v>
      </c>
    </row>
    <row r="634" spans="1:6" x14ac:dyDescent="0.3">
      <c r="A634">
        <v>58</v>
      </c>
      <c r="B634">
        <v>111.73</v>
      </c>
      <c r="C634">
        <f t="shared" si="36"/>
        <v>6480.34</v>
      </c>
      <c r="D634">
        <f t="shared" si="37"/>
        <v>3364</v>
      </c>
      <c r="E634">
        <f t="shared" si="38"/>
        <v>12483.592900000001</v>
      </c>
      <c r="F634">
        <f t="shared" si="39"/>
        <v>3364</v>
      </c>
    </row>
    <row r="635" spans="1:6" x14ac:dyDescent="0.3">
      <c r="A635">
        <v>42</v>
      </c>
      <c r="B635">
        <v>97.78</v>
      </c>
      <c r="C635">
        <f t="shared" si="36"/>
        <v>4106.76</v>
      </c>
      <c r="D635">
        <f t="shared" si="37"/>
        <v>1764</v>
      </c>
      <c r="E635">
        <f t="shared" si="38"/>
        <v>9560.9284000000007</v>
      </c>
      <c r="F635">
        <f t="shared" si="39"/>
        <v>1764</v>
      </c>
    </row>
    <row r="636" spans="1:6" x14ac:dyDescent="0.3">
      <c r="A636">
        <v>28</v>
      </c>
      <c r="B636">
        <v>85.79</v>
      </c>
      <c r="C636">
        <f t="shared" si="36"/>
        <v>2402.1200000000003</v>
      </c>
      <c r="D636">
        <f t="shared" si="37"/>
        <v>784</v>
      </c>
      <c r="E636">
        <f t="shared" si="38"/>
        <v>7359.9241000000011</v>
      </c>
      <c r="F636">
        <f t="shared" si="39"/>
        <v>784</v>
      </c>
    </row>
    <row r="637" spans="1:6" x14ac:dyDescent="0.3">
      <c r="A637">
        <v>57</v>
      </c>
      <c r="B637">
        <v>98.54</v>
      </c>
      <c r="C637">
        <f t="shared" si="36"/>
        <v>5616.7800000000007</v>
      </c>
      <c r="D637">
        <f t="shared" si="37"/>
        <v>3249</v>
      </c>
      <c r="E637">
        <f t="shared" si="38"/>
        <v>9710.1316000000006</v>
      </c>
      <c r="F637">
        <f t="shared" si="39"/>
        <v>3249</v>
      </c>
    </row>
    <row r="638" spans="1:6" x14ac:dyDescent="0.3">
      <c r="A638">
        <v>66</v>
      </c>
      <c r="B638">
        <v>94.62</v>
      </c>
      <c r="C638">
        <f t="shared" si="36"/>
        <v>6244.92</v>
      </c>
      <c r="D638">
        <f t="shared" si="37"/>
        <v>4356</v>
      </c>
      <c r="E638">
        <f t="shared" si="38"/>
        <v>8952.9444000000003</v>
      </c>
      <c r="F638">
        <f t="shared" si="39"/>
        <v>4356</v>
      </c>
    </row>
    <row r="639" spans="1:6" x14ac:dyDescent="0.3">
      <c r="A639">
        <v>56</v>
      </c>
      <c r="B639">
        <v>112.43</v>
      </c>
      <c r="C639">
        <f t="shared" si="36"/>
        <v>6296.08</v>
      </c>
      <c r="D639">
        <f t="shared" si="37"/>
        <v>3136</v>
      </c>
      <c r="E639">
        <f t="shared" si="38"/>
        <v>12640.504900000002</v>
      </c>
      <c r="F639">
        <f t="shared" si="39"/>
        <v>3136</v>
      </c>
    </row>
    <row r="640" spans="1:6" x14ac:dyDescent="0.3">
      <c r="A640">
        <v>48</v>
      </c>
      <c r="B640">
        <v>99.67</v>
      </c>
      <c r="C640">
        <f t="shared" si="36"/>
        <v>4784.16</v>
      </c>
      <c r="D640">
        <f t="shared" si="37"/>
        <v>2304</v>
      </c>
      <c r="E640">
        <f t="shared" si="38"/>
        <v>9934.1089000000011</v>
      </c>
      <c r="F640">
        <f t="shared" si="39"/>
        <v>2304</v>
      </c>
    </row>
    <row r="641" spans="1:6" x14ac:dyDescent="0.3">
      <c r="A641">
        <v>37</v>
      </c>
      <c r="B641">
        <v>67.39</v>
      </c>
      <c r="C641">
        <f t="shared" si="36"/>
        <v>2493.4299999999998</v>
      </c>
      <c r="D641">
        <f t="shared" si="37"/>
        <v>1369</v>
      </c>
      <c r="E641">
        <f t="shared" si="38"/>
        <v>4541.4121000000005</v>
      </c>
      <c r="F641">
        <f t="shared" si="39"/>
        <v>1369</v>
      </c>
    </row>
    <row r="642" spans="1:6" x14ac:dyDescent="0.3">
      <c r="A642">
        <v>27</v>
      </c>
      <c r="B642">
        <v>95.12</v>
      </c>
      <c r="C642">
        <f t="shared" si="36"/>
        <v>2568.2400000000002</v>
      </c>
      <c r="D642">
        <f t="shared" si="37"/>
        <v>729</v>
      </c>
      <c r="E642">
        <f t="shared" si="38"/>
        <v>9047.8144000000011</v>
      </c>
      <c r="F642">
        <f t="shared" si="39"/>
        <v>729</v>
      </c>
    </row>
    <row r="643" spans="1:6" x14ac:dyDescent="0.3">
      <c r="A643">
        <v>15</v>
      </c>
      <c r="B643">
        <v>85.06</v>
      </c>
      <c r="C643">
        <f t="shared" ref="C643:C706" si="40">A643*B643</f>
        <v>1275.9000000000001</v>
      </c>
      <c r="D643">
        <f t="shared" ref="D643:D706" si="41">A643*A643</f>
        <v>225</v>
      </c>
      <c r="E643">
        <f t="shared" ref="E643:E706" si="42">B643*B643</f>
        <v>7235.2036000000007</v>
      </c>
      <c r="F643">
        <f t="shared" ref="F643:F706" si="43">A643^2</f>
        <v>225</v>
      </c>
    </row>
    <row r="644" spans="1:6" x14ac:dyDescent="0.3">
      <c r="A644">
        <v>61</v>
      </c>
      <c r="B644">
        <v>214.05</v>
      </c>
      <c r="C644">
        <f t="shared" si="40"/>
        <v>13057.050000000001</v>
      </c>
      <c r="D644">
        <f t="shared" si="41"/>
        <v>3721</v>
      </c>
      <c r="E644">
        <f t="shared" si="42"/>
        <v>45817.402500000004</v>
      </c>
      <c r="F644">
        <f t="shared" si="43"/>
        <v>3721</v>
      </c>
    </row>
    <row r="645" spans="1:6" x14ac:dyDescent="0.3">
      <c r="A645">
        <v>80</v>
      </c>
      <c r="B645">
        <v>79.09</v>
      </c>
      <c r="C645">
        <f t="shared" si="40"/>
        <v>6327.2000000000007</v>
      </c>
      <c r="D645">
        <f t="shared" si="41"/>
        <v>6400</v>
      </c>
      <c r="E645">
        <f t="shared" si="42"/>
        <v>6255.2281000000003</v>
      </c>
      <c r="F645">
        <f t="shared" si="43"/>
        <v>6400</v>
      </c>
    </row>
    <row r="646" spans="1:6" x14ac:dyDescent="0.3">
      <c r="A646">
        <v>43</v>
      </c>
      <c r="B646">
        <v>98.09</v>
      </c>
      <c r="C646">
        <f t="shared" si="40"/>
        <v>4217.87</v>
      </c>
      <c r="D646">
        <f t="shared" si="41"/>
        <v>1849</v>
      </c>
      <c r="E646">
        <f t="shared" si="42"/>
        <v>9621.6481000000003</v>
      </c>
      <c r="F646">
        <f t="shared" si="43"/>
        <v>1849</v>
      </c>
    </row>
    <row r="647" spans="1:6" x14ac:dyDescent="0.3">
      <c r="A647">
        <v>53</v>
      </c>
      <c r="B647">
        <v>76.36</v>
      </c>
      <c r="C647">
        <f t="shared" si="40"/>
        <v>4047.08</v>
      </c>
      <c r="D647">
        <f t="shared" si="41"/>
        <v>2809</v>
      </c>
      <c r="E647">
        <f t="shared" si="42"/>
        <v>5830.8495999999996</v>
      </c>
      <c r="F647">
        <f t="shared" si="43"/>
        <v>2809</v>
      </c>
    </row>
    <row r="648" spans="1:6" x14ac:dyDescent="0.3">
      <c r="A648">
        <v>70</v>
      </c>
      <c r="B648">
        <v>98.42</v>
      </c>
      <c r="C648">
        <f t="shared" si="40"/>
        <v>6889.4000000000005</v>
      </c>
      <c r="D648">
        <f t="shared" si="41"/>
        <v>4900</v>
      </c>
      <c r="E648">
        <f t="shared" si="42"/>
        <v>9686.4964</v>
      </c>
      <c r="F648">
        <f t="shared" si="43"/>
        <v>4900</v>
      </c>
    </row>
    <row r="649" spans="1:6" x14ac:dyDescent="0.3">
      <c r="A649">
        <v>58</v>
      </c>
      <c r="B649">
        <v>82.01</v>
      </c>
      <c r="C649">
        <f t="shared" si="40"/>
        <v>4756.58</v>
      </c>
      <c r="D649">
        <f t="shared" si="41"/>
        <v>3364</v>
      </c>
      <c r="E649">
        <f t="shared" si="42"/>
        <v>6725.6401000000005</v>
      </c>
      <c r="F649">
        <f t="shared" si="43"/>
        <v>3364</v>
      </c>
    </row>
    <row r="650" spans="1:6" x14ac:dyDescent="0.3">
      <c r="A650">
        <v>49</v>
      </c>
      <c r="B650">
        <v>56.11</v>
      </c>
      <c r="C650">
        <f t="shared" si="40"/>
        <v>2749.39</v>
      </c>
      <c r="D650">
        <f t="shared" si="41"/>
        <v>2401</v>
      </c>
      <c r="E650">
        <f t="shared" si="42"/>
        <v>3148.3321000000001</v>
      </c>
      <c r="F650">
        <f t="shared" si="43"/>
        <v>2401</v>
      </c>
    </row>
    <row r="651" spans="1:6" x14ac:dyDescent="0.3">
      <c r="A651">
        <v>65</v>
      </c>
      <c r="B651">
        <v>111.85</v>
      </c>
      <c r="C651">
        <f t="shared" si="40"/>
        <v>7270.25</v>
      </c>
      <c r="D651">
        <f t="shared" si="41"/>
        <v>4225</v>
      </c>
      <c r="E651">
        <f t="shared" si="42"/>
        <v>12510.422499999999</v>
      </c>
      <c r="F651">
        <f t="shared" si="43"/>
        <v>4225</v>
      </c>
    </row>
    <row r="652" spans="1:6" x14ac:dyDescent="0.3">
      <c r="A652">
        <v>54</v>
      </c>
      <c r="B652">
        <v>92.39</v>
      </c>
      <c r="C652">
        <f t="shared" si="40"/>
        <v>4989.0600000000004</v>
      </c>
      <c r="D652">
        <f t="shared" si="41"/>
        <v>2916</v>
      </c>
      <c r="E652">
        <f t="shared" si="42"/>
        <v>8535.9120999999996</v>
      </c>
      <c r="F652">
        <f t="shared" si="43"/>
        <v>2916</v>
      </c>
    </row>
    <row r="653" spans="1:6" x14ac:dyDescent="0.3">
      <c r="A653">
        <v>74</v>
      </c>
      <c r="B653">
        <v>112.54</v>
      </c>
      <c r="C653">
        <f t="shared" si="40"/>
        <v>8327.9600000000009</v>
      </c>
      <c r="D653">
        <f t="shared" si="41"/>
        <v>5476</v>
      </c>
      <c r="E653">
        <f t="shared" si="42"/>
        <v>12665.251600000001</v>
      </c>
      <c r="F653">
        <f t="shared" si="43"/>
        <v>5476</v>
      </c>
    </row>
    <row r="654" spans="1:6" x14ac:dyDescent="0.3">
      <c r="A654">
        <v>56</v>
      </c>
      <c r="B654">
        <v>63.71</v>
      </c>
      <c r="C654">
        <f t="shared" si="40"/>
        <v>3567.76</v>
      </c>
      <c r="D654">
        <f t="shared" si="41"/>
        <v>3136</v>
      </c>
      <c r="E654">
        <f t="shared" si="42"/>
        <v>4058.9641000000001</v>
      </c>
      <c r="F654">
        <f t="shared" si="43"/>
        <v>3136</v>
      </c>
    </row>
    <row r="655" spans="1:6" x14ac:dyDescent="0.3">
      <c r="A655">
        <v>79</v>
      </c>
      <c r="B655">
        <v>70.349999999999994</v>
      </c>
      <c r="C655">
        <f t="shared" si="40"/>
        <v>5557.65</v>
      </c>
      <c r="D655">
        <f t="shared" si="41"/>
        <v>6241</v>
      </c>
      <c r="E655">
        <f t="shared" si="42"/>
        <v>4949.1224999999995</v>
      </c>
      <c r="F655">
        <f t="shared" si="43"/>
        <v>6241</v>
      </c>
    </row>
    <row r="656" spans="1:6" x14ac:dyDescent="0.3">
      <c r="A656">
        <v>71</v>
      </c>
      <c r="B656">
        <v>94.65</v>
      </c>
      <c r="C656">
        <f t="shared" si="40"/>
        <v>6720.1500000000005</v>
      </c>
      <c r="D656">
        <f t="shared" si="41"/>
        <v>5041</v>
      </c>
      <c r="E656">
        <f t="shared" si="42"/>
        <v>8958.6225000000013</v>
      </c>
      <c r="F656">
        <f t="shared" si="43"/>
        <v>5041</v>
      </c>
    </row>
    <row r="657" spans="1:6" x14ac:dyDescent="0.3">
      <c r="A657">
        <v>28</v>
      </c>
      <c r="B657">
        <v>64.64</v>
      </c>
      <c r="C657">
        <f t="shared" si="40"/>
        <v>1809.92</v>
      </c>
      <c r="D657">
        <f t="shared" si="41"/>
        <v>784</v>
      </c>
      <c r="E657">
        <f t="shared" si="42"/>
        <v>4178.3296</v>
      </c>
      <c r="F657">
        <f t="shared" si="43"/>
        <v>784</v>
      </c>
    </row>
    <row r="658" spans="1:6" x14ac:dyDescent="0.3">
      <c r="A658">
        <v>9</v>
      </c>
      <c r="B658">
        <v>57.27</v>
      </c>
      <c r="C658">
        <f t="shared" si="40"/>
        <v>515.43000000000006</v>
      </c>
      <c r="D658">
        <f t="shared" si="41"/>
        <v>81</v>
      </c>
      <c r="E658">
        <f t="shared" si="42"/>
        <v>3279.8529000000003</v>
      </c>
      <c r="F658">
        <f t="shared" si="43"/>
        <v>81</v>
      </c>
    </row>
    <row r="659" spans="1:6" x14ac:dyDescent="0.3">
      <c r="A659">
        <v>4</v>
      </c>
      <c r="B659">
        <v>107.25</v>
      </c>
      <c r="C659">
        <f t="shared" si="40"/>
        <v>429</v>
      </c>
      <c r="D659">
        <f t="shared" si="41"/>
        <v>16</v>
      </c>
      <c r="E659">
        <f t="shared" si="42"/>
        <v>11502.5625</v>
      </c>
      <c r="F659">
        <f t="shared" si="43"/>
        <v>16</v>
      </c>
    </row>
    <row r="660" spans="1:6" x14ac:dyDescent="0.3">
      <c r="A660">
        <v>36</v>
      </c>
      <c r="B660">
        <v>77.12</v>
      </c>
      <c r="C660">
        <f t="shared" si="40"/>
        <v>2776.32</v>
      </c>
      <c r="D660">
        <f t="shared" si="41"/>
        <v>1296</v>
      </c>
      <c r="E660">
        <f t="shared" si="42"/>
        <v>5947.4944000000005</v>
      </c>
      <c r="F660">
        <f t="shared" si="43"/>
        <v>1296</v>
      </c>
    </row>
    <row r="661" spans="1:6" x14ac:dyDescent="0.3">
      <c r="A661">
        <v>78</v>
      </c>
      <c r="B661">
        <v>55.32</v>
      </c>
      <c r="C661">
        <f t="shared" si="40"/>
        <v>4314.96</v>
      </c>
      <c r="D661">
        <f t="shared" si="41"/>
        <v>6084</v>
      </c>
      <c r="E661">
        <f t="shared" si="42"/>
        <v>3060.3024</v>
      </c>
      <c r="F661">
        <f t="shared" si="43"/>
        <v>6084</v>
      </c>
    </row>
    <row r="662" spans="1:6" x14ac:dyDescent="0.3">
      <c r="A662">
        <v>52</v>
      </c>
      <c r="B662">
        <v>69.37</v>
      </c>
      <c r="C662">
        <f t="shared" si="40"/>
        <v>3607.2400000000002</v>
      </c>
      <c r="D662">
        <f t="shared" si="41"/>
        <v>2704</v>
      </c>
      <c r="E662">
        <f t="shared" si="42"/>
        <v>4812.1969000000008</v>
      </c>
      <c r="F662">
        <f t="shared" si="43"/>
        <v>2704</v>
      </c>
    </row>
    <row r="663" spans="1:6" x14ac:dyDescent="0.3">
      <c r="A663">
        <v>80</v>
      </c>
      <c r="B663">
        <v>57.57</v>
      </c>
      <c r="C663">
        <f t="shared" si="40"/>
        <v>4605.6000000000004</v>
      </c>
      <c r="D663">
        <f t="shared" si="41"/>
        <v>6400</v>
      </c>
      <c r="E663">
        <f t="shared" si="42"/>
        <v>3314.3049000000001</v>
      </c>
      <c r="F663">
        <f t="shared" si="43"/>
        <v>6400</v>
      </c>
    </row>
    <row r="664" spans="1:6" x14ac:dyDescent="0.3">
      <c r="A664">
        <v>28</v>
      </c>
      <c r="B664">
        <v>87.43</v>
      </c>
      <c r="C664">
        <f t="shared" si="40"/>
        <v>2448.04</v>
      </c>
      <c r="D664">
        <f t="shared" si="41"/>
        <v>784</v>
      </c>
      <c r="E664">
        <f t="shared" si="42"/>
        <v>7644.0049000000008</v>
      </c>
      <c r="F664">
        <f t="shared" si="43"/>
        <v>784</v>
      </c>
    </row>
    <row r="665" spans="1:6" x14ac:dyDescent="0.3">
      <c r="A665">
        <v>38</v>
      </c>
      <c r="B665">
        <v>98.73</v>
      </c>
      <c r="C665">
        <f t="shared" si="40"/>
        <v>3751.7400000000002</v>
      </c>
      <c r="D665">
        <f t="shared" si="41"/>
        <v>1444</v>
      </c>
      <c r="E665">
        <f t="shared" si="42"/>
        <v>9747.6129000000001</v>
      </c>
      <c r="F665">
        <f t="shared" si="43"/>
        <v>1444</v>
      </c>
    </row>
    <row r="666" spans="1:6" x14ac:dyDescent="0.3">
      <c r="A666">
        <v>56</v>
      </c>
      <c r="B666">
        <v>81.180000000000007</v>
      </c>
      <c r="C666">
        <f t="shared" si="40"/>
        <v>4546.08</v>
      </c>
      <c r="D666">
        <f t="shared" si="41"/>
        <v>3136</v>
      </c>
      <c r="E666">
        <f t="shared" si="42"/>
        <v>6590.1924000000008</v>
      </c>
      <c r="F666">
        <f t="shared" si="43"/>
        <v>3136</v>
      </c>
    </row>
    <row r="667" spans="1:6" x14ac:dyDescent="0.3">
      <c r="A667">
        <v>75</v>
      </c>
      <c r="B667">
        <v>56.23</v>
      </c>
      <c r="C667">
        <f t="shared" si="40"/>
        <v>4217.25</v>
      </c>
      <c r="D667">
        <f t="shared" si="41"/>
        <v>5625</v>
      </c>
      <c r="E667">
        <f t="shared" si="42"/>
        <v>3161.8128999999994</v>
      </c>
      <c r="F667">
        <f t="shared" si="43"/>
        <v>5625</v>
      </c>
    </row>
    <row r="668" spans="1:6" x14ac:dyDescent="0.3">
      <c r="A668">
        <v>76</v>
      </c>
      <c r="B668">
        <v>69.61</v>
      </c>
      <c r="C668">
        <f t="shared" si="40"/>
        <v>5290.36</v>
      </c>
      <c r="D668">
        <f t="shared" si="41"/>
        <v>5776</v>
      </c>
      <c r="E668">
        <f t="shared" si="42"/>
        <v>4845.5520999999999</v>
      </c>
      <c r="F668">
        <f t="shared" si="43"/>
        <v>5776</v>
      </c>
    </row>
    <row r="669" spans="1:6" x14ac:dyDescent="0.3">
      <c r="A669">
        <v>10</v>
      </c>
      <c r="B669">
        <v>59.49</v>
      </c>
      <c r="C669">
        <f t="shared" si="40"/>
        <v>594.9</v>
      </c>
      <c r="D669">
        <f t="shared" si="41"/>
        <v>100</v>
      </c>
      <c r="E669">
        <f t="shared" si="42"/>
        <v>3539.0601000000001</v>
      </c>
      <c r="F669">
        <f t="shared" si="43"/>
        <v>100</v>
      </c>
    </row>
    <row r="670" spans="1:6" x14ac:dyDescent="0.3">
      <c r="A670">
        <v>48</v>
      </c>
      <c r="B670">
        <v>118.14</v>
      </c>
      <c r="C670">
        <f t="shared" si="40"/>
        <v>5670.72</v>
      </c>
      <c r="D670">
        <f t="shared" si="41"/>
        <v>2304</v>
      </c>
      <c r="E670">
        <f t="shared" si="42"/>
        <v>13957.059600000001</v>
      </c>
      <c r="F670">
        <f t="shared" si="43"/>
        <v>2304</v>
      </c>
    </row>
    <row r="671" spans="1:6" x14ac:dyDescent="0.3">
      <c r="A671">
        <v>40</v>
      </c>
      <c r="B671">
        <v>100.26</v>
      </c>
      <c r="C671">
        <f t="shared" si="40"/>
        <v>4010.4</v>
      </c>
      <c r="D671">
        <f t="shared" si="41"/>
        <v>1600</v>
      </c>
      <c r="E671">
        <f t="shared" si="42"/>
        <v>10052.0676</v>
      </c>
      <c r="F671">
        <f t="shared" si="43"/>
        <v>1600</v>
      </c>
    </row>
    <row r="672" spans="1:6" x14ac:dyDescent="0.3">
      <c r="A672">
        <v>82</v>
      </c>
      <c r="B672">
        <v>56.75</v>
      </c>
      <c r="C672">
        <f t="shared" si="40"/>
        <v>4653.5</v>
      </c>
      <c r="D672">
        <f t="shared" si="41"/>
        <v>6724</v>
      </c>
      <c r="E672">
        <f t="shared" si="42"/>
        <v>3220.5625</v>
      </c>
      <c r="F672">
        <f t="shared" si="43"/>
        <v>6724</v>
      </c>
    </row>
    <row r="673" spans="1:6" x14ac:dyDescent="0.3">
      <c r="A673">
        <v>61</v>
      </c>
      <c r="B673">
        <v>88.27</v>
      </c>
      <c r="C673">
        <f t="shared" si="40"/>
        <v>5384.4699999999993</v>
      </c>
      <c r="D673">
        <f t="shared" si="41"/>
        <v>3721</v>
      </c>
      <c r="E673">
        <f t="shared" si="42"/>
        <v>7791.5928999999996</v>
      </c>
      <c r="F673">
        <f t="shared" si="43"/>
        <v>3721</v>
      </c>
    </row>
    <row r="674" spans="1:6" x14ac:dyDescent="0.3">
      <c r="A674">
        <v>17</v>
      </c>
      <c r="B674">
        <v>67.81</v>
      </c>
      <c r="C674">
        <f t="shared" si="40"/>
        <v>1152.77</v>
      </c>
      <c r="D674">
        <f t="shared" si="41"/>
        <v>289</v>
      </c>
      <c r="E674">
        <f t="shared" si="42"/>
        <v>4598.1961000000001</v>
      </c>
      <c r="F674">
        <f t="shared" si="43"/>
        <v>289</v>
      </c>
    </row>
    <row r="675" spans="1:6" x14ac:dyDescent="0.3">
      <c r="A675">
        <v>58</v>
      </c>
      <c r="B675">
        <v>77.459999999999994</v>
      </c>
      <c r="C675">
        <f t="shared" si="40"/>
        <v>4492.6799999999994</v>
      </c>
      <c r="D675">
        <f t="shared" si="41"/>
        <v>3364</v>
      </c>
      <c r="E675">
        <f t="shared" si="42"/>
        <v>6000.0515999999989</v>
      </c>
      <c r="F675">
        <f t="shared" si="43"/>
        <v>3364</v>
      </c>
    </row>
    <row r="676" spans="1:6" x14ac:dyDescent="0.3">
      <c r="A676">
        <v>12</v>
      </c>
      <c r="B676">
        <v>76.260000000000005</v>
      </c>
      <c r="C676">
        <f t="shared" si="40"/>
        <v>915.12000000000012</v>
      </c>
      <c r="D676">
        <f t="shared" si="41"/>
        <v>144</v>
      </c>
      <c r="E676">
        <f t="shared" si="42"/>
        <v>5815.5876000000007</v>
      </c>
      <c r="F676">
        <f t="shared" si="43"/>
        <v>144</v>
      </c>
    </row>
    <row r="677" spans="1:6" x14ac:dyDescent="0.3">
      <c r="A677">
        <v>53</v>
      </c>
      <c r="B677">
        <v>86.39</v>
      </c>
      <c r="C677">
        <f t="shared" si="40"/>
        <v>4578.67</v>
      </c>
      <c r="D677">
        <f t="shared" si="41"/>
        <v>2809</v>
      </c>
      <c r="E677">
        <f t="shared" si="42"/>
        <v>7463.2321000000002</v>
      </c>
      <c r="F677">
        <f t="shared" si="43"/>
        <v>2809</v>
      </c>
    </row>
    <row r="678" spans="1:6" x14ac:dyDescent="0.3">
      <c r="A678">
        <v>26</v>
      </c>
      <c r="B678">
        <v>116.38</v>
      </c>
      <c r="C678">
        <f t="shared" si="40"/>
        <v>3025.88</v>
      </c>
      <c r="D678">
        <f t="shared" si="41"/>
        <v>676</v>
      </c>
      <c r="E678">
        <f t="shared" si="42"/>
        <v>13544.304399999999</v>
      </c>
      <c r="F678">
        <f t="shared" si="43"/>
        <v>676</v>
      </c>
    </row>
    <row r="679" spans="1:6" x14ac:dyDescent="0.3">
      <c r="A679">
        <v>48</v>
      </c>
      <c r="B679">
        <v>75.739999999999995</v>
      </c>
      <c r="C679">
        <f t="shared" si="40"/>
        <v>3635.5199999999995</v>
      </c>
      <c r="D679">
        <f t="shared" si="41"/>
        <v>2304</v>
      </c>
      <c r="E679">
        <f t="shared" si="42"/>
        <v>5736.547599999999</v>
      </c>
      <c r="F679">
        <f t="shared" si="43"/>
        <v>2304</v>
      </c>
    </row>
    <row r="680" spans="1:6" x14ac:dyDescent="0.3">
      <c r="A680">
        <v>25</v>
      </c>
      <c r="B680">
        <v>92.14</v>
      </c>
      <c r="C680">
        <f t="shared" si="40"/>
        <v>2303.5</v>
      </c>
      <c r="D680">
        <f t="shared" si="41"/>
        <v>625</v>
      </c>
      <c r="E680">
        <f t="shared" si="42"/>
        <v>8489.7795999999998</v>
      </c>
      <c r="F680">
        <f t="shared" si="43"/>
        <v>625</v>
      </c>
    </row>
    <row r="681" spans="1:6" x14ac:dyDescent="0.3">
      <c r="A681">
        <v>27</v>
      </c>
      <c r="B681">
        <v>149.94999999999999</v>
      </c>
      <c r="C681">
        <f t="shared" si="40"/>
        <v>4048.6499999999996</v>
      </c>
      <c r="D681">
        <f t="shared" si="41"/>
        <v>729</v>
      </c>
      <c r="E681">
        <f t="shared" si="42"/>
        <v>22485.002499999995</v>
      </c>
      <c r="F681">
        <f t="shared" si="43"/>
        <v>729</v>
      </c>
    </row>
    <row r="682" spans="1:6" x14ac:dyDescent="0.3">
      <c r="A682">
        <v>31</v>
      </c>
      <c r="B682">
        <v>92.11</v>
      </c>
      <c r="C682">
        <f t="shared" si="40"/>
        <v>2855.41</v>
      </c>
      <c r="D682">
        <f t="shared" si="41"/>
        <v>961</v>
      </c>
      <c r="E682">
        <f t="shared" si="42"/>
        <v>8484.2520999999997</v>
      </c>
      <c r="F682">
        <f t="shared" si="43"/>
        <v>961</v>
      </c>
    </row>
    <row r="683" spans="1:6" x14ac:dyDescent="0.3">
      <c r="A683">
        <v>16</v>
      </c>
      <c r="B683">
        <v>74.98</v>
      </c>
      <c r="C683">
        <f t="shared" si="40"/>
        <v>1199.68</v>
      </c>
      <c r="D683">
        <f t="shared" si="41"/>
        <v>256</v>
      </c>
      <c r="E683">
        <f t="shared" si="42"/>
        <v>5622.0004000000008</v>
      </c>
      <c r="F683">
        <f t="shared" si="43"/>
        <v>256</v>
      </c>
    </row>
    <row r="684" spans="1:6" x14ac:dyDescent="0.3">
      <c r="A684">
        <v>20</v>
      </c>
      <c r="B684">
        <v>55.25</v>
      </c>
      <c r="C684">
        <f t="shared" si="40"/>
        <v>1105</v>
      </c>
      <c r="D684">
        <f t="shared" si="41"/>
        <v>400</v>
      </c>
      <c r="E684">
        <f t="shared" si="42"/>
        <v>3052.5625</v>
      </c>
      <c r="F684">
        <f t="shared" si="43"/>
        <v>400</v>
      </c>
    </row>
    <row r="685" spans="1:6" x14ac:dyDescent="0.3">
      <c r="A685">
        <v>2</v>
      </c>
      <c r="B685">
        <v>79.89</v>
      </c>
      <c r="C685">
        <f t="shared" si="40"/>
        <v>159.78</v>
      </c>
      <c r="D685">
        <f t="shared" si="41"/>
        <v>4</v>
      </c>
      <c r="E685">
        <f t="shared" si="42"/>
        <v>6382.4121000000005</v>
      </c>
      <c r="F685">
        <f t="shared" si="43"/>
        <v>4</v>
      </c>
    </row>
    <row r="686" spans="1:6" x14ac:dyDescent="0.3">
      <c r="A686">
        <v>1.8</v>
      </c>
      <c r="B686">
        <v>130.61000000000001</v>
      </c>
      <c r="C686">
        <f t="shared" si="40"/>
        <v>235.09800000000004</v>
      </c>
      <c r="D686">
        <f t="shared" si="41"/>
        <v>3.24</v>
      </c>
      <c r="E686">
        <f t="shared" si="42"/>
        <v>17058.972100000003</v>
      </c>
      <c r="F686">
        <f t="shared" si="43"/>
        <v>3.24</v>
      </c>
    </row>
    <row r="687" spans="1:6" x14ac:dyDescent="0.3">
      <c r="A687">
        <v>28</v>
      </c>
      <c r="B687">
        <v>94.26</v>
      </c>
      <c r="C687">
        <f t="shared" si="40"/>
        <v>2639.28</v>
      </c>
      <c r="D687">
        <f t="shared" si="41"/>
        <v>784</v>
      </c>
      <c r="E687">
        <f t="shared" si="42"/>
        <v>8884.9476000000013</v>
      </c>
      <c r="F687">
        <f t="shared" si="43"/>
        <v>784</v>
      </c>
    </row>
    <row r="688" spans="1:6" x14ac:dyDescent="0.3">
      <c r="A688">
        <v>32</v>
      </c>
      <c r="B688">
        <v>94.34</v>
      </c>
      <c r="C688">
        <f t="shared" si="40"/>
        <v>3018.88</v>
      </c>
      <c r="D688">
        <f t="shared" si="41"/>
        <v>1024</v>
      </c>
      <c r="E688">
        <f t="shared" si="42"/>
        <v>8900.0356000000011</v>
      </c>
      <c r="F688">
        <f t="shared" si="43"/>
        <v>1024</v>
      </c>
    </row>
    <row r="689" spans="1:6" x14ac:dyDescent="0.3">
      <c r="A689">
        <v>35</v>
      </c>
      <c r="B689">
        <v>109.03</v>
      </c>
      <c r="C689">
        <f t="shared" si="40"/>
        <v>3816.05</v>
      </c>
      <c r="D689">
        <f t="shared" si="41"/>
        <v>1225</v>
      </c>
      <c r="E689">
        <f t="shared" si="42"/>
        <v>11887.5409</v>
      </c>
      <c r="F689">
        <f t="shared" si="43"/>
        <v>1225</v>
      </c>
    </row>
    <row r="690" spans="1:6" x14ac:dyDescent="0.3">
      <c r="A690">
        <v>52</v>
      </c>
      <c r="B690">
        <v>81.03</v>
      </c>
      <c r="C690">
        <f t="shared" si="40"/>
        <v>4213.5600000000004</v>
      </c>
      <c r="D690">
        <f t="shared" si="41"/>
        <v>2704</v>
      </c>
      <c r="E690">
        <f t="shared" si="42"/>
        <v>6565.8609000000006</v>
      </c>
      <c r="F690">
        <f t="shared" si="43"/>
        <v>2704</v>
      </c>
    </row>
    <row r="691" spans="1:6" x14ac:dyDescent="0.3">
      <c r="A691">
        <v>55</v>
      </c>
      <c r="B691">
        <v>99.82</v>
      </c>
      <c r="C691">
        <f t="shared" si="40"/>
        <v>5490.0999999999995</v>
      </c>
      <c r="D691">
        <f t="shared" si="41"/>
        <v>3025</v>
      </c>
      <c r="E691">
        <f t="shared" si="42"/>
        <v>9964.0323999999982</v>
      </c>
      <c r="F691">
        <f t="shared" si="43"/>
        <v>3025</v>
      </c>
    </row>
    <row r="692" spans="1:6" x14ac:dyDescent="0.3">
      <c r="A692">
        <v>42</v>
      </c>
      <c r="B692">
        <v>140.08000000000001</v>
      </c>
      <c r="C692">
        <f t="shared" si="40"/>
        <v>5883.3600000000006</v>
      </c>
      <c r="D692">
        <f t="shared" si="41"/>
        <v>1764</v>
      </c>
      <c r="E692">
        <f t="shared" si="42"/>
        <v>19622.406400000003</v>
      </c>
      <c r="F692">
        <f t="shared" si="43"/>
        <v>1764</v>
      </c>
    </row>
    <row r="693" spans="1:6" x14ac:dyDescent="0.3">
      <c r="A693">
        <v>52</v>
      </c>
      <c r="B693">
        <v>59.54</v>
      </c>
      <c r="C693">
        <f t="shared" si="40"/>
        <v>3096.08</v>
      </c>
      <c r="D693">
        <f t="shared" si="41"/>
        <v>2704</v>
      </c>
      <c r="E693">
        <f t="shared" si="42"/>
        <v>3545.0115999999998</v>
      </c>
      <c r="F693">
        <f t="shared" si="43"/>
        <v>2704</v>
      </c>
    </row>
    <row r="694" spans="1:6" x14ac:dyDescent="0.3">
      <c r="A694">
        <v>18</v>
      </c>
      <c r="B694">
        <v>80.33</v>
      </c>
      <c r="C694">
        <f t="shared" si="40"/>
        <v>1445.94</v>
      </c>
      <c r="D694">
        <f t="shared" si="41"/>
        <v>324</v>
      </c>
      <c r="E694">
        <f t="shared" si="42"/>
        <v>6452.9088999999994</v>
      </c>
      <c r="F694">
        <f t="shared" si="43"/>
        <v>324</v>
      </c>
    </row>
    <row r="695" spans="1:6" x14ac:dyDescent="0.3">
      <c r="A695">
        <v>13</v>
      </c>
      <c r="B695">
        <v>131.51</v>
      </c>
      <c r="C695">
        <f t="shared" si="40"/>
        <v>1709.6299999999999</v>
      </c>
      <c r="D695">
        <f t="shared" si="41"/>
        <v>169</v>
      </c>
      <c r="E695">
        <f t="shared" si="42"/>
        <v>17294.880099999998</v>
      </c>
      <c r="F695">
        <f t="shared" si="43"/>
        <v>169</v>
      </c>
    </row>
    <row r="696" spans="1:6" x14ac:dyDescent="0.3">
      <c r="A696">
        <v>45</v>
      </c>
      <c r="B696">
        <v>89.21</v>
      </c>
      <c r="C696">
        <f t="shared" si="40"/>
        <v>4014.45</v>
      </c>
      <c r="D696">
        <f t="shared" si="41"/>
        <v>2025</v>
      </c>
      <c r="E696">
        <f t="shared" si="42"/>
        <v>7958.4240999999993</v>
      </c>
      <c r="F696">
        <f t="shared" si="43"/>
        <v>2025</v>
      </c>
    </row>
    <row r="697" spans="1:6" x14ac:dyDescent="0.3">
      <c r="A697">
        <v>29</v>
      </c>
      <c r="B697">
        <v>91.45</v>
      </c>
      <c r="C697">
        <f t="shared" si="40"/>
        <v>2652.05</v>
      </c>
      <c r="D697">
        <f t="shared" si="41"/>
        <v>841</v>
      </c>
      <c r="E697">
        <f t="shared" si="42"/>
        <v>8363.1025000000009</v>
      </c>
      <c r="F697">
        <f t="shared" si="43"/>
        <v>841</v>
      </c>
    </row>
    <row r="698" spans="1:6" x14ac:dyDescent="0.3">
      <c r="A698">
        <v>12</v>
      </c>
      <c r="B698">
        <v>90.58</v>
      </c>
      <c r="C698">
        <f t="shared" si="40"/>
        <v>1086.96</v>
      </c>
      <c r="D698">
        <f t="shared" si="41"/>
        <v>144</v>
      </c>
      <c r="E698">
        <f t="shared" si="42"/>
        <v>8204.7363999999998</v>
      </c>
      <c r="F698">
        <f t="shared" si="43"/>
        <v>144</v>
      </c>
    </row>
    <row r="699" spans="1:6" x14ac:dyDescent="0.3">
      <c r="A699">
        <v>37</v>
      </c>
      <c r="B699">
        <v>91.45</v>
      </c>
      <c r="C699">
        <f t="shared" si="40"/>
        <v>3383.65</v>
      </c>
      <c r="D699">
        <f t="shared" si="41"/>
        <v>1369</v>
      </c>
      <c r="E699">
        <f t="shared" si="42"/>
        <v>8363.1025000000009</v>
      </c>
      <c r="F699">
        <f t="shared" si="43"/>
        <v>1369</v>
      </c>
    </row>
    <row r="700" spans="1:6" x14ac:dyDescent="0.3">
      <c r="A700">
        <v>30</v>
      </c>
      <c r="B700">
        <v>89.63</v>
      </c>
      <c r="C700">
        <f t="shared" si="40"/>
        <v>2688.8999999999996</v>
      </c>
      <c r="D700">
        <f t="shared" si="41"/>
        <v>900</v>
      </c>
      <c r="E700">
        <f t="shared" si="42"/>
        <v>8033.5368999999992</v>
      </c>
      <c r="F700">
        <f t="shared" si="43"/>
        <v>900</v>
      </c>
    </row>
    <row r="701" spans="1:6" x14ac:dyDescent="0.3">
      <c r="A701">
        <v>44</v>
      </c>
      <c r="B701">
        <v>124.06</v>
      </c>
      <c r="C701">
        <f t="shared" si="40"/>
        <v>5458.64</v>
      </c>
      <c r="D701">
        <f t="shared" si="41"/>
        <v>1936</v>
      </c>
      <c r="E701">
        <f t="shared" si="42"/>
        <v>15390.883600000001</v>
      </c>
      <c r="F701">
        <f t="shared" si="43"/>
        <v>1936</v>
      </c>
    </row>
    <row r="702" spans="1:6" x14ac:dyDescent="0.3">
      <c r="A702">
        <v>79</v>
      </c>
      <c r="B702">
        <v>99.47</v>
      </c>
      <c r="C702">
        <f t="shared" si="40"/>
        <v>7858.13</v>
      </c>
      <c r="D702">
        <f t="shared" si="41"/>
        <v>6241</v>
      </c>
      <c r="E702">
        <f t="shared" si="42"/>
        <v>9894.2808999999997</v>
      </c>
      <c r="F702">
        <f t="shared" si="43"/>
        <v>6241</v>
      </c>
    </row>
    <row r="703" spans="1:6" x14ac:dyDescent="0.3">
      <c r="A703">
        <v>38</v>
      </c>
      <c r="B703">
        <v>88.97</v>
      </c>
      <c r="C703">
        <f t="shared" si="40"/>
        <v>3380.86</v>
      </c>
      <c r="D703">
        <f t="shared" si="41"/>
        <v>1444</v>
      </c>
      <c r="E703">
        <f t="shared" si="42"/>
        <v>7915.6608999999999</v>
      </c>
      <c r="F703">
        <f t="shared" si="43"/>
        <v>1444</v>
      </c>
    </row>
    <row r="704" spans="1:6" x14ac:dyDescent="0.3">
      <c r="A704">
        <v>45</v>
      </c>
      <c r="B704">
        <v>80.930000000000007</v>
      </c>
      <c r="C704">
        <f t="shared" si="40"/>
        <v>3641.8500000000004</v>
      </c>
      <c r="D704">
        <f t="shared" si="41"/>
        <v>2025</v>
      </c>
      <c r="E704">
        <f t="shared" si="42"/>
        <v>6549.6649000000007</v>
      </c>
      <c r="F704">
        <f t="shared" si="43"/>
        <v>2025</v>
      </c>
    </row>
    <row r="705" spans="1:6" x14ac:dyDescent="0.3">
      <c r="A705">
        <v>66</v>
      </c>
      <c r="B705">
        <v>102.07</v>
      </c>
      <c r="C705">
        <f t="shared" si="40"/>
        <v>6736.62</v>
      </c>
      <c r="D705">
        <f t="shared" si="41"/>
        <v>4356</v>
      </c>
      <c r="E705">
        <f t="shared" si="42"/>
        <v>10418.284899999999</v>
      </c>
      <c r="F705">
        <f t="shared" si="43"/>
        <v>4356</v>
      </c>
    </row>
    <row r="706" spans="1:6" x14ac:dyDescent="0.3">
      <c r="A706">
        <v>19</v>
      </c>
      <c r="B706">
        <v>91.69</v>
      </c>
      <c r="C706">
        <f t="shared" si="40"/>
        <v>1742.11</v>
      </c>
      <c r="D706">
        <f t="shared" si="41"/>
        <v>361</v>
      </c>
      <c r="E706">
        <f t="shared" si="42"/>
        <v>8407.0560999999998</v>
      </c>
      <c r="F706">
        <f t="shared" si="43"/>
        <v>361</v>
      </c>
    </row>
    <row r="707" spans="1:6" x14ac:dyDescent="0.3">
      <c r="A707">
        <v>49</v>
      </c>
      <c r="B707">
        <v>63.71</v>
      </c>
      <c r="C707">
        <f t="shared" ref="C707:C770" si="44">A707*B707</f>
        <v>3121.79</v>
      </c>
      <c r="D707">
        <f t="shared" ref="D707:D770" si="45">A707*A707</f>
        <v>2401</v>
      </c>
      <c r="E707">
        <f t="shared" ref="E707:E770" si="46">B707*B707</f>
        <v>4058.9641000000001</v>
      </c>
      <c r="F707">
        <f t="shared" ref="F707:F770" si="47">A707^2</f>
        <v>2401</v>
      </c>
    </row>
    <row r="708" spans="1:6" x14ac:dyDescent="0.3">
      <c r="A708">
        <v>66</v>
      </c>
      <c r="B708">
        <v>200.49</v>
      </c>
      <c r="C708">
        <f t="shared" si="44"/>
        <v>13232.34</v>
      </c>
      <c r="D708">
        <f t="shared" si="45"/>
        <v>4356</v>
      </c>
      <c r="E708">
        <f t="shared" si="46"/>
        <v>40196.240100000003</v>
      </c>
      <c r="F708">
        <f t="shared" si="47"/>
        <v>4356</v>
      </c>
    </row>
    <row r="709" spans="1:6" x14ac:dyDescent="0.3">
      <c r="A709">
        <v>47</v>
      </c>
      <c r="B709">
        <v>75.3</v>
      </c>
      <c r="C709">
        <f t="shared" si="44"/>
        <v>3539.1</v>
      </c>
      <c r="D709">
        <f t="shared" si="45"/>
        <v>2209</v>
      </c>
      <c r="E709">
        <f t="shared" si="46"/>
        <v>5670.0899999999992</v>
      </c>
      <c r="F709">
        <f t="shared" si="47"/>
        <v>2209</v>
      </c>
    </row>
    <row r="710" spans="1:6" x14ac:dyDescent="0.3">
      <c r="A710">
        <v>59</v>
      </c>
      <c r="B710">
        <v>240.71</v>
      </c>
      <c r="C710">
        <f t="shared" si="44"/>
        <v>14201.890000000001</v>
      </c>
      <c r="D710">
        <f t="shared" si="45"/>
        <v>3481</v>
      </c>
      <c r="E710">
        <f t="shared" si="46"/>
        <v>57941.304100000001</v>
      </c>
      <c r="F710">
        <f t="shared" si="47"/>
        <v>3481</v>
      </c>
    </row>
    <row r="711" spans="1:6" x14ac:dyDescent="0.3">
      <c r="A711">
        <v>23</v>
      </c>
      <c r="B711">
        <v>60.5</v>
      </c>
      <c r="C711">
        <f t="shared" si="44"/>
        <v>1391.5</v>
      </c>
      <c r="D711">
        <f t="shared" si="45"/>
        <v>529</v>
      </c>
      <c r="E711">
        <f t="shared" si="46"/>
        <v>3660.25</v>
      </c>
      <c r="F711">
        <f t="shared" si="47"/>
        <v>529</v>
      </c>
    </row>
    <row r="712" spans="1:6" x14ac:dyDescent="0.3">
      <c r="A712">
        <v>79</v>
      </c>
      <c r="B712">
        <v>131.85</v>
      </c>
      <c r="C712">
        <f t="shared" si="44"/>
        <v>10416.15</v>
      </c>
      <c r="D712">
        <f t="shared" si="45"/>
        <v>6241</v>
      </c>
      <c r="E712">
        <f t="shared" si="46"/>
        <v>17384.422499999997</v>
      </c>
      <c r="F712">
        <f t="shared" si="47"/>
        <v>6241</v>
      </c>
    </row>
    <row r="713" spans="1:6" x14ac:dyDescent="0.3">
      <c r="A713">
        <v>37</v>
      </c>
      <c r="B713">
        <v>134.38999999999999</v>
      </c>
      <c r="C713">
        <f t="shared" si="44"/>
        <v>4972.4299999999994</v>
      </c>
      <c r="D713">
        <f t="shared" si="45"/>
        <v>1369</v>
      </c>
      <c r="E713">
        <f t="shared" si="46"/>
        <v>18060.672099999996</v>
      </c>
      <c r="F713">
        <f t="shared" si="47"/>
        <v>1369</v>
      </c>
    </row>
    <row r="714" spans="1:6" x14ac:dyDescent="0.3">
      <c r="A714">
        <v>78</v>
      </c>
      <c r="B714">
        <v>56.18</v>
      </c>
      <c r="C714">
        <f t="shared" si="44"/>
        <v>4382.04</v>
      </c>
      <c r="D714">
        <f t="shared" si="45"/>
        <v>6084</v>
      </c>
      <c r="E714">
        <f t="shared" si="46"/>
        <v>3156.1923999999999</v>
      </c>
      <c r="F714">
        <f t="shared" si="47"/>
        <v>6084</v>
      </c>
    </row>
    <row r="715" spans="1:6" x14ac:dyDescent="0.3">
      <c r="A715">
        <v>70</v>
      </c>
      <c r="B715">
        <v>113.64</v>
      </c>
      <c r="C715">
        <f t="shared" si="44"/>
        <v>7954.8</v>
      </c>
      <c r="D715">
        <f t="shared" si="45"/>
        <v>4900</v>
      </c>
      <c r="E715">
        <f t="shared" si="46"/>
        <v>12914.0496</v>
      </c>
      <c r="F715">
        <f t="shared" si="47"/>
        <v>4900</v>
      </c>
    </row>
    <row r="716" spans="1:6" x14ac:dyDescent="0.3">
      <c r="A716">
        <v>34</v>
      </c>
      <c r="B716">
        <v>156.57</v>
      </c>
      <c r="C716">
        <f t="shared" si="44"/>
        <v>5323.38</v>
      </c>
      <c r="D716">
        <f t="shared" si="45"/>
        <v>1156</v>
      </c>
      <c r="E716">
        <f t="shared" si="46"/>
        <v>24514.164899999996</v>
      </c>
      <c r="F716">
        <f t="shared" si="47"/>
        <v>1156</v>
      </c>
    </row>
    <row r="717" spans="1:6" x14ac:dyDescent="0.3">
      <c r="A717">
        <v>28</v>
      </c>
      <c r="B717">
        <v>80.400000000000006</v>
      </c>
      <c r="C717">
        <f t="shared" si="44"/>
        <v>2251.2000000000003</v>
      </c>
      <c r="D717">
        <f t="shared" si="45"/>
        <v>784</v>
      </c>
      <c r="E717">
        <f t="shared" si="46"/>
        <v>6464.1600000000008</v>
      </c>
      <c r="F717">
        <f t="shared" si="47"/>
        <v>784</v>
      </c>
    </row>
    <row r="718" spans="1:6" x14ac:dyDescent="0.3">
      <c r="A718">
        <v>29</v>
      </c>
      <c r="B718">
        <v>59.26</v>
      </c>
      <c r="C718">
        <f t="shared" si="44"/>
        <v>1718.54</v>
      </c>
      <c r="D718">
        <f t="shared" si="45"/>
        <v>841</v>
      </c>
      <c r="E718">
        <f t="shared" si="46"/>
        <v>3511.7475999999997</v>
      </c>
      <c r="F718">
        <f t="shared" si="47"/>
        <v>841</v>
      </c>
    </row>
    <row r="719" spans="1:6" x14ac:dyDescent="0.3">
      <c r="A719">
        <v>13</v>
      </c>
      <c r="B719">
        <v>63.26</v>
      </c>
      <c r="C719">
        <f t="shared" si="44"/>
        <v>822.38</v>
      </c>
      <c r="D719">
        <f t="shared" si="45"/>
        <v>169</v>
      </c>
      <c r="E719">
        <f t="shared" si="46"/>
        <v>4001.8275999999996</v>
      </c>
      <c r="F719">
        <f t="shared" si="47"/>
        <v>169</v>
      </c>
    </row>
    <row r="720" spans="1:6" x14ac:dyDescent="0.3">
      <c r="A720">
        <v>22</v>
      </c>
      <c r="B720">
        <v>86.24</v>
      </c>
      <c r="C720">
        <f t="shared" si="44"/>
        <v>1897.28</v>
      </c>
      <c r="D720">
        <f t="shared" si="45"/>
        <v>484</v>
      </c>
      <c r="E720">
        <f t="shared" si="46"/>
        <v>7437.3375999999989</v>
      </c>
      <c r="F720">
        <f t="shared" si="47"/>
        <v>484</v>
      </c>
    </row>
    <row r="721" spans="1:6" x14ac:dyDescent="0.3">
      <c r="A721">
        <v>56</v>
      </c>
      <c r="B721">
        <v>197.1</v>
      </c>
      <c r="C721">
        <f t="shared" si="44"/>
        <v>11037.6</v>
      </c>
      <c r="D721">
        <f t="shared" si="45"/>
        <v>3136</v>
      </c>
      <c r="E721">
        <f t="shared" si="46"/>
        <v>38848.409999999996</v>
      </c>
      <c r="F721">
        <f t="shared" si="47"/>
        <v>3136</v>
      </c>
    </row>
    <row r="722" spans="1:6" x14ac:dyDescent="0.3">
      <c r="A722">
        <v>81</v>
      </c>
      <c r="B722">
        <v>90.9</v>
      </c>
      <c r="C722">
        <f t="shared" si="44"/>
        <v>7362.9000000000005</v>
      </c>
      <c r="D722">
        <f t="shared" si="45"/>
        <v>6561</v>
      </c>
      <c r="E722">
        <f t="shared" si="46"/>
        <v>8262.8100000000013</v>
      </c>
      <c r="F722">
        <f t="shared" si="47"/>
        <v>6561</v>
      </c>
    </row>
    <row r="723" spans="1:6" x14ac:dyDescent="0.3">
      <c r="A723">
        <v>28</v>
      </c>
      <c r="B723">
        <v>84.59</v>
      </c>
      <c r="C723">
        <f t="shared" si="44"/>
        <v>2368.52</v>
      </c>
      <c r="D723">
        <f t="shared" si="45"/>
        <v>784</v>
      </c>
      <c r="E723">
        <f t="shared" si="46"/>
        <v>7155.468100000001</v>
      </c>
      <c r="F723">
        <f t="shared" si="47"/>
        <v>784</v>
      </c>
    </row>
    <row r="724" spans="1:6" x14ac:dyDescent="0.3">
      <c r="A724">
        <v>9</v>
      </c>
      <c r="B724">
        <v>121.8</v>
      </c>
      <c r="C724">
        <f t="shared" si="44"/>
        <v>1096.2</v>
      </c>
      <c r="D724">
        <f t="shared" si="45"/>
        <v>81</v>
      </c>
      <c r="E724">
        <f t="shared" si="46"/>
        <v>14835.24</v>
      </c>
      <c r="F724">
        <f t="shared" si="47"/>
        <v>81</v>
      </c>
    </row>
    <row r="725" spans="1:6" x14ac:dyDescent="0.3">
      <c r="A725">
        <v>50</v>
      </c>
      <c r="B725">
        <v>77.650000000000006</v>
      </c>
      <c r="C725">
        <f t="shared" si="44"/>
        <v>3882.5000000000005</v>
      </c>
      <c r="D725">
        <f t="shared" si="45"/>
        <v>2500</v>
      </c>
      <c r="E725">
        <f t="shared" si="46"/>
        <v>6029.5225000000009</v>
      </c>
      <c r="F725">
        <f t="shared" si="47"/>
        <v>2500</v>
      </c>
    </row>
    <row r="726" spans="1:6" x14ac:dyDescent="0.3">
      <c r="A726">
        <v>70</v>
      </c>
      <c r="B726">
        <v>64.41</v>
      </c>
      <c r="C726">
        <f t="shared" si="44"/>
        <v>4508.7</v>
      </c>
      <c r="D726">
        <f t="shared" si="45"/>
        <v>4900</v>
      </c>
      <c r="E726">
        <f t="shared" si="46"/>
        <v>4148.6480999999994</v>
      </c>
      <c r="F726">
        <f t="shared" si="47"/>
        <v>4900</v>
      </c>
    </row>
    <row r="727" spans="1:6" x14ac:dyDescent="0.3">
      <c r="A727">
        <v>30</v>
      </c>
      <c r="B727">
        <v>75.19</v>
      </c>
      <c r="C727">
        <f t="shared" si="44"/>
        <v>2255.6999999999998</v>
      </c>
      <c r="D727">
        <f t="shared" si="45"/>
        <v>900</v>
      </c>
      <c r="E727">
        <f t="shared" si="46"/>
        <v>5653.5360999999994</v>
      </c>
      <c r="F727">
        <f t="shared" si="47"/>
        <v>900</v>
      </c>
    </row>
    <row r="728" spans="1:6" x14ac:dyDescent="0.3">
      <c r="A728">
        <v>51</v>
      </c>
      <c r="B728">
        <v>67.97</v>
      </c>
      <c r="C728">
        <f t="shared" si="44"/>
        <v>3466.47</v>
      </c>
      <c r="D728">
        <f t="shared" si="45"/>
        <v>2601</v>
      </c>
      <c r="E728">
        <f t="shared" si="46"/>
        <v>4619.9209000000001</v>
      </c>
      <c r="F728">
        <f t="shared" si="47"/>
        <v>2601</v>
      </c>
    </row>
    <row r="729" spans="1:6" x14ac:dyDescent="0.3">
      <c r="A729">
        <v>24</v>
      </c>
      <c r="B729">
        <v>119.34</v>
      </c>
      <c r="C729">
        <f t="shared" si="44"/>
        <v>2864.16</v>
      </c>
      <c r="D729">
        <f t="shared" si="45"/>
        <v>576</v>
      </c>
      <c r="E729">
        <f t="shared" si="46"/>
        <v>14242.035600000001</v>
      </c>
      <c r="F729">
        <f t="shared" si="47"/>
        <v>576</v>
      </c>
    </row>
    <row r="730" spans="1:6" x14ac:dyDescent="0.3">
      <c r="A730">
        <v>17</v>
      </c>
      <c r="B730">
        <v>94.92</v>
      </c>
      <c r="C730">
        <f t="shared" si="44"/>
        <v>1613.64</v>
      </c>
      <c r="D730">
        <f t="shared" si="45"/>
        <v>289</v>
      </c>
      <c r="E730">
        <f t="shared" si="46"/>
        <v>9009.8063999999995</v>
      </c>
      <c r="F730">
        <f t="shared" si="47"/>
        <v>289</v>
      </c>
    </row>
    <row r="731" spans="1:6" x14ac:dyDescent="0.3">
      <c r="A731">
        <v>43</v>
      </c>
      <c r="B731">
        <v>107.42</v>
      </c>
      <c r="C731">
        <f t="shared" si="44"/>
        <v>4619.0600000000004</v>
      </c>
      <c r="D731">
        <f t="shared" si="45"/>
        <v>1849</v>
      </c>
      <c r="E731">
        <f t="shared" si="46"/>
        <v>11539.056399999999</v>
      </c>
      <c r="F731">
        <f t="shared" si="47"/>
        <v>1849</v>
      </c>
    </row>
    <row r="732" spans="1:6" x14ac:dyDescent="0.3">
      <c r="A732">
        <v>9</v>
      </c>
      <c r="B732">
        <v>85.02</v>
      </c>
      <c r="C732">
        <f t="shared" si="44"/>
        <v>765.18</v>
      </c>
      <c r="D732">
        <f t="shared" si="45"/>
        <v>81</v>
      </c>
      <c r="E732">
        <f t="shared" si="46"/>
        <v>7228.4003999999995</v>
      </c>
      <c r="F732">
        <f t="shared" si="47"/>
        <v>81</v>
      </c>
    </row>
    <row r="733" spans="1:6" x14ac:dyDescent="0.3">
      <c r="A733">
        <v>50</v>
      </c>
      <c r="B733">
        <v>103.51</v>
      </c>
      <c r="C733">
        <f t="shared" si="44"/>
        <v>5175.5</v>
      </c>
      <c r="D733">
        <f t="shared" si="45"/>
        <v>2500</v>
      </c>
      <c r="E733">
        <f t="shared" si="46"/>
        <v>10714.320100000001</v>
      </c>
      <c r="F733">
        <f t="shared" si="47"/>
        <v>2500</v>
      </c>
    </row>
    <row r="734" spans="1:6" x14ac:dyDescent="0.3">
      <c r="A734">
        <v>49</v>
      </c>
      <c r="B734">
        <v>114.5</v>
      </c>
      <c r="C734">
        <f t="shared" si="44"/>
        <v>5610.5</v>
      </c>
      <c r="D734">
        <f t="shared" si="45"/>
        <v>2401</v>
      </c>
      <c r="E734">
        <f t="shared" si="46"/>
        <v>13110.25</v>
      </c>
      <c r="F734">
        <f t="shared" si="47"/>
        <v>2401</v>
      </c>
    </row>
    <row r="735" spans="1:6" x14ac:dyDescent="0.3">
      <c r="A735">
        <v>6</v>
      </c>
      <c r="B735">
        <v>70.78</v>
      </c>
      <c r="C735">
        <f t="shared" si="44"/>
        <v>424.68</v>
      </c>
      <c r="D735">
        <f t="shared" si="45"/>
        <v>36</v>
      </c>
      <c r="E735">
        <f t="shared" si="46"/>
        <v>5009.8083999999999</v>
      </c>
      <c r="F735">
        <f t="shared" si="47"/>
        <v>36</v>
      </c>
    </row>
    <row r="736" spans="1:6" x14ac:dyDescent="0.3">
      <c r="A736">
        <v>30</v>
      </c>
      <c r="B736">
        <v>95.01</v>
      </c>
      <c r="C736">
        <f t="shared" si="44"/>
        <v>2850.3</v>
      </c>
      <c r="D736">
        <f t="shared" si="45"/>
        <v>900</v>
      </c>
      <c r="E736">
        <f t="shared" si="46"/>
        <v>9026.9001000000007</v>
      </c>
      <c r="F736">
        <f t="shared" si="47"/>
        <v>900</v>
      </c>
    </row>
    <row r="737" spans="1:6" x14ac:dyDescent="0.3">
      <c r="A737">
        <v>73</v>
      </c>
      <c r="B737">
        <v>84.11</v>
      </c>
      <c r="C737">
        <f t="shared" si="44"/>
        <v>6140.03</v>
      </c>
      <c r="D737">
        <f t="shared" si="45"/>
        <v>5329</v>
      </c>
      <c r="E737">
        <f t="shared" si="46"/>
        <v>7074.4920999999995</v>
      </c>
      <c r="F737">
        <f t="shared" si="47"/>
        <v>5329</v>
      </c>
    </row>
    <row r="738" spans="1:6" x14ac:dyDescent="0.3">
      <c r="A738">
        <v>20</v>
      </c>
      <c r="B738">
        <v>74.02</v>
      </c>
      <c r="C738">
        <f t="shared" si="44"/>
        <v>1480.3999999999999</v>
      </c>
      <c r="D738">
        <f t="shared" si="45"/>
        <v>400</v>
      </c>
      <c r="E738">
        <f t="shared" si="46"/>
        <v>5478.960399999999</v>
      </c>
      <c r="F738">
        <f t="shared" si="47"/>
        <v>400</v>
      </c>
    </row>
    <row r="739" spans="1:6" x14ac:dyDescent="0.3">
      <c r="A739">
        <v>42</v>
      </c>
      <c r="B739">
        <v>78.489999999999995</v>
      </c>
      <c r="C739">
        <f t="shared" si="44"/>
        <v>3296.58</v>
      </c>
      <c r="D739">
        <f t="shared" si="45"/>
        <v>1764</v>
      </c>
      <c r="E739">
        <f t="shared" si="46"/>
        <v>6160.6800999999996</v>
      </c>
      <c r="F739">
        <f t="shared" si="47"/>
        <v>1764</v>
      </c>
    </row>
    <row r="740" spans="1:6" x14ac:dyDescent="0.3">
      <c r="A740">
        <v>79</v>
      </c>
      <c r="B740">
        <v>74.22</v>
      </c>
      <c r="C740">
        <f t="shared" si="44"/>
        <v>5863.38</v>
      </c>
      <c r="D740">
        <f t="shared" si="45"/>
        <v>6241</v>
      </c>
      <c r="E740">
        <f t="shared" si="46"/>
        <v>5508.6084000000001</v>
      </c>
      <c r="F740">
        <f t="shared" si="47"/>
        <v>6241</v>
      </c>
    </row>
    <row r="741" spans="1:6" x14ac:dyDescent="0.3">
      <c r="A741">
        <v>55</v>
      </c>
      <c r="B741">
        <v>55.34</v>
      </c>
      <c r="C741">
        <f t="shared" si="44"/>
        <v>3043.7000000000003</v>
      </c>
      <c r="D741">
        <f t="shared" si="45"/>
        <v>3025</v>
      </c>
      <c r="E741">
        <f t="shared" si="46"/>
        <v>3062.5156000000002</v>
      </c>
      <c r="F741">
        <f t="shared" si="47"/>
        <v>3025</v>
      </c>
    </row>
    <row r="742" spans="1:6" x14ac:dyDescent="0.3">
      <c r="A742">
        <v>27</v>
      </c>
      <c r="B742">
        <v>75.040000000000006</v>
      </c>
      <c r="C742">
        <f t="shared" si="44"/>
        <v>2026.0800000000002</v>
      </c>
      <c r="D742">
        <f t="shared" si="45"/>
        <v>729</v>
      </c>
      <c r="E742">
        <f t="shared" si="46"/>
        <v>5631.0016000000005</v>
      </c>
      <c r="F742">
        <f t="shared" si="47"/>
        <v>729</v>
      </c>
    </row>
    <row r="743" spans="1:6" x14ac:dyDescent="0.3">
      <c r="A743">
        <v>71</v>
      </c>
      <c r="B743">
        <v>109.73</v>
      </c>
      <c r="C743">
        <f t="shared" si="44"/>
        <v>7790.83</v>
      </c>
      <c r="D743">
        <f t="shared" si="45"/>
        <v>5041</v>
      </c>
      <c r="E743">
        <f t="shared" si="46"/>
        <v>12040.672900000001</v>
      </c>
      <c r="F743">
        <f t="shared" si="47"/>
        <v>5041</v>
      </c>
    </row>
    <row r="744" spans="1:6" x14ac:dyDescent="0.3">
      <c r="A744">
        <v>9</v>
      </c>
      <c r="B744">
        <v>95.81</v>
      </c>
      <c r="C744">
        <f t="shared" si="44"/>
        <v>862.29</v>
      </c>
      <c r="D744">
        <f t="shared" si="45"/>
        <v>81</v>
      </c>
      <c r="E744">
        <f t="shared" si="46"/>
        <v>9179.5560999999998</v>
      </c>
      <c r="F744">
        <f t="shared" si="47"/>
        <v>81</v>
      </c>
    </row>
    <row r="745" spans="1:6" x14ac:dyDescent="0.3">
      <c r="A745">
        <v>23</v>
      </c>
      <c r="B745">
        <v>96.78</v>
      </c>
      <c r="C745">
        <f t="shared" si="44"/>
        <v>2225.94</v>
      </c>
      <c r="D745">
        <f t="shared" si="45"/>
        <v>529</v>
      </c>
      <c r="E745">
        <f t="shared" si="46"/>
        <v>9366.3683999999994</v>
      </c>
      <c r="F745">
        <f t="shared" si="47"/>
        <v>529</v>
      </c>
    </row>
    <row r="746" spans="1:6" x14ac:dyDescent="0.3">
      <c r="A746">
        <v>71</v>
      </c>
      <c r="B746">
        <v>194.62</v>
      </c>
      <c r="C746">
        <f t="shared" si="44"/>
        <v>13818.02</v>
      </c>
      <c r="D746">
        <f t="shared" si="45"/>
        <v>5041</v>
      </c>
      <c r="E746">
        <f t="shared" si="46"/>
        <v>37876.9444</v>
      </c>
      <c r="F746">
        <f t="shared" si="47"/>
        <v>5041</v>
      </c>
    </row>
    <row r="747" spans="1:6" x14ac:dyDescent="0.3">
      <c r="A747">
        <v>56</v>
      </c>
      <c r="B747">
        <v>70.02</v>
      </c>
      <c r="C747">
        <f t="shared" si="44"/>
        <v>3921.12</v>
      </c>
      <c r="D747">
        <f t="shared" si="45"/>
        <v>3136</v>
      </c>
      <c r="E747">
        <f t="shared" si="46"/>
        <v>4902.8003999999992</v>
      </c>
      <c r="F747">
        <f t="shared" si="47"/>
        <v>3136</v>
      </c>
    </row>
    <row r="748" spans="1:6" x14ac:dyDescent="0.3">
      <c r="A748">
        <v>31</v>
      </c>
      <c r="B748">
        <v>222.21</v>
      </c>
      <c r="C748">
        <f t="shared" si="44"/>
        <v>6888.51</v>
      </c>
      <c r="D748">
        <f t="shared" si="45"/>
        <v>961</v>
      </c>
      <c r="E748">
        <f t="shared" si="46"/>
        <v>49377.284100000004</v>
      </c>
      <c r="F748">
        <f t="shared" si="47"/>
        <v>961</v>
      </c>
    </row>
    <row r="749" spans="1:6" x14ac:dyDescent="0.3">
      <c r="A749">
        <v>64</v>
      </c>
      <c r="B749">
        <v>62.41</v>
      </c>
      <c r="C749">
        <f t="shared" si="44"/>
        <v>3994.24</v>
      </c>
      <c r="D749">
        <f t="shared" si="45"/>
        <v>4096</v>
      </c>
      <c r="E749">
        <f t="shared" si="46"/>
        <v>3895.0080999999996</v>
      </c>
      <c r="F749">
        <f t="shared" si="47"/>
        <v>4096</v>
      </c>
    </row>
    <row r="750" spans="1:6" x14ac:dyDescent="0.3">
      <c r="A750">
        <v>46</v>
      </c>
      <c r="B750">
        <v>55.83</v>
      </c>
      <c r="C750">
        <f t="shared" si="44"/>
        <v>2568.1799999999998</v>
      </c>
      <c r="D750">
        <f t="shared" si="45"/>
        <v>2116</v>
      </c>
      <c r="E750">
        <f t="shared" si="46"/>
        <v>3116.9888999999998</v>
      </c>
      <c r="F750">
        <f t="shared" si="47"/>
        <v>2116</v>
      </c>
    </row>
    <row r="751" spans="1:6" x14ac:dyDescent="0.3">
      <c r="A751">
        <v>55</v>
      </c>
      <c r="B751">
        <v>65.12</v>
      </c>
      <c r="C751">
        <f t="shared" si="44"/>
        <v>3581.6000000000004</v>
      </c>
      <c r="D751">
        <f t="shared" si="45"/>
        <v>3025</v>
      </c>
      <c r="E751">
        <f t="shared" si="46"/>
        <v>4240.6144000000004</v>
      </c>
      <c r="F751">
        <f t="shared" si="47"/>
        <v>3025</v>
      </c>
    </row>
    <row r="752" spans="1:6" x14ac:dyDescent="0.3">
      <c r="A752">
        <v>2</v>
      </c>
      <c r="B752">
        <v>73.62</v>
      </c>
      <c r="C752">
        <f t="shared" si="44"/>
        <v>147.24</v>
      </c>
      <c r="D752">
        <f t="shared" si="45"/>
        <v>4</v>
      </c>
      <c r="E752">
        <f t="shared" si="46"/>
        <v>5419.9044000000004</v>
      </c>
      <c r="F752">
        <f t="shared" si="47"/>
        <v>4</v>
      </c>
    </row>
    <row r="753" spans="1:6" x14ac:dyDescent="0.3">
      <c r="A753">
        <v>58</v>
      </c>
      <c r="B753">
        <v>85.83</v>
      </c>
      <c r="C753">
        <f t="shared" si="44"/>
        <v>4978.1400000000003</v>
      </c>
      <c r="D753">
        <f t="shared" si="45"/>
        <v>3364</v>
      </c>
      <c r="E753">
        <f t="shared" si="46"/>
        <v>7366.7888999999996</v>
      </c>
      <c r="F753">
        <f t="shared" si="47"/>
        <v>3364</v>
      </c>
    </row>
    <row r="754" spans="1:6" x14ac:dyDescent="0.3">
      <c r="A754">
        <v>78</v>
      </c>
      <c r="B754">
        <v>103.86</v>
      </c>
      <c r="C754">
        <f t="shared" si="44"/>
        <v>8101.08</v>
      </c>
      <c r="D754">
        <f t="shared" si="45"/>
        <v>6084</v>
      </c>
      <c r="E754">
        <f t="shared" si="46"/>
        <v>10786.899600000001</v>
      </c>
      <c r="F754">
        <f t="shared" si="47"/>
        <v>6084</v>
      </c>
    </row>
    <row r="755" spans="1:6" x14ac:dyDescent="0.3">
      <c r="A755">
        <v>1.1599999999999999</v>
      </c>
      <c r="B755">
        <v>60.98</v>
      </c>
      <c r="C755">
        <f t="shared" si="44"/>
        <v>70.736799999999988</v>
      </c>
      <c r="D755">
        <f t="shared" si="45"/>
        <v>1.3455999999999999</v>
      </c>
      <c r="E755">
        <f t="shared" si="46"/>
        <v>3718.5603999999998</v>
      </c>
      <c r="F755">
        <f t="shared" si="47"/>
        <v>1.3455999999999999</v>
      </c>
    </row>
    <row r="756" spans="1:6" x14ac:dyDescent="0.3">
      <c r="A756">
        <v>35</v>
      </c>
      <c r="B756">
        <v>82.69</v>
      </c>
      <c r="C756">
        <f t="shared" si="44"/>
        <v>2894.15</v>
      </c>
      <c r="D756">
        <f t="shared" si="45"/>
        <v>1225</v>
      </c>
      <c r="E756">
        <f t="shared" si="46"/>
        <v>6837.6360999999997</v>
      </c>
      <c r="F756">
        <f t="shared" si="47"/>
        <v>1225</v>
      </c>
    </row>
    <row r="757" spans="1:6" x14ac:dyDescent="0.3">
      <c r="A757">
        <v>64</v>
      </c>
      <c r="B757">
        <v>250.2</v>
      </c>
      <c r="C757">
        <f t="shared" si="44"/>
        <v>16012.8</v>
      </c>
      <c r="D757">
        <f t="shared" si="45"/>
        <v>4096</v>
      </c>
      <c r="E757">
        <f t="shared" si="46"/>
        <v>62600.039999999994</v>
      </c>
      <c r="F757">
        <f t="shared" si="47"/>
        <v>4096</v>
      </c>
    </row>
    <row r="758" spans="1:6" x14ac:dyDescent="0.3">
      <c r="A758">
        <v>18</v>
      </c>
      <c r="B758">
        <v>128.97</v>
      </c>
      <c r="C758">
        <f t="shared" si="44"/>
        <v>2321.46</v>
      </c>
      <c r="D758">
        <f t="shared" si="45"/>
        <v>324</v>
      </c>
      <c r="E758">
        <f t="shared" si="46"/>
        <v>16633.260900000001</v>
      </c>
      <c r="F758">
        <f t="shared" si="47"/>
        <v>324</v>
      </c>
    </row>
    <row r="759" spans="1:6" x14ac:dyDescent="0.3">
      <c r="A759">
        <v>19</v>
      </c>
      <c r="B759">
        <v>84.31</v>
      </c>
      <c r="C759">
        <f t="shared" si="44"/>
        <v>1601.89</v>
      </c>
      <c r="D759">
        <f t="shared" si="45"/>
        <v>361</v>
      </c>
      <c r="E759">
        <f t="shared" si="46"/>
        <v>7108.1761000000006</v>
      </c>
      <c r="F759">
        <f t="shared" si="47"/>
        <v>361</v>
      </c>
    </row>
    <row r="760" spans="1:6" x14ac:dyDescent="0.3">
      <c r="A760">
        <v>47</v>
      </c>
      <c r="B760">
        <v>74.8</v>
      </c>
      <c r="C760">
        <f t="shared" si="44"/>
        <v>3515.6</v>
      </c>
      <c r="D760">
        <f t="shared" si="45"/>
        <v>2209</v>
      </c>
      <c r="E760">
        <f t="shared" si="46"/>
        <v>5595.04</v>
      </c>
      <c r="F760">
        <f t="shared" si="47"/>
        <v>2209</v>
      </c>
    </row>
    <row r="761" spans="1:6" x14ac:dyDescent="0.3">
      <c r="A761">
        <v>54</v>
      </c>
      <c r="B761">
        <v>97.06</v>
      </c>
      <c r="C761">
        <f t="shared" si="44"/>
        <v>5241.24</v>
      </c>
      <c r="D761">
        <f t="shared" si="45"/>
        <v>2916</v>
      </c>
      <c r="E761">
        <f t="shared" si="46"/>
        <v>9420.6436000000012</v>
      </c>
      <c r="F761">
        <f t="shared" si="47"/>
        <v>2916</v>
      </c>
    </row>
    <row r="762" spans="1:6" x14ac:dyDescent="0.3">
      <c r="A762">
        <v>39</v>
      </c>
      <c r="B762">
        <v>77.540000000000006</v>
      </c>
      <c r="C762">
        <f t="shared" si="44"/>
        <v>3024.0600000000004</v>
      </c>
      <c r="D762">
        <f t="shared" si="45"/>
        <v>1521</v>
      </c>
      <c r="E762">
        <f t="shared" si="46"/>
        <v>6012.4516000000012</v>
      </c>
      <c r="F762">
        <f t="shared" si="47"/>
        <v>1521</v>
      </c>
    </row>
    <row r="763" spans="1:6" x14ac:dyDescent="0.3">
      <c r="A763">
        <v>37</v>
      </c>
      <c r="B763">
        <v>92.78</v>
      </c>
      <c r="C763">
        <f t="shared" si="44"/>
        <v>3432.86</v>
      </c>
      <c r="D763">
        <f t="shared" si="45"/>
        <v>1369</v>
      </c>
      <c r="E763">
        <f t="shared" si="46"/>
        <v>8608.1283999999996</v>
      </c>
      <c r="F763">
        <f t="shared" si="47"/>
        <v>1369</v>
      </c>
    </row>
    <row r="764" spans="1:6" x14ac:dyDescent="0.3">
      <c r="A764">
        <v>17</v>
      </c>
      <c r="B764">
        <v>173.43</v>
      </c>
      <c r="C764">
        <f t="shared" si="44"/>
        <v>2948.31</v>
      </c>
      <c r="D764">
        <f t="shared" si="45"/>
        <v>289</v>
      </c>
      <c r="E764">
        <f t="shared" si="46"/>
        <v>30077.964900000003</v>
      </c>
      <c r="F764">
        <f t="shared" si="47"/>
        <v>289</v>
      </c>
    </row>
    <row r="765" spans="1:6" x14ac:dyDescent="0.3">
      <c r="A765">
        <v>20</v>
      </c>
      <c r="B765">
        <v>79.08</v>
      </c>
      <c r="C765">
        <f t="shared" si="44"/>
        <v>1581.6</v>
      </c>
      <c r="D765">
        <f t="shared" si="45"/>
        <v>400</v>
      </c>
      <c r="E765">
        <f t="shared" si="46"/>
        <v>6253.6463999999996</v>
      </c>
      <c r="F765">
        <f t="shared" si="47"/>
        <v>400</v>
      </c>
    </row>
    <row r="766" spans="1:6" x14ac:dyDescent="0.3">
      <c r="A766">
        <v>31</v>
      </c>
      <c r="B766">
        <v>106.18</v>
      </c>
      <c r="C766">
        <f t="shared" si="44"/>
        <v>3291.5800000000004</v>
      </c>
      <c r="D766">
        <f t="shared" si="45"/>
        <v>961</v>
      </c>
      <c r="E766">
        <f t="shared" si="46"/>
        <v>11274.192400000002</v>
      </c>
      <c r="F766">
        <f t="shared" si="47"/>
        <v>961</v>
      </c>
    </row>
    <row r="767" spans="1:6" x14ac:dyDescent="0.3">
      <c r="A767">
        <v>56</v>
      </c>
      <c r="B767">
        <v>114.21</v>
      </c>
      <c r="C767">
        <f t="shared" si="44"/>
        <v>6395.7599999999993</v>
      </c>
      <c r="D767">
        <f t="shared" si="45"/>
        <v>3136</v>
      </c>
      <c r="E767">
        <f t="shared" si="46"/>
        <v>13043.924099999998</v>
      </c>
      <c r="F767">
        <f t="shared" si="47"/>
        <v>3136</v>
      </c>
    </row>
    <row r="768" spans="1:6" x14ac:dyDescent="0.3">
      <c r="A768">
        <v>31</v>
      </c>
      <c r="B768">
        <v>91.08</v>
      </c>
      <c r="C768">
        <f t="shared" si="44"/>
        <v>2823.48</v>
      </c>
      <c r="D768">
        <f t="shared" si="45"/>
        <v>961</v>
      </c>
      <c r="E768">
        <f t="shared" si="46"/>
        <v>8295.5663999999997</v>
      </c>
      <c r="F768">
        <f t="shared" si="47"/>
        <v>961</v>
      </c>
    </row>
    <row r="769" spans="1:6" x14ac:dyDescent="0.3">
      <c r="A769">
        <v>82</v>
      </c>
      <c r="B769">
        <v>105.77</v>
      </c>
      <c r="C769">
        <f t="shared" si="44"/>
        <v>8673.14</v>
      </c>
      <c r="D769">
        <f t="shared" si="45"/>
        <v>6724</v>
      </c>
      <c r="E769">
        <f t="shared" si="46"/>
        <v>11187.292899999999</v>
      </c>
      <c r="F769">
        <f t="shared" si="47"/>
        <v>6724</v>
      </c>
    </row>
    <row r="770" spans="1:6" x14ac:dyDescent="0.3">
      <c r="A770">
        <v>33</v>
      </c>
      <c r="B770">
        <v>74.88</v>
      </c>
      <c r="C770">
        <f t="shared" si="44"/>
        <v>2471.04</v>
      </c>
      <c r="D770">
        <f t="shared" si="45"/>
        <v>1089</v>
      </c>
      <c r="E770">
        <f t="shared" si="46"/>
        <v>5607.0143999999991</v>
      </c>
      <c r="F770">
        <f t="shared" si="47"/>
        <v>1089</v>
      </c>
    </row>
    <row r="771" spans="1:6" x14ac:dyDescent="0.3">
      <c r="A771">
        <v>42</v>
      </c>
      <c r="B771">
        <v>123.15</v>
      </c>
      <c r="C771">
        <f t="shared" ref="C771:C834" si="48">A771*B771</f>
        <v>5172.3</v>
      </c>
      <c r="D771">
        <f t="shared" ref="D771:D834" si="49">A771*A771</f>
        <v>1764</v>
      </c>
      <c r="E771">
        <f t="shared" ref="E771:E834" si="50">B771*B771</f>
        <v>15165.922500000001</v>
      </c>
      <c r="F771">
        <f t="shared" ref="F771:F834" si="51">A771^2</f>
        <v>1764</v>
      </c>
    </row>
    <row r="772" spans="1:6" x14ac:dyDescent="0.3">
      <c r="A772">
        <v>20</v>
      </c>
      <c r="B772">
        <v>184.25</v>
      </c>
      <c r="C772">
        <f t="shared" si="48"/>
        <v>3685</v>
      </c>
      <c r="D772">
        <f t="shared" si="49"/>
        <v>400</v>
      </c>
      <c r="E772">
        <f t="shared" si="50"/>
        <v>33948.0625</v>
      </c>
      <c r="F772">
        <f t="shared" si="51"/>
        <v>400</v>
      </c>
    </row>
    <row r="773" spans="1:6" x14ac:dyDescent="0.3">
      <c r="A773">
        <v>22</v>
      </c>
      <c r="B773">
        <v>117.69</v>
      </c>
      <c r="C773">
        <f t="shared" si="48"/>
        <v>2589.1799999999998</v>
      </c>
      <c r="D773">
        <f t="shared" si="49"/>
        <v>484</v>
      </c>
      <c r="E773">
        <f t="shared" si="50"/>
        <v>13850.936099999999</v>
      </c>
      <c r="F773">
        <f t="shared" si="51"/>
        <v>484</v>
      </c>
    </row>
    <row r="774" spans="1:6" x14ac:dyDescent="0.3">
      <c r="A774">
        <v>61</v>
      </c>
      <c r="B774">
        <v>55.26</v>
      </c>
      <c r="C774">
        <f t="shared" si="48"/>
        <v>3370.8599999999997</v>
      </c>
      <c r="D774">
        <f t="shared" si="49"/>
        <v>3721</v>
      </c>
      <c r="E774">
        <f t="shared" si="50"/>
        <v>3053.6675999999998</v>
      </c>
      <c r="F774">
        <f t="shared" si="51"/>
        <v>3721</v>
      </c>
    </row>
    <row r="775" spans="1:6" x14ac:dyDescent="0.3">
      <c r="A775">
        <v>31</v>
      </c>
      <c r="B775">
        <v>106.51</v>
      </c>
      <c r="C775">
        <f t="shared" si="48"/>
        <v>3301.81</v>
      </c>
      <c r="D775">
        <f t="shared" si="49"/>
        <v>961</v>
      </c>
      <c r="E775">
        <f t="shared" si="50"/>
        <v>11344.3801</v>
      </c>
      <c r="F775">
        <f t="shared" si="51"/>
        <v>961</v>
      </c>
    </row>
    <row r="776" spans="1:6" x14ac:dyDescent="0.3">
      <c r="A776">
        <v>31</v>
      </c>
      <c r="B776">
        <v>55.27</v>
      </c>
      <c r="C776">
        <f t="shared" si="48"/>
        <v>1713.3700000000001</v>
      </c>
      <c r="D776">
        <f t="shared" si="49"/>
        <v>961</v>
      </c>
      <c r="E776">
        <f t="shared" si="50"/>
        <v>3054.7729000000004</v>
      </c>
      <c r="F776">
        <f t="shared" si="51"/>
        <v>961</v>
      </c>
    </row>
    <row r="777" spans="1:6" x14ac:dyDescent="0.3">
      <c r="A777">
        <v>17</v>
      </c>
      <c r="B777">
        <v>98.42</v>
      </c>
      <c r="C777">
        <f t="shared" si="48"/>
        <v>1673.14</v>
      </c>
      <c r="D777">
        <f t="shared" si="49"/>
        <v>289</v>
      </c>
      <c r="E777">
        <f t="shared" si="50"/>
        <v>9686.4964</v>
      </c>
      <c r="F777">
        <f t="shared" si="51"/>
        <v>289</v>
      </c>
    </row>
    <row r="778" spans="1:6" x14ac:dyDescent="0.3">
      <c r="A778">
        <v>30</v>
      </c>
      <c r="B778">
        <v>99.2</v>
      </c>
      <c r="C778">
        <f t="shared" si="48"/>
        <v>2976</v>
      </c>
      <c r="D778">
        <f t="shared" si="49"/>
        <v>900</v>
      </c>
      <c r="E778">
        <f t="shared" si="50"/>
        <v>9840.6400000000012</v>
      </c>
      <c r="F778">
        <f t="shared" si="51"/>
        <v>900</v>
      </c>
    </row>
    <row r="779" spans="1:6" x14ac:dyDescent="0.3">
      <c r="A779">
        <v>69</v>
      </c>
      <c r="B779">
        <v>98.92</v>
      </c>
      <c r="C779">
        <f t="shared" si="48"/>
        <v>6825.4800000000005</v>
      </c>
      <c r="D779">
        <f t="shared" si="49"/>
        <v>4761</v>
      </c>
      <c r="E779">
        <f t="shared" si="50"/>
        <v>9785.1664000000001</v>
      </c>
      <c r="F779">
        <f t="shared" si="51"/>
        <v>4761</v>
      </c>
    </row>
    <row r="780" spans="1:6" x14ac:dyDescent="0.3">
      <c r="A780">
        <v>63</v>
      </c>
      <c r="B780">
        <v>92.7</v>
      </c>
      <c r="C780">
        <f t="shared" si="48"/>
        <v>5840.1</v>
      </c>
      <c r="D780">
        <f t="shared" si="49"/>
        <v>3969</v>
      </c>
      <c r="E780">
        <f t="shared" si="50"/>
        <v>8593.2900000000009</v>
      </c>
      <c r="F780">
        <f t="shared" si="51"/>
        <v>3969</v>
      </c>
    </row>
    <row r="781" spans="1:6" x14ac:dyDescent="0.3">
      <c r="A781">
        <v>19</v>
      </c>
      <c r="B781">
        <v>106.7</v>
      </c>
      <c r="C781">
        <f t="shared" si="48"/>
        <v>2027.3</v>
      </c>
      <c r="D781">
        <f t="shared" si="49"/>
        <v>361</v>
      </c>
      <c r="E781">
        <f t="shared" si="50"/>
        <v>11384.890000000001</v>
      </c>
      <c r="F781">
        <f t="shared" si="51"/>
        <v>361</v>
      </c>
    </row>
    <row r="782" spans="1:6" x14ac:dyDescent="0.3">
      <c r="A782">
        <v>7</v>
      </c>
      <c r="B782">
        <v>152.81</v>
      </c>
      <c r="C782">
        <f t="shared" si="48"/>
        <v>1069.67</v>
      </c>
      <c r="D782">
        <f t="shared" si="49"/>
        <v>49</v>
      </c>
      <c r="E782">
        <f t="shared" si="50"/>
        <v>23350.896100000002</v>
      </c>
      <c r="F782">
        <f t="shared" si="51"/>
        <v>49</v>
      </c>
    </row>
    <row r="783" spans="1:6" x14ac:dyDescent="0.3">
      <c r="A783">
        <v>51</v>
      </c>
      <c r="B783">
        <v>82.59</v>
      </c>
      <c r="C783">
        <f t="shared" si="48"/>
        <v>4212.09</v>
      </c>
      <c r="D783">
        <f t="shared" si="49"/>
        <v>2601</v>
      </c>
      <c r="E783">
        <f t="shared" si="50"/>
        <v>6821.1081000000004</v>
      </c>
      <c r="F783">
        <f t="shared" si="51"/>
        <v>2601</v>
      </c>
    </row>
    <row r="784" spans="1:6" x14ac:dyDescent="0.3">
      <c r="A784">
        <v>38</v>
      </c>
      <c r="B784">
        <v>91</v>
      </c>
      <c r="C784">
        <f t="shared" si="48"/>
        <v>3458</v>
      </c>
      <c r="D784">
        <f t="shared" si="49"/>
        <v>1444</v>
      </c>
      <c r="E784">
        <f t="shared" si="50"/>
        <v>8281</v>
      </c>
      <c r="F784">
        <f t="shared" si="51"/>
        <v>1444</v>
      </c>
    </row>
    <row r="785" spans="1:6" x14ac:dyDescent="0.3">
      <c r="A785">
        <v>2</v>
      </c>
      <c r="B785">
        <v>93.88</v>
      </c>
      <c r="C785">
        <f t="shared" si="48"/>
        <v>187.76</v>
      </c>
      <c r="D785">
        <f t="shared" si="49"/>
        <v>4</v>
      </c>
      <c r="E785">
        <f t="shared" si="50"/>
        <v>8813.4543999999987</v>
      </c>
      <c r="F785">
        <f t="shared" si="51"/>
        <v>4</v>
      </c>
    </row>
    <row r="786" spans="1:6" x14ac:dyDescent="0.3">
      <c r="A786">
        <v>58</v>
      </c>
      <c r="B786">
        <v>76.989999999999995</v>
      </c>
      <c r="C786">
        <f t="shared" si="48"/>
        <v>4465.42</v>
      </c>
      <c r="D786">
        <f t="shared" si="49"/>
        <v>3364</v>
      </c>
      <c r="E786">
        <f t="shared" si="50"/>
        <v>5927.4600999999993</v>
      </c>
      <c r="F786">
        <f t="shared" si="51"/>
        <v>3364</v>
      </c>
    </row>
    <row r="787" spans="1:6" x14ac:dyDescent="0.3">
      <c r="A787">
        <v>69</v>
      </c>
      <c r="B787">
        <v>254.6</v>
      </c>
      <c r="C787">
        <f t="shared" si="48"/>
        <v>17567.399999999998</v>
      </c>
      <c r="D787">
        <f t="shared" si="49"/>
        <v>4761</v>
      </c>
      <c r="E787">
        <f t="shared" si="50"/>
        <v>64821.159999999996</v>
      </c>
      <c r="F787">
        <f t="shared" si="51"/>
        <v>4761</v>
      </c>
    </row>
    <row r="788" spans="1:6" x14ac:dyDescent="0.3">
      <c r="A788">
        <v>64</v>
      </c>
      <c r="B788">
        <v>93.99</v>
      </c>
      <c r="C788">
        <f t="shared" si="48"/>
        <v>6015.36</v>
      </c>
      <c r="D788">
        <f t="shared" si="49"/>
        <v>4096</v>
      </c>
      <c r="E788">
        <f t="shared" si="50"/>
        <v>8834.1200999999983</v>
      </c>
      <c r="F788">
        <f t="shared" si="51"/>
        <v>4096</v>
      </c>
    </row>
    <row r="789" spans="1:6" x14ac:dyDescent="0.3">
      <c r="A789">
        <v>31</v>
      </c>
      <c r="B789">
        <v>109.68</v>
      </c>
      <c r="C789">
        <f t="shared" si="48"/>
        <v>3400.0800000000004</v>
      </c>
      <c r="D789">
        <f t="shared" si="49"/>
        <v>961</v>
      </c>
      <c r="E789">
        <f t="shared" si="50"/>
        <v>12029.702400000002</v>
      </c>
      <c r="F789">
        <f t="shared" si="51"/>
        <v>961</v>
      </c>
    </row>
    <row r="790" spans="1:6" x14ac:dyDescent="0.3">
      <c r="A790">
        <v>59</v>
      </c>
      <c r="B790">
        <v>92.04</v>
      </c>
      <c r="C790">
        <f t="shared" si="48"/>
        <v>5430.3600000000006</v>
      </c>
      <c r="D790">
        <f t="shared" si="49"/>
        <v>3481</v>
      </c>
      <c r="E790">
        <f t="shared" si="50"/>
        <v>8471.361600000002</v>
      </c>
      <c r="F790">
        <f t="shared" si="51"/>
        <v>3481</v>
      </c>
    </row>
    <row r="791" spans="1:6" x14ac:dyDescent="0.3">
      <c r="A791">
        <v>54</v>
      </c>
      <c r="B791">
        <v>111.41</v>
      </c>
      <c r="C791">
        <f t="shared" si="48"/>
        <v>6016.1399999999994</v>
      </c>
      <c r="D791">
        <f t="shared" si="49"/>
        <v>2916</v>
      </c>
      <c r="E791">
        <f t="shared" si="50"/>
        <v>12412.188099999999</v>
      </c>
      <c r="F791">
        <f t="shared" si="51"/>
        <v>2916</v>
      </c>
    </row>
    <row r="792" spans="1:6" x14ac:dyDescent="0.3">
      <c r="A792">
        <v>24</v>
      </c>
      <c r="B792">
        <v>97.92</v>
      </c>
      <c r="C792">
        <f t="shared" si="48"/>
        <v>2350.08</v>
      </c>
      <c r="D792">
        <f t="shared" si="49"/>
        <v>576</v>
      </c>
      <c r="E792">
        <f t="shared" si="50"/>
        <v>9588.3263999999999</v>
      </c>
      <c r="F792">
        <f t="shared" si="51"/>
        <v>576</v>
      </c>
    </row>
    <row r="793" spans="1:6" x14ac:dyDescent="0.3">
      <c r="A793">
        <v>19</v>
      </c>
      <c r="B793">
        <v>65.61</v>
      </c>
      <c r="C793">
        <f t="shared" si="48"/>
        <v>1246.5899999999999</v>
      </c>
      <c r="D793">
        <f t="shared" si="49"/>
        <v>361</v>
      </c>
      <c r="E793">
        <f t="shared" si="50"/>
        <v>4304.6720999999998</v>
      </c>
      <c r="F793">
        <f t="shared" si="51"/>
        <v>361</v>
      </c>
    </row>
    <row r="794" spans="1:6" x14ac:dyDescent="0.3">
      <c r="A794">
        <v>17</v>
      </c>
      <c r="B794">
        <v>62.37</v>
      </c>
      <c r="C794">
        <f t="shared" si="48"/>
        <v>1060.29</v>
      </c>
      <c r="D794">
        <f t="shared" si="49"/>
        <v>289</v>
      </c>
      <c r="E794">
        <f t="shared" si="50"/>
        <v>3890.0168999999996</v>
      </c>
      <c r="F794">
        <f t="shared" si="51"/>
        <v>289</v>
      </c>
    </row>
    <row r="795" spans="1:6" x14ac:dyDescent="0.3">
      <c r="A795">
        <v>29</v>
      </c>
      <c r="B795">
        <v>101.28</v>
      </c>
      <c r="C795">
        <f t="shared" si="48"/>
        <v>2937.12</v>
      </c>
      <c r="D795">
        <f t="shared" si="49"/>
        <v>841</v>
      </c>
      <c r="E795">
        <f t="shared" si="50"/>
        <v>10257.6384</v>
      </c>
      <c r="F795">
        <f t="shared" si="51"/>
        <v>841</v>
      </c>
    </row>
    <row r="796" spans="1:6" x14ac:dyDescent="0.3">
      <c r="A796">
        <v>42</v>
      </c>
      <c r="B796">
        <v>88.31</v>
      </c>
      <c r="C796">
        <f t="shared" si="48"/>
        <v>3709.02</v>
      </c>
      <c r="D796">
        <f t="shared" si="49"/>
        <v>1764</v>
      </c>
      <c r="E796">
        <f t="shared" si="50"/>
        <v>7798.6561000000002</v>
      </c>
      <c r="F796">
        <f t="shared" si="51"/>
        <v>1764</v>
      </c>
    </row>
    <row r="797" spans="1:6" x14ac:dyDescent="0.3">
      <c r="A797">
        <v>31</v>
      </c>
      <c r="B797">
        <v>103.55</v>
      </c>
      <c r="C797">
        <f t="shared" si="48"/>
        <v>3210.0499999999997</v>
      </c>
      <c r="D797">
        <f t="shared" si="49"/>
        <v>961</v>
      </c>
      <c r="E797">
        <f t="shared" si="50"/>
        <v>10722.602499999999</v>
      </c>
      <c r="F797">
        <f t="shared" si="51"/>
        <v>961</v>
      </c>
    </row>
    <row r="798" spans="1:6" x14ac:dyDescent="0.3">
      <c r="A798">
        <v>29</v>
      </c>
      <c r="B798">
        <v>60.26</v>
      </c>
      <c r="C798">
        <f t="shared" si="48"/>
        <v>1747.54</v>
      </c>
      <c r="D798">
        <f t="shared" si="49"/>
        <v>841</v>
      </c>
      <c r="E798">
        <f t="shared" si="50"/>
        <v>3631.2675999999997</v>
      </c>
      <c r="F798">
        <f t="shared" si="51"/>
        <v>841</v>
      </c>
    </row>
    <row r="799" spans="1:6" x14ac:dyDescent="0.3">
      <c r="A799">
        <v>23</v>
      </c>
      <c r="B799">
        <v>79.39</v>
      </c>
      <c r="C799">
        <f t="shared" si="48"/>
        <v>1825.97</v>
      </c>
      <c r="D799">
        <f t="shared" si="49"/>
        <v>529</v>
      </c>
      <c r="E799">
        <f t="shared" si="50"/>
        <v>6302.7721000000001</v>
      </c>
      <c r="F799">
        <f t="shared" si="51"/>
        <v>529</v>
      </c>
    </row>
    <row r="800" spans="1:6" x14ac:dyDescent="0.3">
      <c r="A800">
        <v>25</v>
      </c>
      <c r="B800">
        <v>122.01</v>
      </c>
      <c r="C800">
        <f t="shared" si="48"/>
        <v>3050.25</v>
      </c>
      <c r="D800">
        <f t="shared" si="49"/>
        <v>625</v>
      </c>
      <c r="E800">
        <f t="shared" si="50"/>
        <v>14886.440100000002</v>
      </c>
      <c r="F800">
        <f t="shared" si="51"/>
        <v>625</v>
      </c>
    </row>
    <row r="801" spans="1:6" x14ac:dyDescent="0.3">
      <c r="A801">
        <v>14</v>
      </c>
      <c r="B801">
        <v>78.09</v>
      </c>
      <c r="C801">
        <f t="shared" si="48"/>
        <v>1093.26</v>
      </c>
      <c r="D801">
        <f t="shared" si="49"/>
        <v>196</v>
      </c>
      <c r="E801">
        <f t="shared" si="50"/>
        <v>6098.0481000000009</v>
      </c>
      <c r="F801">
        <f t="shared" si="51"/>
        <v>196</v>
      </c>
    </row>
    <row r="802" spans="1:6" x14ac:dyDescent="0.3">
      <c r="A802">
        <v>66</v>
      </c>
      <c r="B802">
        <v>89.7</v>
      </c>
      <c r="C802">
        <f t="shared" si="48"/>
        <v>5920.2</v>
      </c>
      <c r="D802">
        <f t="shared" si="49"/>
        <v>4356</v>
      </c>
      <c r="E802">
        <f t="shared" si="50"/>
        <v>8046.09</v>
      </c>
      <c r="F802">
        <f t="shared" si="51"/>
        <v>4356</v>
      </c>
    </row>
    <row r="803" spans="1:6" x14ac:dyDescent="0.3">
      <c r="A803">
        <v>77</v>
      </c>
      <c r="B803">
        <v>95.1</v>
      </c>
      <c r="C803">
        <f t="shared" si="48"/>
        <v>7322.7</v>
      </c>
      <c r="D803">
        <f t="shared" si="49"/>
        <v>5929</v>
      </c>
      <c r="E803">
        <f t="shared" si="50"/>
        <v>9044.0099999999984</v>
      </c>
      <c r="F803">
        <f t="shared" si="51"/>
        <v>5929</v>
      </c>
    </row>
    <row r="804" spans="1:6" x14ac:dyDescent="0.3">
      <c r="A804">
        <v>79</v>
      </c>
      <c r="B804">
        <v>112.64</v>
      </c>
      <c r="C804">
        <f t="shared" si="48"/>
        <v>8898.56</v>
      </c>
      <c r="D804">
        <f t="shared" si="49"/>
        <v>6241</v>
      </c>
      <c r="E804">
        <f t="shared" si="50"/>
        <v>12687.7696</v>
      </c>
      <c r="F804">
        <f t="shared" si="51"/>
        <v>6241</v>
      </c>
    </row>
    <row r="805" spans="1:6" x14ac:dyDescent="0.3">
      <c r="A805">
        <v>52</v>
      </c>
      <c r="B805">
        <v>79.8</v>
      </c>
      <c r="C805">
        <f t="shared" si="48"/>
        <v>4149.5999999999995</v>
      </c>
      <c r="D805">
        <f t="shared" si="49"/>
        <v>2704</v>
      </c>
      <c r="E805">
        <f t="shared" si="50"/>
        <v>6368.04</v>
      </c>
      <c r="F805">
        <f t="shared" si="51"/>
        <v>2704</v>
      </c>
    </row>
    <row r="806" spans="1:6" x14ac:dyDescent="0.3">
      <c r="A806">
        <v>41</v>
      </c>
      <c r="B806">
        <v>82.2</v>
      </c>
      <c r="C806">
        <f t="shared" si="48"/>
        <v>3370.2000000000003</v>
      </c>
      <c r="D806">
        <f t="shared" si="49"/>
        <v>1681</v>
      </c>
      <c r="E806">
        <f t="shared" si="50"/>
        <v>6756.84</v>
      </c>
      <c r="F806">
        <f t="shared" si="51"/>
        <v>1681</v>
      </c>
    </row>
    <row r="807" spans="1:6" x14ac:dyDescent="0.3">
      <c r="A807">
        <v>31</v>
      </c>
      <c r="B807">
        <v>108.89</v>
      </c>
      <c r="C807">
        <f t="shared" si="48"/>
        <v>3375.59</v>
      </c>
      <c r="D807">
        <f t="shared" si="49"/>
        <v>961</v>
      </c>
      <c r="E807">
        <f t="shared" si="50"/>
        <v>11857.0321</v>
      </c>
      <c r="F807">
        <f t="shared" si="51"/>
        <v>961</v>
      </c>
    </row>
    <row r="808" spans="1:6" x14ac:dyDescent="0.3">
      <c r="A808">
        <v>39</v>
      </c>
      <c r="B808">
        <v>114.32</v>
      </c>
      <c r="C808">
        <f t="shared" si="48"/>
        <v>4458.4799999999996</v>
      </c>
      <c r="D808">
        <f t="shared" si="49"/>
        <v>1521</v>
      </c>
      <c r="E808">
        <f t="shared" si="50"/>
        <v>13069.062399999999</v>
      </c>
      <c r="F808">
        <f t="shared" si="51"/>
        <v>1521</v>
      </c>
    </row>
    <row r="809" spans="1:6" x14ac:dyDescent="0.3">
      <c r="A809">
        <v>51</v>
      </c>
      <c r="B809">
        <v>116.14</v>
      </c>
      <c r="C809">
        <f t="shared" si="48"/>
        <v>5923.14</v>
      </c>
      <c r="D809">
        <f t="shared" si="49"/>
        <v>2601</v>
      </c>
      <c r="E809">
        <f t="shared" si="50"/>
        <v>13488.499600000001</v>
      </c>
      <c r="F809">
        <f t="shared" si="51"/>
        <v>2601</v>
      </c>
    </row>
    <row r="810" spans="1:6" x14ac:dyDescent="0.3">
      <c r="A810">
        <v>40</v>
      </c>
      <c r="B810">
        <v>122.74</v>
      </c>
      <c r="C810">
        <f t="shared" si="48"/>
        <v>4909.5999999999995</v>
      </c>
      <c r="D810">
        <f t="shared" si="49"/>
        <v>1600</v>
      </c>
      <c r="E810">
        <f t="shared" si="50"/>
        <v>15065.107599999999</v>
      </c>
      <c r="F810">
        <f t="shared" si="51"/>
        <v>1600</v>
      </c>
    </row>
    <row r="811" spans="1:6" x14ac:dyDescent="0.3">
      <c r="A811">
        <v>48</v>
      </c>
      <c r="B811">
        <v>94.04</v>
      </c>
      <c r="C811">
        <f t="shared" si="48"/>
        <v>4513.92</v>
      </c>
      <c r="D811">
        <f t="shared" si="49"/>
        <v>2304</v>
      </c>
      <c r="E811">
        <f t="shared" si="50"/>
        <v>8843.5216000000019</v>
      </c>
      <c r="F811">
        <f t="shared" si="51"/>
        <v>2304</v>
      </c>
    </row>
    <row r="812" spans="1:6" x14ac:dyDescent="0.3">
      <c r="A812">
        <v>55</v>
      </c>
      <c r="B812">
        <v>86.6</v>
      </c>
      <c r="C812">
        <f t="shared" si="48"/>
        <v>4763</v>
      </c>
      <c r="D812">
        <f t="shared" si="49"/>
        <v>3025</v>
      </c>
      <c r="E812">
        <f t="shared" si="50"/>
        <v>7499.5599999999986</v>
      </c>
      <c r="F812">
        <f t="shared" si="51"/>
        <v>3025</v>
      </c>
    </row>
    <row r="813" spans="1:6" x14ac:dyDescent="0.3">
      <c r="A813">
        <v>41</v>
      </c>
      <c r="B813">
        <v>82.32</v>
      </c>
      <c r="C813">
        <f t="shared" si="48"/>
        <v>3375.12</v>
      </c>
      <c r="D813">
        <f t="shared" si="49"/>
        <v>1681</v>
      </c>
      <c r="E813">
        <f t="shared" si="50"/>
        <v>6776.5823999999993</v>
      </c>
      <c r="F813">
        <f t="shared" si="51"/>
        <v>1681</v>
      </c>
    </row>
    <row r="814" spans="1:6" x14ac:dyDescent="0.3">
      <c r="A814">
        <v>39</v>
      </c>
      <c r="B814">
        <v>83.83</v>
      </c>
      <c r="C814">
        <f t="shared" si="48"/>
        <v>3269.37</v>
      </c>
      <c r="D814">
        <f t="shared" si="49"/>
        <v>1521</v>
      </c>
      <c r="E814">
        <f t="shared" si="50"/>
        <v>7027.4688999999998</v>
      </c>
      <c r="F814">
        <f t="shared" si="51"/>
        <v>1521</v>
      </c>
    </row>
    <row r="815" spans="1:6" x14ac:dyDescent="0.3">
      <c r="A815">
        <v>41</v>
      </c>
      <c r="B815">
        <v>106.98</v>
      </c>
      <c r="C815">
        <f t="shared" si="48"/>
        <v>4386.18</v>
      </c>
      <c r="D815">
        <f t="shared" si="49"/>
        <v>1681</v>
      </c>
      <c r="E815">
        <f t="shared" si="50"/>
        <v>11444.7204</v>
      </c>
      <c r="F815">
        <f t="shared" si="51"/>
        <v>1681</v>
      </c>
    </row>
    <row r="816" spans="1:6" x14ac:dyDescent="0.3">
      <c r="A816">
        <v>5</v>
      </c>
      <c r="B816">
        <v>93.88</v>
      </c>
      <c r="C816">
        <f t="shared" si="48"/>
        <v>469.4</v>
      </c>
      <c r="D816">
        <f t="shared" si="49"/>
        <v>25</v>
      </c>
      <c r="E816">
        <f t="shared" si="50"/>
        <v>8813.4543999999987</v>
      </c>
      <c r="F816">
        <f t="shared" si="51"/>
        <v>25</v>
      </c>
    </row>
    <row r="817" spans="1:6" x14ac:dyDescent="0.3">
      <c r="A817">
        <v>38</v>
      </c>
      <c r="B817">
        <v>70.53</v>
      </c>
      <c r="C817">
        <f t="shared" si="48"/>
        <v>2680.14</v>
      </c>
      <c r="D817">
        <f t="shared" si="49"/>
        <v>1444</v>
      </c>
      <c r="E817">
        <f t="shared" si="50"/>
        <v>4974.4809000000005</v>
      </c>
      <c r="F817">
        <f t="shared" si="51"/>
        <v>1444</v>
      </c>
    </row>
    <row r="818" spans="1:6" x14ac:dyDescent="0.3">
      <c r="A818">
        <v>40</v>
      </c>
      <c r="B818">
        <v>212.01</v>
      </c>
      <c r="C818">
        <f t="shared" si="48"/>
        <v>8480.4</v>
      </c>
      <c r="D818">
        <f t="shared" si="49"/>
        <v>1600</v>
      </c>
      <c r="E818">
        <f t="shared" si="50"/>
        <v>44948.240099999995</v>
      </c>
      <c r="F818">
        <f t="shared" si="51"/>
        <v>1600</v>
      </c>
    </row>
    <row r="819" spans="1:6" x14ac:dyDescent="0.3">
      <c r="A819">
        <v>12</v>
      </c>
      <c r="B819">
        <v>65.88</v>
      </c>
      <c r="C819">
        <f t="shared" si="48"/>
        <v>790.56</v>
      </c>
      <c r="D819">
        <f t="shared" si="49"/>
        <v>144</v>
      </c>
      <c r="E819">
        <f t="shared" si="50"/>
        <v>4340.174399999999</v>
      </c>
      <c r="F819">
        <f t="shared" si="51"/>
        <v>144</v>
      </c>
    </row>
    <row r="820" spans="1:6" x14ac:dyDescent="0.3">
      <c r="A820">
        <v>20</v>
      </c>
      <c r="B820">
        <v>106.97</v>
      </c>
      <c r="C820">
        <f t="shared" si="48"/>
        <v>2139.4</v>
      </c>
      <c r="D820">
        <f t="shared" si="49"/>
        <v>400</v>
      </c>
      <c r="E820">
        <f t="shared" si="50"/>
        <v>11442.580899999999</v>
      </c>
      <c r="F820">
        <f t="shared" si="51"/>
        <v>400</v>
      </c>
    </row>
    <row r="821" spans="1:6" x14ac:dyDescent="0.3">
      <c r="A821">
        <v>53</v>
      </c>
      <c r="B821">
        <v>126.35</v>
      </c>
      <c r="C821">
        <f t="shared" si="48"/>
        <v>6696.5499999999993</v>
      </c>
      <c r="D821">
        <f t="shared" si="49"/>
        <v>2809</v>
      </c>
      <c r="E821">
        <f t="shared" si="50"/>
        <v>15964.322499999998</v>
      </c>
      <c r="F821">
        <f t="shared" si="51"/>
        <v>2809</v>
      </c>
    </row>
    <row r="822" spans="1:6" x14ac:dyDescent="0.3">
      <c r="A822">
        <v>21</v>
      </c>
      <c r="B822">
        <v>129.16</v>
      </c>
      <c r="C822">
        <f t="shared" si="48"/>
        <v>2712.36</v>
      </c>
      <c r="D822">
        <f t="shared" si="49"/>
        <v>441</v>
      </c>
      <c r="E822">
        <f t="shared" si="50"/>
        <v>16682.3056</v>
      </c>
      <c r="F822">
        <f t="shared" si="51"/>
        <v>441</v>
      </c>
    </row>
    <row r="823" spans="1:6" x14ac:dyDescent="0.3">
      <c r="A823">
        <v>70</v>
      </c>
      <c r="B823">
        <v>88.66</v>
      </c>
      <c r="C823">
        <f t="shared" si="48"/>
        <v>6206.2</v>
      </c>
      <c r="D823">
        <f t="shared" si="49"/>
        <v>4900</v>
      </c>
      <c r="E823">
        <f t="shared" si="50"/>
        <v>7860.5955999999996</v>
      </c>
      <c r="F823">
        <f t="shared" si="51"/>
        <v>4900</v>
      </c>
    </row>
    <row r="824" spans="1:6" x14ac:dyDescent="0.3">
      <c r="A824">
        <v>61</v>
      </c>
      <c r="B824">
        <v>112.95</v>
      </c>
      <c r="C824">
        <f t="shared" si="48"/>
        <v>6889.95</v>
      </c>
      <c r="D824">
        <f t="shared" si="49"/>
        <v>3721</v>
      </c>
      <c r="E824">
        <f t="shared" si="50"/>
        <v>12757.702500000001</v>
      </c>
      <c r="F824">
        <f t="shared" si="51"/>
        <v>3721</v>
      </c>
    </row>
    <row r="825" spans="1:6" x14ac:dyDescent="0.3">
      <c r="A825">
        <v>70</v>
      </c>
      <c r="B825">
        <v>81.59</v>
      </c>
      <c r="C825">
        <f t="shared" si="48"/>
        <v>5711.3</v>
      </c>
      <c r="D825">
        <f t="shared" si="49"/>
        <v>4900</v>
      </c>
      <c r="E825">
        <f t="shared" si="50"/>
        <v>6656.928100000001</v>
      </c>
      <c r="F825">
        <f t="shared" si="51"/>
        <v>4900</v>
      </c>
    </row>
    <row r="826" spans="1:6" x14ac:dyDescent="0.3">
      <c r="A826">
        <v>38</v>
      </c>
      <c r="B826">
        <v>76.819999999999993</v>
      </c>
      <c r="C826">
        <f t="shared" si="48"/>
        <v>2919.16</v>
      </c>
      <c r="D826">
        <f t="shared" si="49"/>
        <v>1444</v>
      </c>
      <c r="E826">
        <f t="shared" si="50"/>
        <v>5901.3123999999989</v>
      </c>
      <c r="F826">
        <f t="shared" si="51"/>
        <v>1444</v>
      </c>
    </row>
    <row r="827" spans="1:6" x14ac:dyDescent="0.3">
      <c r="A827">
        <v>59</v>
      </c>
      <c r="B827">
        <v>73.75</v>
      </c>
      <c r="C827">
        <f t="shared" si="48"/>
        <v>4351.25</v>
      </c>
      <c r="D827">
        <f t="shared" si="49"/>
        <v>3481</v>
      </c>
      <c r="E827">
        <f t="shared" si="50"/>
        <v>5439.0625</v>
      </c>
      <c r="F827">
        <f t="shared" si="51"/>
        <v>3481</v>
      </c>
    </row>
    <row r="828" spans="1:6" x14ac:dyDescent="0.3">
      <c r="A828">
        <v>36</v>
      </c>
      <c r="B828">
        <v>91.56</v>
      </c>
      <c r="C828">
        <f t="shared" si="48"/>
        <v>3296.16</v>
      </c>
      <c r="D828">
        <f t="shared" si="49"/>
        <v>1296</v>
      </c>
      <c r="E828">
        <f t="shared" si="50"/>
        <v>8383.2335999999996</v>
      </c>
      <c r="F828">
        <f t="shared" si="51"/>
        <v>1296</v>
      </c>
    </row>
    <row r="829" spans="1:6" x14ac:dyDescent="0.3">
      <c r="A829">
        <v>31</v>
      </c>
      <c r="B829">
        <v>104.55</v>
      </c>
      <c r="C829">
        <f t="shared" si="48"/>
        <v>3241.0499999999997</v>
      </c>
      <c r="D829">
        <f t="shared" si="49"/>
        <v>961</v>
      </c>
      <c r="E829">
        <f t="shared" si="50"/>
        <v>10930.702499999999</v>
      </c>
      <c r="F829">
        <f t="shared" si="51"/>
        <v>961</v>
      </c>
    </row>
    <row r="830" spans="1:6" x14ac:dyDescent="0.3">
      <c r="A830">
        <v>65</v>
      </c>
      <c r="B830">
        <v>84.84</v>
      </c>
      <c r="C830">
        <f t="shared" si="48"/>
        <v>5514.6</v>
      </c>
      <c r="D830">
        <f t="shared" si="49"/>
        <v>4225</v>
      </c>
      <c r="E830">
        <f t="shared" si="50"/>
        <v>7197.825600000001</v>
      </c>
      <c r="F830">
        <f t="shared" si="51"/>
        <v>4225</v>
      </c>
    </row>
    <row r="831" spans="1:6" x14ac:dyDescent="0.3">
      <c r="A831">
        <v>61</v>
      </c>
      <c r="B831">
        <v>86.06</v>
      </c>
      <c r="C831">
        <f t="shared" si="48"/>
        <v>5249.66</v>
      </c>
      <c r="D831">
        <f t="shared" si="49"/>
        <v>3721</v>
      </c>
      <c r="E831">
        <f t="shared" si="50"/>
        <v>7406.3236000000006</v>
      </c>
      <c r="F831">
        <f t="shared" si="51"/>
        <v>3721</v>
      </c>
    </row>
    <row r="832" spans="1:6" x14ac:dyDescent="0.3">
      <c r="A832">
        <v>2</v>
      </c>
      <c r="B832">
        <v>109.1</v>
      </c>
      <c r="C832">
        <f t="shared" si="48"/>
        <v>218.2</v>
      </c>
      <c r="D832">
        <f t="shared" si="49"/>
        <v>4</v>
      </c>
      <c r="E832">
        <f t="shared" si="50"/>
        <v>11902.81</v>
      </c>
      <c r="F832">
        <f t="shared" si="51"/>
        <v>4</v>
      </c>
    </row>
    <row r="833" spans="1:6" x14ac:dyDescent="0.3">
      <c r="A833">
        <v>52</v>
      </c>
      <c r="B833">
        <v>68.349999999999994</v>
      </c>
      <c r="C833">
        <f t="shared" si="48"/>
        <v>3554.2</v>
      </c>
      <c r="D833">
        <f t="shared" si="49"/>
        <v>2704</v>
      </c>
      <c r="E833">
        <f t="shared" si="50"/>
        <v>4671.7224999999989</v>
      </c>
      <c r="F833">
        <f t="shared" si="51"/>
        <v>2704</v>
      </c>
    </row>
    <row r="834" spans="1:6" x14ac:dyDescent="0.3">
      <c r="A834">
        <v>33</v>
      </c>
      <c r="B834">
        <v>121.04</v>
      </c>
      <c r="C834">
        <f t="shared" si="48"/>
        <v>3994.32</v>
      </c>
      <c r="D834">
        <f t="shared" si="49"/>
        <v>1089</v>
      </c>
      <c r="E834">
        <f t="shared" si="50"/>
        <v>14650.681600000002</v>
      </c>
      <c r="F834">
        <f t="shared" si="51"/>
        <v>1089</v>
      </c>
    </row>
    <row r="835" spans="1:6" x14ac:dyDescent="0.3">
      <c r="A835">
        <v>5</v>
      </c>
      <c r="B835">
        <v>160.83000000000001</v>
      </c>
      <c r="C835">
        <f t="shared" ref="C835:C898" si="52">A835*B835</f>
        <v>804.15000000000009</v>
      </c>
      <c r="D835">
        <f t="shared" ref="D835:D898" si="53">A835*A835</f>
        <v>25</v>
      </c>
      <c r="E835">
        <f t="shared" ref="E835:E898" si="54">B835*B835</f>
        <v>25866.288900000003</v>
      </c>
      <c r="F835">
        <f t="shared" ref="F835:F898" si="55">A835^2</f>
        <v>25</v>
      </c>
    </row>
    <row r="836" spans="1:6" x14ac:dyDescent="0.3">
      <c r="A836">
        <v>32</v>
      </c>
      <c r="B836">
        <v>85.62</v>
      </c>
      <c r="C836">
        <f t="shared" si="52"/>
        <v>2739.84</v>
      </c>
      <c r="D836">
        <f t="shared" si="53"/>
        <v>1024</v>
      </c>
      <c r="E836">
        <f t="shared" si="54"/>
        <v>7330.7844000000005</v>
      </c>
      <c r="F836">
        <f t="shared" si="55"/>
        <v>1024</v>
      </c>
    </row>
    <row r="837" spans="1:6" x14ac:dyDescent="0.3">
      <c r="A837">
        <v>54</v>
      </c>
      <c r="B837">
        <v>74.23</v>
      </c>
      <c r="C837">
        <f t="shared" si="52"/>
        <v>4008.42</v>
      </c>
      <c r="D837">
        <f t="shared" si="53"/>
        <v>2916</v>
      </c>
      <c r="E837">
        <f t="shared" si="54"/>
        <v>5510.0929000000006</v>
      </c>
      <c r="F837">
        <f t="shared" si="55"/>
        <v>2916</v>
      </c>
    </row>
    <row r="838" spans="1:6" x14ac:dyDescent="0.3">
      <c r="A838">
        <v>51</v>
      </c>
      <c r="B838">
        <v>110.76</v>
      </c>
      <c r="C838">
        <f t="shared" si="52"/>
        <v>5648.76</v>
      </c>
      <c r="D838">
        <f t="shared" si="53"/>
        <v>2601</v>
      </c>
      <c r="E838">
        <f t="shared" si="54"/>
        <v>12267.777600000001</v>
      </c>
      <c r="F838">
        <f t="shared" si="55"/>
        <v>2601</v>
      </c>
    </row>
    <row r="839" spans="1:6" x14ac:dyDescent="0.3">
      <c r="A839">
        <v>39</v>
      </c>
      <c r="B839">
        <v>79.44</v>
      </c>
      <c r="C839">
        <f t="shared" si="52"/>
        <v>3098.16</v>
      </c>
      <c r="D839">
        <f t="shared" si="53"/>
        <v>1521</v>
      </c>
      <c r="E839">
        <f t="shared" si="54"/>
        <v>6310.7136</v>
      </c>
      <c r="F839">
        <f t="shared" si="55"/>
        <v>1521</v>
      </c>
    </row>
    <row r="840" spans="1:6" x14ac:dyDescent="0.3">
      <c r="A840">
        <v>40</v>
      </c>
      <c r="B840">
        <v>119.52</v>
      </c>
      <c r="C840">
        <f t="shared" si="52"/>
        <v>4780.8</v>
      </c>
      <c r="D840">
        <f t="shared" si="53"/>
        <v>1600</v>
      </c>
      <c r="E840">
        <f t="shared" si="54"/>
        <v>14285.0304</v>
      </c>
      <c r="F840">
        <f t="shared" si="55"/>
        <v>1600</v>
      </c>
    </row>
    <row r="841" spans="1:6" x14ac:dyDescent="0.3">
      <c r="A841">
        <v>19</v>
      </c>
      <c r="B841">
        <v>90.42</v>
      </c>
      <c r="C841">
        <f t="shared" si="52"/>
        <v>1717.98</v>
      </c>
      <c r="D841">
        <f t="shared" si="53"/>
        <v>361</v>
      </c>
      <c r="E841">
        <f t="shared" si="54"/>
        <v>8175.7764000000006</v>
      </c>
      <c r="F841">
        <f t="shared" si="55"/>
        <v>361</v>
      </c>
    </row>
    <row r="842" spans="1:6" x14ac:dyDescent="0.3">
      <c r="A842">
        <v>9</v>
      </c>
      <c r="B842">
        <v>109.32</v>
      </c>
      <c r="C842">
        <f t="shared" si="52"/>
        <v>983.87999999999988</v>
      </c>
      <c r="D842">
        <f t="shared" si="53"/>
        <v>81</v>
      </c>
      <c r="E842">
        <f t="shared" si="54"/>
        <v>11950.862399999998</v>
      </c>
      <c r="F842">
        <f t="shared" si="55"/>
        <v>81</v>
      </c>
    </row>
    <row r="843" spans="1:6" x14ac:dyDescent="0.3">
      <c r="A843">
        <v>53</v>
      </c>
      <c r="B843">
        <v>78.16</v>
      </c>
      <c r="C843">
        <f t="shared" si="52"/>
        <v>4142.4799999999996</v>
      </c>
      <c r="D843">
        <f t="shared" si="53"/>
        <v>2809</v>
      </c>
      <c r="E843">
        <f t="shared" si="54"/>
        <v>6108.9855999999991</v>
      </c>
      <c r="F843">
        <f t="shared" si="55"/>
        <v>2809</v>
      </c>
    </row>
    <row r="844" spans="1:6" x14ac:dyDescent="0.3">
      <c r="A844">
        <v>23</v>
      </c>
      <c r="B844">
        <v>79.13</v>
      </c>
      <c r="C844">
        <f t="shared" si="52"/>
        <v>1819.9899999999998</v>
      </c>
      <c r="D844">
        <f t="shared" si="53"/>
        <v>529</v>
      </c>
      <c r="E844">
        <f t="shared" si="54"/>
        <v>6261.5568999999996</v>
      </c>
      <c r="F844">
        <f t="shared" si="55"/>
        <v>529</v>
      </c>
    </row>
    <row r="845" spans="1:6" x14ac:dyDescent="0.3">
      <c r="A845">
        <v>19</v>
      </c>
      <c r="B845">
        <v>84.06</v>
      </c>
      <c r="C845">
        <f t="shared" si="52"/>
        <v>1597.14</v>
      </c>
      <c r="D845">
        <f t="shared" si="53"/>
        <v>361</v>
      </c>
      <c r="E845">
        <f t="shared" si="54"/>
        <v>7066.0835999999999</v>
      </c>
      <c r="F845">
        <f t="shared" si="55"/>
        <v>361</v>
      </c>
    </row>
    <row r="846" spans="1:6" x14ac:dyDescent="0.3">
      <c r="A846">
        <v>1</v>
      </c>
      <c r="B846">
        <v>89.3</v>
      </c>
      <c r="C846">
        <f t="shared" si="52"/>
        <v>89.3</v>
      </c>
      <c r="D846">
        <f t="shared" si="53"/>
        <v>1</v>
      </c>
      <c r="E846">
        <f t="shared" si="54"/>
        <v>7974.49</v>
      </c>
      <c r="F846">
        <f t="shared" si="55"/>
        <v>1</v>
      </c>
    </row>
    <row r="847" spans="1:6" x14ac:dyDescent="0.3">
      <c r="A847">
        <v>48</v>
      </c>
      <c r="B847">
        <v>69.209999999999994</v>
      </c>
      <c r="C847">
        <f t="shared" si="52"/>
        <v>3322.08</v>
      </c>
      <c r="D847">
        <f t="shared" si="53"/>
        <v>2304</v>
      </c>
      <c r="E847">
        <f t="shared" si="54"/>
        <v>4790.0240999999987</v>
      </c>
      <c r="F847">
        <f t="shared" si="55"/>
        <v>2304</v>
      </c>
    </row>
    <row r="848" spans="1:6" x14ac:dyDescent="0.3">
      <c r="A848">
        <v>71</v>
      </c>
      <c r="B848">
        <v>186.45</v>
      </c>
      <c r="C848">
        <f t="shared" si="52"/>
        <v>13237.949999999999</v>
      </c>
      <c r="D848">
        <f t="shared" si="53"/>
        <v>5041</v>
      </c>
      <c r="E848">
        <f t="shared" si="54"/>
        <v>34763.602499999994</v>
      </c>
      <c r="F848">
        <f t="shared" si="55"/>
        <v>5041</v>
      </c>
    </row>
    <row r="849" spans="1:6" x14ac:dyDescent="0.3">
      <c r="A849">
        <v>44</v>
      </c>
      <c r="B849">
        <v>58.47</v>
      </c>
      <c r="C849">
        <f t="shared" si="52"/>
        <v>2572.6799999999998</v>
      </c>
      <c r="D849">
        <f t="shared" si="53"/>
        <v>1936</v>
      </c>
      <c r="E849">
        <f t="shared" si="54"/>
        <v>3418.7408999999998</v>
      </c>
      <c r="F849">
        <f t="shared" si="55"/>
        <v>1936</v>
      </c>
    </row>
    <row r="850" spans="1:6" x14ac:dyDescent="0.3">
      <c r="A850">
        <v>53</v>
      </c>
      <c r="B850">
        <v>189.49</v>
      </c>
      <c r="C850">
        <f t="shared" si="52"/>
        <v>10042.970000000001</v>
      </c>
      <c r="D850">
        <f t="shared" si="53"/>
        <v>2809</v>
      </c>
      <c r="E850">
        <f t="shared" si="54"/>
        <v>35906.460100000004</v>
      </c>
      <c r="F850">
        <f t="shared" si="55"/>
        <v>2809</v>
      </c>
    </row>
    <row r="851" spans="1:6" x14ac:dyDescent="0.3">
      <c r="A851">
        <v>70</v>
      </c>
      <c r="B851">
        <v>99.6</v>
      </c>
      <c r="C851">
        <f t="shared" si="52"/>
        <v>6972</v>
      </c>
      <c r="D851">
        <f t="shared" si="53"/>
        <v>4900</v>
      </c>
      <c r="E851">
        <f t="shared" si="54"/>
        <v>9920.159999999998</v>
      </c>
      <c r="F851">
        <f t="shared" si="55"/>
        <v>4900</v>
      </c>
    </row>
    <row r="852" spans="1:6" x14ac:dyDescent="0.3">
      <c r="A852">
        <v>1.4</v>
      </c>
      <c r="B852">
        <v>126.18</v>
      </c>
      <c r="C852">
        <f t="shared" si="52"/>
        <v>176.65199999999999</v>
      </c>
      <c r="D852">
        <f t="shared" si="53"/>
        <v>1.9599999999999997</v>
      </c>
      <c r="E852">
        <f t="shared" si="54"/>
        <v>15921.392400000002</v>
      </c>
      <c r="F852">
        <f t="shared" si="55"/>
        <v>1.9599999999999997</v>
      </c>
    </row>
    <row r="853" spans="1:6" x14ac:dyDescent="0.3">
      <c r="A853">
        <v>49</v>
      </c>
      <c r="B853">
        <v>186.32</v>
      </c>
      <c r="C853">
        <f t="shared" si="52"/>
        <v>9129.68</v>
      </c>
      <c r="D853">
        <f t="shared" si="53"/>
        <v>2401</v>
      </c>
      <c r="E853">
        <f t="shared" si="54"/>
        <v>34715.142399999997</v>
      </c>
      <c r="F853">
        <f t="shared" si="55"/>
        <v>2401</v>
      </c>
    </row>
    <row r="854" spans="1:6" x14ac:dyDescent="0.3">
      <c r="A854">
        <v>17</v>
      </c>
      <c r="B854">
        <v>62.49</v>
      </c>
      <c r="C854">
        <f t="shared" si="52"/>
        <v>1062.33</v>
      </c>
      <c r="D854">
        <f t="shared" si="53"/>
        <v>289</v>
      </c>
      <c r="E854">
        <f t="shared" si="54"/>
        <v>3905.0001000000002</v>
      </c>
      <c r="F854">
        <f t="shared" si="55"/>
        <v>289</v>
      </c>
    </row>
    <row r="855" spans="1:6" x14ac:dyDescent="0.3">
      <c r="A855">
        <v>40</v>
      </c>
      <c r="B855">
        <v>74.510000000000005</v>
      </c>
      <c r="C855">
        <f t="shared" si="52"/>
        <v>2980.4</v>
      </c>
      <c r="D855">
        <f t="shared" si="53"/>
        <v>1600</v>
      </c>
      <c r="E855">
        <f t="shared" si="54"/>
        <v>5551.7401000000009</v>
      </c>
      <c r="F855">
        <f t="shared" si="55"/>
        <v>1600</v>
      </c>
    </row>
    <row r="856" spans="1:6" x14ac:dyDescent="0.3">
      <c r="A856">
        <v>46</v>
      </c>
      <c r="B856">
        <v>94.63</v>
      </c>
      <c r="C856">
        <f t="shared" si="52"/>
        <v>4352.9799999999996</v>
      </c>
      <c r="D856">
        <f t="shared" si="53"/>
        <v>2116</v>
      </c>
      <c r="E856">
        <f t="shared" si="54"/>
        <v>8954.8368999999984</v>
      </c>
      <c r="F856">
        <f t="shared" si="55"/>
        <v>2116</v>
      </c>
    </row>
    <row r="857" spans="1:6" x14ac:dyDescent="0.3">
      <c r="A857">
        <v>32</v>
      </c>
      <c r="B857">
        <v>91.98</v>
      </c>
      <c r="C857">
        <f t="shared" si="52"/>
        <v>2943.36</v>
      </c>
      <c r="D857">
        <f t="shared" si="53"/>
        <v>1024</v>
      </c>
      <c r="E857">
        <f t="shared" si="54"/>
        <v>8460.3204000000005</v>
      </c>
      <c r="F857">
        <f t="shared" si="55"/>
        <v>1024</v>
      </c>
    </row>
    <row r="858" spans="1:6" x14ac:dyDescent="0.3">
      <c r="A858">
        <v>2</v>
      </c>
      <c r="B858">
        <v>56.77</v>
      </c>
      <c r="C858">
        <f t="shared" si="52"/>
        <v>113.54</v>
      </c>
      <c r="D858">
        <f t="shared" si="53"/>
        <v>4</v>
      </c>
      <c r="E858">
        <f t="shared" si="54"/>
        <v>3222.8329000000003</v>
      </c>
      <c r="F858">
        <f t="shared" si="55"/>
        <v>4</v>
      </c>
    </row>
    <row r="859" spans="1:6" x14ac:dyDescent="0.3">
      <c r="A859">
        <v>40</v>
      </c>
      <c r="B859">
        <v>75.87</v>
      </c>
      <c r="C859">
        <f t="shared" si="52"/>
        <v>3034.8</v>
      </c>
      <c r="D859">
        <f t="shared" si="53"/>
        <v>1600</v>
      </c>
      <c r="E859">
        <f t="shared" si="54"/>
        <v>5756.2569000000003</v>
      </c>
      <c r="F859">
        <f t="shared" si="55"/>
        <v>1600</v>
      </c>
    </row>
    <row r="860" spans="1:6" x14ac:dyDescent="0.3">
      <c r="A860">
        <v>19</v>
      </c>
      <c r="B860">
        <v>77.19</v>
      </c>
      <c r="C860">
        <f t="shared" si="52"/>
        <v>1466.61</v>
      </c>
      <c r="D860">
        <f t="shared" si="53"/>
        <v>361</v>
      </c>
      <c r="E860">
        <f t="shared" si="54"/>
        <v>5958.2960999999996</v>
      </c>
      <c r="F860">
        <f t="shared" si="55"/>
        <v>361</v>
      </c>
    </row>
    <row r="861" spans="1:6" x14ac:dyDescent="0.3">
      <c r="A861">
        <v>43</v>
      </c>
      <c r="B861">
        <v>135.75</v>
      </c>
      <c r="C861">
        <f t="shared" si="52"/>
        <v>5837.25</v>
      </c>
      <c r="D861">
        <f t="shared" si="53"/>
        <v>1849</v>
      </c>
      <c r="E861">
        <f t="shared" si="54"/>
        <v>18428.0625</v>
      </c>
      <c r="F861">
        <f t="shared" si="55"/>
        <v>1849</v>
      </c>
    </row>
    <row r="862" spans="1:6" x14ac:dyDescent="0.3">
      <c r="A862">
        <v>46</v>
      </c>
      <c r="B862">
        <v>100.15</v>
      </c>
      <c r="C862">
        <f t="shared" si="52"/>
        <v>4606.9000000000005</v>
      </c>
      <c r="D862">
        <f t="shared" si="53"/>
        <v>2116</v>
      </c>
      <c r="E862">
        <f t="shared" si="54"/>
        <v>10030.022500000001</v>
      </c>
      <c r="F862">
        <f t="shared" si="55"/>
        <v>2116</v>
      </c>
    </row>
    <row r="863" spans="1:6" x14ac:dyDescent="0.3">
      <c r="A863">
        <v>71</v>
      </c>
      <c r="B863">
        <v>95.08</v>
      </c>
      <c r="C863">
        <f t="shared" si="52"/>
        <v>6750.68</v>
      </c>
      <c r="D863">
        <f t="shared" si="53"/>
        <v>5041</v>
      </c>
      <c r="E863">
        <f t="shared" si="54"/>
        <v>9040.2063999999991</v>
      </c>
      <c r="F863">
        <f t="shared" si="55"/>
        <v>5041</v>
      </c>
    </row>
    <row r="864" spans="1:6" x14ac:dyDescent="0.3">
      <c r="A864">
        <v>31</v>
      </c>
      <c r="B864">
        <v>125.38</v>
      </c>
      <c r="C864">
        <f t="shared" si="52"/>
        <v>3886.7799999999997</v>
      </c>
      <c r="D864">
        <f t="shared" si="53"/>
        <v>961</v>
      </c>
      <c r="E864">
        <f t="shared" si="54"/>
        <v>15720.144399999999</v>
      </c>
      <c r="F864">
        <f t="shared" si="55"/>
        <v>961</v>
      </c>
    </row>
    <row r="865" spans="1:6" x14ac:dyDescent="0.3">
      <c r="A865">
        <v>41</v>
      </c>
      <c r="B865">
        <v>111.71</v>
      </c>
      <c r="C865">
        <f t="shared" si="52"/>
        <v>4580.1099999999997</v>
      </c>
      <c r="D865">
        <f t="shared" si="53"/>
        <v>1681</v>
      </c>
      <c r="E865">
        <f t="shared" si="54"/>
        <v>12479.124099999999</v>
      </c>
      <c r="F865">
        <f t="shared" si="55"/>
        <v>1681</v>
      </c>
    </row>
    <row r="866" spans="1:6" x14ac:dyDescent="0.3">
      <c r="A866">
        <v>65</v>
      </c>
      <c r="B866">
        <v>94.64</v>
      </c>
      <c r="C866">
        <f t="shared" si="52"/>
        <v>6151.6</v>
      </c>
      <c r="D866">
        <f t="shared" si="53"/>
        <v>4225</v>
      </c>
      <c r="E866">
        <f t="shared" si="54"/>
        <v>8956.7296000000006</v>
      </c>
      <c r="F866">
        <f t="shared" si="55"/>
        <v>4225</v>
      </c>
    </row>
    <row r="867" spans="1:6" x14ac:dyDescent="0.3">
      <c r="A867">
        <v>52</v>
      </c>
      <c r="B867">
        <v>226.7</v>
      </c>
      <c r="C867">
        <f t="shared" si="52"/>
        <v>11788.4</v>
      </c>
      <c r="D867">
        <f t="shared" si="53"/>
        <v>2704</v>
      </c>
      <c r="E867">
        <f t="shared" si="54"/>
        <v>51392.889999999992</v>
      </c>
      <c r="F867">
        <f t="shared" si="55"/>
        <v>2704</v>
      </c>
    </row>
    <row r="868" spans="1:6" x14ac:dyDescent="0.3">
      <c r="A868">
        <v>20</v>
      </c>
      <c r="B868">
        <v>112.96</v>
      </c>
      <c r="C868">
        <f t="shared" si="52"/>
        <v>2259.1999999999998</v>
      </c>
      <c r="D868">
        <f t="shared" si="53"/>
        <v>400</v>
      </c>
      <c r="E868">
        <f t="shared" si="54"/>
        <v>12759.961599999999</v>
      </c>
      <c r="F868">
        <f t="shared" si="55"/>
        <v>400</v>
      </c>
    </row>
    <row r="869" spans="1:6" x14ac:dyDescent="0.3">
      <c r="A869">
        <v>77</v>
      </c>
      <c r="B869">
        <v>183.1</v>
      </c>
      <c r="C869">
        <f t="shared" si="52"/>
        <v>14098.699999999999</v>
      </c>
      <c r="D869">
        <f t="shared" si="53"/>
        <v>5929</v>
      </c>
      <c r="E869">
        <f t="shared" si="54"/>
        <v>33525.61</v>
      </c>
      <c r="F869">
        <f t="shared" si="55"/>
        <v>5929</v>
      </c>
    </row>
    <row r="870" spans="1:6" x14ac:dyDescent="0.3">
      <c r="A870">
        <v>51</v>
      </c>
      <c r="B870">
        <v>105.36</v>
      </c>
      <c r="C870">
        <f t="shared" si="52"/>
        <v>5373.36</v>
      </c>
      <c r="D870">
        <f t="shared" si="53"/>
        <v>2601</v>
      </c>
      <c r="E870">
        <f t="shared" si="54"/>
        <v>11100.729600000001</v>
      </c>
      <c r="F870">
        <f t="shared" si="55"/>
        <v>2601</v>
      </c>
    </row>
    <row r="871" spans="1:6" x14ac:dyDescent="0.3">
      <c r="A871">
        <v>37</v>
      </c>
      <c r="B871">
        <v>84.13</v>
      </c>
      <c r="C871">
        <f t="shared" si="52"/>
        <v>3112.81</v>
      </c>
      <c r="D871">
        <f t="shared" si="53"/>
        <v>1369</v>
      </c>
      <c r="E871">
        <f t="shared" si="54"/>
        <v>7077.8568999999989</v>
      </c>
      <c r="F871">
        <f t="shared" si="55"/>
        <v>1369</v>
      </c>
    </row>
    <row r="872" spans="1:6" x14ac:dyDescent="0.3">
      <c r="A872">
        <v>49</v>
      </c>
      <c r="B872">
        <v>102.47</v>
      </c>
      <c r="C872">
        <f t="shared" si="52"/>
        <v>5021.03</v>
      </c>
      <c r="D872">
        <f t="shared" si="53"/>
        <v>2401</v>
      </c>
      <c r="E872">
        <f t="shared" si="54"/>
        <v>10500.100899999999</v>
      </c>
      <c r="F872">
        <f t="shared" si="55"/>
        <v>2401</v>
      </c>
    </row>
    <row r="873" spans="1:6" x14ac:dyDescent="0.3">
      <c r="A873">
        <v>62</v>
      </c>
      <c r="B873">
        <v>77.040000000000006</v>
      </c>
      <c r="C873">
        <f t="shared" si="52"/>
        <v>4776.4800000000005</v>
      </c>
      <c r="D873">
        <f t="shared" si="53"/>
        <v>3844</v>
      </c>
      <c r="E873">
        <f t="shared" si="54"/>
        <v>5935.1616000000013</v>
      </c>
      <c r="F873">
        <f t="shared" si="55"/>
        <v>3844</v>
      </c>
    </row>
    <row r="874" spans="1:6" x14ac:dyDescent="0.3">
      <c r="A874">
        <v>17</v>
      </c>
      <c r="B874">
        <v>83.23</v>
      </c>
      <c r="C874">
        <f t="shared" si="52"/>
        <v>1414.91</v>
      </c>
      <c r="D874">
        <f t="shared" si="53"/>
        <v>289</v>
      </c>
      <c r="E874">
        <f t="shared" si="54"/>
        <v>6927.2329000000009</v>
      </c>
      <c r="F874">
        <f t="shared" si="55"/>
        <v>289</v>
      </c>
    </row>
    <row r="875" spans="1:6" x14ac:dyDescent="0.3">
      <c r="A875">
        <v>28</v>
      </c>
      <c r="B875">
        <v>87.01</v>
      </c>
      <c r="C875">
        <f t="shared" si="52"/>
        <v>2436.2800000000002</v>
      </c>
      <c r="D875">
        <f t="shared" si="53"/>
        <v>784</v>
      </c>
      <c r="E875">
        <f t="shared" si="54"/>
        <v>7570.7401000000009</v>
      </c>
      <c r="F875">
        <f t="shared" si="55"/>
        <v>784</v>
      </c>
    </row>
    <row r="876" spans="1:6" x14ac:dyDescent="0.3">
      <c r="A876">
        <v>80</v>
      </c>
      <c r="B876">
        <v>56.99</v>
      </c>
      <c r="C876">
        <f t="shared" si="52"/>
        <v>4559.2</v>
      </c>
      <c r="D876">
        <f t="shared" si="53"/>
        <v>6400</v>
      </c>
      <c r="E876">
        <f t="shared" si="54"/>
        <v>3247.8601000000003</v>
      </c>
      <c r="F876">
        <f t="shared" si="55"/>
        <v>6400</v>
      </c>
    </row>
    <row r="877" spans="1:6" x14ac:dyDescent="0.3">
      <c r="A877">
        <v>45</v>
      </c>
      <c r="B877">
        <v>73.010000000000005</v>
      </c>
      <c r="C877">
        <f t="shared" si="52"/>
        <v>3285.4500000000003</v>
      </c>
      <c r="D877">
        <f t="shared" si="53"/>
        <v>2025</v>
      </c>
      <c r="E877">
        <f t="shared" si="54"/>
        <v>5330.4601000000011</v>
      </c>
      <c r="F877">
        <f t="shared" si="55"/>
        <v>2025</v>
      </c>
    </row>
    <row r="878" spans="1:6" x14ac:dyDescent="0.3">
      <c r="A878">
        <v>37</v>
      </c>
      <c r="B878">
        <v>106.35</v>
      </c>
      <c r="C878">
        <f t="shared" si="52"/>
        <v>3934.95</v>
      </c>
      <c r="D878">
        <f t="shared" si="53"/>
        <v>1369</v>
      </c>
      <c r="E878">
        <f t="shared" si="54"/>
        <v>11310.322499999998</v>
      </c>
      <c r="F878">
        <f t="shared" si="55"/>
        <v>1369</v>
      </c>
    </row>
    <row r="879" spans="1:6" x14ac:dyDescent="0.3">
      <c r="A879">
        <v>3</v>
      </c>
      <c r="B879">
        <v>80.63</v>
      </c>
      <c r="C879">
        <f t="shared" si="52"/>
        <v>241.89</v>
      </c>
      <c r="D879">
        <f t="shared" si="53"/>
        <v>9</v>
      </c>
      <c r="E879">
        <f t="shared" si="54"/>
        <v>6501.196899999999</v>
      </c>
      <c r="F879">
        <f t="shared" si="55"/>
        <v>9</v>
      </c>
    </row>
    <row r="880" spans="1:6" x14ac:dyDescent="0.3">
      <c r="A880">
        <v>26</v>
      </c>
      <c r="B880">
        <v>103.61</v>
      </c>
      <c r="C880">
        <f t="shared" si="52"/>
        <v>2693.86</v>
      </c>
      <c r="D880">
        <f t="shared" si="53"/>
        <v>676</v>
      </c>
      <c r="E880">
        <f t="shared" si="54"/>
        <v>10735.0321</v>
      </c>
      <c r="F880">
        <f t="shared" si="55"/>
        <v>676</v>
      </c>
    </row>
    <row r="881" spans="1:6" x14ac:dyDescent="0.3">
      <c r="A881">
        <v>71</v>
      </c>
      <c r="B881">
        <v>91.35</v>
      </c>
      <c r="C881">
        <f t="shared" si="52"/>
        <v>6485.8499999999995</v>
      </c>
      <c r="D881">
        <f t="shared" si="53"/>
        <v>5041</v>
      </c>
      <c r="E881">
        <f t="shared" si="54"/>
        <v>8344.8224999999984</v>
      </c>
      <c r="F881">
        <f t="shared" si="55"/>
        <v>5041</v>
      </c>
    </row>
    <row r="882" spans="1:6" x14ac:dyDescent="0.3">
      <c r="A882">
        <v>58</v>
      </c>
      <c r="B882">
        <v>194.04</v>
      </c>
      <c r="C882">
        <f t="shared" si="52"/>
        <v>11254.32</v>
      </c>
      <c r="D882">
        <f t="shared" si="53"/>
        <v>3364</v>
      </c>
      <c r="E882">
        <f t="shared" si="54"/>
        <v>37651.5216</v>
      </c>
      <c r="F882">
        <f t="shared" si="55"/>
        <v>3364</v>
      </c>
    </row>
    <row r="883" spans="1:6" x14ac:dyDescent="0.3">
      <c r="A883">
        <v>59</v>
      </c>
      <c r="B883">
        <v>111.99</v>
      </c>
      <c r="C883">
        <f t="shared" si="52"/>
        <v>6607.41</v>
      </c>
      <c r="D883">
        <f t="shared" si="53"/>
        <v>3481</v>
      </c>
      <c r="E883">
        <f t="shared" si="54"/>
        <v>12541.7601</v>
      </c>
      <c r="F883">
        <f t="shared" si="55"/>
        <v>3481</v>
      </c>
    </row>
    <row r="884" spans="1:6" x14ac:dyDescent="0.3">
      <c r="A884">
        <v>74</v>
      </c>
      <c r="B884">
        <v>57.51</v>
      </c>
      <c r="C884">
        <f t="shared" si="52"/>
        <v>4255.74</v>
      </c>
      <c r="D884">
        <f t="shared" si="53"/>
        <v>5476</v>
      </c>
      <c r="E884">
        <f t="shared" si="54"/>
        <v>3307.4000999999998</v>
      </c>
      <c r="F884">
        <f t="shared" si="55"/>
        <v>5476</v>
      </c>
    </row>
    <row r="885" spans="1:6" x14ac:dyDescent="0.3">
      <c r="A885">
        <v>17</v>
      </c>
      <c r="B885">
        <v>68.489999999999995</v>
      </c>
      <c r="C885">
        <f t="shared" si="52"/>
        <v>1164.33</v>
      </c>
      <c r="D885">
        <f t="shared" si="53"/>
        <v>289</v>
      </c>
      <c r="E885">
        <f t="shared" si="54"/>
        <v>4690.8800999999994</v>
      </c>
      <c r="F885">
        <f t="shared" si="55"/>
        <v>289</v>
      </c>
    </row>
    <row r="886" spans="1:6" x14ac:dyDescent="0.3">
      <c r="A886">
        <v>62</v>
      </c>
      <c r="B886">
        <v>60.2</v>
      </c>
      <c r="C886">
        <f t="shared" si="52"/>
        <v>3732.4</v>
      </c>
      <c r="D886">
        <f t="shared" si="53"/>
        <v>3844</v>
      </c>
      <c r="E886">
        <f t="shared" si="54"/>
        <v>3624.0400000000004</v>
      </c>
      <c r="F886">
        <f t="shared" si="55"/>
        <v>3844</v>
      </c>
    </row>
    <row r="887" spans="1:6" x14ac:dyDescent="0.3">
      <c r="A887">
        <v>37</v>
      </c>
      <c r="B887">
        <v>160</v>
      </c>
      <c r="C887">
        <f t="shared" si="52"/>
        <v>5920</v>
      </c>
      <c r="D887">
        <f t="shared" si="53"/>
        <v>1369</v>
      </c>
      <c r="E887">
        <f t="shared" si="54"/>
        <v>25600</v>
      </c>
      <c r="F887">
        <f t="shared" si="55"/>
        <v>1369</v>
      </c>
    </row>
    <row r="888" spans="1:6" x14ac:dyDescent="0.3">
      <c r="A888">
        <v>19</v>
      </c>
      <c r="B888">
        <v>86.96</v>
      </c>
      <c r="C888">
        <f t="shared" si="52"/>
        <v>1652.2399999999998</v>
      </c>
      <c r="D888">
        <f t="shared" si="53"/>
        <v>361</v>
      </c>
      <c r="E888">
        <f t="shared" si="54"/>
        <v>7562.0415999999987</v>
      </c>
      <c r="F888">
        <f t="shared" si="55"/>
        <v>361</v>
      </c>
    </row>
    <row r="889" spans="1:6" x14ac:dyDescent="0.3">
      <c r="A889">
        <v>59</v>
      </c>
      <c r="B889">
        <v>237.15</v>
      </c>
      <c r="C889">
        <f t="shared" si="52"/>
        <v>13991.85</v>
      </c>
      <c r="D889">
        <f t="shared" si="53"/>
        <v>3481</v>
      </c>
      <c r="E889">
        <f t="shared" si="54"/>
        <v>56240.122500000005</v>
      </c>
      <c r="F889">
        <f t="shared" si="55"/>
        <v>3481</v>
      </c>
    </row>
    <row r="890" spans="1:6" x14ac:dyDescent="0.3">
      <c r="A890">
        <v>59</v>
      </c>
      <c r="B890">
        <v>99.06</v>
      </c>
      <c r="C890">
        <f t="shared" si="52"/>
        <v>5844.54</v>
      </c>
      <c r="D890">
        <f t="shared" si="53"/>
        <v>3481</v>
      </c>
      <c r="E890">
        <f t="shared" si="54"/>
        <v>9812.883600000001</v>
      </c>
      <c r="F890">
        <f t="shared" si="55"/>
        <v>3481</v>
      </c>
    </row>
    <row r="891" spans="1:6" x14ac:dyDescent="0.3">
      <c r="A891">
        <v>62</v>
      </c>
      <c r="B891">
        <v>56.31</v>
      </c>
      <c r="C891">
        <f t="shared" si="52"/>
        <v>3491.2200000000003</v>
      </c>
      <c r="D891">
        <f t="shared" si="53"/>
        <v>3844</v>
      </c>
      <c r="E891">
        <f t="shared" si="54"/>
        <v>3170.8161000000005</v>
      </c>
      <c r="F891">
        <f t="shared" si="55"/>
        <v>3844</v>
      </c>
    </row>
    <row r="892" spans="1:6" x14ac:dyDescent="0.3">
      <c r="A892">
        <v>80</v>
      </c>
      <c r="B892">
        <v>84.31</v>
      </c>
      <c r="C892">
        <f t="shared" si="52"/>
        <v>6744.8</v>
      </c>
      <c r="D892">
        <f t="shared" si="53"/>
        <v>6400</v>
      </c>
      <c r="E892">
        <f t="shared" si="54"/>
        <v>7108.1761000000006</v>
      </c>
      <c r="F892">
        <f t="shared" si="55"/>
        <v>6400</v>
      </c>
    </row>
    <row r="893" spans="1:6" x14ac:dyDescent="0.3">
      <c r="A893">
        <v>54</v>
      </c>
      <c r="B893">
        <v>90.92</v>
      </c>
      <c r="C893">
        <f t="shared" si="52"/>
        <v>4909.68</v>
      </c>
      <c r="D893">
        <f t="shared" si="53"/>
        <v>2916</v>
      </c>
      <c r="E893">
        <f t="shared" si="54"/>
        <v>8266.4464000000007</v>
      </c>
      <c r="F893">
        <f t="shared" si="55"/>
        <v>2916</v>
      </c>
    </row>
    <row r="894" spans="1:6" x14ac:dyDescent="0.3">
      <c r="A894">
        <v>27</v>
      </c>
      <c r="B894">
        <v>104.33</v>
      </c>
      <c r="C894">
        <f t="shared" si="52"/>
        <v>2816.91</v>
      </c>
      <c r="D894">
        <f t="shared" si="53"/>
        <v>729</v>
      </c>
      <c r="E894">
        <f t="shared" si="54"/>
        <v>10884.748900000001</v>
      </c>
      <c r="F894">
        <f t="shared" si="55"/>
        <v>729</v>
      </c>
    </row>
    <row r="895" spans="1:6" x14ac:dyDescent="0.3">
      <c r="A895">
        <v>4</v>
      </c>
      <c r="B895">
        <v>62.61</v>
      </c>
      <c r="C895">
        <f t="shared" si="52"/>
        <v>250.44</v>
      </c>
      <c r="D895">
        <f t="shared" si="53"/>
        <v>16</v>
      </c>
      <c r="E895">
        <f t="shared" si="54"/>
        <v>3920.0120999999999</v>
      </c>
      <c r="F895">
        <f t="shared" si="55"/>
        <v>16</v>
      </c>
    </row>
    <row r="896" spans="1:6" x14ac:dyDescent="0.3">
      <c r="A896">
        <v>81</v>
      </c>
      <c r="B896">
        <v>231.19</v>
      </c>
      <c r="C896">
        <f t="shared" si="52"/>
        <v>18726.39</v>
      </c>
      <c r="D896">
        <f t="shared" si="53"/>
        <v>6561</v>
      </c>
      <c r="E896">
        <f t="shared" si="54"/>
        <v>53448.816099999996</v>
      </c>
      <c r="F896">
        <f t="shared" si="55"/>
        <v>6561</v>
      </c>
    </row>
    <row r="897" spans="1:6" x14ac:dyDescent="0.3">
      <c r="A897">
        <v>41</v>
      </c>
      <c r="B897">
        <v>94.3</v>
      </c>
      <c r="C897">
        <f t="shared" si="52"/>
        <v>3866.2999999999997</v>
      </c>
      <c r="D897">
        <f t="shared" si="53"/>
        <v>1681</v>
      </c>
      <c r="E897">
        <f t="shared" si="54"/>
        <v>8892.49</v>
      </c>
      <c r="F897">
        <f t="shared" si="55"/>
        <v>1681</v>
      </c>
    </row>
    <row r="898" spans="1:6" x14ac:dyDescent="0.3">
      <c r="A898">
        <v>27</v>
      </c>
      <c r="B898">
        <v>104.48</v>
      </c>
      <c r="C898">
        <f t="shared" si="52"/>
        <v>2820.96</v>
      </c>
      <c r="D898">
        <f t="shared" si="53"/>
        <v>729</v>
      </c>
      <c r="E898">
        <f t="shared" si="54"/>
        <v>10916.070400000001</v>
      </c>
      <c r="F898">
        <f t="shared" si="55"/>
        <v>729</v>
      </c>
    </row>
    <row r="899" spans="1:6" x14ac:dyDescent="0.3">
      <c r="A899">
        <v>51</v>
      </c>
      <c r="B899">
        <v>72.62</v>
      </c>
      <c r="C899">
        <f t="shared" ref="C899:C962" si="56">A899*B899</f>
        <v>3703.6200000000003</v>
      </c>
      <c r="D899">
        <f t="shared" ref="D899:D962" si="57">A899*A899</f>
        <v>2601</v>
      </c>
      <c r="E899">
        <f t="shared" ref="E899:E962" si="58">B899*B899</f>
        <v>5273.6644000000006</v>
      </c>
      <c r="F899">
        <f t="shared" ref="F899:F962" si="59">A899^2</f>
        <v>2601</v>
      </c>
    </row>
    <row r="900" spans="1:6" x14ac:dyDescent="0.3">
      <c r="A900">
        <v>59</v>
      </c>
      <c r="B900">
        <v>81.64</v>
      </c>
      <c r="C900">
        <f t="shared" si="56"/>
        <v>4816.76</v>
      </c>
      <c r="D900">
        <f t="shared" si="57"/>
        <v>3481</v>
      </c>
      <c r="E900">
        <f t="shared" si="58"/>
        <v>6665.0896000000002</v>
      </c>
      <c r="F900">
        <f t="shared" si="59"/>
        <v>3481</v>
      </c>
    </row>
    <row r="901" spans="1:6" x14ac:dyDescent="0.3">
      <c r="A901">
        <v>51</v>
      </c>
      <c r="B901">
        <v>90.78</v>
      </c>
      <c r="C901">
        <f t="shared" si="56"/>
        <v>4629.78</v>
      </c>
      <c r="D901">
        <f t="shared" si="57"/>
        <v>2601</v>
      </c>
      <c r="E901">
        <f t="shared" si="58"/>
        <v>8241.0084000000006</v>
      </c>
      <c r="F901">
        <f t="shared" si="59"/>
        <v>2601</v>
      </c>
    </row>
    <row r="902" spans="1:6" x14ac:dyDescent="0.3">
      <c r="A902">
        <v>71</v>
      </c>
      <c r="B902">
        <v>70.709999999999994</v>
      </c>
      <c r="C902">
        <f t="shared" si="56"/>
        <v>5020.41</v>
      </c>
      <c r="D902">
        <f t="shared" si="57"/>
        <v>5041</v>
      </c>
      <c r="E902">
        <f t="shared" si="58"/>
        <v>4999.9040999999988</v>
      </c>
      <c r="F902">
        <f t="shared" si="59"/>
        <v>5041</v>
      </c>
    </row>
    <row r="903" spans="1:6" x14ac:dyDescent="0.3">
      <c r="A903">
        <v>48</v>
      </c>
      <c r="B903">
        <v>72.36</v>
      </c>
      <c r="C903">
        <f t="shared" si="56"/>
        <v>3473.2799999999997</v>
      </c>
      <c r="D903">
        <f t="shared" si="57"/>
        <v>2304</v>
      </c>
      <c r="E903">
        <f t="shared" si="58"/>
        <v>5235.9696000000004</v>
      </c>
      <c r="F903">
        <f t="shared" si="59"/>
        <v>2304</v>
      </c>
    </row>
    <row r="904" spans="1:6" x14ac:dyDescent="0.3">
      <c r="A904">
        <v>49</v>
      </c>
      <c r="B904">
        <v>59.76</v>
      </c>
      <c r="C904">
        <f t="shared" si="56"/>
        <v>2928.24</v>
      </c>
      <c r="D904">
        <f t="shared" si="57"/>
        <v>2401</v>
      </c>
      <c r="E904">
        <f t="shared" si="58"/>
        <v>3571.2575999999999</v>
      </c>
      <c r="F904">
        <f t="shared" si="59"/>
        <v>2401</v>
      </c>
    </row>
    <row r="905" spans="1:6" x14ac:dyDescent="0.3">
      <c r="A905">
        <v>35</v>
      </c>
      <c r="B905">
        <v>83.76</v>
      </c>
      <c r="C905">
        <f t="shared" si="56"/>
        <v>2931.6000000000004</v>
      </c>
      <c r="D905">
        <f t="shared" si="57"/>
        <v>1225</v>
      </c>
      <c r="E905">
        <f t="shared" si="58"/>
        <v>7015.7376000000013</v>
      </c>
      <c r="F905">
        <f t="shared" si="59"/>
        <v>1225</v>
      </c>
    </row>
    <row r="906" spans="1:6" x14ac:dyDescent="0.3">
      <c r="A906">
        <v>25</v>
      </c>
      <c r="B906">
        <v>63.64</v>
      </c>
      <c r="C906">
        <f t="shared" si="56"/>
        <v>1591</v>
      </c>
      <c r="D906">
        <f t="shared" si="57"/>
        <v>625</v>
      </c>
      <c r="E906">
        <f t="shared" si="58"/>
        <v>4050.0496000000003</v>
      </c>
      <c r="F906">
        <f t="shared" si="59"/>
        <v>625</v>
      </c>
    </row>
    <row r="907" spans="1:6" x14ac:dyDescent="0.3">
      <c r="A907">
        <v>31</v>
      </c>
      <c r="B907">
        <v>76.260000000000005</v>
      </c>
      <c r="C907">
        <f t="shared" si="56"/>
        <v>2364.06</v>
      </c>
      <c r="D907">
        <f t="shared" si="57"/>
        <v>961</v>
      </c>
      <c r="E907">
        <f t="shared" si="58"/>
        <v>5815.5876000000007</v>
      </c>
      <c r="F907">
        <f t="shared" si="59"/>
        <v>961</v>
      </c>
    </row>
    <row r="908" spans="1:6" x14ac:dyDescent="0.3">
      <c r="A908">
        <v>68</v>
      </c>
      <c r="B908">
        <v>82.06</v>
      </c>
      <c r="C908">
        <f t="shared" si="56"/>
        <v>5580.08</v>
      </c>
      <c r="D908">
        <f t="shared" si="57"/>
        <v>4624</v>
      </c>
      <c r="E908">
        <f t="shared" si="58"/>
        <v>6733.8436000000002</v>
      </c>
      <c r="F908">
        <f t="shared" si="59"/>
        <v>4624</v>
      </c>
    </row>
    <row r="909" spans="1:6" x14ac:dyDescent="0.3">
      <c r="A909">
        <v>39</v>
      </c>
      <c r="B909">
        <v>110.91</v>
      </c>
      <c r="C909">
        <f t="shared" si="56"/>
        <v>4325.49</v>
      </c>
      <c r="D909">
        <f t="shared" si="57"/>
        <v>1521</v>
      </c>
      <c r="E909">
        <f t="shared" si="58"/>
        <v>12301.0281</v>
      </c>
      <c r="F909">
        <f t="shared" si="59"/>
        <v>1521</v>
      </c>
    </row>
    <row r="910" spans="1:6" x14ac:dyDescent="0.3">
      <c r="A910">
        <v>32</v>
      </c>
      <c r="B910">
        <v>77.16</v>
      </c>
      <c r="C910">
        <f t="shared" si="56"/>
        <v>2469.12</v>
      </c>
      <c r="D910">
        <f t="shared" si="57"/>
        <v>1024</v>
      </c>
      <c r="E910">
        <f t="shared" si="58"/>
        <v>5953.6655999999994</v>
      </c>
      <c r="F910">
        <f t="shared" si="59"/>
        <v>1024</v>
      </c>
    </row>
    <row r="911" spans="1:6" x14ac:dyDescent="0.3">
      <c r="A911">
        <v>39</v>
      </c>
      <c r="B911">
        <v>69.58</v>
      </c>
      <c r="C911">
        <f t="shared" si="56"/>
        <v>2713.62</v>
      </c>
      <c r="D911">
        <f t="shared" si="57"/>
        <v>1521</v>
      </c>
      <c r="E911">
        <f t="shared" si="58"/>
        <v>4841.3764000000001</v>
      </c>
      <c r="F911">
        <f t="shared" si="59"/>
        <v>1521</v>
      </c>
    </row>
    <row r="912" spans="1:6" x14ac:dyDescent="0.3">
      <c r="A912">
        <v>63</v>
      </c>
      <c r="B912">
        <v>96.26</v>
      </c>
      <c r="C912">
        <f t="shared" si="56"/>
        <v>6064.38</v>
      </c>
      <c r="D912">
        <f t="shared" si="57"/>
        <v>3969</v>
      </c>
      <c r="E912">
        <f t="shared" si="58"/>
        <v>9265.9876000000004</v>
      </c>
      <c r="F912">
        <f t="shared" si="59"/>
        <v>3969</v>
      </c>
    </row>
    <row r="913" spans="1:6" x14ac:dyDescent="0.3">
      <c r="A913">
        <v>69</v>
      </c>
      <c r="B913">
        <v>87.27</v>
      </c>
      <c r="C913">
        <f t="shared" si="56"/>
        <v>6021.63</v>
      </c>
      <c r="D913">
        <f t="shared" si="57"/>
        <v>4761</v>
      </c>
      <c r="E913">
        <f t="shared" si="58"/>
        <v>7616.0528999999997</v>
      </c>
      <c r="F913">
        <f t="shared" si="59"/>
        <v>4761</v>
      </c>
    </row>
    <row r="914" spans="1:6" x14ac:dyDescent="0.3">
      <c r="A914">
        <v>29</v>
      </c>
      <c r="B914">
        <v>65.36</v>
      </c>
      <c r="C914">
        <f t="shared" si="56"/>
        <v>1895.44</v>
      </c>
      <c r="D914">
        <f t="shared" si="57"/>
        <v>841</v>
      </c>
      <c r="E914">
        <f t="shared" si="58"/>
        <v>4271.9295999999995</v>
      </c>
      <c r="F914">
        <f t="shared" si="59"/>
        <v>841</v>
      </c>
    </row>
    <row r="915" spans="1:6" x14ac:dyDescent="0.3">
      <c r="A915">
        <v>1.72</v>
      </c>
      <c r="B915">
        <v>109.51</v>
      </c>
      <c r="C915">
        <f t="shared" si="56"/>
        <v>188.35720000000001</v>
      </c>
      <c r="D915">
        <f t="shared" si="57"/>
        <v>2.9583999999999997</v>
      </c>
      <c r="E915">
        <f t="shared" si="58"/>
        <v>11992.440100000002</v>
      </c>
      <c r="F915">
        <f t="shared" si="59"/>
        <v>2.9583999999999997</v>
      </c>
    </row>
    <row r="916" spans="1:6" x14ac:dyDescent="0.3">
      <c r="A916">
        <v>58</v>
      </c>
      <c r="B916">
        <v>89.03</v>
      </c>
      <c r="C916">
        <f t="shared" si="56"/>
        <v>5163.74</v>
      </c>
      <c r="D916">
        <f t="shared" si="57"/>
        <v>3364</v>
      </c>
      <c r="E916">
        <f t="shared" si="58"/>
        <v>7926.3409000000001</v>
      </c>
      <c r="F916">
        <f t="shared" si="59"/>
        <v>3364</v>
      </c>
    </row>
    <row r="917" spans="1:6" x14ac:dyDescent="0.3">
      <c r="A917">
        <v>32</v>
      </c>
      <c r="B917">
        <v>91.34</v>
      </c>
      <c r="C917">
        <f t="shared" si="56"/>
        <v>2922.88</v>
      </c>
      <c r="D917">
        <f t="shared" si="57"/>
        <v>1024</v>
      </c>
      <c r="E917">
        <f t="shared" si="58"/>
        <v>8342.9956000000002</v>
      </c>
      <c r="F917">
        <f t="shared" si="59"/>
        <v>1024</v>
      </c>
    </row>
    <row r="918" spans="1:6" x14ac:dyDescent="0.3">
      <c r="A918">
        <v>63</v>
      </c>
      <c r="B918">
        <v>57.82</v>
      </c>
      <c r="C918">
        <f t="shared" si="56"/>
        <v>3642.66</v>
      </c>
      <c r="D918">
        <f t="shared" si="57"/>
        <v>3969</v>
      </c>
      <c r="E918">
        <f t="shared" si="58"/>
        <v>3343.1523999999999</v>
      </c>
      <c r="F918">
        <f t="shared" si="59"/>
        <v>3969</v>
      </c>
    </row>
    <row r="919" spans="1:6" x14ac:dyDescent="0.3">
      <c r="A919">
        <v>57</v>
      </c>
      <c r="B919">
        <v>81.150000000000006</v>
      </c>
      <c r="C919">
        <f t="shared" si="56"/>
        <v>4625.55</v>
      </c>
      <c r="D919">
        <f t="shared" si="57"/>
        <v>3249</v>
      </c>
      <c r="E919">
        <f t="shared" si="58"/>
        <v>6585.3225000000011</v>
      </c>
      <c r="F919">
        <f t="shared" si="59"/>
        <v>3249</v>
      </c>
    </row>
    <row r="920" spans="1:6" x14ac:dyDescent="0.3">
      <c r="A920">
        <v>77</v>
      </c>
      <c r="B920">
        <v>115.29</v>
      </c>
      <c r="C920">
        <f t="shared" si="56"/>
        <v>8877.33</v>
      </c>
      <c r="D920">
        <f t="shared" si="57"/>
        <v>5929</v>
      </c>
      <c r="E920">
        <f t="shared" si="58"/>
        <v>13291.784100000001</v>
      </c>
      <c r="F920">
        <f t="shared" si="59"/>
        <v>5929</v>
      </c>
    </row>
    <row r="921" spans="1:6" x14ac:dyDescent="0.3">
      <c r="A921">
        <v>8</v>
      </c>
      <c r="B921">
        <v>111.02</v>
      </c>
      <c r="C921">
        <f t="shared" si="56"/>
        <v>888.16</v>
      </c>
      <c r="D921">
        <f t="shared" si="57"/>
        <v>64</v>
      </c>
      <c r="E921">
        <f t="shared" si="58"/>
        <v>12325.440399999999</v>
      </c>
      <c r="F921">
        <f t="shared" si="59"/>
        <v>64</v>
      </c>
    </row>
    <row r="922" spans="1:6" x14ac:dyDescent="0.3">
      <c r="A922">
        <v>21</v>
      </c>
      <c r="B922">
        <v>111.61</v>
      </c>
      <c r="C922">
        <f t="shared" si="56"/>
        <v>2343.81</v>
      </c>
      <c r="D922">
        <f t="shared" si="57"/>
        <v>441</v>
      </c>
      <c r="E922">
        <f t="shared" si="58"/>
        <v>12456.792100000001</v>
      </c>
      <c r="F922">
        <f t="shared" si="59"/>
        <v>441</v>
      </c>
    </row>
    <row r="923" spans="1:6" x14ac:dyDescent="0.3">
      <c r="A923">
        <v>16</v>
      </c>
      <c r="B923">
        <v>109.02</v>
      </c>
      <c r="C923">
        <f t="shared" si="56"/>
        <v>1744.32</v>
      </c>
      <c r="D923">
        <f t="shared" si="57"/>
        <v>256</v>
      </c>
      <c r="E923">
        <f t="shared" si="58"/>
        <v>11885.3604</v>
      </c>
      <c r="F923">
        <f t="shared" si="59"/>
        <v>256</v>
      </c>
    </row>
    <row r="924" spans="1:6" x14ac:dyDescent="0.3">
      <c r="A924">
        <v>8</v>
      </c>
      <c r="B924">
        <v>106.51</v>
      </c>
      <c r="C924">
        <f t="shared" si="56"/>
        <v>852.08</v>
      </c>
      <c r="D924">
        <f t="shared" si="57"/>
        <v>64</v>
      </c>
      <c r="E924">
        <f t="shared" si="58"/>
        <v>11344.3801</v>
      </c>
      <c r="F924">
        <f t="shared" si="59"/>
        <v>64</v>
      </c>
    </row>
    <row r="925" spans="1:6" x14ac:dyDescent="0.3">
      <c r="A925">
        <v>71</v>
      </c>
      <c r="B925">
        <v>207.32</v>
      </c>
      <c r="C925">
        <f t="shared" si="56"/>
        <v>14719.72</v>
      </c>
      <c r="D925">
        <f t="shared" si="57"/>
        <v>5041</v>
      </c>
      <c r="E925">
        <f t="shared" si="58"/>
        <v>42981.582399999999</v>
      </c>
      <c r="F925">
        <f t="shared" si="59"/>
        <v>5041</v>
      </c>
    </row>
    <row r="926" spans="1:6" x14ac:dyDescent="0.3">
      <c r="A926">
        <v>74</v>
      </c>
      <c r="B926">
        <v>87.11</v>
      </c>
      <c r="C926">
        <f t="shared" si="56"/>
        <v>6446.14</v>
      </c>
      <c r="D926">
        <f t="shared" si="57"/>
        <v>5476</v>
      </c>
      <c r="E926">
        <f t="shared" si="58"/>
        <v>7588.1521000000002</v>
      </c>
      <c r="F926">
        <f t="shared" si="59"/>
        <v>5476</v>
      </c>
    </row>
    <row r="927" spans="1:6" x14ac:dyDescent="0.3">
      <c r="A927">
        <v>7</v>
      </c>
      <c r="B927">
        <v>61.68</v>
      </c>
      <c r="C927">
        <f t="shared" si="56"/>
        <v>431.76</v>
      </c>
      <c r="D927">
        <f t="shared" si="57"/>
        <v>49</v>
      </c>
      <c r="E927">
        <f t="shared" si="58"/>
        <v>3804.4223999999999</v>
      </c>
      <c r="F927">
        <f t="shared" si="59"/>
        <v>49</v>
      </c>
    </row>
    <row r="928" spans="1:6" x14ac:dyDescent="0.3">
      <c r="A928">
        <v>19</v>
      </c>
      <c r="B928">
        <v>119.04</v>
      </c>
      <c r="C928">
        <f t="shared" si="56"/>
        <v>2261.7600000000002</v>
      </c>
      <c r="D928">
        <f t="shared" si="57"/>
        <v>361</v>
      </c>
      <c r="E928">
        <f t="shared" si="58"/>
        <v>14170.521600000002</v>
      </c>
      <c r="F928">
        <f t="shared" si="59"/>
        <v>361</v>
      </c>
    </row>
    <row r="929" spans="1:6" x14ac:dyDescent="0.3">
      <c r="A929">
        <v>64</v>
      </c>
      <c r="B929">
        <v>86.05</v>
      </c>
      <c r="C929">
        <f t="shared" si="56"/>
        <v>5507.2</v>
      </c>
      <c r="D929">
        <f t="shared" si="57"/>
        <v>4096</v>
      </c>
      <c r="E929">
        <f t="shared" si="58"/>
        <v>7404.6025</v>
      </c>
      <c r="F929">
        <f t="shared" si="59"/>
        <v>4096</v>
      </c>
    </row>
    <row r="930" spans="1:6" x14ac:dyDescent="0.3">
      <c r="A930">
        <v>23</v>
      </c>
      <c r="B930">
        <v>70.03</v>
      </c>
      <c r="C930">
        <f t="shared" si="56"/>
        <v>1610.69</v>
      </c>
      <c r="D930">
        <f t="shared" si="57"/>
        <v>529</v>
      </c>
      <c r="E930">
        <f t="shared" si="58"/>
        <v>4904.2008999999998</v>
      </c>
      <c r="F930">
        <f t="shared" si="59"/>
        <v>529</v>
      </c>
    </row>
    <row r="931" spans="1:6" x14ac:dyDescent="0.3">
      <c r="A931">
        <v>75</v>
      </c>
      <c r="B931">
        <v>207.64</v>
      </c>
      <c r="C931">
        <f t="shared" si="56"/>
        <v>15572.999999999998</v>
      </c>
      <c r="D931">
        <f t="shared" si="57"/>
        <v>5625</v>
      </c>
      <c r="E931">
        <f t="shared" si="58"/>
        <v>43114.369599999991</v>
      </c>
      <c r="F931">
        <f t="shared" si="59"/>
        <v>5625</v>
      </c>
    </row>
    <row r="932" spans="1:6" x14ac:dyDescent="0.3">
      <c r="A932">
        <v>80</v>
      </c>
      <c r="B932">
        <v>236.84</v>
      </c>
      <c r="C932">
        <f t="shared" si="56"/>
        <v>18947.2</v>
      </c>
      <c r="D932">
        <f t="shared" si="57"/>
        <v>6400</v>
      </c>
      <c r="E932">
        <f t="shared" si="58"/>
        <v>56093.185600000004</v>
      </c>
      <c r="F932">
        <f t="shared" si="59"/>
        <v>6400</v>
      </c>
    </row>
    <row r="933" spans="1:6" x14ac:dyDescent="0.3">
      <c r="A933">
        <v>40</v>
      </c>
      <c r="B933">
        <v>78.11</v>
      </c>
      <c r="C933">
        <f t="shared" si="56"/>
        <v>3124.4</v>
      </c>
      <c r="D933">
        <f t="shared" si="57"/>
        <v>1600</v>
      </c>
      <c r="E933">
        <f t="shared" si="58"/>
        <v>6101.1720999999998</v>
      </c>
      <c r="F933">
        <f t="shared" si="59"/>
        <v>1600</v>
      </c>
    </row>
    <row r="934" spans="1:6" x14ac:dyDescent="0.3">
      <c r="A934">
        <v>24</v>
      </c>
      <c r="B934">
        <v>100.97</v>
      </c>
      <c r="C934">
        <f t="shared" si="56"/>
        <v>2423.2799999999997</v>
      </c>
      <c r="D934">
        <f t="shared" si="57"/>
        <v>576</v>
      </c>
      <c r="E934">
        <f t="shared" si="58"/>
        <v>10194.9409</v>
      </c>
      <c r="F934">
        <f t="shared" si="59"/>
        <v>576</v>
      </c>
    </row>
    <row r="935" spans="1:6" x14ac:dyDescent="0.3">
      <c r="A935">
        <v>74</v>
      </c>
      <c r="B935">
        <v>99.21</v>
      </c>
      <c r="C935">
        <f t="shared" si="56"/>
        <v>7341.54</v>
      </c>
      <c r="D935">
        <f t="shared" si="57"/>
        <v>5476</v>
      </c>
      <c r="E935">
        <f t="shared" si="58"/>
        <v>9842.6240999999991</v>
      </c>
      <c r="F935">
        <f t="shared" si="59"/>
        <v>5476</v>
      </c>
    </row>
    <row r="936" spans="1:6" x14ac:dyDescent="0.3">
      <c r="A936">
        <v>52</v>
      </c>
      <c r="B936">
        <v>113.21</v>
      </c>
      <c r="C936">
        <f t="shared" si="56"/>
        <v>5886.92</v>
      </c>
      <c r="D936">
        <f t="shared" si="57"/>
        <v>2704</v>
      </c>
      <c r="E936">
        <f t="shared" si="58"/>
        <v>12816.504099999998</v>
      </c>
      <c r="F936">
        <f t="shared" si="59"/>
        <v>2704</v>
      </c>
    </row>
    <row r="937" spans="1:6" x14ac:dyDescent="0.3">
      <c r="A937">
        <v>54</v>
      </c>
      <c r="B937">
        <v>92.95</v>
      </c>
      <c r="C937">
        <f t="shared" si="56"/>
        <v>5019.3</v>
      </c>
      <c r="D937">
        <f t="shared" si="57"/>
        <v>2916</v>
      </c>
      <c r="E937">
        <f t="shared" si="58"/>
        <v>8639.7025000000012</v>
      </c>
      <c r="F937">
        <f t="shared" si="59"/>
        <v>2916</v>
      </c>
    </row>
    <row r="938" spans="1:6" x14ac:dyDescent="0.3">
      <c r="A938">
        <v>23</v>
      </c>
      <c r="B938">
        <v>110.16</v>
      </c>
      <c r="C938">
        <f t="shared" si="56"/>
        <v>2533.6799999999998</v>
      </c>
      <c r="D938">
        <f t="shared" si="57"/>
        <v>529</v>
      </c>
      <c r="E938">
        <f t="shared" si="58"/>
        <v>12135.2256</v>
      </c>
      <c r="F938">
        <f t="shared" si="59"/>
        <v>529</v>
      </c>
    </row>
    <row r="939" spans="1:6" x14ac:dyDescent="0.3">
      <c r="A939">
        <v>19</v>
      </c>
      <c r="B939">
        <v>142.57</v>
      </c>
      <c r="C939">
        <f t="shared" si="56"/>
        <v>2708.83</v>
      </c>
      <c r="D939">
        <f t="shared" si="57"/>
        <v>361</v>
      </c>
      <c r="E939">
        <f t="shared" si="58"/>
        <v>20326.204899999997</v>
      </c>
      <c r="F939">
        <f t="shared" si="59"/>
        <v>361</v>
      </c>
    </row>
    <row r="940" spans="1:6" x14ac:dyDescent="0.3">
      <c r="A940">
        <v>23</v>
      </c>
      <c r="B940">
        <v>92.87</v>
      </c>
      <c r="C940">
        <f t="shared" si="56"/>
        <v>2136.0100000000002</v>
      </c>
      <c r="D940">
        <f t="shared" si="57"/>
        <v>529</v>
      </c>
      <c r="E940">
        <f t="shared" si="58"/>
        <v>8624.8369000000002</v>
      </c>
      <c r="F940">
        <f t="shared" si="59"/>
        <v>529</v>
      </c>
    </row>
    <row r="941" spans="1:6" x14ac:dyDescent="0.3">
      <c r="A941">
        <v>13</v>
      </c>
      <c r="B941">
        <v>111.48</v>
      </c>
      <c r="C941">
        <f t="shared" si="56"/>
        <v>1449.24</v>
      </c>
      <c r="D941">
        <f t="shared" si="57"/>
        <v>169</v>
      </c>
      <c r="E941">
        <f t="shared" si="58"/>
        <v>12427.790400000002</v>
      </c>
      <c r="F941">
        <f t="shared" si="59"/>
        <v>169</v>
      </c>
    </row>
    <row r="942" spans="1:6" x14ac:dyDescent="0.3">
      <c r="A942">
        <v>51</v>
      </c>
      <c r="B942">
        <v>123</v>
      </c>
      <c r="C942">
        <f t="shared" si="56"/>
        <v>6273</v>
      </c>
      <c r="D942">
        <f t="shared" si="57"/>
        <v>2601</v>
      </c>
      <c r="E942">
        <f t="shared" si="58"/>
        <v>15129</v>
      </c>
      <c r="F942">
        <f t="shared" si="59"/>
        <v>2601</v>
      </c>
    </row>
    <row r="943" spans="1:6" x14ac:dyDescent="0.3">
      <c r="A943">
        <v>60</v>
      </c>
      <c r="B943">
        <v>100.54</v>
      </c>
      <c r="C943">
        <f t="shared" si="56"/>
        <v>6032.4000000000005</v>
      </c>
      <c r="D943">
        <f t="shared" si="57"/>
        <v>3600</v>
      </c>
      <c r="E943">
        <f t="shared" si="58"/>
        <v>10108.2916</v>
      </c>
      <c r="F943">
        <f t="shared" si="59"/>
        <v>3600</v>
      </c>
    </row>
    <row r="944" spans="1:6" x14ac:dyDescent="0.3">
      <c r="A944">
        <v>79</v>
      </c>
      <c r="B944">
        <v>106.68</v>
      </c>
      <c r="C944">
        <f t="shared" si="56"/>
        <v>8427.7200000000012</v>
      </c>
      <c r="D944">
        <f t="shared" si="57"/>
        <v>6241</v>
      </c>
      <c r="E944">
        <f t="shared" si="58"/>
        <v>11380.622400000002</v>
      </c>
      <c r="F944">
        <f t="shared" si="59"/>
        <v>6241</v>
      </c>
    </row>
    <row r="945" spans="1:6" x14ac:dyDescent="0.3">
      <c r="A945">
        <v>75</v>
      </c>
      <c r="B945">
        <v>86.4</v>
      </c>
      <c r="C945">
        <f t="shared" si="56"/>
        <v>6480</v>
      </c>
      <c r="D945">
        <f t="shared" si="57"/>
        <v>5625</v>
      </c>
      <c r="E945">
        <f t="shared" si="58"/>
        <v>7464.9600000000009</v>
      </c>
      <c r="F945">
        <f t="shared" si="59"/>
        <v>5625</v>
      </c>
    </row>
    <row r="946" spans="1:6" x14ac:dyDescent="0.3">
      <c r="A946">
        <v>69</v>
      </c>
      <c r="B946">
        <v>61.81</v>
      </c>
      <c r="C946">
        <f t="shared" si="56"/>
        <v>4264.8900000000003</v>
      </c>
      <c r="D946">
        <f t="shared" si="57"/>
        <v>4761</v>
      </c>
      <c r="E946">
        <f t="shared" si="58"/>
        <v>3820.4761000000003</v>
      </c>
      <c r="F946">
        <f t="shared" si="59"/>
        <v>4761</v>
      </c>
    </row>
    <row r="947" spans="1:6" x14ac:dyDescent="0.3">
      <c r="A947">
        <v>57</v>
      </c>
      <c r="B947">
        <v>128.28</v>
      </c>
      <c r="C947">
        <f t="shared" si="56"/>
        <v>7311.96</v>
      </c>
      <c r="D947">
        <f t="shared" si="57"/>
        <v>3249</v>
      </c>
      <c r="E947">
        <f t="shared" si="58"/>
        <v>16455.758399999999</v>
      </c>
      <c r="F947">
        <f t="shared" si="59"/>
        <v>3249</v>
      </c>
    </row>
    <row r="948" spans="1:6" x14ac:dyDescent="0.3">
      <c r="A948">
        <v>47</v>
      </c>
      <c r="B948">
        <v>204.63</v>
      </c>
      <c r="C948">
        <f t="shared" si="56"/>
        <v>9617.61</v>
      </c>
      <c r="D948">
        <f t="shared" si="57"/>
        <v>2209</v>
      </c>
      <c r="E948">
        <f t="shared" si="58"/>
        <v>41873.436900000001</v>
      </c>
      <c r="F948">
        <f t="shared" si="59"/>
        <v>2209</v>
      </c>
    </row>
    <row r="949" spans="1:6" x14ac:dyDescent="0.3">
      <c r="A949">
        <v>33</v>
      </c>
      <c r="B949">
        <v>89.98</v>
      </c>
      <c r="C949">
        <f t="shared" si="56"/>
        <v>2969.34</v>
      </c>
      <c r="D949">
        <f t="shared" si="57"/>
        <v>1089</v>
      </c>
      <c r="E949">
        <f t="shared" si="58"/>
        <v>8096.4004000000004</v>
      </c>
      <c r="F949">
        <f t="shared" si="59"/>
        <v>1089</v>
      </c>
    </row>
    <row r="950" spans="1:6" x14ac:dyDescent="0.3">
      <c r="A950">
        <v>51</v>
      </c>
      <c r="B950">
        <v>232.89</v>
      </c>
      <c r="C950">
        <f t="shared" si="56"/>
        <v>11877.39</v>
      </c>
      <c r="D950">
        <f t="shared" si="57"/>
        <v>2601</v>
      </c>
      <c r="E950">
        <f t="shared" si="58"/>
        <v>54237.752099999991</v>
      </c>
      <c r="F950">
        <f t="shared" si="59"/>
        <v>2601</v>
      </c>
    </row>
    <row r="951" spans="1:6" x14ac:dyDescent="0.3">
      <c r="A951">
        <v>47</v>
      </c>
      <c r="B951">
        <v>98.58</v>
      </c>
      <c r="C951">
        <f t="shared" si="56"/>
        <v>4633.26</v>
      </c>
      <c r="D951">
        <f t="shared" si="57"/>
        <v>2209</v>
      </c>
      <c r="E951">
        <f t="shared" si="58"/>
        <v>9718.0164000000004</v>
      </c>
      <c r="F951">
        <f t="shared" si="59"/>
        <v>2209</v>
      </c>
    </row>
    <row r="952" spans="1:6" x14ac:dyDescent="0.3">
      <c r="A952">
        <v>15</v>
      </c>
      <c r="B952">
        <v>57.94</v>
      </c>
      <c r="C952">
        <f t="shared" si="56"/>
        <v>869.09999999999991</v>
      </c>
      <c r="D952">
        <f t="shared" si="57"/>
        <v>225</v>
      </c>
      <c r="E952">
        <f t="shared" si="58"/>
        <v>3357.0435999999995</v>
      </c>
      <c r="F952">
        <f t="shared" si="59"/>
        <v>225</v>
      </c>
    </row>
    <row r="953" spans="1:6" x14ac:dyDescent="0.3">
      <c r="A953">
        <v>1</v>
      </c>
      <c r="B953">
        <v>123.21</v>
      </c>
      <c r="C953">
        <f t="shared" si="56"/>
        <v>123.21</v>
      </c>
      <c r="D953">
        <f t="shared" si="57"/>
        <v>1</v>
      </c>
      <c r="E953">
        <f t="shared" si="58"/>
        <v>15180.704099999999</v>
      </c>
      <c r="F953">
        <f t="shared" si="59"/>
        <v>1</v>
      </c>
    </row>
    <row r="954" spans="1:6" x14ac:dyDescent="0.3">
      <c r="A954">
        <v>20</v>
      </c>
      <c r="B954">
        <v>76.34</v>
      </c>
      <c r="C954">
        <f t="shared" si="56"/>
        <v>1526.8000000000002</v>
      </c>
      <c r="D954">
        <f t="shared" si="57"/>
        <v>400</v>
      </c>
      <c r="E954">
        <f t="shared" si="58"/>
        <v>5827.7956000000004</v>
      </c>
      <c r="F954">
        <f t="shared" si="59"/>
        <v>400</v>
      </c>
    </row>
    <row r="955" spans="1:6" x14ac:dyDescent="0.3">
      <c r="A955">
        <v>6</v>
      </c>
      <c r="B955">
        <v>92.98</v>
      </c>
      <c r="C955">
        <f t="shared" si="56"/>
        <v>557.88</v>
      </c>
      <c r="D955">
        <f t="shared" si="57"/>
        <v>36</v>
      </c>
      <c r="E955">
        <f t="shared" si="58"/>
        <v>8645.2804000000015</v>
      </c>
      <c r="F955">
        <f t="shared" si="59"/>
        <v>36</v>
      </c>
    </row>
    <row r="956" spans="1:6" x14ac:dyDescent="0.3">
      <c r="A956">
        <v>50</v>
      </c>
      <c r="B956">
        <v>92.81</v>
      </c>
      <c r="C956">
        <f t="shared" si="56"/>
        <v>4640.5</v>
      </c>
      <c r="D956">
        <f t="shared" si="57"/>
        <v>2500</v>
      </c>
      <c r="E956">
        <f t="shared" si="58"/>
        <v>8613.696100000001</v>
      </c>
      <c r="F956">
        <f t="shared" si="59"/>
        <v>2500</v>
      </c>
    </row>
    <row r="957" spans="1:6" x14ac:dyDescent="0.3">
      <c r="A957">
        <v>31</v>
      </c>
      <c r="B957">
        <v>85.16</v>
      </c>
      <c r="C957">
        <f t="shared" si="56"/>
        <v>2639.96</v>
      </c>
      <c r="D957">
        <f t="shared" si="57"/>
        <v>961</v>
      </c>
      <c r="E957">
        <f t="shared" si="58"/>
        <v>7252.2255999999998</v>
      </c>
      <c r="F957">
        <f t="shared" si="59"/>
        <v>961</v>
      </c>
    </row>
    <row r="958" spans="1:6" x14ac:dyDescent="0.3">
      <c r="A958">
        <v>15</v>
      </c>
      <c r="B958">
        <v>90.1</v>
      </c>
      <c r="C958">
        <f t="shared" si="56"/>
        <v>1351.5</v>
      </c>
      <c r="D958">
        <f t="shared" si="57"/>
        <v>225</v>
      </c>
      <c r="E958">
        <f t="shared" si="58"/>
        <v>8118.0099999999993</v>
      </c>
      <c r="F958">
        <f t="shared" si="59"/>
        <v>225</v>
      </c>
    </row>
    <row r="959" spans="1:6" x14ac:dyDescent="0.3">
      <c r="A959">
        <v>3</v>
      </c>
      <c r="B959">
        <v>65.150000000000006</v>
      </c>
      <c r="C959">
        <f t="shared" si="56"/>
        <v>195.45000000000002</v>
      </c>
      <c r="D959">
        <f t="shared" si="57"/>
        <v>9</v>
      </c>
      <c r="E959">
        <f t="shared" si="58"/>
        <v>4244.5225000000009</v>
      </c>
      <c r="F959">
        <f t="shared" si="59"/>
        <v>9</v>
      </c>
    </row>
    <row r="960" spans="1:6" x14ac:dyDescent="0.3">
      <c r="A960">
        <v>30</v>
      </c>
      <c r="B960">
        <v>104.62</v>
      </c>
      <c r="C960">
        <f t="shared" si="56"/>
        <v>3138.6000000000004</v>
      </c>
      <c r="D960">
        <f t="shared" si="57"/>
        <v>900</v>
      </c>
      <c r="E960">
        <f t="shared" si="58"/>
        <v>10945.344400000002</v>
      </c>
      <c r="F960">
        <f t="shared" si="59"/>
        <v>900</v>
      </c>
    </row>
    <row r="961" spans="1:6" x14ac:dyDescent="0.3">
      <c r="A961">
        <v>17</v>
      </c>
      <c r="B961">
        <v>113.25</v>
      </c>
      <c r="C961">
        <f t="shared" si="56"/>
        <v>1925.25</v>
      </c>
      <c r="D961">
        <f t="shared" si="57"/>
        <v>289</v>
      </c>
      <c r="E961">
        <f t="shared" si="58"/>
        <v>12825.5625</v>
      </c>
      <c r="F961">
        <f t="shared" si="59"/>
        <v>289</v>
      </c>
    </row>
    <row r="962" spans="1:6" x14ac:dyDescent="0.3">
      <c r="A962">
        <v>24</v>
      </c>
      <c r="B962">
        <v>59.28</v>
      </c>
      <c r="C962">
        <f t="shared" si="56"/>
        <v>1422.72</v>
      </c>
      <c r="D962">
        <f t="shared" si="57"/>
        <v>576</v>
      </c>
      <c r="E962">
        <f t="shared" si="58"/>
        <v>3514.1184000000003</v>
      </c>
      <c r="F962">
        <f t="shared" si="59"/>
        <v>576</v>
      </c>
    </row>
    <row r="963" spans="1:6" x14ac:dyDescent="0.3">
      <c r="A963">
        <v>5</v>
      </c>
      <c r="B963">
        <v>93.07</v>
      </c>
      <c r="C963">
        <f t="shared" ref="C963:C1026" si="60">A963*B963</f>
        <v>465.34999999999997</v>
      </c>
      <c r="D963">
        <f t="shared" ref="D963:D1026" si="61">A963*A963</f>
        <v>25</v>
      </c>
      <c r="E963">
        <f t="shared" ref="E963:E1026" si="62">B963*B963</f>
        <v>8662.0248999999985</v>
      </c>
      <c r="F963">
        <f t="shared" ref="F963:F1026" si="63">A963^2</f>
        <v>25</v>
      </c>
    </row>
    <row r="964" spans="1:6" x14ac:dyDescent="0.3">
      <c r="A964">
        <v>33</v>
      </c>
      <c r="B964">
        <v>77.42</v>
      </c>
      <c r="C964">
        <f t="shared" si="60"/>
        <v>2554.86</v>
      </c>
      <c r="D964">
        <f t="shared" si="61"/>
        <v>1089</v>
      </c>
      <c r="E964">
        <f t="shared" si="62"/>
        <v>5993.8564000000006</v>
      </c>
      <c r="F964">
        <f t="shared" si="63"/>
        <v>1089</v>
      </c>
    </row>
    <row r="965" spans="1:6" x14ac:dyDescent="0.3">
      <c r="A965">
        <v>30</v>
      </c>
      <c r="B965">
        <v>73.69</v>
      </c>
      <c r="C965">
        <f t="shared" si="60"/>
        <v>2210.6999999999998</v>
      </c>
      <c r="D965">
        <f t="shared" si="61"/>
        <v>900</v>
      </c>
      <c r="E965">
        <f t="shared" si="62"/>
        <v>5430.2160999999996</v>
      </c>
      <c r="F965">
        <f t="shared" si="63"/>
        <v>900</v>
      </c>
    </row>
    <row r="966" spans="1:6" x14ac:dyDescent="0.3">
      <c r="A966">
        <v>66</v>
      </c>
      <c r="B966">
        <v>74.900000000000006</v>
      </c>
      <c r="C966">
        <f t="shared" si="60"/>
        <v>4943.4000000000005</v>
      </c>
      <c r="D966">
        <f t="shared" si="61"/>
        <v>4356</v>
      </c>
      <c r="E966">
        <f t="shared" si="62"/>
        <v>5610.0100000000011</v>
      </c>
      <c r="F966">
        <f t="shared" si="63"/>
        <v>4356</v>
      </c>
    </row>
    <row r="967" spans="1:6" x14ac:dyDescent="0.3">
      <c r="A967">
        <v>40</v>
      </c>
      <c r="B967">
        <v>88.27</v>
      </c>
      <c r="C967">
        <f t="shared" si="60"/>
        <v>3530.7999999999997</v>
      </c>
      <c r="D967">
        <f t="shared" si="61"/>
        <v>1600</v>
      </c>
      <c r="E967">
        <f t="shared" si="62"/>
        <v>7791.5928999999996</v>
      </c>
      <c r="F967">
        <f t="shared" si="63"/>
        <v>1600</v>
      </c>
    </row>
    <row r="968" spans="1:6" x14ac:dyDescent="0.3">
      <c r="A968">
        <v>27</v>
      </c>
      <c r="B968">
        <v>58.39</v>
      </c>
      <c r="C968">
        <f t="shared" si="60"/>
        <v>1576.53</v>
      </c>
      <c r="D968">
        <f t="shared" si="61"/>
        <v>729</v>
      </c>
      <c r="E968">
        <f t="shared" si="62"/>
        <v>3409.3921</v>
      </c>
      <c r="F968">
        <f t="shared" si="63"/>
        <v>729</v>
      </c>
    </row>
    <row r="969" spans="1:6" x14ac:dyDescent="0.3">
      <c r="A969">
        <v>21</v>
      </c>
      <c r="B969">
        <v>102.05</v>
      </c>
      <c r="C969">
        <f t="shared" si="60"/>
        <v>2143.0499999999997</v>
      </c>
      <c r="D969">
        <f t="shared" si="61"/>
        <v>441</v>
      </c>
      <c r="E969">
        <f t="shared" si="62"/>
        <v>10414.202499999999</v>
      </c>
      <c r="F969">
        <f t="shared" si="63"/>
        <v>441</v>
      </c>
    </row>
    <row r="970" spans="1:6" x14ac:dyDescent="0.3">
      <c r="A970">
        <v>55</v>
      </c>
      <c r="B970">
        <v>112.47</v>
      </c>
      <c r="C970">
        <f t="shared" si="60"/>
        <v>6185.85</v>
      </c>
      <c r="D970">
        <f t="shared" si="61"/>
        <v>3025</v>
      </c>
      <c r="E970">
        <f t="shared" si="62"/>
        <v>12649.500899999999</v>
      </c>
      <c r="F970">
        <f t="shared" si="63"/>
        <v>3025</v>
      </c>
    </row>
    <row r="971" spans="1:6" x14ac:dyDescent="0.3">
      <c r="A971">
        <v>19</v>
      </c>
      <c r="B971">
        <v>72.84</v>
      </c>
      <c r="C971">
        <f t="shared" si="60"/>
        <v>1383.96</v>
      </c>
      <c r="D971">
        <f t="shared" si="61"/>
        <v>361</v>
      </c>
      <c r="E971">
        <f t="shared" si="62"/>
        <v>5305.6656000000003</v>
      </c>
      <c r="F971">
        <f t="shared" si="63"/>
        <v>361</v>
      </c>
    </row>
    <row r="972" spans="1:6" x14ac:dyDescent="0.3">
      <c r="A972">
        <v>75</v>
      </c>
      <c r="B972">
        <v>195.03</v>
      </c>
      <c r="C972">
        <f t="shared" si="60"/>
        <v>14627.25</v>
      </c>
      <c r="D972">
        <f t="shared" si="61"/>
        <v>5625</v>
      </c>
      <c r="E972">
        <f t="shared" si="62"/>
        <v>38036.700900000003</v>
      </c>
      <c r="F972">
        <f t="shared" si="63"/>
        <v>5625</v>
      </c>
    </row>
    <row r="973" spans="1:6" x14ac:dyDescent="0.3">
      <c r="A973">
        <v>71</v>
      </c>
      <c r="B973">
        <v>170.95</v>
      </c>
      <c r="C973">
        <f t="shared" si="60"/>
        <v>12137.449999999999</v>
      </c>
      <c r="D973">
        <f t="shared" si="61"/>
        <v>5041</v>
      </c>
      <c r="E973">
        <f t="shared" si="62"/>
        <v>29223.902499999997</v>
      </c>
      <c r="F973">
        <f t="shared" si="63"/>
        <v>5041</v>
      </c>
    </row>
    <row r="974" spans="1:6" x14ac:dyDescent="0.3">
      <c r="A974">
        <v>16</v>
      </c>
      <c r="B974">
        <v>87.98</v>
      </c>
      <c r="C974">
        <f t="shared" si="60"/>
        <v>1407.68</v>
      </c>
      <c r="D974">
        <f t="shared" si="61"/>
        <v>256</v>
      </c>
      <c r="E974">
        <f t="shared" si="62"/>
        <v>7740.4804000000004</v>
      </c>
      <c r="F974">
        <f t="shared" si="63"/>
        <v>256</v>
      </c>
    </row>
    <row r="975" spans="1:6" x14ac:dyDescent="0.3">
      <c r="A975">
        <v>49</v>
      </c>
      <c r="B975">
        <v>65.81</v>
      </c>
      <c r="C975">
        <f t="shared" si="60"/>
        <v>3224.69</v>
      </c>
      <c r="D975">
        <f t="shared" si="61"/>
        <v>2401</v>
      </c>
      <c r="E975">
        <f t="shared" si="62"/>
        <v>4330.9561000000003</v>
      </c>
      <c r="F975">
        <f t="shared" si="63"/>
        <v>2401</v>
      </c>
    </row>
    <row r="976" spans="1:6" x14ac:dyDescent="0.3">
      <c r="A976">
        <v>10</v>
      </c>
      <c r="B976">
        <v>124.6</v>
      </c>
      <c r="C976">
        <f t="shared" si="60"/>
        <v>1246</v>
      </c>
      <c r="D976">
        <f t="shared" si="61"/>
        <v>100</v>
      </c>
      <c r="E976">
        <f t="shared" si="62"/>
        <v>15525.159999999998</v>
      </c>
      <c r="F976">
        <f t="shared" si="63"/>
        <v>100</v>
      </c>
    </row>
    <row r="977" spans="1:6" x14ac:dyDescent="0.3">
      <c r="A977">
        <v>37</v>
      </c>
      <c r="B977">
        <v>83.65</v>
      </c>
      <c r="C977">
        <f t="shared" si="60"/>
        <v>3095.05</v>
      </c>
      <c r="D977">
        <f t="shared" si="61"/>
        <v>1369</v>
      </c>
      <c r="E977">
        <f t="shared" si="62"/>
        <v>6997.3225000000011</v>
      </c>
      <c r="F977">
        <f t="shared" si="63"/>
        <v>1369</v>
      </c>
    </row>
    <row r="978" spans="1:6" x14ac:dyDescent="0.3">
      <c r="A978">
        <v>59</v>
      </c>
      <c r="B978">
        <v>88.81</v>
      </c>
      <c r="C978">
        <f t="shared" si="60"/>
        <v>5239.79</v>
      </c>
      <c r="D978">
        <f t="shared" si="61"/>
        <v>3481</v>
      </c>
      <c r="E978">
        <f t="shared" si="62"/>
        <v>7887.2161000000006</v>
      </c>
      <c r="F978">
        <f t="shared" si="63"/>
        <v>3481</v>
      </c>
    </row>
    <row r="979" spans="1:6" x14ac:dyDescent="0.3">
      <c r="A979">
        <v>7</v>
      </c>
      <c r="B979">
        <v>86.75</v>
      </c>
      <c r="C979">
        <f t="shared" si="60"/>
        <v>607.25</v>
      </c>
      <c r="D979">
        <f t="shared" si="61"/>
        <v>49</v>
      </c>
      <c r="E979">
        <f t="shared" si="62"/>
        <v>7525.5625</v>
      </c>
      <c r="F979">
        <f t="shared" si="63"/>
        <v>49</v>
      </c>
    </row>
    <row r="980" spans="1:6" x14ac:dyDescent="0.3">
      <c r="A980">
        <v>61</v>
      </c>
      <c r="B980">
        <v>123.36</v>
      </c>
      <c r="C980">
        <f t="shared" si="60"/>
        <v>7524.96</v>
      </c>
      <c r="D980">
        <f t="shared" si="61"/>
        <v>3721</v>
      </c>
      <c r="E980">
        <f t="shared" si="62"/>
        <v>15217.6896</v>
      </c>
      <c r="F980">
        <f t="shared" si="63"/>
        <v>3721</v>
      </c>
    </row>
    <row r="981" spans="1:6" x14ac:dyDescent="0.3">
      <c r="A981">
        <v>34</v>
      </c>
      <c r="B981">
        <v>89.68</v>
      </c>
      <c r="C981">
        <f t="shared" si="60"/>
        <v>3049.1200000000003</v>
      </c>
      <c r="D981">
        <f t="shared" si="61"/>
        <v>1156</v>
      </c>
      <c r="E981">
        <f t="shared" si="62"/>
        <v>8042.5024000000012</v>
      </c>
      <c r="F981">
        <f t="shared" si="63"/>
        <v>1156</v>
      </c>
    </row>
    <row r="982" spans="1:6" x14ac:dyDescent="0.3">
      <c r="A982">
        <v>9</v>
      </c>
      <c r="B982">
        <v>69.87</v>
      </c>
      <c r="C982">
        <f t="shared" si="60"/>
        <v>628.83000000000004</v>
      </c>
      <c r="D982">
        <f t="shared" si="61"/>
        <v>81</v>
      </c>
      <c r="E982">
        <f t="shared" si="62"/>
        <v>4881.8169000000007</v>
      </c>
      <c r="F982">
        <f t="shared" si="63"/>
        <v>81</v>
      </c>
    </row>
    <row r="983" spans="1:6" x14ac:dyDescent="0.3">
      <c r="A983">
        <v>46</v>
      </c>
      <c r="B983">
        <v>109.22</v>
      </c>
      <c r="C983">
        <f t="shared" si="60"/>
        <v>5024.12</v>
      </c>
      <c r="D983">
        <f t="shared" si="61"/>
        <v>2116</v>
      </c>
      <c r="E983">
        <f t="shared" si="62"/>
        <v>11929.008400000001</v>
      </c>
      <c r="F983">
        <f t="shared" si="63"/>
        <v>2116</v>
      </c>
    </row>
    <row r="984" spans="1:6" x14ac:dyDescent="0.3">
      <c r="A984">
        <v>0.88</v>
      </c>
      <c r="B984">
        <v>157.57</v>
      </c>
      <c r="C984">
        <f t="shared" si="60"/>
        <v>138.66159999999999</v>
      </c>
      <c r="D984">
        <f t="shared" si="61"/>
        <v>0.77439999999999998</v>
      </c>
      <c r="E984">
        <f t="shared" si="62"/>
        <v>24828.304899999999</v>
      </c>
      <c r="F984">
        <f t="shared" si="63"/>
        <v>0.77439999999999998</v>
      </c>
    </row>
    <row r="985" spans="1:6" x14ac:dyDescent="0.3">
      <c r="A985">
        <v>50</v>
      </c>
      <c r="B985">
        <v>110.73</v>
      </c>
      <c r="C985">
        <f t="shared" si="60"/>
        <v>5536.5</v>
      </c>
      <c r="D985">
        <f t="shared" si="61"/>
        <v>2500</v>
      </c>
      <c r="E985">
        <f t="shared" si="62"/>
        <v>12261.132900000001</v>
      </c>
      <c r="F985">
        <f t="shared" si="63"/>
        <v>2500</v>
      </c>
    </row>
    <row r="986" spans="1:6" x14ac:dyDescent="0.3">
      <c r="A986">
        <v>19</v>
      </c>
      <c r="B986">
        <v>99.14</v>
      </c>
      <c r="C986">
        <f t="shared" si="60"/>
        <v>1883.66</v>
      </c>
      <c r="D986">
        <f t="shared" si="61"/>
        <v>361</v>
      </c>
      <c r="E986">
        <f t="shared" si="62"/>
        <v>9828.7396000000008</v>
      </c>
      <c r="F986">
        <f t="shared" si="63"/>
        <v>361</v>
      </c>
    </row>
    <row r="987" spans="1:6" x14ac:dyDescent="0.3">
      <c r="A987">
        <v>21</v>
      </c>
      <c r="B987">
        <v>59.15</v>
      </c>
      <c r="C987">
        <f t="shared" si="60"/>
        <v>1242.1499999999999</v>
      </c>
      <c r="D987">
        <f t="shared" si="61"/>
        <v>441</v>
      </c>
      <c r="E987">
        <f t="shared" si="62"/>
        <v>3498.7224999999999</v>
      </c>
      <c r="F987">
        <f t="shared" si="63"/>
        <v>441</v>
      </c>
    </row>
    <row r="988" spans="1:6" x14ac:dyDescent="0.3">
      <c r="A988">
        <v>2</v>
      </c>
      <c r="B988">
        <v>165.11</v>
      </c>
      <c r="C988">
        <f t="shared" si="60"/>
        <v>330.22</v>
      </c>
      <c r="D988">
        <f t="shared" si="61"/>
        <v>4</v>
      </c>
      <c r="E988">
        <f t="shared" si="62"/>
        <v>27261.312100000003</v>
      </c>
      <c r="F988">
        <f t="shared" si="63"/>
        <v>4</v>
      </c>
    </row>
    <row r="989" spans="1:6" x14ac:dyDescent="0.3">
      <c r="A989">
        <v>37</v>
      </c>
      <c r="B989">
        <v>77.44</v>
      </c>
      <c r="C989">
        <f t="shared" si="60"/>
        <v>2865.2799999999997</v>
      </c>
      <c r="D989">
        <f t="shared" si="61"/>
        <v>1369</v>
      </c>
      <c r="E989">
        <f t="shared" si="62"/>
        <v>5996.9535999999998</v>
      </c>
      <c r="F989">
        <f t="shared" si="63"/>
        <v>1369</v>
      </c>
    </row>
    <row r="990" spans="1:6" x14ac:dyDescent="0.3">
      <c r="A990">
        <v>20</v>
      </c>
      <c r="B990">
        <v>100.33</v>
      </c>
      <c r="C990">
        <f t="shared" si="60"/>
        <v>2006.6</v>
      </c>
      <c r="D990">
        <f t="shared" si="61"/>
        <v>400</v>
      </c>
      <c r="E990">
        <f t="shared" si="62"/>
        <v>10066.108899999999</v>
      </c>
      <c r="F990">
        <f t="shared" si="63"/>
        <v>400</v>
      </c>
    </row>
    <row r="991" spans="1:6" x14ac:dyDescent="0.3">
      <c r="A991">
        <v>50</v>
      </c>
      <c r="B991">
        <v>57.93</v>
      </c>
      <c r="C991">
        <f t="shared" si="60"/>
        <v>2896.5</v>
      </c>
      <c r="D991">
        <f t="shared" si="61"/>
        <v>2500</v>
      </c>
      <c r="E991">
        <f t="shared" si="62"/>
        <v>3355.8849</v>
      </c>
      <c r="F991">
        <f t="shared" si="63"/>
        <v>2500</v>
      </c>
    </row>
    <row r="992" spans="1:6" x14ac:dyDescent="0.3">
      <c r="A992">
        <v>61</v>
      </c>
      <c r="B992">
        <v>148.24</v>
      </c>
      <c r="C992">
        <f t="shared" si="60"/>
        <v>9042.6400000000012</v>
      </c>
      <c r="D992">
        <f t="shared" si="61"/>
        <v>3721</v>
      </c>
      <c r="E992">
        <f t="shared" si="62"/>
        <v>21975.097600000001</v>
      </c>
      <c r="F992">
        <f t="shared" si="63"/>
        <v>3721</v>
      </c>
    </row>
    <row r="993" spans="1:6" x14ac:dyDescent="0.3">
      <c r="A993">
        <v>48</v>
      </c>
      <c r="B993">
        <v>91.96</v>
      </c>
      <c r="C993">
        <f t="shared" si="60"/>
        <v>4414.08</v>
      </c>
      <c r="D993">
        <f t="shared" si="61"/>
        <v>2304</v>
      </c>
      <c r="E993">
        <f t="shared" si="62"/>
        <v>8456.641599999999</v>
      </c>
      <c r="F993">
        <f t="shared" si="63"/>
        <v>2304</v>
      </c>
    </row>
    <row r="994" spans="1:6" x14ac:dyDescent="0.3">
      <c r="A994">
        <v>82</v>
      </c>
      <c r="B994">
        <v>72.930000000000007</v>
      </c>
      <c r="C994">
        <f t="shared" si="60"/>
        <v>5980.26</v>
      </c>
      <c r="D994">
        <f t="shared" si="61"/>
        <v>6724</v>
      </c>
      <c r="E994">
        <f t="shared" si="62"/>
        <v>5318.7849000000006</v>
      </c>
      <c r="F994">
        <f t="shared" si="63"/>
        <v>6724</v>
      </c>
    </row>
    <row r="995" spans="1:6" x14ac:dyDescent="0.3">
      <c r="A995">
        <v>64</v>
      </c>
      <c r="B995">
        <v>84.27</v>
      </c>
      <c r="C995">
        <f t="shared" si="60"/>
        <v>5393.28</v>
      </c>
      <c r="D995">
        <f t="shared" si="61"/>
        <v>4096</v>
      </c>
      <c r="E995">
        <f t="shared" si="62"/>
        <v>7101.4328999999989</v>
      </c>
      <c r="F995">
        <f t="shared" si="63"/>
        <v>4096</v>
      </c>
    </row>
    <row r="996" spans="1:6" x14ac:dyDescent="0.3">
      <c r="A996">
        <v>50</v>
      </c>
      <c r="B996">
        <v>124.45</v>
      </c>
      <c r="C996">
        <f t="shared" si="60"/>
        <v>6222.5</v>
      </c>
      <c r="D996">
        <f t="shared" si="61"/>
        <v>2500</v>
      </c>
      <c r="E996">
        <f t="shared" si="62"/>
        <v>15487.802500000002</v>
      </c>
      <c r="F996">
        <f t="shared" si="63"/>
        <v>2500</v>
      </c>
    </row>
    <row r="997" spans="1:6" x14ac:dyDescent="0.3">
      <c r="A997">
        <v>1.4</v>
      </c>
      <c r="B997">
        <v>90.51</v>
      </c>
      <c r="C997">
        <f t="shared" si="60"/>
        <v>126.714</v>
      </c>
      <c r="D997">
        <f t="shared" si="61"/>
        <v>1.9599999999999997</v>
      </c>
      <c r="E997">
        <f t="shared" si="62"/>
        <v>8192.0601000000006</v>
      </c>
      <c r="F997">
        <f t="shared" si="63"/>
        <v>1.9599999999999997</v>
      </c>
    </row>
    <row r="998" spans="1:6" x14ac:dyDescent="0.3">
      <c r="A998">
        <v>0.24</v>
      </c>
      <c r="B998">
        <v>118.87</v>
      </c>
      <c r="C998">
        <f t="shared" si="60"/>
        <v>28.5288</v>
      </c>
      <c r="D998">
        <f t="shared" si="61"/>
        <v>5.7599999999999998E-2</v>
      </c>
      <c r="E998">
        <f t="shared" si="62"/>
        <v>14130.076900000002</v>
      </c>
      <c r="F998">
        <f t="shared" si="63"/>
        <v>5.7599999999999998E-2</v>
      </c>
    </row>
    <row r="999" spans="1:6" x14ac:dyDescent="0.3">
      <c r="A999">
        <v>55</v>
      </c>
      <c r="B999">
        <v>56.42</v>
      </c>
      <c r="C999">
        <f t="shared" si="60"/>
        <v>3103.1</v>
      </c>
      <c r="D999">
        <f t="shared" si="61"/>
        <v>3025</v>
      </c>
      <c r="E999">
        <f t="shared" si="62"/>
        <v>3183.2164000000002</v>
      </c>
      <c r="F999">
        <f t="shared" si="63"/>
        <v>3025</v>
      </c>
    </row>
    <row r="1000" spans="1:6" x14ac:dyDescent="0.3">
      <c r="A1000">
        <v>29</v>
      </c>
      <c r="B1000">
        <v>73.67</v>
      </c>
      <c r="C1000">
        <f t="shared" si="60"/>
        <v>2136.4299999999998</v>
      </c>
      <c r="D1000">
        <f t="shared" si="61"/>
        <v>841</v>
      </c>
      <c r="E1000">
        <f t="shared" si="62"/>
        <v>5427.2689</v>
      </c>
      <c r="F1000">
        <f t="shared" si="63"/>
        <v>841</v>
      </c>
    </row>
    <row r="1001" spans="1:6" x14ac:dyDescent="0.3">
      <c r="A1001">
        <v>4</v>
      </c>
      <c r="B1001">
        <v>89.11</v>
      </c>
      <c r="C1001">
        <f t="shared" si="60"/>
        <v>356.44</v>
      </c>
      <c r="D1001">
        <f t="shared" si="61"/>
        <v>16</v>
      </c>
      <c r="E1001">
        <f t="shared" si="62"/>
        <v>7940.5920999999998</v>
      </c>
      <c r="F1001">
        <f t="shared" si="63"/>
        <v>16</v>
      </c>
    </row>
    <row r="1002" spans="1:6" x14ac:dyDescent="0.3">
      <c r="A1002">
        <v>70</v>
      </c>
      <c r="B1002">
        <v>74.040000000000006</v>
      </c>
      <c r="C1002">
        <f t="shared" si="60"/>
        <v>5182.8</v>
      </c>
      <c r="D1002">
        <f t="shared" si="61"/>
        <v>4900</v>
      </c>
      <c r="E1002">
        <f t="shared" si="62"/>
        <v>5481.9216000000006</v>
      </c>
      <c r="F1002">
        <f t="shared" si="63"/>
        <v>4900</v>
      </c>
    </row>
    <row r="1003" spans="1:6" x14ac:dyDescent="0.3">
      <c r="A1003">
        <v>35</v>
      </c>
      <c r="B1003">
        <v>145.22999999999999</v>
      </c>
      <c r="C1003">
        <f t="shared" si="60"/>
        <v>5083.0499999999993</v>
      </c>
      <c r="D1003">
        <f t="shared" si="61"/>
        <v>1225</v>
      </c>
      <c r="E1003">
        <f t="shared" si="62"/>
        <v>21091.752899999996</v>
      </c>
      <c r="F1003">
        <f t="shared" si="63"/>
        <v>1225</v>
      </c>
    </row>
    <row r="1004" spans="1:6" x14ac:dyDescent="0.3">
      <c r="A1004">
        <v>80</v>
      </c>
      <c r="B1004">
        <v>100.8</v>
      </c>
      <c r="C1004">
        <f t="shared" si="60"/>
        <v>8064</v>
      </c>
      <c r="D1004">
        <f t="shared" si="61"/>
        <v>6400</v>
      </c>
      <c r="E1004">
        <f t="shared" si="62"/>
        <v>10160.64</v>
      </c>
      <c r="F1004">
        <f t="shared" si="63"/>
        <v>6400</v>
      </c>
    </row>
    <row r="1005" spans="1:6" x14ac:dyDescent="0.3">
      <c r="A1005">
        <v>54</v>
      </c>
      <c r="B1005">
        <v>85.22</v>
      </c>
      <c r="C1005">
        <f t="shared" si="60"/>
        <v>4601.88</v>
      </c>
      <c r="D1005">
        <f t="shared" si="61"/>
        <v>2916</v>
      </c>
      <c r="E1005">
        <f t="shared" si="62"/>
        <v>7262.4484000000002</v>
      </c>
      <c r="F1005">
        <f t="shared" si="63"/>
        <v>2916</v>
      </c>
    </row>
    <row r="1006" spans="1:6" x14ac:dyDescent="0.3">
      <c r="A1006">
        <v>39</v>
      </c>
      <c r="B1006">
        <v>72.489999999999995</v>
      </c>
      <c r="C1006">
        <f t="shared" si="60"/>
        <v>2827.1099999999997</v>
      </c>
      <c r="D1006">
        <f t="shared" si="61"/>
        <v>1521</v>
      </c>
      <c r="E1006">
        <f t="shared" si="62"/>
        <v>5254.8000999999995</v>
      </c>
      <c r="F1006">
        <f t="shared" si="63"/>
        <v>1521</v>
      </c>
    </row>
    <row r="1007" spans="1:6" x14ac:dyDescent="0.3">
      <c r="A1007">
        <v>26</v>
      </c>
      <c r="B1007">
        <v>82.61</v>
      </c>
      <c r="C1007">
        <f t="shared" si="60"/>
        <v>2147.86</v>
      </c>
      <c r="D1007">
        <f t="shared" si="61"/>
        <v>676</v>
      </c>
      <c r="E1007">
        <f t="shared" si="62"/>
        <v>6824.4120999999996</v>
      </c>
      <c r="F1007">
        <f t="shared" si="63"/>
        <v>676</v>
      </c>
    </row>
    <row r="1008" spans="1:6" x14ac:dyDescent="0.3">
      <c r="A1008">
        <v>6</v>
      </c>
      <c r="B1008">
        <v>72.069999999999993</v>
      </c>
      <c r="C1008">
        <f t="shared" si="60"/>
        <v>432.41999999999996</v>
      </c>
      <c r="D1008">
        <f t="shared" si="61"/>
        <v>36</v>
      </c>
      <c r="E1008">
        <f t="shared" si="62"/>
        <v>5194.0848999999989</v>
      </c>
      <c r="F1008">
        <f t="shared" si="63"/>
        <v>36</v>
      </c>
    </row>
    <row r="1009" spans="1:6" x14ac:dyDescent="0.3">
      <c r="A1009">
        <v>41</v>
      </c>
      <c r="B1009">
        <v>79.849999999999994</v>
      </c>
      <c r="C1009">
        <f t="shared" si="60"/>
        <v>3273.85</v>
      </c>
      <c r="D1009">
        <f t="shared" si="61"/>
        <v>1681</v>
      </c>
      <c r="E1009">
        <f t="shared" si="62"/>
        <v>6376.0224999999991</v>
      </c>
      <c r="F1009">
        <f t="shared" si="63"/>
        <v>1681</v>
      </c>
    </row>
    <row r="1010" spans="1:6" x14ac:dyDescent="0.3">
      <c r="A1010">
        <v>42</v>
      </c>
      <c r="B1010">
        <v>84.86</v>
      </c>
      <c r="C1010">
        <f t="shared" si="60"/>
        <v>3564.12</v>
      </c>
      <c r="D1010">
        <f t="shared" si="61"/>
        <v>1764</v>
      </c>
      <c r="E1010">
        <f t="shared" si="62"/>
        <v>7201.2196000000004</v>
      </c>
      <c r="F1010">
        <f t="shared" si="63"/>
        <v>1764</v>
      </c>
    </row>
    <row r="1011" spans="1:6" x14ac:dyDescent="0.3">
      <c r="A1011">
        <v>9</v>
      </c>
      <c r="B1011">
        <v>131.88999999999999</v>
      </c>
      <c r="C1011">
        <f t="shared" si="60"/>
        <v>1187.0099999999998</v>
      </c>
      <c r="D1011">
        <f t="shared" si="61"/>
        <v>81</v>
      </c>
      <c r="E1011">
        <f t="shared" si="62"/>
        <v>17394.972099999995</v>
      </c>
      <c r="F1011">
        <f t="shared" si="63"/>
        <v>81</v>
      </c>
    </row>
    <row r="1012" spans="1:6" x14ac:dyDescent="0.3">
      <c r="A1012">
        <v>55</v>
      </c>
      <c r="B1012">
        <v>89.17</v>
      </c>
      <c r="C1012">
        <f t="shared" si="60"/>
        <v>4904.3500000000004</v>
      </c>
      <c r="D1012">
        <f t="shared" si="61"/>
        <v>3025</v>
      </c>
      <c r="E1012">
        <f t="shared" si="62"/>
        <v>7951.2889000000005</v>
      </c>
      <c r="F1012">
        <f t="shared" si="63"/>
        <v>3025</v>
      </c>
    </row>
    <row r="1013" spans="1:6" x14ac:dyDescent="0.3">
      <c r="A1013">
        <v>71</v>
      </c>
      <c r="B1013">
        <v>227.91</v>
      </c>
      <c r="C1013">
        <f t="shared" si="60"/>
        <v>16181.61</v>
      </c>
      <c r="D1013">
        <f t="shared" si="61"/>
        <v>5041</v>
      </c>
      <c r="E1013">
        <f t="shared" si="62"/>
        <v>51942.968099999998</v>
      </c>
      <c r="F1013">
        <f t="shared" si="63"/>
        <v>5041</v>
      </c>
    </row>
    <row r="1014" spans="1:6" x14ac:dyDescent="0.3">
      <c r="A1014">
        <v>14</v>
      </c>
      <c r="B1014">
        <v>131.77000000000001</v>
      </c>
      <c r="C1014">
        <f t="shared" si="60"/>
        <v>1844.7800000000002</v>
      </c>
      <c r="D1014">
        <f t="shared" si="61"/>
        <v>196</v>
      </c>
      <c r="E1014">
        <f t="shared" si="62"/>
        <v>17363.332900000001</v>
      </c>
      <c r="F1014">
        <f t="shared" si="63"/>
        <v>196</v>
      </c>
    </row>
    <row r="1015" spans="1:6" x14ac:dyDescent="0.3">
      <c r="A1015">
        <v>77</v>
      </c>
      <c r="B1015">
        <v>102.01</v>
      </c>
      <c r="C1015">
        <f t="shared" si="60"/>
        <v>7854.77</v>
      </c>
      <c r="D1015">
        <f t="shared" si="61"/>
        <v>5929</v>
      </c>
      <c r="E1015">
        <f t="shared" si="62"/>
        <v>10406.0401</v>
      </c>
      <c r="F1015">
        <f t="shared" si="63"/>
        <v>5929</v>
      </c>
    </row>
    <row r="1016" spans="1:6" x14ac:dyDescent="0.3">
      <c r="A1016">
        <v>50</v>
      </c>
      <c r="B1016">
        <v>128.63</v>
      </c>
      <c r="C1016">
        <f t="shared" si="60"/>
        <v>6431.5</v>
      </c>
      <c r="D1016">
        <f t="shared" si="61"/>
        <v>2500</v>
      </c>
      <c r="E1016">
        <f t="shared" si="62"/>
        <v>16545.676899999999</v>
      </c>
      <c r="F1016">
        <f t="shared" si="63"/>
        <v>2500</v>
      </c>
    </row>
    <row r="1017" spans="1:6" x14ac:dyDescent="0.3">
      <c r="A1017">
        <v>49</v>
      </c>
      <c r="B1017">
        <v>144.1</v>
      </c>
      <c r="C1017">
        <f t="shared" si="60"/>
        <v>7060.9</v>
      </c>
      <c r="D1017">
        <f t="shared" si="61"/>
        <v>2401</v>
      </c>
      <c r="E1017">
        <f t="shared" si="62"/>
        <v>20764.809999999998</v>
      </c>
      <c r="F1017">
        <f t="shared" si="63"/>
        <v>2401</v>
      </c>
    </row>
    <row r="1018" spans="1:6" x14ac:dyDescent="0.3">
      <c r="A1018">
        <v>51</v>
      </c>
      <c r="B1018">
        <v>143.15</v>
      </c>
      <c r="C1018">
        <f t="shared" si="60"/>
        <v>7300.6500000000005</v>
      </c>
      <c r="D1018">
        <f t="shared" si="61"/>
        <v>2601</v>
      </c>
      <c r="E1018">
        <f t="shared" si="62"/>
        <v>20491.922500000001</v>
      </c>
      <c r="F1018">
        <f t="shared" si="63"/>
        <v>2601</v>
      </c>
    </row>
    <row r="1019" spans="1:6" x14ac:dyDescent="0.3">
      <c r="A1019">
        <v>79</v>
      </c>
      <c r="B1019">
        <v>116.67</v>
      </c>
      <c r="C1019">
        <f t="shared" si="60"/>
        <v>9216.93</v>
      </c>
      <c r="D1019">
        <f t="shared" si="61"/>
        <v>6241</v>
      </c>
      <c r="E1019">
        <f t="shared" si="62"/>
        <v>13611.8889</v>
      </c>
      <c r="F1019">
        <f t="shared" si="63"/>
        <v>6241</v>
      </c>
    </row>
    <row r="1020" spans="1:6" x14ac:dyDescent="0.3">
      <c r="A1020">
        <v>63</v>
      </c>
      <c r="B1020">
        <v>85.6</v>
      </c>
      <c r="C1020">
        <f t="shared" si="60"/>
        <v>5392.7999999999993</v>
      </c>
      <c r="D1020">
        <f t="shared" si="61"/>
        <v>3969</v>
      </c>
      <c r="E1020">
        <f t="shared" si="62"/>
        <v>7327.3599999999988</v>
      </c>
      <c r="F1020">
        <f t="shared" si="63"/>
        <v>3969</v>
      </c>
    </row>
    <row r="1021" spans="1:6" x14ac:dyDescent="0.3">
      <c r="A1021">
        <v>66</v>
      </c>
      <c r="B1021">
        <v>142.12</v>
      </c>
      <c r="C1021">
        <f t="shared" si="60"/>
        <v>9379.92</v>
      </c>
      <c r="D1021">
        <f t="shared" si="61"/>
        <v>4356</v>
      </c>
      <c r="E1021">
        <f t="shared" si="62"/>
        <v>20198.094400000002</v>
      </c>
      <c r="F1021">
        <f t="shared" si="63"/>
        <v>4356</v>
      </c>
    </row>
    <row r="1022" spans="1:6" x14ac:dyDescent="0.3">
      <c r="A1022">
        <v>20</v>
      </c>
      <c r="B1022">
        <v>100.81</v>
      </c>
      <c r="C1022">
        <f t="shared" si="60"/>
        <v>2016.2</v>
      </c>
      <c r="D1022">
        <f t="shared" si="61"/>
        <v>400</v>
      </c>
      <c r="E1022">
        <f t="shared" si="62"/>
        <v>10162.6561</v>
      </c>
      <c r="F1022">
        <f t="shared" si="63"/>
        <v>400</v>
      </c>
    </row>
    <row r="1023" spans="1:6" x14ac:dyDescent="0.3">
      <c r="A1023">
        <v>37</v>
      </c>
      <c r="B1023">
        <v>69.17</v>
      </c>
      <c r="C1023">
        <f t="shared" si="60"/>
        <v>2559.29</v>
      </c>
      <c r="D1023">
        <f t="shared" si="61"/>
        <v>1369</v>
      </c>
      <c r="E1023">
        <f t="shared" si="62"/>
        <v>4784.4889000000003</v>
      </c>
      <c r="F1023">
        <f t="shared" si="63"/>
        <v>1369</v>
      </c>
    </row>
    <row r="1024" spans="1:6" x14ac:dyDescent="0.3">
      <c r="A1024">
        <v>22</v>
      </c>
      <c r="B1024">
        <v>58.38</v>
      </c>
      <c r="C1024">
        <f t="shared" si="60"/>
        <v>1284.3600000000001</v>
      </c>
      <c r="D1024">
        <f t="shared" si="61"/>
        <v>484</v>
      </c>
      <c r="E1024">
        <f t="shared" si="62"/>
        <v>3408.2244000000005</v>
      </c>
      <c r="F1024">
        <f t="shared" si="63"/>
        <v>484</v>
      </c>
    </row>
    <row r="1025" spans="1:6" x14ac:dyDescent="0.3">
      <c r="A1025">
        <v>60</v>
      </c>
      <c r="B1025">
        <v>86.34</v>
      </c>
      <c r="C1025">
        <f t="shared" si="60"/>
        <v>5180.4000000000005</v>
      </c>
      <c r="D1025">
        <f t="shared" si="61"/>
        <v>3600</v>
      </c>
      <c r="E1025">
        <f t="shared" si="62"/>
        <v>7454.5956000000006</v>
      </c>
      <c r="F1025">
        <f t="shared" si="63"/>
        <v>3600</v>
      </c>
    </row>
    <row r="1026" spans="1:6" x14ac:dyDescent="0.3">
      <c r="A1026">
        <v>39</v>
      </c>
      <c r="B1026">
        <v>95.44</v>
      </c>
      <c r="C1026">
        <f t="shared" si="60"/>
        <v>3722.16</v>
      </c>
      <c r="D1026">
        <f t="shared" si="61"/>
        <v>1521</v>
      </c>
      <c r="E1026">
        <f t="shared" si="62"/>
        <v>9108.7935999999991</v>
      </c>
      <c r="F1026">
        <f t="shared" si="63"/>
        <v>1521</v>
      </c>
    </row>
    <row r="1027" spans="1:6" x14ac:dyDescent="0.3">
      <c r="A1027">
        <v>53</v>
      </c>
      <c r="B1027">
        <v>94.78</v>
      </c>
      <c r="C1027">
        <f t="shared" ref="C1027:C1090" si="64">A1027*B1027</f>
        <v>5023.34</v>
      </c>
      <c r="D1027">
        <f t="shared" ref="D1027:D1090" si="65">A1027*A1027</f>
        <v>2809</v>
      </c>
      <c r="E1027">
        <f t="shared" ref="E1027:E1090" si="66">B1027*B1027</f>
        <v>8983.2484000000004</v>
      </c>
      <c r="F1027">
        <f t="shared" ref="F1027:F1090" si="67">A1027^2</f>
        <v>2809</v>
      </c>
    </row>
    <row r="1028" spans="1:6" x14ac:dyDescent="0.3">
      <c r="A1028">
        <v>55</v>
      </c>
      <c r="B1028">
        <v>109.59</v>
      </c>
      <c r="C1028">
        <f t="shared" si="64"/>
        <v>6027.45</v>
      </c>
      <c r="D1028">
        <f t="shared" si="65"/>
        <v>3025</v>
      </c>
      <c r="E1028">
        <f t="shared" si="66"/>
        <v>12009.9681</v>
      </c>
      <c r="F1028">
        <f t="shared" si="67"/>
        <v>3025</v>
      </c>
    </row>
    <row r="1029" spans="1:6" x14ac:dyDescent="0.3">
      <c r="A1029">
        <v>63</v>
      </c>
      <c r="B1029">
        <v>79.260000000000005</v>
      </c>
      <c r="C1029">
        <f t="shared" si="64"/>
        <v>4993.38</v>
      </c>
      <c r="D1029">
        <f t="shared" si="65"/>
        <v>3969</v>
      </c>
      <c r="E1029">
        <f t="shared" si="66"/>
        <v>6282.1476000000011</v>
      </c>
      <c r="F1029">
        <f t="shared" si="67"/>
        <v>3969</v>
      </c>
    </row>
    <row r="1030" spans="1:6" x14ac:dyDescent="0.3">
      <c r="A1030">
        <v>57</v>
      </c>
      <c r="B1030">
        <v>78.459999999999994</v>
      </c>
      <c r="C1030">
        <f t="shared" si="64"/>
        <v>4472.2199999999993</v>
      </c>
      <c r="D1030">
        <f t="shared" si="65"/>
        <v>3249</v>
      </c>
      <c r="E1030">
        <f t="shared" si="66"/>
        <v>6155.9715999999989</v>
      </c>
      <c r="F1030">
        <f t="shared" si="67"/>
        <v>3249</v>
      </c>
    </row>
    <row r="1031" spans="1:6" x14ac:dyDescent="0.3">
      <c r="A1031">
        <v>82</v>
      </c>
      <c r="B1031">
        <v>85.29</v>
      </c>
      <c r="C1031">
        <f t="shared" si="64"/>
        <v>6993.7800000000007</v>
      </c>
      <c r="D1031">
        <f t="shared" si="65"/>
        <v>6724</v>
      </c>
      <c r="E1031">
        <f t="shared" si="66"/>
        <v>7274.3841000000011</v>
      </c>
      <c r="F1031">
        <f t="shared" si="67"/>
        <v>6724</v>
      </c>
    </row>
    <row r="1032" spans="1:6" x14ac:dyDescent="0.3">
      <c r="A1032">
        <v>56</v>
      </c>
      <c r="B1032">
        <v>156.18</v>
      </c>
      <c r="C1032">
        <f t="shared" si="64"/>
        <v>8746.08</v>
      </c>
      <c r="D1032">
        <f t="shared" si="65"/>
        <v>3136</v>
      </c>
      <c r="E1032">
        <f t="shared" si="66"/>
        <v>24392.192400000004</v>
      </c>
      <c r="F1032">
        <f t="shared" si="67"/>
        <v>3136</v>
      </c>
    </row>
    <row r="1033" spans="1:6" x14ac:dyDescent="0.3">
      <c r="A1033">
        <v>41</v>
      </c>
      <c r="B1033">
        <v>69.52</v>
      </c>
      <c r="C1033">
        <f t="shared" si="64"/>
        <v>2850.3199999999997</v>
      </c>
      <c r="D1033">
        <f t="shared" si="65"/>
        <v>1681</v>
      </c>
      <c r="E1033">
        <f t="shared" si="66"/>
        <v>4833.0303999999996</v>
      </c>
      <c r="F1033">
        <f t="shared" si="67"/>
        <v>1681</v>
      </c>
    </row>
    <row r="1034" spans="1:6" x14ac:dyDescent="0.3">
      <c r="A1034">
        <v>8</v>
      </c>
      <c r="B1034">
        <v>65.319999999999993</v>
      </c>
      <c r="C1034">
        <f t="shared" si="64"/>
        <v>522.55999999999995</v>
      </c>
      <c r="D1034">
        <f t="shared" si="65"/>
        <v>64</v>
      </c>
      <c r="E1034">
        <f t="shared" si="66"/>
        <v>4266.7023999999992</v>
      </c>
      <c r="F1034">
        <f t="shared" si="67"/>
        <v>64</v>
      </c>
    </row>
    <row r="1035" spans="1:6" x14ac:dyDescent="0.3">
      <c r="A1035">
        <v>34</v>
      </c>
      <c r="B1035">
        <v>108.47</v>
      </c>
      <c r="C1035">
        <f t="shared" si="64"/>
        <v>3687.98</v>
      </c>
      <c r="D1035">
        <f t="shared" si="65"/>
        <v>1156</v>
      </c>
      <c r="E1035">
        <f t="shared" si="66"/>
        <v>11765.740899999999</v>
      </c>
      <c r="F1035">
        <f t="shared" si="67"/>
        <v>1156</v>
      </c>
    </row>
    <row r="1036" spans="1:6" x14ac:dyDescent="0.3">
      <c r="A1036">
        <v>75</v>
      </c>
      <c r="B1036">
        <v>105.63</v>
      </c>
      <c r="C1036">
        <f t="shared" si="64"/>
        <v>7922.25</v>
      </c>
      <c r="D1036">
        <f t="shared" si="65"/>
        <v>5625</v>
      </c>
      <c r="E1036">
        <f t="shared" si="66"/>
        <v>11157.696899999999</v>
      </c>
      <c r="F1036">
        <f t="shared" si="67"/>
        <v>5625</v>
      </c>
    </row>
    <row r="1037" spans="1:6" x14ac:dyDescent="0.3">
      <c r="A1037">
        <v>57</v>
      </c>
      <c r="B1037">
        <v>77.930000000000007</v>
      </c>
      <c r="C1037">
        <f t="shared" si="64"/>
        <v>4442.01</v>
      </c>
      <c r="D1037">
        <f t="shared" si="65"/>
        <v>3249</v>
      </c>
      <c r="E1037">
        <f t="shared" si="66"/>
        <v>6073.0849000000007</v>
      </c>
      <c r="F1037">
        <f t="shared" si="67"/>
        <v>3249</v>
      </c>
    </row>
    <row r="1038" spans="1:6" x14ac:dyDescent="0.3">
      <c r="A1038">
        <v>72</v>
      </c>
      <c r="B1038">
        <v>95.2</v>
      </c>
      <c r="C1038">
        <f t="shared" si="64"/>
        <v>6854.4000000000005</v>
      </c>
      <c r="D1038">
        <f t="shared" si="65"/>
        <v>5184</v>
      </c>
      <c r="E1038">
        <f t="shared" si="66"/>
        <v>9063.0400000000009</v>
      </c>
      <c r="F1038">
        <f t="shared" si="67"/>
        <v>5184</v>
      </c>
    </row>
    <row r="1039" spans="1:6" x14ac:dyDescent="0.3">
      <c r="A1039">
        <v>21</v>
      </c>
      <c r="B1039">
        <v>78.52</v>
      </c>
      <c r="C1039">
        <f t="shared" si="64"/>
        <v>1648.9199999999998</v>
      </c>
      <c r="D1039">
        <f t="shared" si="65"/>
        <v>441</v>
      </c>
      <c r="E1039">
        <f t="shared" si="66"/>
        <v>6165.3903999999993</v>
      </c>
      <c r="F1039">
        <f t="shared" si="67"/>
        <v>441</v>
      </c>
    </row>
    <row r="1040" spans="1:6" x14ac:dyDescent="0.3">
      <c r="A1040">
        <v>51</v>
      </c>
      <c r="B1040">
        <v>114.89</v>
      </c>
      <c r="C1040">
        <f t="shared" si="64"/>
        <v>5859.39</v>
      </c>
      <c r="D1040">
        <f t="shared" si="65"/>
        <v>2601</v>
      </c>
      <c r="E1040">
        <f t="shared" si="66"/>
        <v>13199.712100000001</v>
      </c>
      <c r="F1040">
        <f t="shared" si="67"/>
        <v>2601</v>
      </c>
    </row>
    <row r="1041" spans="1:6" x14ac:dyDescent="0.3">
      <c r="A1041">
        <v>15</v>
      </c>
      <c r="B1041">
        <v>95.43</v>
      </c>
      <c r="C1041">
        <f t="shared" si="64"/>
        <v>1431.45</v>
      </c>
      <c r="D1041">
        <f t="shared" si="65"/>
        <v>225</v>
      </c>
      <c r="E1041">
        <f t="shared" si="66"/>
        <v>9106.8849000000009</v>
      </c>
      <c r="F1041">
        <f t="shared" si="67"/>
        <v>225</v>
      </c>
    </row>
    <row r="1042" spans="1:6" x14ac:dyDescent="0.3">
      <c r="A1042">
        <v>24</v>
      </c>
      <c r="B1042">
        <v>84.08</v>
      </c>
      <c r="C1042">
        <f t="shared" si="64"/>
        <v>2017.92</v>
      </c>
      <c r="D1042">
        <f t="shared" si="65"/>
        <v>576</v>
      </c>
      <c r="E1042">
        <f t="shared" si="66"/>
        <v>7069.4463999999998</v>
      </c>
      <c r="F1042">
        <f t="shared" si="67"/>
        <v>576</v>
      </c>
    </row>
    <row r="1043" spans="1:6" x14ac:dyDescent="0.3">
      <c r="A1043">
        <v>30</v>
      </c>
      <c r="B1043">
        <v>110.55</v>
      </c>
      <c r="C1043">
        <f t="shared" si="64"/>
        <v>3316.5</v>
      </c>
      <c r="D1043">
        <f t="shared" si="65"/>
        <v>900</v>
      </c>
      <c r="E1043">
        <f t="shared" si="66"/>
        <v>12221.3025</v>
      </c>
      <c r="F1043">
        <f t="shared" si="67"/>
        <v>900</v>
      </c>
    </row>
    <row r="1044" spans="1:6" x14ac:dyDescent="0.3">
      <c r="A1044">
        <v>82</v>
      </c>
      <c r="B1044">
        <v>82.21</v>
      </c>
      <c r="C1044">
        <f t="shared" si="64"/>
        <v>6741.2199999999993</v>
      </c>
      <c r="D1044">
        <f t="shared" si="65"/>
        <v>6724</v>
      </c>
      <c r="E1044">
        <f t="shared" si="66"/>
        <v>6758.4840999999988</v>
      </c>
      <c r="F1044">
        <f t="shared" si="67"/>
        <v>6724</v>
      </c>
    </row>
    <row r="1045" spans="1:6" x14ac:dyDescent="0.3">
      <c r="A1045">
        <v>62</v>
      </c>
      <c r="B1045">
        <v>82.38</v>
      </c>
      <c r="C1045">
        <f t="shared" si="64"/>
        <v>5107.5599999999995</v>
      </c>
      <c r="D1045">
        <f t="shared" si="65"/>
        <v>3844</v>
      </c>
      <c r="E1045">
        <f t="shared" si="66"/>
        <v>6786.4643999999989</v>
      </c>
      <c r="F1045">
        <f t="shared" si="67"/>
        <v>3844</v>
      </c>
    </row>
    <row r="1046" spans="1:6" x14ac:dyDescent="0.3">
      <c r="A1046">
        <v>79</v>
      </c>
      <c r="B1046">
        <v>93.89</v>
      </c>
      <c r="C1046">
        <f t="shared" si="64"/>
        <v>7417.31</v>
      </c>
      <c r="D1046">
        <f t="shared" si="65"/>
        <v>6241</v>
      </c>
      <c r="E1046">
        <f t="shared" si="66"/>
        <v>8815.3320999999996</v>
      </c>
      <c r="F1046">
        <f t="shared" si="67"/>
        <v>6241</v>
      </c>
    </row>
    <row r="1047" spans="1:6" x14ac:dyDescent="0.3">
      <c r="A1047">
        <v>19</v>
      </c>
      <c r="B1047">
        <v>75.08</v>
      </c>
      <c r="C1047">
        <f t="shared" si="64"/>
        <v>1426.52</v>
      </c>
      <c r="D1047">
        <f t="shared" si="65"/>
        <v>361</v>
      </c>
      <c r="E1047">
        <f t="shared" si="66"/>
        <v>5637.0063999999993</v>
      </c>
      <c r="F1047">
        <f t="shared" si="67"/>
        <v>361</v>
      </c>
    </row>
    <row r="1048" spans="1:6" x14ac:dyDescent="0.3">
      <c r="A1048">
        <v>45</v>
      </c>
      <c r="B1048">
        <v>76.72</v>
      </c>
      <c r="C1048">
        <f t="shared" si="64"/>
        <v>3452.4</v>
      </c>
      <c r="D1048">
        <f t="shared" si="65"/>
        <v>2025</v>
      </c>
      <c r="E1048">
        <f t="shared" si="66"/>
        <v>5885.9583999999995</v>
      </c>
      <c r="F1048">
        <f t="shared" si="67"/>
        <v>2025</v>
      </c>
    </row>
    <row r="1049" spans="1:6" x14ac:dyDescent="0.3">
      <c r="A1049">
        <v>5</v>
      </c>
      <c r="B1049">
        <v>84.93</v>
      </c>
      <c r="C1049">
        <f t="shared" si="64"/>
        <v>424.65000000000003</v>
      </c>
      <c r="D1049">
        <f t="shared" si="65"/>
        <v>25</v>
      </c>
      <c r="E1049">
        <f t="shared" si="66"/>
        <v>7213.1049000000012</v>
      </c>
      <c r="F1049">
        <f t="shared" si="67"/>
        <v>25</v>
      </c>
    </row>
    <row r="1050" spans="1:6" x14ac:dyDescent="0.3">
      <c r="A1050">
        <v>57</v>
      </c>
      <c r="B1050">
        <v>76.5</v>
      </c>
      <c r="C1050">
        <f t="shared" si="64"/>
        <v>4360.5</v>
      </c>
      <c r="D1050">
        <f t="shared" si="65"/>
        <v>3249</v>
      </c>
      <c r="E1050">
        <f t="shared" si="66"/>
        <v>5852.25</v>
      </c>
      <c r="F1050">
        <f t="shared" si="67"/>
        <v>3249</v>
      </c>
    </row>
    <row r="1051" spans="1:6" x14ac:dyDescent="0.3">
      <c r="A1051">
        <v>31</v>
      </c>
      <c r="B1051">
        <v>65.47</v>
      </c>
      <c r="C1051">
        <f t="shared" si="64"/>
        <v>2029.57</v>
      </c>
      <c r="D1051">
        <f t="shared" si="65"/>
        <v>961</v>
      </c>
      <c r="E1051">
        <f t="shared" si="66"/>
        <v>4286.3208999999997</v>
      </c>
      <c r="F1051">
        <f t="shared" si="67"/>
        <v>961</v>
      </c>
    </row>
    <row r="1052" spans="1:6" x14ac:dyDescent="0.3">
      <c r="A1052">
        <v>61</v>
      </c>
      <c r="B1052">
        <v>99.16</v>
      </c>
      <c r="C1052">
        <f t="shared" si="64"/>
        <v>6048.76</v>
      </c>
      <c r="D1052">
        <f t="shared" si="65"/>
        <v>3721</v>
      </c>
      <c r="E1052">
        <f t="shared" si="66"/>
        <v>9832.7055999999993</v>
      </c>
      <c r="F1052">
        <f t="shared" si="67"/>
        <v>3721</v>
      </c>
    </row>
    <row r="1053" spans="1:6" x14ac:dyDescent="0.3">
      <c r="A1053">
        <v>27</v>
      </c>
      <c r="B1053">
        <v>63.53</v>
      </c>
      <c r="C1053">
        <f t="shared" si="64"/>
        <v>1715.31</v>
      </c>
      <c r="D1053">
        <f t="shared" si="65"/>
        <v>729</v>
      </c>
      <c r="E1053">
        <f t="shared" si="66"/>
        <v>4036.0608999999999</v>
      </c>
      <c r="F1053">
        <f t="shared" si="67"/>
        <v>729</v>
      </c>
    </row>
    <row r="1054" spans="1:6" x14ac:dyDescent="0.3">
      <c r="A1054">
        <v>61</v>
      </c>
      <c r="B1054">
        <v>78.650000000000006</v>
      </c>
      <c r="C1054">
        <f t="shared" si="64"/>
        <v>4797.6500000000005</v>
      </c>
      <c r="D1054">
        <f t="shared" si="65"/>
        <v>3721</v>
      </c>
      <c r="E1054">
        <f t="shared" si="66"/>
        <v>6185.8225000000011</v>
      </c>
      <c r="F1054">
        <f t="shared" si="67"/>
        <v>3721</v>
      </c>
    </row>
    <row r="1055" spans="1:6" x14ac:dyDescent="0.3">
      <c r="A1055">
        <v>53</v>
      </c>
      <c r="B1055">
        <v>63.78</v>
      </c>
      <c r="C1055">
        <f t="shared" si="64"/>
        <v>3380.34</v>
      </c>
      <c r="D1055">
        <f t="shared" si="65"/>
        <v>2809</v>
      </c>
      <c r="E1055">
        <f t="shared" si="66"/>
        <v>4067.8884000000003</v>
      </c>
      <c r="F1055">
        <f t="shared" si="67"/>
        <v>2809</v>
      </c>
    </row>
    <row r="1056" spans="1:6" x14ac:dyDescent="0.3">
      <c r="A1056">
        <v>76</v>
      </c>
      <c r="B1056">
        <v>77.52</v>
      </c>
      <c r="C1056">
        <f t="shared" si="64"/>
        <v>5891.5199999999995</v>
      </c>
      <c r="D1056">
        <f t="shared" si="65"/>
        <v>5776</v>
      </c>
      <c r="E1056">
        <f t="shared" si="66"/>
        <v>6009.3503999999994</v>
      </c>
      <c r="F1056">
        <f t="shared" si="67"/>
        <v>5776</v>
      </c>
    </row>
    <row r="1057" spans="1:6" x14ac:dyDescent="0.3">
      <c r="A1057">
        <v>57</v>
      </c>
      <c r="B1057">
        <v>111.64</v>
      </c>
      <c r="C1057">
        <f t="shared" si="64"/>
        <v>6363.4800000000005</v>
      </c>
      <c r="D1057">
        <f t="shared" si="65"/>
        <v>3249</v>
      </c>
      <c r="E1057">
        <f t="shared" si="66"/>
        <v>12463.489600000001</v>
      </c>
      <c r="F1057">
        <f t="shared" si="67"/>
        <v>3249</v>
      </c>
    </row>
    <row r="1058" spans="1:6" x14ac:dyDescent="0.3">
      <c r="A1058">
        <v>9</v>
      </c>
      <c r="B1058">
        <v>97.84</v>
      </c>
      <c r="C1058">
        <f t="shared" si="64"/>
        <v>880.56000000000006</v>
      </c>
      <c r="D1058">
        <f t="shared" si="65"/>
        <v>81</v>
      </c>
      <c r="E1058">
        <f t="shared" si="66"/>
        <v>9572.6656000000003</v>
      </c>
      <c r="F1058">
        <f t="shared" si="67"/>
        <v>81</v>
      </c>
    </row>
    <row r="1059" spans="1:6" x14ac:dyDescent="0.3">
      <c r="A1059">
        <v>34</v>
      </c>
      <c r="B1059">
        <v>113.01</v>
      </c>
      <c r="C1059">
        <f t="shared" si="64"/>
        <v>3842.34</v>
      </c>
      <c r="D1059">
        <f t="shared" si="65"/>
        <v>1156</v>
      </c>
      <c r="E1059">
        <f t="shared" si="66"/>
        <v>12771.260100000001</v>
      </c>
      <c r="F1059">
        <f t="shared" si="67"/>
        <v>1156</v>
      </c>
    </row>
    <row r="1060" spans="1:6" x14ac:dyDescent="0.3">
      <c r="A1060">
        <v>51</v>
      </c>
      <c r="B1060">
        <v>56.48</v>
      </c>
      <c r="C1060">
        <f t="shared" si="64"/>
        <v>2880.48</v>
      </c>
      <c r="D1060">
        <f t="shared" si="65"/>
        <v>2601</v>
      </c>
      <c r="E1060">
        <f t="shared" si="66"/>
        <v>3189.9903999999997</v>
      </c>
      <c r="F1060">
        <f t="shared" si="67"/>
        <v>2601</v>
      </c>
    </row>
    <row r="1061" spans="1:6" x14ac:dyDescent="0.3">
      <c r="A1061">
        <v>61</v>
      </c>
      <c r="B1061">
        <v>204.5</v>
      </c>
      <c r="C1061">
        <f t="shared" si="64"/>
        <v>12474.5</v>
      </c>
      <c r="D1061">
        <f t="shared" si="65"/>
        <v>3721</v>
      </c>
      <c r="E1061">
        <f t="shared" si="66"/>
        <v>41820.25</v>
      </c>
      <c r="F1061">
        <f t="shared" si="67"/>
        <v>3721</v>
      </c>
    </row>
    <row r="1062" spans="1:6" x14ac:dyDescent="0.3">
      <c r="A1062">
        <v>19</v>
      </c>
      <c r="B1062">
        <v>96.02</v>
      </c>
      <c r="C1062">
        <f t="shared" si="64"/>
        <v>1824.3799999999999</v>
      </c>
      <c r="D1062">
        <f t="shared" si="65"/>
        <v>361</v>
      </c>
      <c r="E1062">
        <f t="shared" si="66"/>
        <v>9219.8403999999991</v>
      </c>
      <c r="F1062">
        <f t="shared" si="67"/>
        <v>361</v>
      </c>
    </row>
    <row r="1063" spans="1:6" x14ac:dyDescent="0.3">
      <c r="A1063">
        <v>50</v>
      </c>
      <c r="B1063">
        <v>206.25</v>
      </c>
      <c r="C1063">
        <f t="shared" si="64"/>
        <v>10312.5</v>
      </c>
      <c r="D1063">
        <f t="shared" si="65"/>
        <v>2500</v>
      </c>
      <c r="E1063">
        <f t="shared" si="66"/>
        <v>42539.0625</v>
      </c>
      <c r="F1063">
        <f t="shared" si="67"/>
        <v>2500</v>
      </c>
    </row>
    <row r="1064" spans="1:6" x14ac:dyDescent="0.3">
      <c r="A1064">
        <v>80</v>
      </c>
      <c r="B1064">
        <v>115.52</v>
      </c>
      <c r="C1064">
        <f t="shared" si="64"/>
        <v>9241.6</v>
      </c>
      <c r="D1064">
        <f t="shared" si="65"/>
        <v>6400</v>
      </c>
      <c r="E1064">
        <f t="shared" si="66"/>
        <v>13344.8704</v>
      </c>
      <c r="F1064">
        <f t="shared" si="67"/>
        <v>6400</v>
      </c>
    </row>
    <row r="1065" spans="1:6" x14ac:dyDescent="0.3">
      <c r="A1065">
        <v>13</v>
      </c>
      <c r="B1065">
        <v>60.69</v>
      </c>
      <c r="C1065">
        <f t="shared" si="64"/>
        <v>788.97</v>
      </c>
      <c r="D1065">
        <f t="shared" si="65"/>
        <v>169</v>
      </c>
      <c r="E1065">
        <f t="shared" si="66"/>
        <v>3683.2760999999996</v>
      </c>
      <c r="F1065">
        <f t="shared" si="67"/>
        <v>169</v>
      </c>
    </row>
    <row r="1066" spans="1:6" x14ac:dyDescent="0.3">
      <c r="A1066">
        <v>55</v>
      </c>
      <c r="B1066">
        <v>93.67</v>
      </c>
      <c r="C1066">
        <f t="shared" si="64"/>
        <v>5151.8500000000004</v>
      </c>
      <c r="D1066">
        <f t="shared" si="65"/>
        <v>3025</v>
      </c>
      <c r="E1066">
        <f t="shared" si="66"/>
        <v>8774.0689000000002</v>
      </c>
      <c r="F1066">
        <f t="shared" si="67"/>
        <v>3025</v>
      </c>
    </row>
    <row r="1067" spans="1:6" x14ac:dyDescent="0.3">
      <c r="A1067">
        <v>67</v>
      </c>
      <c r="B1067">
        <v>67.790000000000006</v>
      </c>
      <c r="C1067">
        <f t="shared" si="64"/>
        <v>4541.93</v>
      </c>
      <c r="D1067">
        <f t="shared" si="65"/>
        <v>4489</v>
      </c>
      <c r="E1067">
        <f t="shared" si="66"/>
        <v>4595.4841000000006</v>
      </c>
      <c r="F1067">
        <f t="shared" si="67"/>
        <v>4489</v>
      </c>
    </row>
    <row r="1068" spans="1:6" x14ac:dyDescent="0.3">
      <c r="A1068">
        <v>30</v>
      </c>
      <c r="B1068">
        <v>56.07</v>
      </c>
      <c r="C1068">
        <f t="shared" si="64"/>
        <v>1682.1</v>
      </c>
      <c r="D1068">
        <f t="shared" si="65"/>
        <v>900</v>
      </c>
      <c r="E1068">
        <f t="shared" si="66"/>
        <v>3143.8449000000001</v>
      </c>
      <c r="F1068">
        <f t="shared" si="67"/>
        <v>900</v>
      </c>
    </row>
    <row r="1069" spans="1:6" x14ac:dyDescent="0.3">
      <c r="A1069">
        <v>67</v>
      </c>
      <c r="B1069">
        <v>254.63</v>
      </c>
      <c r="C1069">
        <f t="shared" si="64"/>
        <v>17060.21</v>
      </c>
      <c r="D1069">
        <f t="shared" si="65"/>
        <v>4489</v>
      </c>
      <c r="E1069">
        <f t="shared" si="66"/>
        <v>64836.436900000001</v>
      </c>
      <c r="F1069">
        <f t="shared" si="67"/>
        <v>4489</v>
      </c>
    </row>
    <row r="1070" spans="1:6" x14ac:dyDescent="0.3">
      <c r="A1070">
        <v>82</v>
      </c>
      <c r="B1070">
        <v>96.63</v>
      </c>
      <c r="C1070">
        <f t="shared" si="64"/>
        <v>7923.66</v>
      </c>
      <c r="D1070">
        <f t="shared" si="65"/>
        <v>6724</v>
      </c>
      <c r="E1070">
        <f t="shared" si="66"/>
        <v>9337.3568999999989</v>
      </c>
      <c r="F1070">
        <f t="shared" si="67"/>
        <v>6724</v>
      </c>
    </row>
    <row r="1071" spans="1:6" x14ac:dyDescent="0.3">
      <c r="A1071">
        <v>5</v>
      </c>
      <c r="B1071">
        <v>84.3</v>
      </c>
      <c r="C1071">
        <f t="shared" si="64"/>
        <v>421.5</v>
      </c>
      <c r="D1071">
        <f t="shared" si="65"/>
        <v>25</v>
      </c>
      <c r="E1071">
        <f t="shared" si="66"/>
        <v>7106.49</v>
      </c>
      <c r="F1071">
        <f t="shared" si="67"/>
        <v>25</v>
      </c>
    </row>
    <row r="1072" spans="1:6" x14ac:dyDescent="0.3">
      <c r="A1072">
        <v>81</v>
      </c>
      <c r="B1072">
        <v>246.34</v>
      </c>
      <c r="C1072">
        <f t="shared" si="64"/>
        <v>19953.54</v>
      </c>
      <c r="D1072">
        <f t="shared" si="65"/>
        <v>6561</v>
      </c>
      <c r="E1072">
        <f t="shared" si="66"/>
        <v>60683.395600000003</v>
      </c>
      <c r="F1072">
        <f t="shared" si="67"/>
        <v>6561</v>
      </c>
    </row>
    <row r="1073" spans="1:6" x14ac:dyDescent="0.3">
      <c r="A1073">
        <v>48</v>
      </c>
      <c r="B1073">
        <v>195.16</v>
      </c>
      <c r="C1073">
        <f t="shared" si="64"/>
        <v>9367.68</v>
      </c>
      <c r="D1073">
        <f t="shared" si="65"/>
        <v>2304</v>
      </c>
      <c r="E1073">
        <f t="shared" si="66"/>
        <v>38087.425600000002</v>
      </c>
      <c r="F1073">
        <f t="shared" si="67"/>
        <v>2304</v>
      </c>
    </row>
    <row r="1074" spans="1:6" x14ac:dyDescent="0.3">
      <c r="A1074">
        <v>66</v>
      </c>
      <c r="B1074">
        <v>93.34</v>
      </c>
      <c r="C1074">
        <f t="shared" si="64"/>
        <v>6160.4400000000005</v>
      </c>
      <c r="D1074">
        <f t="shared" si="65"/>
        <v>4356</v>
      </c>
      <c r="E1074">
        <f t="shared" si="66"/>
        <v>8712.3556000000008</v>
      </c>
      <c r="F1074">
        <f t="shared" si="67"/>
        <v>4356</v>
      </c>
    </row>
    <row r="1075" spans="1:6" x14ac:dyDescent="0.3">
      <c r="A1075">
        <v>38</v>
      </c>
      <c r="B1075">
        <v>162.30000000000001</v>
      </c>
      <c r="C1075">
        <f t="shared" si="64"/>
        <v>6167.4000000000005</v>
      </c>
      <c r="D1075">
        <f t="shared" si="65"/>
        <v>1444</v>
      </c>
      <c r="E1075">
        <f t="shared" si="66"/>
        <v>26341.290000000005</v>
      </c>
      <c r="F1075">
        <f t="shared" si="67"/>
        <v>1444</v>
      </c>
    </row>
    <row r="1076" spans="1:6" x14ac:dyDescent="0.3">
      <c r="A1076">
        <v>8</v>
      </c>
      <c r="B1076">
        <v>106.4</v>
      </c>
      <c r="C1076">
        <f t="shared" si="64"/>
        <v>851.2</v>
      </c>
      <c r="D1076">
        <f t="shared" si="65"/>
        <v>64</v>
      </c>
      <c r="E1076">
        <f t="shared" si="66"/>
        <v>11320.960000000001</v>
      </c>
      <c r="F1076">
        <f t="shared" si="67"/>
        <v>64</v>
      </c>
    </row>
    <row r="1077" spans="1:6" x14ac:dyDescent="0.3">
      <c r="A1077">
        <v>47</v>
      </c>
      <c r="B1077">
        <v>110.25</v>
      </c>
      <c r="C1077">
        <f t="shared" si="64"/>
        <v>5181.75</v>
      </c>
      <c r="D1077">
        <f t="shared" si="65"/>
        <v>2209</v>
      </c>
      <c r="E1077">
        <f t="shared" si="66"/>
        <v>12155.0625</v>
      </c>
      <c r="F1077">
        <f t="shared" si="67"/>
        <v>2209</v>
      </c>
    </row>
    <row r="1078" spans="1:6" x14ac:dyDescent="0.3">
      <c r="A1078">
        <v>27</v>
      </c>
      <c r="B1078">
        <v>69.7</v>
      </c>
      <c r="C1078">
        <f t="shared" si="64"/>
        <v>1881.9</v>
      </c>
      <c r="D1078">
        <f t="shared" si="65"/>
        <v>729</v>
      </c>
      <c r="E1078">
        <f t="shared" si="66"/>
        <v>4858.09</v>
      </c>
      <c r="F1078">
        <f t="shared" si="67"/>
        <v>729</v>
      </c>
    </row>
    <row r="1079" spans="1:6" x14ac:dyDescent="0.3">
      <c r="A1079">
        <v>53</v>
      </c>
      <c r="B1079">
        <v>87.03</v>
      </c>
      <c r="C1079">
        <f t="shared" si="64"/>
        <v>4612.59</v>
      </c>
      <c r="D1079">
        <f t="shared" si="65"/>
        <v>2809</v>
      </c>
      <c r="E1079">
        <f t="shared" si="66"/>
        <v>7574.2209000000003</v>
      </c>
      <c r="F1079">
        <f t="shared" si="67"/>
        <v>2809</v>
      </c>
    </row>
    <row r="1080" spans="1:6" x14ac:dyDescent="0.3">
      <c r="A1080">
        <v>27</v>
      </c>
      <c r="B1080">
        <v>112.98</v>
      </c>
      <c r="C1080">
        <f t="shared" si="64"/>
        <v>3050.46</v>
      </c>
      <c r="D1080">
        <f t="shared" si="65"/>
        <v>729</v>
      </c>
      <c r="E1080">
        <f t="shared" si="66"/>
        <v>12764.4804</v>
      </c>
      <c r="F1080">
        <f t="shared" si="67"/>
        <v>729</v>
      </c>
    </row>
    <row r="1081" spans="1:6" x14ac:dyDescent="0.3">
      <c r="A1081">
        <v>36</v>
      </c>
      <c r="B1081">
        <v>82.47</v>
      </c>
      <c r="C1081">
        <f t="shared" si="64"/>
        <v>2968.92</v>
      </c>
      <c r="D1081">
        <f t="shared" si="65"/>
        <v>1296</v>
      </c>
      <c r="E1081">
        <f t="shared" si="66"/>
        <v>6801.3009000000002</v>
      </c>
      <c r="F1081">
        <f t="shared" si="67"/>
        <v>1296</v>
      </c>
    </row>
    <row r="1082" spans="1:6" x14ac:dyDescent="0.3">
      <c r="A1082">
        <v>50</v>
      </c>
      <c r="B1082">
        <v>75.88</v>
      </c>
      <c r="C1082">
        <f t="shared" si="64"/>
        <v>3794</v>
      </c>
      <c r="D1082">
        <f t="shared" si="65"/>
        <v>2500</v>
      </c>
      <c r="E1082">
        <f t="shared" si="66"/>
        <v>5757.7743999999993</v>
      </c>
      <c r="F1082">
        <f t="shared" si="67"/>
        <v>2500</v>
      </c>
    </row>
    <row r="1083" spans="1:6" x14ac:dyDescent="0.3">
      <c r="A1083">
        <v>32</v>
      </c>
      <c r="B1083">
        <v>84.63</v>
      </c>
      <c r="C1083">
        <f t="shared" si="64"/>
        <v>2708.16</v>
      </c>
      <c r="D1083">
        <f t="shared" si="65"/>
        <v>1024</v>
      </c>
      <c r="E1083">
        <f t="shared" si="66"/>
        <v>7162.236899999999</v>
      </c>
      <c r="F1083">
        <f t="shared" si="67"/>
        <v>1024</v>
      </c>
    </row>
    <row r="1084" spans="1:6" x14ac:dyDescent="0.3">
      <c r="A1084">
        <v>58</v>
      </c>
      <c r="B1084">
        <v>109.56</v>
      </c>
      <c r="C1084">
        <f t="shared" si="64"/>
        <v>6354.4800000000005</v>
      </c>
      <c r="D1084">
        <f t="shared" si="65"/>
        <v>3364</v>
      </c>
      <c r="E1084">
        <f t="shared" si="66"/>
        <v>12003.393600000001</v>
      </c>
      <c r="F1084">
        <f t="shared" si="67"/>
        <v>3364</v>
      </c>
    </row>
    <row r="1085" spans="1:6" x14ac:dyDescent="0.3">
      <c r="A1085">
        <v>73</v>
      </c>
      <c r="B1085">
        <v>89.45</v>
      </c>
      <c r="C1085">
        <f t="shared" si="64"/>
        <v>6529.85</v>
      </c>
      <c r="D1085">
        <f t="shared" si="65"/>
        <v>5329</v>
      </c>
      <c r="E1085">
        <f t="shared" si="66"/>
        <v>8001.3025000000007</v>
      </c>
      <c r="F1085">
        <f t="shared" si="67"/>
        <v>5329</v>
      </c>
    </row>
    <row r="1086" spans="1:6" x14ac:dyDescent="0.3">
      <c r="A1086">
        <v>62</v>
      </c>
      <c r="B1086">
        <v>91.65</v>
      </c>
      <c r="C1086">
        <f t="shared" si="64"/>
        <v>5682.3</v>
      </c>
      <c r="D1086">
        <f t="shared" si="65"/>
        <v>3844</v>
      </c>
      <c r="E1086">
        <f t="shared" si="66"/>
        <v>8399.7225000000017</v>
      </c>
      <c r="F1086">
        <f t="shared" si="67"/>
        <v>3844</v>
      </c>
    </row>
    <row r="1087" spans="1:6" x14ac:dyDescent="0.3">
      <c r="A1087">
        <v>50</v>
      </c>
      <c r="B1087">
        <v>121.14</v>
      </c>
      <c r="C1087">
        <f t="shared" si="64"/>
        <v>6057</v>
      </c>
      <c r="D1087">
        <f t="shared" si="65"/>
        <v>2500</v>
      </c>
      <c r="E1087">
        <f t="shared" si="66"/>
        <v>14674.899600000001</v>
      </c>
      <c r="F1087">
        <f t="shared" si="67"/>
        <v>2500</v>
      </c>
    </row>
    <row r="1088" spans="1:6" x14ac:dyDescent="0.3">
      <c r="A1088">
        <v>51</v>
      </c>
      <c r="B1088">
        <v>87.77</v>
      </c>
      <c r="C1088">
        <f t="shared" si="64"/>
        <v>4476.2699999999995</v>
      </c>
      <c r="D1088">
        <f t="shared" si="65"/>
        <v>2601</v>
      </c>
      <c r="E1088">
        <f t="shared" si="66"/>
        <v>7703.5728999999992</v>
      </c>
      <c r="F1088">
        <f t="shared" si="67"/>
        <v>2601</v>
      </c>
    </row>
    <row r="1089" spans="1:6" x14ac:dyDescent="0.3">
      <c r="A1089">
        <v>19</v>
      </c>
      <c r="B1089">
        <v>106.56</v>
      </c>
      <c r="C1089">
        <f t="shared" si="64"/>
        <v>2024.64</v>
      </c>
      <c r="D1089">
        <f t="shared" si="65"/>
        <v>361</v>
      </c>
      <c r="E1089">
        <f t="shared" si="66"/>
        <v>11355.033600000001</v>
      </c>
      <c r="F1089">
        <f t="shared" si="67"/>
        <v>361</v>
      </c>
    </row>
    <row r="1090" spans="1:6" x14ac:dyDescent="0.3">
      <c r="A1090">
        <v>30</v>
      </c>
      <c r="B1090">
        <v>93.88</v>
      </c>
      <c r="C1090">
        <f t="shared" si="64"/>
        <v>2816.3999999999996</v>
      </c>
      <c r="D1090">
        <f t="shared" si="65"/>
        <v>900</v>
      </c>
      <c r="E1090">
        <f t="shared" si="66"/>
        <v>8813.4543999999987</v>
      </c>
      <c r="F1090">
        <f t="shared" si="67"/>
        <v>900</v>
      </c>
    </row>
    <row r="1091" spans="1:6" x14ac:dyDescent="0.3">
      <c r="A1091">
        <v>45</v>
      </c>
      <c r="B1091">
        <v>153.76</v>
      </c>
      <c r="C1091">
        <f t="shared" ref="C1091:C1154" si="68">A1091*B1091</f>
        <v>6919.2</v>
      </c>
      <c r="D1091">
        <f t="shared" ref="D1091:D1154" si="69">A1091*A1091</f>
        <v>2025</v>
      </c>
      <c r="E1091">
        <f t="shared" ref="E1091:E1154" si="70">B1091*B1091</f>
        <v>23642.137599999998</v>
      </c>
      <c r="F1091">
        <f t="shared" ref="F1091:F1154" si="71">A1091^2</f>
        <v>2025</v>
      </c>
    </row>
    <row r="1092" spans="1:6" x14ac:dyDescent="0.3">
      <c r="A1092">
        <v>30</v>
      </c>
      <c r="B1092">
        <v>88.65</v>
      </c>
      <c r="C1092">
        <f t="shared" si="68"/>
        <v>2659.5</v>
      </c>
      <c r="D1092">
        <f t="shared" si="69"/>
        <v>900</v>
      </c>
      <c r="E1092">
        <f t="shared" si="70"/>
        <v>7858.8225000000011</v>
      </c>
      <c r="F1092">
        <f t="shared" si="71"/>
        <v>900</v>
      </c>
    </row>
    <row r="1093" spans="1:6" x14ac:dyDescent="0.3">
      <c r="A1093">
        <v>28</v>
      </c>
      <c r="B1093">
        <v>111.22</v>
      </c>
      <c r="C1093">
        <f t="shared" si="68"/>
        <v>3114.16</v>
      </c>
      <c r="D1093">
        <f t="shared" si="69"/>
        <v>784</v>
      </c>
      <c r="E1093">
        <f t="shared" si="70"/>
        <v>12369.8884</v>
      </c>
      <c r="F1093">
        <f t="shared" si="71"/>
        <v>784</v>
      </c>
    </row>
    <row r="1094" spans="1:6" x14ac:dyDescent="0.3">
      <c r="A1094">
        <v>70</v>
      </c>
      <c r="B1094">
        <v>223.68</v>
      </c>
      <c r="C1094">
        <f t="shared" si="68"/>
        <v>15657.6</v>
      </c>
      <c r="D1094">
        <f t="shared" si="69"/>
        <v>4900</v>
      </c>
      <c r="E1094">
        <f t="shared" si="70"/>
        <v>50032.742400000003</v>
      </c>
      <c r="F1094">
        <f t="shared" si="71"/>
        <v>4900</v>
      </c>
    </row>
    <row r="1095" spans="1:6" x14ac:dyDescent="0.3">
      <c r="A1095">
        <v>0.32</v>
      </c>
      <c r="B1095">
        <v>55.86</v>
      </c>
      <c r="C1095">
        <f t="shared" si="68"/>
        <v>17.8752</v>
      </c>
      <c r="D1095">
        <f t="shared" si="69"/>
        <v>0.1024</v>
      </c>
      <c r="E1095">
        <f t="shared" si="70"/>
        <v>3120.3395999999998</v>
      </c>
      <c r="F1095">
        <f t="shared" si="71"/>
        <v>0.1024</v>
      </c>
    </row>
    <row r="1096" spans="1:6" x14ac:dyDescent="0.3">
      <c r="A1096">
        <v>23</v>
      </c>
      <c r="B1096">
        <v>63.73</v>
      </c>
      <c r="C1096">
        <f t="shared" si="68"/>
        <v>1465.79</v>
      </c>
      <c r="D1096">
        <f t="shared" si="69"/>
        <v>529</v>
      </c>
      <c r="E1096">
        <f t="shared" si="70"/>
        <v>4061.5128999999997</v>
      </c>
      <c r="F1096">
        <f t="shared" si="71"/>
        <v>529</v>
      </c>
    </row>
    <row r="1097" spans="1:6" x14ac:dyDescent="0.3">
      <c r="A1097">
        <v>18</v>
      </c>
      <c r="B1097">
        <v>103.94</v>
      </c>
      <c r="C1097">
        <f t="shared" si="68"/>
        <v>1870.92</v>
      </c>
      <c r="D1097">
        <f t="shared" si="69"/>
        <v>324</v>
      </c>
      <c r="E1097">
        <f t="shared" si="70"/>
        <v>10803.523599999999</v>
      </c>
      <c r="F1097">
        <f t="shared" si="71"/>
        <v>324</v>
      </c>
    </row>
    <row r="1098" spans="1:6" x14ac:dyDescent="0.3">
      <c r="A1098">
        <v>41</v>
      </c>
      <c r="B1098">
        <v>92.49</v>
      </c>
      <c r="C1098">
        <f t="shared" si="68"/>
        <v>3792.0899999999997</v>
      </c>
      <c r="D1098">
        <f t="shared" si="69"/>
        <v>1681</v>
      </c>
      <c r="E1098">
        <f t="shared" si="70"/>
        <v>8554.4000999999989</v>
      </c>
      <c r="F1098">
        <f t="shared" si="71"/>
        <v>1681</v>
      </c>
    </row>
    <row r="1099" spans="1:6" x14ac:dyDescent="0.3">
      <c r="A1099">
        <v>52</v>
      </c>
      <c r="B1099">
        <v>229.2</v>
      </c>
      <c r="C1099">
        <f t="shared" si="68"/>
        <v>11918.4</v>
      </c>
      <c r="D1099">
        <f t="shared" si="69"/>
        <v>2704</v>
      </c>
      <c r="E1099">
        <f t="shared" si="70"/>
        <v>52532.639999999992</v>
      </c>
      <c r="F1099">
        <f t="shared" si="71"/>
        <v>2704</v>
      </c>
    </row>
    <row r="1100" spans="1:6" x14ac:dyDescent="0.3">
      <c r="A1100">
        <v>77</v>
      </c>
      <c r="B1100">
        <v>75.06</v>
      </c>
      <c r="C1100">
        <f t="shared" si="68"/>
        <v>5779.62</v>
      </c>
      <c r="D1100">
        <f t="shared" si="69"/>
        <v>5929</v>
      </c>
      <c r="E1100">
        <f t="shared" si="70"/>
        <v>5634.0036</v>
      </c>
      <c r="F1100">
        <f t="shared" si="71"/>
        <v>5929</v>
      </c>
    </row>
    <row r="1101" spans="1:6" x14ac:dyDescent="0.3">
      <c r="A1101">
        <v>34</v>
      </c>
      <c r="B1101">
        <v>85.57</v>
      </c>
      <c r="C1101">
        <f t="shared" si="68"/>
        <v>2909.3799999999997</v>
      </c>
      <c r="D1101">
        <f t="shared" si="69"/>
        <v>1156</v>
      </c>
      <c r="E1101">
        <f t="shared" si="70"/>
        <v>7322.2248999999993</v>
      </c>
      <c r="F1101">
        <f t="shared" si="71"/>
        <v>1156</v>
      </c>
    </row>
    <row r="1102" spans="1:6" x14ac:dyDescent="0.3">
      <c r="A1102">
        <v>67</v>
      </c>
      <c r="B1102">
        <v>68.61</v>
      </c>
      <c r="C1102">
        <f t="shared" si="68"/>
        <v>4596.87</v>
      </c>
      <c r="D1102">
        <f t="shared" si="69"/>
        <v>4489</v>
      </c>
      <c r="E1102">
        <f t="shared" si="70"/>
        <v>4707.3320999999996</v>
      </c>
      <c r="F1102">
        <f t="shared" si="71"/>
        <v>4489</v>
      </c>
    </row>
    <row r="1103" spans="1:6" x14ac:dyDescent="0.3">
      <c r="A1103">
        <v>1.64</v>
      </c>
      <c r="B1103">
        <v>56.3</v>
      </c>
      <c r="C1103">
        <f t="shared" si="68"/>
        <v>92.331999999999994</v>
      </c>
      <c r="D1103">
        <f t="shared" si="69"/>
        <v>2.6895999999999995</v>
      </c>
      <c r="E1103">
        <f t="shared" si="70"/>
        <v>3169.6899999999996</v>
      </c>
      <c r="F1103">
        <f t="shared" si="71"/>
        <v>2.6895999999999995</v>
      </c>
    </row>
    <row r="1104" spans="1:6" x14ac:dyDescent="0.3">
      <c r="A1104">
        <v>23</v>
      </c>
      <c r="B1104">
        <v>193.22</v>
      </c>
      <c r="C1104">
        <f t="shared" si="68"/>
        <v>4444.0600000000004</v>
      </c>
      <c r="D1104">
        <f t="shared" si="69"/>
        <v>529</v>
      </c>
      <c r="E1104">
        <f t="shared" si="70"/>
        <v>37333.968399999998</v>
      </c>
      <c r="F1104">
        <f t="shared" si="71"/>
        <v>529</v>
      </c>
    </row>
    <row r="1105" spans="1:6" x14ac:dyDescent="0.3">
      <c r="A1105">
        <v>59</v>
      </c>
      <c r="B1105">
        <v>65.98</v>
      </c>
      <c r="C1105">
        <f t="shared" si="68"/>
        <v>3892.82</v>
      </c>
      <c r="D1105">
        <f t="shared" si="69"/>
        <v>3481</v>
      </c>
      <c r="E1105">
        <f t="shared" si="70"/>
        <v>4353.3604000000005</v>
      </c>
      <c r="F1105">
        <f t="shared" si="71"/>
        <v>3481</v>
      </c>
    </row>
    <row r="1106" spans="1:6" x14ac:dyDescent="0.3">
      <c r="A1106">
        <v>62</v>
      </c>
      <c r="B1106">
        <v>204.57</v>
      </c>
      <c r="C1106">
        <f t="shared" si="68"/>
        <v>12683.34</v>
      </c>
      <c r="D1106">
        <f t="shared" si="69"/>
        <v>3844</v>
      </c>
      <c r="E1106">
        <f t="shared" si="70"/>
        <v>41848.884899999997</v>
      </c>
      <c r="F1106">
        <f t="shared" si="71"/>
        <v>3844</v>
      </c>
    </row>
    <row r="1107" spans="1:6" x14ac:dyDescent="0.3">
      <c r="A1107">
        <v>47</v>
      </c>
      <c r="B1107">
        <v>64.989999999999995</v>
      </c>
      <c r="C1107">
        <f t="shared" si="68"/>
        <v>3054.5299999999997</v>
      </c>
      <c r="D1107">
        <f t="shared" si="69"/>
        <v>2209</v>
      </c>
      <c r="E1107">
        <f t="shared" si="70"/>
        <v>4223.7000999999991</v>
      </c>
      <c r="F1107">
        <f t="shared" si="71"/>
        <v>2209</v>
      </c>
    </row>
    <row r="1108" spans="1:6" x14ac:dyDescent="0.3">
      <c r="A1108">
        <v>71</v>
      </c>
      <c r="B1108">
        <v>66.12</v>
      </c>
      <c r="C1108">
        <f t="shared" si="68"/>
        <v>4694.5200000000004</v>
      </c>
      <c r="D1108">
        <f t="shared" si="69"/>
        <v>5041</v>
      </c>
      <c r="E1108">
        <f t="shared" si="70"/>
        <v>4371.8544000000002</v>
      </c>
      <c r="F1108">
        <f t="shared" si="71"/>
        <v>5041</v>
      </c>
    </row>
    <row r="1109" spans="1:6" x14ac:dyDescent="0.3">
      <c r="A1109">
        <v>22</v>
      </c>
      <c r="B1109">
        <v>73.400000000000006</v>
      </c>
      <c r="C1109">
        <f t="shared" si="68"/>
        <v>1614.8000000000002</v>
      </c>
      <c r="D1109">
        <f t="shared" si="69"/>
        <v>484</v>
      </c>
      <c r="E1109">
        <f t="shared" si="70"/>
        <v>5387.56</v>
      </c>
      <c r="F1109">
        <f t="shared" si="71"/>
        <v>484</v>
      </c>
    </row>
    <row r="1110" spans="1:6" x14ac:dyDescent="0.3">
      <c r="A1110">
        <v>33</v>
      </c>
      <c r="B1110">
        <v>82.83</v>
      </c>
      <c r="C1110">
        <f t="shared" si="68"/>
        <v>2733.39</v>
      </c>
      <c r="D1110">
        <f t="shared" si="69"/>
        <v>1089</v>
      </c>
      <c r="E1110">
        <f t="shared" si="70"/>
        <v>6860.8089</v>
      </c>
      <c r="F1110">
        <f t="shared" si="71"/>
        <v>1089</v>
      </c>
    </row>
    <row r="1111" spans="1:6" x14ac:dyDescent="0.3">
      <c r="A1111">
        <v>27</v>
      </c>
      <c r="B1111">
        <v>93.55</v>
      </c>
      <c r="C1111">
        <f t="shared" si="68"/>
        <v>2525.85</v>
      </c>
      <c r="D1111">
        <f t="shared" si="69"/>
        <v>729</v>
      </c>
      <c r="E1111">
        <f t="shared" si="70"/>
        <v>8751.6024999999991</v>
      </c>
      <c r="F1111">
        <f t="shared" si="71"/>
        <v>729</v>
      </c>
    </row>
    <row r="1112" spans="1:6" x14ac:dyDescent="0.3">
      <c r="A1112">
        <v>44</v>
      </c>
      <c r="B1112">
        <v>90.4</v>
      </c>
      <c r="C1112">
        <f t="shared" si="68"/>
        <v>3977.6000000000004</v>
      </c>
      <c r="D1112">
        <f t="shared" si="69"/>
        <v>1936</v>
      </c>
      <c r="E1112">
        <f t="shared" si="70"/>
        <v>8172.1600000000008</v>
      </c>
      <c r="F1112">
        <f t="shared" si="71"/>
        <v>1936</v>
      </c>
    </row>
    <row r="1113" spans="1:6" x14ac:dyDescent="0.3">
      <c r="A1113">
        <v>18</v>
      </c>
      <c r="B1113">
        <v>98.1</v>
      </c>
      <c r="C1113">
        <f t="shared" si="68"/>
        <v>1765.8</v>
      </c>
      <c r="D1113">
        <f t="shared" si="69"/>
        <v>324</v>
      </c>
      <c r="E1113">
        <f t="shared" si="70"/>
        <v>9623.6099999999988</v>
      </c>
      <c r="F1113">
        <f t="shared" si="71"/>
        <v>324</v>
      </c>
    </row>
    <row r="1114" spans="1:6" x14ac:dyDescent="0.3">
      <c r="A1114">
        <v>47</v>
      </c>
      <c r="B1114">
        <v>142.02000000000001</v>
      </c>
      <c r="C1114">
        <f t="shared" si="68"/>
        <v>6674.9400000000005</v>
      </c>
      <c r="D1114">
        <f t="shared" si="69"/>
        <v>2209</v>
      </c>
      <c r="E1114">
        <f t="shared" si="70"/>
        <v>20169.680400000001</v>
      </c>
      <c r="F1114">
        <f t="shared" si="71"/>
        <v>2209</v>
      </c>
    </row>
    <row r="1115" spans="1:6" x14ac:dyDescent="0.3">
      <c r="A1115">
        <v>66</v>
      </c>
      <c r="B1115">
        <v>251.46</v>
      </c>
      <c r="C1115">
        <f t="shared" si="68"/>
        <v>16596.36</v>
      </c>
      <c r="D1115">
        <f t="shared" si="69"/>
        <v>4356</v>
      </c>
      <c r="E1115">
        <f t="shared" si="70"/>
        <v>63232.131600000001</v>
      </c>
      <c r="F1115">
        <f t="shared" si="71"/>
        <v>4356</v>
      </c>
    </row>
    <row r="1116" spans="1:6" x14ac:dyDescent="0.3">
      <c r="A1116">
        <v>42</v>
      </c>
      <c r="B1116">
        <v>89.96</v>
      </c>
      <c r="C1116">
        <f t="shared" si="68"/>
        <v>3778.3199999999997</v>
      </c>
      <c r="D1116">
        <f t="shared" si="69"/>
        <v>1764</v>
      </c>
      <c r="E1116">
        <f t="shared" si="70"/>
        <v>8092.8015999999989</v>
      </c>
      <c r="F1116">
        <f t="shared" si="71"/>
        <v>1764</v>
      </c>
    </row>
    <row r="1117" spans="1:6" x14ac:dyDescent="0.3">
      <c r="A1117">
        <v>13</v>
      </c>
      <c r="B1117">
        <v>71.73</v>
      </c>
      <c r="C1117">
        <f t="shared" si="68"/>
        <v>932.49</v>
      </c>
      <c r="D1117">
        <f t="shared" si="69"/>
        <v>169</v>
      </c>
      <c r="E1117">
        <f t="shared" si="70"/>
        <v>5145.1929000000009</v>
      </c>
      <c r="F1117">
        <f t="shared" si="71"/>
        <v>169</v>
      </c>
    </row>
    <row r="1118" spans="1:6" x14ac:dyDescent="0.3">
      <c r="A1118">
        <v>56</v>
      </c>
      <c r="B1118">
        <v>82.44</v>
      </c>
      <c r="C1118">
        <f t="shared" si="68"/>
        <v>4616.6399999999994</v>
      </c>
      <c r="D1118">
        <f t="shared" si="69"/>
        <v>3136</v>
      </c>
      <c r="E1118">
        <f t="shared" si="70"/>
        <v>6796.3535999999995</v>
      </c>
      <c r="F1118">
        <f t="shared" si="71"/>
        <v>3136</v>
      </c>
    </row>
    <row r="1119" spans="1:6" x14ac:dyDescent="0.3">
      <c r="A1119">
        <v>69</v>
      </c>
      <c r="B1119">
        <v>80.849999999999994</v>
      </c>
      <c r="C1119">
        <f t="shared" si="68"/>
        <v>5578.65</v>
      </c>
      <c r="D1119">
        <f t="shared" si="69"/>
        <v>4761</v>
      </c>
      <c r="E1119">
        <f t="shared" si="70"/>
        <v>6536.7224999999989</v>
      </c>
      <c r="F1119">
        <f t="shared" si="71"/>
        <v>4761</v>
      </c>
    </row>
    <row r="1120" spans="1:6" x14ac:dyDescent="0.3">
      <c r="A1120">
        <v>65</v>
      </c>
      <c r="B1120">
        <v>220.52</v>
      </c>
      <c r="C1120">
        <f t="shared" si="68"/>
        <v>14333.800000000001</v>
      </c>
      <c r="D1120">
        <f t="shared" si="69"/>
        <v>4225</v>
      </c>
      <c r="E1120">
        <f t="shared" si="70"/>
        <v>48629.070400000004</v>
      </c>
      <c r="F1120">
        <f t="shared" si="71"/>
        <v>4225</v>
      </c>
    </row>
    <row r="1121" spans="1:6" x14ac:dyDescent="0.3">
      <c r="A1121">
        <v>53</v>
      </c>
      <c r="B1121">
        <v>86.73</v>
      </c>
      <c r="C1121">
        <f t="shared" si="68"/>
        <v>4596.6900000000005</v>
      </c>
      <c r="D1121">
        <f t="shared" si="69"/>
        <v>2809</v>
      </c>
      <c r="E1121">
        <f t="shared" si="70"/>
        <v>7522.0929000000006</v>
      </c>
      <c r="F1121">
        <f t="shared" si="71"/>
        <v>2809</v>
      </c>
    </row>
    <row r="1122" spans="1:6" x14ac:dyDescent="0.3">
      <c r="A1122">
        <v>36</v>
      </c>
      <c r="B1122">
        <v>76.930000000000007</v>
      </c>
      <c r="C1122">
        <f t="shared" si="68"/>
        <v>2769.4800000000005</v>
      </c>
      <c r="D1122">
        <f t="shared" si="69"/>
        <v>1296</v>
      </c>
      <c r="E1122">
        <f t="shared" si="70"/>
        <v>5918.2249000000011</v>
      </c>
      <c r="F1122">
        <f t="shared" si="71"/>
        <v>1296</v>
      </c>
    </row>
    <row r="1123" spans="1:6" x14ac:dyDescent="0.3">
      <c r="A1123">
        <v>69</v>
      </c>
      <c r="B1123">
        <v>113.1</v>
      </c>
      <c r="C1123">
        <f t="shared" si="68"/>
        <v>7803.9</v>
      </c>
      <c r="D1123">
        <f t="shared" si="69"/>
        <v>4761</v>
      </c>
      <c r="E1123">
        <f t="shared" si="70"/>
        <v>12791.609999999999</v>
      </c>
      <c r="F1123">
        <f t="shared" si="71"/>
        <v>4761</v>
      </c>
    </row>
    <row r="1124" spans="1:6" x14ac:dyDescent="0.3">
      <c r="A1124">
        <v>19</v>
      </c>
      <c r="B1124">
        <v>96.84</v>
      </c>
      <c r="C1124">
        <f t="shared" si="68"/>
        <v>1839.96</v>
      </c>
      <c r="D1124">
        <f t="shared" si="69"/>
        <v>361</v>
      </c>
      <c r="E1124">
        <f t="shared" si="70"/>
        <v>9377.9856</v>
      </c>
      <c r="F1124">
        <f t="shared" si="71"/>
        <v>361</v>
      </c>
    </row>
    <row r="1125" spans="1:6" x14ac:dyDescent="0.3">
      <c r="A1125">
        <v>3</v>
      </c>
      <c r="B1125">
        <v>100.91</v>
      </c>
      <c r="C1125">
        <f t="shared" si="68"/>
        <v>302.73</v>
      </c>
      <c r="D1125">
        <f t="shared" si="69"/>
        <v>9</v>
      </c>
      <c r="E1125">
        <f t="shared" si="70"/>
        <v>10182.828099999999</v>
      </c>
      <c r="F1125">
        <f t="shared" si="71"/>
        <v>9</v>
      </c>
    </row>
    <row r="1126" spans="1:6" x14ac:dyDescent="0.3">
      <c r="A1126">
        <v>15</v>
      </c>
      <c r="B1126">
        <v>116.5</v>
      </c>
      <c r="C1126">
        <f t="shared" si="68"/>
        <v>1747.5</v>
      </c>
      <c r="D1126">
        <f t="shared" si="69"/>
        <v>225</v>
      </c>
      <c r="E1126">
        <f t="shared" si="70"/>
        <v>13572.25</v>
      </c>
      <c r="F1126">
        <f t="shared" si="71"/>
        <v>225</v>
      </c>
    </row>
    <row r="1127" spans="1:6" x14ac:dyDescent="0.3">
      <c r="A1127">
        <v>59</v>
      </c>
      <c r="B1127">
        <v>57.26</v>
      </c>
      <c r="C1127">
        <f t="shared" si="68"/>
        <v>3378.3399999999997</v>
      </c>
      <c r="D1127">
        <f t="shared" si="69"/>
        <v>3481</v>
      </c>
      <c r="E1127">
        <f t="shared" si="70"/>
        <v>3278.7075999999997</v>
      </c>
      <c r="F1127">
        <f t="shared" si="71"/>
        <v>3481</v>
      </c>
    </row>
    <row r="1128" spans="1:6" x14ac:dyDescent="0.3">
      <c r="A1128">
        <v>61</v>
      </c>
      <c r="B1128">
        <v>129.31</v>
      </c>
      <c r="C1128">
        <f t="shared" si="68"/>
        <v>7887.91</v>
      </c>
      <c r="D1128">
        <f t="shared" si="69"/>
        <v>3721</v>
      </c>
      <c r="E1128">
        <f t="shared" si="70"/>
        <v>16721.076100000002</v>
      </c>
      <c r="F1128">
        <f t="shared" si="71"/>
        <v>3721</v>
      </c>
    </row>
    <row r="1129" spans="1:6" x14ac:dyDescent="0.3">
      <c r="A1129">
        <v>28</v>
      </c>
      <c r="B1129">
        <v>56.47</v>
      </c>
      <c r="C1129">
        <f t="shared" si="68"/>
        <v>1581.1599999999999</v>
      </c>
      <c r="D1129">
        <f t="shared" si="69"/>
        <v>784</v>
      </c>
      <c r="E1129">
        <f t="shared" si="70"/>
        <v>3188.8608999999997</v>
      </c>
      <c r="F1129">
        <f t="shared" si="71"/>
        <v>784</v>
      </c>
    </row>
    <row r="1130" spans="1:6" x14ac:dyDescent="0.3">
      <c r="A1130">
        <v>52</v>
      </c>
      <c r="B1130">
        <v>86.06</v>
      </c>
      <c r="C1130">
        <f t="shared" si="68"/>
        <v>4475.12</v>
      </c>
      <c r="D1130">
        <f t="shared" si="69"/>
        <v>2704</v>
      </c>
      <c r="E1130">
        <f t="shared" si="70"/>
        <v>7406.3236000000006</v>
      </c>
      <c r="F1130">
        <f t="shared" si="71"/>
        <v>2704</v>
      </c>
    </row>
    <row r="1131" spans="1:6" x14ac:dyDescent="0.3">
      <c r="A1131">
        <v>33</v>
      </c>
      <c r="B1131">
        <v>86.97</v>
      </c>
      <c r="C1131">
        <f t="shared" si="68"/>
        <v>2870.0099999999998</v>
      </c>
      <c r="D1131">
        <f t="shared" si="69"/>
        <v>1089</v>
      </c>
      <c r="E1131">
        <f t="shared" si="70"/>
        <v>7563.7808999999997</v>
      </c>
      <c r="F1131">
        <f t="shared" si="71"/>
        <v>1089</v>
      </c>
    </row>
    <row r="1132" spans="1:6" x14ac:dyDescent="0.3">
      <c r="A1132">
        <v>80</v>
      </c>
      <c r="B1132">
        <v>78.78</v>
      </c>
      <c r="C1132">
        <f t="shared" si="68"/>
        <v>6302.4</v>
      </c>
      <c r="D1132">
        <f t="shared" si="69"/>
        <v>6400</v>
      </c>
      <c r="E1132">
        <f t="shared" si="70"/>
        <v>6206.2884000000004</v>
      </c>
      <c r="F1132">
        <f t="shared" si="71"/>
        <v>6400</v>
      </c>
    </row>
    <row r="1133" spans="1:6" x14ac:dyDescent="0.3">
      <c r="A1133">
        <v>47</v>
      </c>
      <c r="B1133">
        <v>195.04</v>
      </c>
      <c r="C1133">
        <f t="shared" si="68"/>
        <v>9166.8799999999992</v>
      </c>
      <c r="D1133">
        <f t="shared" si="69"/>
        <v>2209</v>
      </c>
      <c r="E1133">
        <f t="shared" si="70"/>
        <v>38040.601599999995</v>
      </c>
      <c r="F1133">
        <f t="shared" si="71"/>
        <v>2209</v>
      </c>
    </row>
    <row r="1134" spans="1:6" x14ac:dyDescent="0.3">
      <c r="A1134">
        <v>2</v>
      </c>
      <c r="B1134">
        <v>103.25</v>
      </c>
      <c r="C1134">
        <f t="shared" si="68"/>
        <v>206.5</v>
      </c>
      <c r="D1134">
        <f t="shared" si="69"/>
        <v>4</v>
      </c>
      <c r="E1134">
        <f t="shared" si="70"/>
        <v>10660.5625</v>
      </c>
      <c r="F1134">
        <f t="shared" si="71"/>
        <v>4</v>
      </c>
    </row>
    <row r="1135" spans="1:6" x14ac:dyDescent="0.3">
      <c r="A1135">
        <v>48</v>
      </c>
      <c r="B1135">
        <v>134.59</v>
      </c>
      <c r="C1135">
        <f t="shared" si="68"/>
        <v>6460.32</v>
      </c>
      <c r="D1135">
        <f t="shared" si="69"/>
        <v>2304</v>
      </c>
      <c r="E1135">
        <f t="shared" si="70"/>
        <v>18114.468100000002</v>
      </c>
      <c r="F1135">
        <f t="shared" si="71"/>
        <v>2304</v>
      </c>
    </row>
    <row r="1136" spans="1:6" x14ac:dyDescent="0.3">
      <c r="A1136">
        <v>1.56</v>
      </c>
      <c r="B1136">
        <v>93.74</v>
      </c>
      <c r="C1136">
        <f t="shared" si="68"/>
        <v>146.23439999999999</v>
      </c>
      <c r="D1136">
        <f t="shared" si="69"/>
        <v>2.4336000000000002</v>
      </c>
      <c r="E1136">
        <f t="shared" si="70"/>
        <v>8787.1875999999993</v>
      </c>
      <c r="F1136">
        <f t="shared" si="71"/>
        <v>2.4336000000000002</v>
      </c>
    </row>
    <row r="1137" spans="1:6" x14ac:dyDescent="0.3">
      <c r="A1137">
        <v>26</v>
      </c>
      <c r="B1137">
        <v>90.66</v>
      </c>
      <c r="C1137">
        <f t="shared" si="68"/>
        <v>2357.16</v>
      </c>
      <c r="D1137">
        <f t="shared" si="69"/>
        <v>676</v>
      </c>
      <c r="E1137">
        <f t="shared" si="70"/>
        <v>8219.2356</v>
      </c>
      <c r="F1137">
        <f t="shared" si="71"/>
        <v>676</v>
      </c>
    </row>
    <row r="1138" spans="1:6" x14ac:dyDescent="0.3">
      <c r="A1138">
        <v>62</v>
      </c>
      <c r="B1138">
        <v>91.68</v>
      </c>
      <c r="C1138">
        <f t="shared" si="68"/>
        <v>5684.1600000000008</v>
      </c>
      <c r="D1138">
        <f t="shared" si="69"/>
        <v>3844</v>
      </c>
      <c r="E1138">
        <f t="shared" si="70"/>
        <v>8405.2224000000006</v>
      </c>
      <c r="F1138">
        <f t="shared" si="71"/>
        <v>3844</v>
      </c>
    </row>
    <row r="1139" spans="1:6" x14ac:dyDescent="0.3">
      <c r="A1139">
        <v>1.72</v>
      </c>
      <c r="B1139">
        <v>75.790000000000006</v>
      </c>
      <c r="C1139">
        <f t="shared" si="68"/>
        <v>130.3588</v>
      </c>
      <c r="D1139">
        <f t="shared" si="69"/>
        <v>2.9583999999999997</v>
      </c>
      <c r="E1139">
        <f t="shared" si="70"/>
        <v>5744.1241000000009</v>
      </c>
      <c r="F1139">
        <f t="shared" si="71"/>
        <v>2.9583999999999997</v>
      </c>
    </row>
    <row r="1140" spans="1:6" x14ac:dyDescent="0.3">
      <c r="A1140">
        <v>38</v>
      </c>
      <c r="B1140">
        <v>91.68</v>
      </c>
      <c r="C1140">
        <f t="shared" si="68"/>
        <v>3483.84</v>
      </c>
      <c r="D1140">
        <f t="shared" si="69"/>
        <v>1444</v>
      </c>
      <c r="E1140">
        <f t="shared" si="70"/>
        <v>8405.2224000000006</v>
      </c>
      <c r="F1140">
        <f t="shared" si="71"/>
        <v>1444</v>
      </c>
    </row>
    <row r="1141" spans="1:6" x14ac:dyDescent="0.3">
      <c r="A1141">
        <v>28</v>
      </c>
      <c r="B1141">
        <v>106.68</v>
      </c>
      <c r="C1141">
        <f t="shared" si="68"/>
        <v>2987.04</v>
      </c>
      <c r="D1141">
        <f t="shared" si="69"/>
        <v>784</v>
      </c>
      <c r="E1141">
        <f t="shared" si="70"/>
        <v>11380.622400000002</v>
      </c>
      <c r="F1141">
        <f t="shared" si="71"/>
        <v>784</v>
      </c>
    </row>
    <row r="1142" spans="1:6" x14ac:dyDescent="0.3">
      <c r="A1142">
        <v>67</v>
      </c>
      <c r="B1142">
        <v>82.31</v>
      </c>
      <c r="C1142">
        <f t="shared" si="68"/>
        <v>5514.77</v>
      </c>
      <c r="D1142">
        <f t="shared" si="69"/>
        <v>4489</v>
      </c>
      <c r="E1142">
        <f t="shared" si="70"/>
        <v>6774.9361000000008</v>
      </c>
      <c r="F1142">
        <f t="shared" si="71"/>
        <v>4489</v>
      </c>
    </row>
    <row r="1143" spans="1:6" x14ac:dyDescent="0.3">
      <c r="A1143">
        <v>57</v>
      </c>
      <c r="B1143">
        <v>90.06</v>
      </c>
      <c r="C1143">
        <f t="shared" si="68"/>
        <v>5133.42</v>
      </c>
      <c r="D1143">
        <f t="shared" si="69"/>
        <v>3249</v>
      </c>
      <c r="E1143">
        <f t="shared" si="70"/>
        <v>8110.8036000000002</v>
      </c>
      <c r="F1143">
        <f t="shared" si="71"/>
        <v>3249</v>
      </c>
    </row>
    <row r="1144" spans="1:6" x14ac:dyDescent="0.3">
      <c r="A1144">
        <v>40</v>
      </c>
      <c r="B1144">
        <v>65.47</v>
      </c>
      <c r="C1144">
        <f t="shared" si="68"/>
        <v>2618.8000000000002</v>
      </c>
      <c r="D1144">
        <f t="shared" si="69"/>
        <v>1600</v>
      </c>
      <c r="E1144">
        <f t="shared" si="70"/>
        <v>4286.3208999999997</v>
      </c>
      <c r="F1144">
        <f t="shared" si="71"/>
        <v>1600</v>
      </c>
    </row>
    <row r="1145" spans="1:6" x14ac:dyDescent="0.3">
      <c r="A1145">
        <v>10</v>
      </c>
      <c r="B1145">
        <v>58.03</v>
      </c>
      <c r="C1145">
        <f t="shared" si="68"/>
        <v>580.29999999999995</v>
      </c>
      <c r="D1145">
        <f t="shared" si="69"/>
        <v>100</v>
      </c>
      <c r="E1145">
        <f t="shared" si="70"/>
        <v>3367.4809</v>
      </c>
      <c r="F1145">
        <f t="shared" si="71"/>
        <v>100</v>
      </c>
    </row>
    <row r="1146" spans="1:6" x14ac:dyDescent="0.3">
      <c r="A1146">
        <v>55</v>
      </c>
      <c r="B1146">
        <v>83.09</v>
      </c>
      <c r="C1146">
        <f t="shared" si="68"/>
        <v>4569.95</v>
      </c>
      <c r="D1146">
        <f t="shared" si="69"/>
        <v>3025</v>
      </c>
      <c r="E1146">
        <f t="shared" si="70"/>
        <v>6903.9481000000005</v>
      </c>
      <c r="F1146">
        <f t="shared" si="71"/>
        <v>3025</v>
      </c>
    </row>
    <row r="1147" spans="1:6" x14ac:dyDescent="0.3">
      <c r="A1147">
        <v>7</v>
      </c>
      <c r="B1147">
        <v>88.6</v>
      </c>
      <c r="C1147">
        <f t="shared" si="68"/>
        <v>620.19999999999993</v>
      </c>
      <c r="D1147">
        <f t="shared" si="69"/>
        <v>49</v>
      </c>
      <c r="E1147">
        <f t="shared" si="70"/>
        <v>7849.9599999999991</v>
      </c>
      <c r="F1147">
        <f t="shared" si="71"/>
        <v>49</v>
      </c>
    </row>
    <row r="1148" spans="1:6" x14ac:dyDescent="0.3">
      <c r="A1148">
        <v>56</v>
      </c>
      <c r="B1148">
        <v>63.18</v>
      </c>
      <c r="C1148">
        <f t="shared" si="68"/>
        <v>3538.08</v>
      </c>
      <c r="D1148">
        <f t="shared" si="69"/>
        <v>3136</v>
      </c>
      <c r="E1148">
        <f t="shared" si="70"/>
        <v>3991.7123999999999</v>
      </c>
      <c r="F1148">
        <f t="shared" si="71"/>
        <v>3136</v>
      </c>
    </row>
    <row r="1149" spans="1:6" x14ac:dyDescent="0.3">
      <c r="A1149">
        <v>37</v>
      </c>
      <c r="B1149">
        <v>78.42</v>
      </c>
      <c r="C1149">
        <f t="shared" si="68"/>
        <v>2901.54</v>
      </c>
      <c r="D1149">
        <f t="shared" si="69"/>
        <v>1369</v>
      </c>
      <c r="E1149">
        <f t="shared" si="70"/>
        <v>6149.6964000000007</v>
      </c>
      <c r="F1149">
        <f t="shared" si="71"/>
        <v>1369</v>
      </c>
    </row>
    <row r="1150" spans="1:6" x14ac:dyDescent="0.3">
      <c r="A1150">
        <v>69</v>
      </c>
      <c r="B1150">
        <v>65.08</v>
      </c>
      <c r="C1150">
        <f t="shared" si="68"/>
        <v>4490.5199999999995</v>
      </c>
      <c r="D1150">
        <f t="shared" si="69"/>
        <v>4761</v>
      </c>
      <c r="E1150">
        <f t="shared" si="70"/>
        <v>4235.4063999999998</v>
      </c>
      <c r="F1150">
        <f t="shared" si="71"/>
        <v>4761</v>
      </c>
    </row>
    <row r="1151" spans="1:6" x14ac:dyDescent="0.3">
      <c r="A1151">
        <v>45</v>
      </c>
      <c r="B1151">
        <v>79.47</v>
      </c>
      <c r="C1151">
        <f t="shared" si="68"/>
        <v>3576.15</v>
      </c>
      <c r="D1151">
        <f t="shared" si="69"/>
        <v>2025</v>
      </c>
      <c r="E1151">
        <f t="shared" si="70"/>
        <v>6315.4808999999996</v>
      </c>
      <c r="F1151">
        <f t="shared" si="71"/>
        <v>2025</v>
      </c>
    </row>
    <row r="1152" spans="1:6" x14ac:dyDescent="0.3">
      <c r="A1152">
        <v>28</v>
      </c>
      <c r="B1152">
        <v>95.52</v>
      </c>
      <c r="C1152">
        <f t="shared" si="68"/>
        <v>2674.56</v>
      </c>
      <c r="D1152">
        <f t="shared" si="69"/>
        <v>784</v>
      </c>
      <c r="E1152">
        <f t="shared" si="70"/>
        <v>9124.0703999999987</v>
      </c>
      <c r="F1152">
        <f t="shared" si="71"/>
        <v>784</v>
      </c>
    </row>
    <row r="1153" spans="1:6" x14ac:dyDescent="0.3">
      <c r="A1153">
        <v>52</v>
      </c>
      <c r="B1153">
        <v>73</v>
      </c>
      <c r="C1153">
        <f t="shared" si="68"/>
        <v>3796</v>
      </c>
      <c r="D1153">
        <f t="shared" si="69"/>
        <v>2704</v>
      </c>
      <c r="E1153">
        <f t="shared" si="70"/>
        <v>5329</v>
      </c>
      <c r="F1153">
        <f t="shared" si="71"/>
        <v>2704</v>
      </c>
    </row>
    <row r="1154" spans="1:6" x14ac:dyDescent="0.3">
      <c r="A1154">
        <v>46</v>
      </c>
      <c r="B1154">
        <v>138.07</v>
      </c>
      <c r="C1154">
        <f t="shared" si="68"/>
        <v>6351.2199999999993</v>
      </c>
      <c r="D1154">
        <f t="shared" si="69"/>
        <v>2116</v>
      </c>
      <c r="E1154">
        <f t="shared" si="70"/>
        <v>19063.3249</v>
      </c>
      <c r="F1154">
        <f t="shared" si="71"/>
        <v>2116</v>
      </c>
    </row>
    <row r="1155" spans="1:6" x14ac:dyDescent="0.3">
      <c r="A1155">
        <v>45</v>
      </c>
      <c r="B1155">
        <v>86.99</v>
      </c>
      <c r="C1155">
        <f t="shared" ref="C1155:C1218" si="72">A1155*B1155</f>
        <v>3914.5499999999997</v>
      </c>
      <c r="D1155">
        <f t="shared" ref="D1155:D1218" si="73">A1155*A1155</f>
        <v>2025</v>
      </c>
      <c r="E1155">
        <f t="shared" ref="E1155:E1218" si="74">B1155*B1155</f>
        <v>7567.2600999999995</v>
      </c>
      <c r="F1155">
        <f t="shared" ref="F1155:F1218" si="75">A1155^2</f>
        <v>2025</v>
      </c>
    </row>
    <row r="1156" spans="1:6" x14ac:dyDescent="0.3">
      <c r="A1156">
        <v>21</v>
      </c>
      <c r="B1156">
        <v>112.07</v>
      </c>
      <c r="C1156">
        <f t="shared" si="72"/>
        <v>2353.4699999999998</v>
      </c>
      <c r="D1156">
        <f t="shared" si="73"/>
        <v>441</v>
      </c>
      <c r="E1156">
        <f t="shared" si="74"/>
        <v>12559.684899999998</v>
      </c>
      <c r="F1156">
        <f t="shared" si="75"/>
        <v>441</v>
      </c>
    </row>
    <row r="1157" spans="1:6" x14ac:dyDescent="0.3">
      <c r="A1157">
        <v>4</v>
      </c>
      <c r="B1157">
        <v>105.76</v>
      </c>
      <c r="C1157">
        <f t="shared" si="72"/>
        <v>423.04</v>
      </c>
      <c r="D1157">
        <f t="shared" si="73"/>
        <v>16</v>
      </c>
      <c r="E1157">
        <f t="shared" si="74"/>
        <v>11185.177600000001</v>
      </c>
      <c r="F1157">
        <f t="shared" si="75"/>
        <v>16</v>
      </c>
    </row>
    <row r="1158" spans="1:6" x14ac:dyDescent="0.3">
      <c r="A1158">
        <v>45</v>
      </c>
      <c r="B1158">
        <v>55.67</v>
      </c>
      <c r="C1158">
        <f t="shared" si="72"/>
        <v>2505.15</v>
      </c>
      <c r="D1158">
        <f t="shared" si="73"/>
        <v>2025</v>
      </c>
      <c r="E1158">
        <f t="shared" si="74"/>
        <v>3099.1489000000001</v>
      </c>
      <c r="F1158">
        <f t="shared" si="75"/>
        <v>2025</v>
      </c>
    </row>
    <row r="1159" spans="1:6" x14ac:dyDescent="0.3">
      <c r="A1159">
        <v>71</v>
      </c>
      <c r="B1159">
        <v>90.55</v>
      </c>
      <c r="C1159">
        <f t="shared" si="72"/>
        <v>6429.05</v>
      </c>
      <c r="D1159">
        <f t="shared" si="73"/>
        <v>5041</v>
      </c>
      <c r="E1159">
        <f t="shared" si="74"/>
        <v>8199.3024999999998</v>
      </c>
      <c r="F1159">
        <f t="shared" si="75"/>
        <v>5041</v>
      </c>
    </row>
    <row r="1160" spans="1:6" x14ac:dyDescent="0.3">
      <c r="A1160">
        <v>46</v>
      </c>
      <c r="B1160">
        <v>218.65</v>
      </c>
      <c r="C1160">
        <f t="shared" si="72"/>
        <v>10057.9</v>
      </c>
      <c r="D1160">
        <f t="shared" si="73"/>
        <v>2116</v>
      </c>
      <c r="E1160">
        <f t="shared" si="74"/>
        <v>47807.822500000002</v>
      </c>
      <c r="F1160">
        <f t="shared" si="75"/>
        <v>2116</v>
      </c>
    </row>
    <row r="1161" spans="1:6" x14ac:dyDescent="0.3">
      <c r="A1161">
        <v>3</v>
      </c>
      <c r="B1161">
        <v>111.21</v>
      </c>
      <c r="C1161">
        <f t="shared" si="72"/>
        <v>333.63</v>
      </c>
      <c r="D1161">
        <f t="shared" si="73"/>
        <v>9</v>
      </c>
      <c r="E1161">
        <f t="shared" si="74"/>
        <v>12367.664099999998</v>
      </c>
      <c r="F1161">
        <f t="shared" si="75"/>
        <v>9</v>
      </c>
    </row>
    <row r="1162" spans="1:6" x14ac:dyDescent="0.3">
      <c r="A1162">
        <v>79</v>
      </c>
      <c r="B1162">
        <v>83.56</v>
      </c>
      <c r="C1162">
        <f t="shared" si="72"/>
        <v>6601.24</v>
      </c>
      <c r="D1162">
        <f t="shared" si="73"/>
        <v>6241</v>
      </c>
      <c r="E1162">
        <f t="shared" si="74"/>
        <v>6982.2736000000004</v>
      </c>
      <c r="F1162">
        <f t="shared" si="75"/>
        <v>6241</v>
      </c>
    </row>
    <row r="1163" spans="1:6" x14ac:dyDescent="0.3">
      <c r="A1163">
        <v>71</v>
      </c>
      <c r="B1163">
        <v>116.76</v>
      </c>
      <c r="C1163">
        <f t="shared" si="72"/>
        <v>8289.9600000000009</v>
      </c>
      <c r="D1163">
        <f t="shared" si="73"/>
        <v>5041</v>
      </c>
      <c r="E1163">
        <f t="shared" si="74"/>
        <v>13632.897600000002</v>
      </c>
      <c r="F1163">
        <f t="shared" si="75"/>
        <v>5041</v>
      </c>
    </row>
    <row r="1164" spans="1:6" x14ac:dyDescent="0.3">
      <c r="A1164">
        <v>74</v>
      </c>
      <c r="B1164">
        <v>83.5</v>
      </c>
      <c r="C1164">
        <f t="shared" si="72"/>
        <v>6179</v>
      </c>
      <c r="D1164">
        <f t="shared" si="73"/>
        <v>5476</v>
      </c>
      <c r="E1164">
        <f t="shared" si="74"/>
        <v>6972.25</v>
      </c>
      <c r="F1164">
        <f t="shared" si="75"/>
        <v>5476</v>
      </c>
    </row>
    <row r="1165" spans="1:6" x14ac:dyDescent="0.3">
      <c r="A1165">
        <v>52</v>
      </c>
      <c r="B1165">
        <v>69.3</v>
      </c>
      <c r="C1165">
        <f t="shared" si="72"/>
        <v>3603.6</v>
      </c>
      <c r="D1165">
        <f t="shared" si="73"/>
        <v>2704</v>
      </c>
      <c r="E1165">
        <f t="shared" si="74"/>
        <v>4802.49</v>
      </c>
      <c r="F1165">
        <f t="shared" si="75"/>
        <v>2704</v>
      </c>
    </row>
    <row r="1166" spans="1:6" x14ac:dyDescent="0.3">
      <c r="A1166">
        <v>49</v>
      </c>
      <c r="B1166">
        <v>67.55</v>
      </c>
      <c r="C1166">
        <f t="shared" si="72"/>
        <v>3309.95</v>
      </c>
      <c r="D1166">
        <f t="shared" si="73"/>
        <v>2401</v>
      </c>
      <c r="E1166">
        <f t="shared" si="74"/>
        <v>4563.0024999999996</v>
      </c>
      <c r="F1166">
        <f t="shared" si="75"/>
        <v>2401</v>
      </c>
    </row>
    <row r="1167" spans="1:6" x14ac:dyDescent="0.3">
      <c r="A1167">
        <v>32</v>
      </c>
      <c r="B1167">
        <v>80.28</v>
      </c>
      <c r="C1167">
        <f t="shared" si="72"/>
        <v>2568.96</v>
      </c>
      <c r="D1167">
        <f t="shared" si="73"/>
        <v>1024</v>
      </c>
      <c r="E1167">
        <f t="shared" si="74"/>
        <v>6444.8784000000005</v>
      </c>
      <c r="F1167">
        <f t="shared" si="75"/>
        <v>1024</v>
      </c>
    </row>
    <row r="1168" spans="1:6" x14ac:dyDescent="0.3">
      <c r="A1168">
        <v>62</v>
      </c>
      <c r="B1168">
        <v>211.49</v>
      </c>
      <c r="C1168">
        <f t="shared" si="72"/>
        <v>13112.380000000001</v>
      </c>
      <c r="D1168">
        <f t="shared" si="73"/>
        <v>3844</v>
      </c>
      <c r="E1168">
        <f t="shared" si="74"/>
        <v>44728.020100000002</v>
      </c>
      <c r="F1168">
        <f t="shared" si="75"/>
        <v>3844</v>
      </c>
    </row>
    <row r="1169" spans="1:6" x14ac:dyDescent="0.3">
      <c r="A1169">
        <v>78</v>
      </c>
      <c r="B1169">
        <v>67.959999999999994</v>
      </c>
      <c r="C1169">
        <f t="shared" si="72"/>
        <v>5300.8799999999992</v>
      </c>
      <c r="D1169">
        <f t="shared" si="73"/>
        <v>6084</v>
      </c>
      <c r="E1169">
        <f t="shared" si="74"/>
        <v>4618.5615999999991</v>
      </c>
      <c r="F1169">
        <f t="shared" si="75"/>
        <v>6084</v>
      </c>
    </row>
    <row r="1170" spans="1:6" x14ac:dyDescent="0.3">
      <c r="A1170">
        <v>48</v>
      </c>
      <c r="B1170">
        <v>99.29</v>
      </c>
      <c r="C1170">
        <f t="shared" si="72"/>
        <v>4765.92</v>
      </c>
      <c r="D1170">
        <f t="shared" si="73"/>
        <v>2304</v>
      </c>
      <c r="E1170">
        <f t="shared" si="74"/>
        <v>9858.5041000000019</v>
      </c>
      <c r="F1170">
        <f t="shared" si="75"/>
        <v>2304</v>
      </c>
    </row>
    <row r="1171" spans="1:6" x14ac:dyDescent="0.3">
      <c r="A1171">
        <v>18</v>
      </c>
      <c r="B1171">
        <v>140.52000000000001</v>
      </c>
      <c r="C1171">
        <f t="shared" si="72"/>
        <v>2529.36</v>
      </c>
      <c r="D1171">
        <f t="shared" si="73"/>
        <v>324</v>
      </c>
      <c r="E1171">
        <f t="shared" si="74"/>
        <v>19745.870400000003</v>
      </c>
      <c r="F1171">
        <f t="shared" si="75"/>
        <v>324</v>
      </c>
    </row>
    <row r="1172" spans="1:6" x14ac:dyDescent="0.3">
      <c r="A1172">
        <v>80</v>
      </c>
      <c r="B1172">
        <v>75.62</v>
      </c>
      <c r="C1172">
        <f t="shared" si="72"/>
        <v>6049.6</v>
      </c>
      <c r="D1172">
        <f t="shared" si="73"/>
        <v>6400</v>
      </c>
      <c r="E1172">
        <f t="shared" si="74"/>
        <v>5718.3844000000008</v>
      </c>
      <c r="F1172">
        <f t="shared" si="75"/>
        <v>6400</v>
      </c>
    </row>
    <row r="1173" spans="1:6" x14ac:dyDescent="0.3">
      <c r="A1173">
        <v>34</v>
      </c>
      <c r="B1173">
        <v>120.06</v>
      </c>
      <c r="C1173">
        <f t="shared" si="72"/>
        <v>4082.04</v>
      </c>
      <c r="D1173">
        <f t="shared" si="73"/>
        <v>1156</v>
      </c>
      <c r="E1173">
        <f t="shared" si="74"/>
        <v>14414.4036</v>
      </c>
      <c r="F1173">
        <f t="shared" si="75"/>
        <v>1156</v>
      </c>
    </row>
    <row r="1174" spans="1:6" x14ac:dyDescent="0.3">
      <c r="A1174">
        <v>40</v>
      </c>
      <c r="B1174">
        <v>117.45</v>
      </c>
      <c r="C1174">
        <f t="shared" si="72"/>
        <v>4698</v>
      </c>
      <c r="D1174">
        <f t="shared" si="73"/>
        <v>1600</v>
      </c>
      <c r="E1174">
        <f t="shared" si="74"/>
        <v>13794.502500000001</v>
      </c>
      <c r="F1174">
        <f t="shared" si="75"/>
        <v>1600</v>
      </c>
    </row>
    <row r="1175" spans="1:6" x14ac:dyDescent="0.3">
      <c r="A1175">
        <v>59</v>
      </c>
      <c r="B1175">
        <v>224.71</v>
      </c>
      <c r="C1175">
        <f t="shared" si="72"/>
        <v>13257.890000000001</v>
      </c>
      <c r="D1175">
        <f t="shared" si="73"/>
        <v>3481</v>
      </c>
      <c r="E1175">
        <f t="shared" si="74"/>
        <v>50494.5841</v>
      </c>
      <c r="F1175">
        <f t="shared" si="75"/>
        <v>3481</v>
      </c>
    </row>
    <row r="1176" spans="1:6" x14ac:dyDescent="0.3">
      <c r="A1176">
        <v>11</v>
      </c>
      <c r="B1176">
        <v>122.75</v>
      </c>
      <c r="C1176">
        <f t="shared" si="72"/>
        <v>1350.25</v>
      </c>
      <c r="D1176">
        <f t="shared" si="73"/>
        <v>121</v>
      </c>
      <c r="E1176">
        <f t="shared" si="74"/>
        <v>15067.5625</v>
      </c>
      <c r="F1176">
        <f t="shared" si="75"/>
        <v>121</v>
      </c>
    </row>
    <row r="1177" spans="1:6" x14ac:dyDescent="0.3">
      <c r="A1177">
        <v>35</v>
      </c>
      <c r="B1177">
        <v>82.39</v>
      </c>
      <c r="C1177">
        <f t="shared" si="72"/>
        <v>2883.65</v>
      </c>
      <c r="D1177">
        <f t="shared" si="73"/>
        <v>1225</v>
      </c>
      <c r="E1177">
        <f t="shared" si="74"/>
        <v>6788.1121000000003</v>
      </c>
      <c r="F1177">
        <f t="shared" si="75"/>
        <v>1225</v>
      </c>
    </row>
    <row r="1178" spans="1:6" x14ac:dyDescent="0.3">
      <c r="A1178">
        <v>29</v>
      </c>
      <c r="B1178">
        <v>57.02</v>
      </c>
      <c r="C1178">
        <f t="shared" si="72"/>
        <v>1653.5800000000002</v>
      </c>
      <c r="D1178">
        <f t="shared" si="73"/>
        <v>841</v>
      </c>
      <c r="E1178">
        <f t="shared" si="74"/>
        <v>3251.2804000000006</v>
      </c>
      <c r="F1178">
        <f t="shared" si="75"/>
        <v>841</v>
      </c>
    </row>
    <row r="1179" spans="1:6" x14ac:dyDescent="0.3">
      <c r="A1179">
        <v>23</v>
      </c>
      <c r="B1179">
        <v>115.98</v>
      </c>
      <c r="C1179">
        <f t="shared" si="72"/>
        <v>2667.54</v>
      </c>
      <c r="D1179">
        <f t="shared" si="73"/>
        <v>529</v>
      </c>
      <c r="E1179">
        <f t="shared" si="74"/>
        <v>13451.360400000001</v>
      </c>
      <c r="F1179">
        <f t="shared" si="75"/>
        <v>529</v>
      </c>
    </row>
    <row r="1180" spans="1:6" x14ac:dyDescent="0.3">
      <c r="A1180">
        <v>59</v>
      </c>
      <c r="B1180">
        <v>226.11</v>
      </c>
      <c r="C1180">
        <f t="shared" si="72"/>
        <v>13340.490000000002</v>
      </c>
      <c r="D1180">
        <f t="shared" si="73"/>
        <v>3481</v>
      </c>
      <c r="E1180">
        <f t="shared" si="74"/>
        <v>51125.732100000008</v>
      </c>
      <c r="F1180">
        <f t="shared" si="75"/>
        <v>3481</v>
      </c>
    </row>
    <row r="1181" spans="1:6" x14ac:dyDescent="0.3">
      <c r="A1181">
        <v>44</v>
      </c>
      <c r="B1181">
        <v>97.59</v>
      </c>
      <c r="C1181">
        <f t="shared" si="72"/>
        <v>4293.96</v>
      </c>
      <c r="D1181">
        <f t="shared" si="73"/>
        <v>1936</v>
      </c>
      <c r="E1181">
        <f t="shared" si="74"/>
        <v>9523.8081000000002</v>
      </c>
      <c r="F1181">
        <f t="shared" si="75"/>
        <v>1936</v>
      </c>
    </row>
    <row r="1182" spans="1:6" x14ac:dyDescent="0.3">
      <c r="A1182">
        <v>62</v>
      </c>
      <c r="B1182">
        <v>82.57</v>
      </c>
      <c r="C1182">
        <f t="shared" si="72"/>
        <v>5119.3399999999992</v>
      </c>
      <c r="D1182">
        <f t="shared" si="73"/>
        <v>3844</v>
      </c>
      <c r="E1182">
        <f t="shared" si="74"/>
        <v>6817.8048999999992</v>
      </c>
      <c r="F1182">
        <f t="shared" si="75"/>
        <v>3844</v>
      </c>
    </row>
    <row r="1183" spans="1:6" x14ac:dyDescent="0.3">
      <c r="A1183">
        <v>32</v>
      </c>
      <c r="B1183">
        <v>79.34</v>
      </c>
      <c r="C1183">
        <f t="shared" si="72"/>
        <v>2538.88</v>
      </c>
      <c r="D1183">
        <f t="shared" si="73"/>
        <v>1024</v>
      </c>
      <c r="E1183">
        <f t="shared" si="74"/>
        <v>6294.8356000000003</v>
      </c>
      <c r="F1183">
        <f t="shared" si="75"/>
        <v>1024</v>
      </c>
    </row>
    <row r="1184" spans="1:6" x14ac:dyDescent="0.3">
      <c r="A1184">
        <v>2</v>
      </c>
      <c r="B1184">
        <v>125.68</v>
      </c>
      <c r="C1184">
        <f t="shared" si="72"/>
        <v>251.36</v>
      </c>
      <c r="D1184">
        <f t="shared" si="73"/>
        <v>4</v>
      </c>
      <c r="E1184">
        <f t="shared" si="74"/>
        <v>15795.462400000002</v>
      </c>
      <c r="F1184">
        <f t="shared" si="75"/>
        <v>4</v>
      </c>
    </row>
    <row r="1185" spans="1:6" x14ac:dyDescent="0.3">
      <c r="A1185">
        <v>73</v>
      </c>
      <c r="B1185">
        <v>102.06</v>
      </c>
      <c r="C1185">
        <f t="shared" si="72"/>
        <v>7450.38</v>
      </c>
      <c r="D1185">
        <f t="shared" si="73"/>
        <v>5329</v>
      </c>
      <c r="E1185">
        <f t="shared" si="74"/>
        <v>10416.2436</v>
      </c>
      <c r="F1185">
        <f t="shared" si="75"/>
        <v>5329</v>
      </c>
    </row>
    <row r="1186" spans="1:6" x14ac:dyDescent="0.3">
      <c r="A1186">
        <v>79</v>
      </c>
      <c r="B1186">
        <v>65.59</v>
      </c>
      <c r="C1186">
        <f t="shared" si="72"/>
        <v>5181.6100000000006</v>
      </c>
      <c r="D1186">
        <f t="shared" si="73"/>
        <v>6241</v>
      </c>
      <c r="E1186">
        <f t="shared" si="74"/>
        <v>4302.0481000000009</v>
      </c>
      <c r="F1186">
        <f t="shared" si="75"/>
        <v>6241</v>
      </c>
    </row>
    <row r="1187" spans="1:6" x14ac:dyDescent="0.3">
      <c r="A1187">
        <v>2</v>
      </c>
      <c r="B1187">
        <v>120.85</v>
      </c>
      <c r="C1187">
        <f t="shared" si="72"/>
        <v>241.7</v>
      </c>
      <c r="D1187">
        <f t="shared" si="73"/>
        <v>4</v>
      </c>
      <c r="E1187">
        <f t="shared" si="74"/>
        <v>14604.722499999998</v>
      </c>
      <c r="F1187">
        <f t="shared" si="75"/>
        <v>4</v>
      </c>
    </row>
    <row r="1188" spans="1:6" x14ac:dyDescent="0.3">
      <c r="A1188">
        <v>43</v>
      </c>
      <c r="B1188">
        <v>101.65</v>
      </c>
      <c r="C1188">
        <f t="shared" si="72"/>
        <v>4370.95</v>
      </c>
      <c r="D1188">
        <f t="shared" si="73"/>
        <v>1849</v>
      </c>
      <c r="E1188">
        <f t="shared" si="74"/>
        <v>10332.722500000002</v>
      </c>
      <c r="F1188">
        <f t="shared" si="75"/>
        <v>1849</v>
      </c>
    </row>
    <row r="1189" spans="1:6" x14ac:dyDescent="0.3">
      <c r="A1189">
        <v>43</v>
      </c>
      <c r="B1189">
        <v>210.94</v>
      </c>
      <c r="C1189">
        <f t="shared" si="72"/>
        <v>9070.42</v>
      </c>
      <c r="D1189">
        <f t="shared" si="73"/>
        <v>1849</v>
      </c>
      <c r="E1189">
        <f t="shared" si="74"/>
        <v>44495.683599999997</v>
      </c>
      <c r="F1189">
        <f t="shared" si="75"/>
        <v>1849</v>
      </c>
    </row>
    <row r="1190" spans="1:6" x14ac:dyDescent="0.3">
      <c r="A1190">
        <v>62</v>
      </c>
      <c r="B1190">
        <v>77.92</v>
      </c>
      <c r="C1190">
        <f t="shared" si="72"/>
        <v>4831.04</v>
      </c>
      <c r="D1190">
        <f t="shared" si="73"/>
        <v>3844</v>
      </c>
      <c r="E1190">
        <f t="shared" si="74"/>
        <v>6071.5264000000006</v>
      </c>
      <c r="F1190">
        <f t="shared" si="75"/>
        <v>3844</v>
      </c>
    </row>
    <row r="1191" spans="1:6" x14ac:dyDescent="0.3">
      <c r="A1191">
        <v>73</v>
      </c>
      <c r="B1191">
        <v>230.68</v>
      </c>
      <c r="C1191">
        <f t="shared" si="72"/>
        <v>16839.64</v>
      </c>
      <c r="D1191">
        <f t="shared" si="73"/>
        <v>5329</v>
      </c>
      <c r="E1191">
        <f t="shared" si="74"/>
        <v>53213.2624</v>
      </c>
      <c r="F1191">
        <f t="shared" si="75"/>
        <v>5329</v>
      </c>
    </row>
    <row r="1192" spans="1:6" x14ac:dyDescent="0.3">
      <c r="A1192">
        <v>31</v>
      </c>
      <c r="B1192">
        <v>62.68</v>
      </c>
      <c r="C1192">
        <f t="shared" si="72"/>
        <v>1943.08</v>
      </c>
      <c r="D1192">
        <f t="shared" si="73"/>
        <v>961</v>
      </c>
      <c r="E1192">
        <f t="shared" si="74"/>
        <v>3928.7824000000001</v>
      </c>
      <c r="F1192">
        <f t="shared" si="75"/>
        <v>961</v>
      </c>
    </row>
    <row r="1193" spans="1:6" x14ac:dyDescent="0.3">
      <c r="A1193">
        <v>42</v>
      </c>
      <c r="B1193">
        <v>55.22</v>
      </c>
      <c r="C1193">
        <f t="shared" si="72"/>
        <v>2319.2399999999998</v>
      </c>
      <c r="D1193">
        <f t="shared" si="73"/>
        <v>1764</v>
      </c>
      <c r="E1193">
        <f t="shared" si="74"/>
        <v>3049.2483999999999</v>
      </c>
      <c r="F1193">
        <f t="shared" si="75"/>
        <v>1764</v>
      </c>
    </row>
    <row r="1194" spans="1:6" x14ac:dyDescent="0.3">
      <c r="A1194">
        <v>20</v>
      </c>
      <c r="B1194">
        <v>78.94</v>
      </c>
      <c r="C1194">
        <f t="shared" si="72"/>
        <v>1578.8</v>
      </c>
      <c r="D1194">
        <f t="shared" si="73"/>
        <v>400</v>
      </c>
      <c r="E1194">
        <f t="shared" si="74"/>
        <v>6231.5235999999995</v>
      </c>
      <c r="F1194">
        <f t="shared" si="75"/>
        <v>400</v>
      </c>
    </row>
    <row r="1195" spans="1:6" x14ac:dyDescent="0.3">
      <c r="A1195">
        <v>55</v>
      </c>
      <c r="B1195">
        <v>109.69</v>
      </c>
      <c r="C1195">
        <f t="shared" si="72"/>
        <v>6032.95</v>
      </c>
      <c r="D1195">
        <f t="shared" si="73"/>
        <v>3025</v>
      </c>
      <c r="E1195">
        <f t="shared" si="74"/>
        <v>12031.8961</v>
      </c>
      <c r="F1195">
        <f t="shared" si="75"/>
        <v>3025</v>
      </c>
    </row>
    <row r="1196" spans="1:6" x14ac:dyDescent="0.3">
      <c r="A1196">
        <v>3</v>
      </c>
      <c r="B1196">
        <v>79.63</v>
      </c>
      <c r="C1196">
        <f t="shared" si="72"/>
        <v>238.89</v>
      </c>
      <c r="D1196">
        <f t="shared" si="73"/>
        <v>9</v>
      </c>
      <c r="E1196">
        <f t="shared" si="74"/>
        <v>6340.9368999999997</v>
      </c>
      <c r="F1196">
        <f t="shared" si="75"/>
        <v>9</v>
      </c>
    </row>
    <row r="1197" spans="1:6" x14ac:dyDescent="0.3">
      <c r="A1197">
        <v>23</v>
      </c>
      <c r="B1197">
        <v>79.33</v>
      </c>
      <c r="C1197">
        <f t="shared" si="72"/>
        <v>1824.59</v>
      </c>
      <c r="D1197">
        <f t="shared" si="73"/>
        <v>529</v>
      </c>
      <c r="E1197">
        <f t="shared" si="74"/>
        <v>6293.2488999999996</v>
      </c>
      <c r="F1197">
        <f t="shared" si="75"/>
        <v>529</v>
      </c>
    </row>
    <row r="1198" spans="1:6" x14ac:dyDescent="0.3">
      <c r="A1198">
        <v>33</v>
      </c>
      <c r="B1198">
        <v>79.91</v>
      </c>
      <c r="C1198">
        <f t="shared" si="72"/>
        <v>2637.0299999999997</v>
      </c>
      <c r="D1198">
        <f t="shared" si="73"/>
        <v>1089</v>
      </c>
      <c r="E1198">
        <f t="shared" si="74"/>
        <v>6385.6080999999995</v>
      </c>
      <c r="F1198">
        <f t="shared" si="75"/>
        <v>1089</v>
      </c>
    </row>
    <row r="1199" spans="1:6" x14ac:dyDescent="0.3">
      <c r="A1199">
        <v>14</v>
      </c>
      <c r="B1199">
        <v>84.46</v>
      </c>
      <c r="C1199">
        <f t="shared" si="72"/>
        <v>1182.4399999999998</v>
      </c>
      <c r="D1199">
        <f t="shared" si="73"/>
        <v>196</v>
      </c>
      <c r="E1199">
        <f t="shared" si="74"/>
        <v>7133.4915999999994</v>
      </c>
      <c r="F1199">
        <f t="shared" si="75"/>
        <v>196</v>
      </c>
    </row>
    <row r="1200" spans="1:6" x14ac:dyDescent="0.3">
      <c r="A1200">
        <v>79</v>
      </c>
      <c r="B1200">
        <v>68.400000000000006</v>
      </c>
      <c r="C1200">
        <f t="shared" si="72"/>
        <v>5403.6</v>
      </c>
      <c r="D1200">
        <f t="shared" si="73"/>
        <v>6241</v>
      </c>
      <c r="E1200">
        <f t="shared" si="74"/>
        <v>4678.5600000000004</v>
      </c>
      <c r="F1200">
        <f t="shared" si="75"/>
        <v>6241</v>
      </c>
    </row>
    <row r="1201" spans="1:6" x14ac:dyDescent="0.3">
      <c r="A1201">
        <v>64</v>
      </c>
      <c r="B1201">
        <v>78.430000000000007</v>
      </c>
      <c r="C1201">
        <f t="shared" si="72"/>
        <v>5019.5200000000004</v>
      </c>
      <c r="D1201">
        <f t="shared" si="73"/>
        <v>4096</v>
      </c>
      <c r="E1201">
        <f t="shared" si="74"/>
        <v>6151.264900000001</v>
      </c>
      <c r="F1201">
        <f t="shared" si="75"/>
        <v>4096</v>
      </c>
    </row>
    <row r="1202" spans="1:6" x14ac:dyDescent="0.3">
      <c r="A1202">
        <v>76</v>
      </c>
      <c r="B1202">
        <v>198.02</v>
      </c>
      <c r="C1202">
        <f t="shared" si="72"/>
        <v>15049.52</v>
      </c>
      <c r="D1202">
        <f t="shared" si="73"/>
        <v>5776</v>
      </c>
      <c r="E1202">
        <f t="shared" si="74"/>
        <v>39211.920400000003</v>
      </c>
      <c r="F1202">
        <f t="shared" si="75"/>
        <v>5776</v>
      </c>
    </row>
    <row r="1203" spans="1:6" x14ac:dyDescent="0.3">
      <c r="A1203">
        <v>46</v>
      </c>
      <c r="B1203">
        <v>85.35</v>
      </c>
      <c r="C1203">
        <f t="shared" si="72"/>
        <v>3926.1</v>
      </c>
      <c r="D1203">
        <f t="shared" si="73"/>
        <v>2116</v>
      </c>
      <c r="E1203">
        <f t="shared" si="74"/>
        <v>7284.6224999999986</v>
      </c>
      <c r="F1203">
        <f t="shared" si="75"/>
        <v>2116</v>
      </c>
    </row>
    <row r="1204" spans="1:6" x14ac:dyDescent="0.3">
      <c r="A1204">
        <v>80</v>
      </c>
      <c r="B1204">
        <v>204.17</v>
      </c>
      <c r="C1204">
        <f t="shared" si="72"/>
        <v>16333.599999999999</v>
      </c>
      <c r="D1204">
        <f t="shared" si="73"/>
        <v>6400</v>
      </c>
      <c r="E1204">
        <f t="shared" si="74"/>
        <v>41685.388899999998</v>
      </c>
      <c r="F1204">
        <f t="shared" si="75"/>
        <v>6400</v>
      </c>
    </row>
    <row r="1205" spans="1:6" x14ac:dyDescent="0.3">
      <c r="A1205">
        <v>21</v>
      </c>
      <c r="B1205">
        <v>82.71</v>
      </c>
      <c r="C1205">
        <f t="shared" si="72"/>
        <v>1736.9099999999999</v>
      </c>
      <c r="D1205">
        <f t="shared" si="73"/>
        <v>441</v>
      </c>
      <c r="E1205">
        <f t="shared" si="74"/>
        <v>6840.9440999999988</v>
      </c>
      <c r="F1205">
        <f t="shared" si="75"/>
        <v>441</v>
      </c>
    </row>
    <row r="1206" spans="1:6" x14ac:dyDescent="0.3">
      <c r="A1206">
        <v>33</v>
      </c>
      <c r="B1206">
        <v>121.19</v>
      </c>
      <c r="C1206">
        <f t="shared" si="72"/>
        <v>3999.27</v>
      </c>
      <c r="D1206">
        <f t="shared" si="73"/>
        <v>1089</v>
      </c>
      <c r="E1206">
        <f t="shared" si="74"/>
        <v>14687.016099999999</v>
      </c>
      <c r="F1206">
        <f t="shared" si="75"/>
        <v>1089</v>
      </c>
    </row>
    <row r="1207" spans="1:6" x14ac:dyDescent="0.3">
      <c r="A1207">
        <v>32</v>
      </c>
      <c r="B1207">
        <v>106.02</v>
      </c>
      <c r="C1207">
        <f t="shared" si="72"/>
        <v>3392.64</v>
      </c>
      <c r="D1207">
        <f t="shared" si="73"/>
        <v>1024</v>
      </c>
      <c r="E1207">
        <f t="shared" si="74"/>
        <v>11240.240399999999</v>
      </c>
      <c r="F1207">
        <f t="shared" si="75"/>
        <v>1024</v>
      </c>
    </row>
    <row r="1208" spans="1:6" x14ac:dyDescent="0.3">
      <c r="A1208">
        <v>0.72</v>
      </c>
      <c r="B1208">
        <v>66.36</v>
      </c>
      <c r="C1208">
        <f t="shared" si="72"/>
        <v>47.779199999999996</v>
      </c>
      <c r="D1208">
        <f t="shared" si="73"/>
        <v>0.51839999999999997</v>
      </c>
      <c r="E1208">
        <f t="shared" si="74"/>
        <v>4403.6495999999997</v>
      </c>
      <c r="F1208">
        <f t="shared" si="75"/>
        <v>0.51839999999999997</v>
      </c>
    </row>
    <row r="1209" spans="1:6" x14ac:dyDescent="0.3">
      <c r="A1209">
        <v>49</v>
      </c>
      <c r="B1209">
        <v>267.76</v>
      </c>
      <c r="C1209">
        <f t="shared" si="72"/>
        <v>13120.24</v>
      </c>
      <c r="D1209">
        <f t="shared" si="73"/>
        <v>2401</v>
      </c>
      <c r="E1209">
        <f t="shared" si="74"/>
        <v>71695.417600000001</v>
      </c>
      <c r="F1209">
        <f t="shared" si="75"/>
        <v>2401</v>
      </c>
    </row>
    <row r="1210" spans="1:6" x14ac:dyDescent="0.3">
      <c r="A1210">
        <v>41</v>
      </c>
      <c r="B1210">
        <v>107.18</v>
      </c>
      <c r="C1210">
        <f t="shared" si="72"/>
        <v>4394.38</v>
      </c>
      <c r="D1210">
        <f t="shared" si="73"/>
        <v>1681</v>
      </c>
      <c r="E1210">
        <f t="shared" si="74"/>
        <v>11487.552400000002</v>
      </c>
      <c r="F1210">
        <f t="shared" si="75"/>
        <v>1681</v>
      </c>
    </row>
    <row r="1211" spans="1:6" x14ac:dyDescent="0.3">
      <c r="A1211">
        <v>37</v>
      </c>
      <c r="B1211">
        <v>74.58</v>
      </c>
      <c r="C1211">
        <f t="shared" si="72"/>
        <v>2759.46</v>
      </c>
      <c r="D1211">
        <f t="shared" si="73"/>
        <v>1369</v>
      </c>
      <c r="E1211">
        <f t="shared" si="74"/>
        <v>5562.1763999999994</v>
      </c>
      <c r="F1211">
        <f t="shared" si="75"/>
        <v>1369</v>
      </c>
    </row>
    <row r="1212" spans="1:6" x14ac:dyDescent="0.3">
      <c r="A1212">
        <v>58</v>
      </c>
      <c r="B1212">
        <v>80.92</v>
      </c>
      <c r="C1212">
        <f t="shared" si="72"/>
        <v>4693.3599999999997</v>
      </c>
      <c r="D1212">
        <f t="shared" si="73"/>
        <v>3364</v>
      </c>
      <c r="E1212">
        <f t="shared" si="74"/>
        <v>6548.0464000000002</v>
      </c>
      <c r="F1212">
        <f t="shared" si="75"/>
        <v>3364</v>
      </c>
    </row>
    <row r="1213" spans="1:6" x14ac:dyDescent="0.3">
      <c r="A1213">
        <v>79</v>
      </c>
      <c r="B1213">
        <v>90.77</v>
      </c>
      <c r="C1213">
        <f t="shared" si="72"/>
        <v>7170.83</v>
      </c>
      <c r="D1213">
        <f t="shared" si="73"/>
        <v>6241</v>
      </c>
      <c r="E1213">
        <f t="shared" si="74"/>
        <v>8239.1929</v>
      </c>
      <c r="F1213">
        <f t="shared" si="75"/>
        <v>6241</v>
      </c>
    </row>
    <row r="1214" spans="1:6" x14ac:dyDescent="0.3">
      <c r="A1214">
        <v>23</v>
      </c>
      <c r="B1214">
        <v>90.84</v>
      </c>
      <c r="C1214">
        <f t="shared" si="72"/>
        <v>2089.3200000000002</v>
      </c>
      <c r="D1214">
        <f t="shared" si="73"/>
        <v>529</v>
      </c>
      <c r="E1214">
        <f t="shared" si="74"/>
        <v>8251.9056</v>
      </c>
      <c r="F1214">
        <f t="shared" si="75"/>
        <v>529</v>
      </c>
    </row>
    <row r="1215" spans="1:6" x14ac:dyDescent="0.3">
      <c r="A1215">
        <v>78</v>
      </c>
      <c r="B1215">
        <v>59.2</v>
      </c>
      <c r="C1215">
        <f t="shared" si="72"/>
        <v>4617.6000000000004</v>
      </c>
      <c r="D1215">
        <f t="shared" si="73"/>
        <v>6084</v>
      </c>
      <c r="E1215">
        <f t="shared" si="74"/>
        <v>3504.6400000000003</v>
      </c>
      <c r="F1215">
        <f t="shared" si="75"/>
        <v>6084</v>
      </c>
    </row>
    <row r="1216" spans="1:6" x14ac:dyDescent="0.3">
      <c r="A1216">
        <v>51</v>
      </c>
      <c r="B1216">
        <v>217.71</v>
      </c>
      <c r="C1216">
        <f t="shared" si="72"/>
        <v>11103.210000000001</v>
      </c>
      <c r="D1216">
        <f t="shared" si="73"/>
        <v>2601</v>
      </c>
      <c r="E1216">
        <f t="shared" si="74"/>
        <v>47397.644100000005</v>
      </c>
      <c r="F1216">
        <f t="shared" si="75"/>
        <v>2601</v>
      </c>
    </row>
    <row r="1217" spans="1:6" x14ac:dyDescent="0.3">
      <c r="A1217">
        <v>41</v>
      </c>
      <c r="B1217">
        <v>133.76</v>
      </c>
      <c r="C1217">
        <f t="shared" si="72"/>
        <v>5484.16</v>
      </c>
      <c r="D1217">
        <f t="shared" si="73"/>
        <v>1681</v>
      </c>
      <c r="E1217">
        <f t="shared" si="74"/>
        <v>17891.737599999997</v>
      </c>
      <c r="F1217">
        <f t="shared" si="75"/>
        <v>1681</v>
      </c>
    </row>
    <row r="1218" spans="1:6" x14ac:dyDescent="0.3">
      <c r="A1218">
        <v>68</v>
      </c>
      <c r="B1218">
        <v>61.36</v>
      </c>
      <c r="C1218">
        <f t="shared" si="72"/>
        <v>4172.4799999999996</v>
      </c>
      <c r="D1218">
        <f t="shared" si="73"/>
        <v>4624</v>
      </c>
      <c r="E1218">
        <f t="shared" si="74"/>
        <v>3765.0495999999998</v>
      </c>
      <c r="F1218">
        <f t="shared" si="75"/>
        <v>4624</v>
      </c>
    </row>
    <row r="1219" spans="1:6" x14ac:dyDescent="0.3">
      <c r="A1219">
        <v>30</v>
      </c>
      <c r="B1219">
        <v>118.62</v>
      </c>
      <c r="C1219">
        <f t="shared" ref="C1219:C1282" si="76">A1219*B1219</f>
        <v>3558.6000000000004</v>
      </c>
      <c r="D1219">
        <f t="shared" ref="D1219:D1282" si="77">A1219*A1219</f>
        <v>900</v>
      </c>
      <c r="E1219">
        <f t="shared" ref="E1219:E1282" si="78">B1219*B1219</f>
        <v>14070.704400000001</v>
      </c>
      <c r="F1219">
        <f t="shared" ref="F1219:F1282" si="79">A1219^2</f>
        <v>900</v>
      </c>
    </row>
    <row r="1220" spans="1:6" x14ac:dyDescent="0.3">
      <c r="A1220">
        <v>1.88</v>
      </c>
      <c r="B1220">
        <v>77.91</v>
      </c>
      <c r="C1220">
        <f t="shared" si="76"/>
        <v>146.4708</v>
      </c>
      <c r="D1220">
        <f t="shared" si="77"/>
        <v>3.5343999999999998</v>
      </c>
      <c r="E1220">
        <f t="shared" si="78"/>
        <v>6069.9680999999991</v>
      </c>
      <c r="F1220">
        <f t="shared" si="79"/>
        <v>3.5343999999999998</v>
      </c>
    </row>
    <row r="1221" spans="1:6" x14ac:dyDescent="0.3">
      <c r="A1221">
        <v>32</v>
      </c>
      <c r="B1221">
        <v>68.98</v>
      </c>
      <c r="C1221">
        <f t="shared" si="76"/>
        <v>2207.36</v>
      </c>
      <c r="D1221">
        <f t="shared" si="77"/>
        <v>1024</v>
      </c>
      <c r="E1221">
        <f t="shared" si="78"/>
        <v>4758.2404000000006</v>
      </c>
      <c r="F1221">
        <f t="shared" si="79"/>
        <v>1024</v>
      </c>
    </row>
    <row r="1222" spans="1:6" x14ac:dyDescent="0.3">
      <c r="A1222">
        <v>20</v>
      </c>
      <c r="B1222">
        <v>112.08</v>
      </c>
      <c r="C1222">
        <f t="shared" si="76"/>
        <v>2241.6</v>
      </c>
      <c r="D1222">
        <f t="shared" si="77"/>
        <v>400</v>
      </c>
      <c r="E1222">
        <f t="shared" si="78"/>
        <v>12561.9264</v>
      </c>
      <c r="F1222">
        <f t="shared" si="79"/>
        <v>400</v>
      </c>
    </row>
    <row r="1223" spans="1:6" x14ac:dyDescent="0.3">
      <c r="A1223">
        <v>20</v>
      </c>
      <c r="B1223">
        <v>96.2</v>
      </c>
      <c r="C1223">
        <f t="shared" si="76"/>
        <v>1924</v>
      </c>
      <c r="D1223">
        <f t="shared" si="77"/>
        <v>400</v>
      </c>
      <c r="E1223">
        <f t="shared" si="78"/>
        <v>9254.44</v>
      </c>
      <c r="F1223">
        <f t="shared" si="79"/>
        <v>400</v>
      </c>
    </row>
    <row r="1224" spans="1:6" x14ac:dyDescent="0.3">
      <c r="A1224">
        <v>10</v>
      </c>
      <c r="B1224">
        <v>93.11</v>
      </c>
      <c r="C1224">
        <f t="shared" si="76"/>
        <v>931.1</v>
      </c>
      <c r="D1224">
        <f t="shared" si="77"/>
        <v>100</v>
      </c>
      <c r="E1224">
        <f t="shared" si="78"/>
        <v>8669.472099999999</v>
      </c>
      <c r="F1224">
        <f t="shared" si="79"/>
        <v>100</v>
      </c>
    </row>
    <row r="1225" spans="1:6" x14ac:dyDescent="0.3">
      <c r="A1225">
        <v>8</v>
      </c>
      <c r="B1225">
        <v>115.54</v>
      </c>
      <c r="C1225">
        <f t="shared" si="76"/>
        <v>924.32</v>
      </c>
      <c r="D1225">
        <f t="shared" si="77"/>
        <v>64</v>
      </c>
      <c r="E1225">
        <f t="shared" si="78"/>
        <v>13349.491600000001</v>
      </c>
      <c r="F1225">
        <f t="shared" si="79"/>
        <v>64</v>
      </c>
    </row>
    <row r="1226" spans="1:6" x14ac:dyDescent="0.3">
      <c r="A1226">
        <v>65</v>
      </c>
      <c r="B1226">
        <v>88.57</v>
      </c>
      <c r="C1226">
        <f t="shared" si="76"/>
        <v>5757.0499999999993</v>
      </c>
      <c r="D1226">
        <f t="shared" si="77"/>
        <v>4225</v>
      </c>
      <c r="E1226">
        <f t="shared" si="78"/>
        <v>7844.6448999999984</v>
      </c>
      <c r="F1226">
        <f t="shared" si="79"/>
        <v>4225</v>
      </c>
    </row>
    <row r="1227" spans="1:6" x14ac:dyDescent="0.3">
      <c r="A1227">
        <v>65</v>
      </c>
      <c r="B1227">
        <v>180.76</v>
      </c>
      <c r="C1227">
        <f t="shared" si="76"/>
        <v>11749.4</v>
      </c>
      <c r="D1227">
        <f t="shared" si="77"/>
        <v>4225</v>
      </c>
      <c r="E1227">
        <f t="shared" si="78"/>
        <v>32674.177599999995</v>
      </c>
      <c r="F1227">
        <f t="shared" si="79"/>
        <v>4225</v>
      </c>
    </row>
    <row r="1228" spans="1:6" x14ac:dyDescent="0.3">
      <c r="A1228">
        <v>46</v>
      </c>
      <c r="B1228">
        <v>83.12</v>
      </c>
      <c r="C1228">
        <f t="shared" si="76"/>
        <v>3823.5200000000004</v>
      </c>
      <c r="D1228">
        <f t="shared" si="77"/>
        <v>2116</v>
      </c>
      <c r="E1228">
        <f t="shared" si="78"/>
        <v>6908.934400000001</v>
      </c>
      <c r="F1228">
        <f t="shared" si="79"/>
        <v>2116</v>
      </c>
    </row>
    <row r="1229" spans="1:6" x14ac:dyDescent="0.3">
      <c r="A1229">
        <v>53</v>
      </c>
      <c r="B1229">
        <v>94.89</v>
      </c>
      <c r="C1229">
        <f t="shared" si="76"/>
        <v>5029.17</v>
      </c>
      <c r="D1229">
        <f t="shared" si="77"/>
        <v>2809</v>
      </c>
      <c r="E1229">
        <f t="shared" si="78"/>
        <v>9004.1121000000003</v>
      </c>
      <c r="F1229">
        <f t="shared" si="79"/>
        <v>2809</v>
      </c>
    </row>
    <row r="1230" spans="1:6" x14ac:dyDescent="0.3">
      <c r="A1230">
        <v>79</v>
      </c>
      <c r="B1230">
        <v>239.52</v>
      </c>
      <c r="C1230">
        <f t="shared" si="76"/>
        <v>18922.080000000002</v>
      </c>
      <c r="D1230">
        <f t="shared" si="77"/>
        <v>6241</v>
      </c>
      <c r="E1230">
        <f t="shared" si="78"/>
        <v>57369.830400000006</v>
      </c>
      <c r="F1230">
        <f t="shared" si="79"/>
        <v>6241</v>
      </c>
    </row>
    <row r="1231" spans="1:6" x14ac:dyDescent="0.3">
      <c r="A1231">
        <v>43</v>
      </c>
      <c r="B1231">
        <v>99.15</v>
      </c>
      <c r="C1231">
        <f t="shared" si="76"/>
        <v>4263.45</v>
      </c>
      <c r="D1231">
        <f t="shared" si="77"/>
        <v>1849</v>
      </c>
      <c r="E1231">
        <f t="shared" si="78"/>
        <v>9830.7225000000017</v>
      </c>
      <c r="F1231">
        <f t="shared" si="79"/>
        <v>1849</v>
      </c>
    </row>
    <row r="1232" spans="1:6" x14ac:dyDescent="0.3">
      <c r="A1232">
        <v>56</v>
      </c>
      <c r="B1232">
        <v>124.16</v>
      </c>
      <c r="C1232">
        <f t="shared" si="76"/>
        <v>6952.96</v>
      </c>
      <c r="D1232">
        <f t="shared" si="77"/>
        <v>3136</v>
      </c>
      <c r="E1232">
        <f t="shared" si="78"/>
        <v>15415.705599999999</v>
      </c>
      <c r="F1232">
        <f t="shared" si="79"/>
        <v>3136</v>
      </c>
    </row>
    <row r="1233" spans="1:6" x14ac:dyDescent="0.3">
      <c r="A1233">
        <v>3</v>
      </c>
      <c r="B1233">
        <v>86.38</v>
      </c>
      <c r="C1233">
        <f t="shared" si="76"/>
        <v>259.14</v>
      </c>
      <c r="D1233">
        <f t="shared" si="77"/>
        <v>9</v>
      </c>
      <c r="E1233">
        <f t="shared" si="78"/>
        <v>7461.5043999999989</v>
      </c>
      <c r="F1233">
        <f t="shared" si="79"/>
        <v>9</v>
      </c>
    </row>
    <row r="1234" spans="1:6" x14ac:dyDescent="0.3">
      <c r="A1234">
        <v>32</v>
      </c>
      <c r="B1234">
        <v>93.68</v>
      </c>
      <c r="C1234">
        <f t="shared" si="76"/>
        <v>2997.76</v>
      </c>
      <c r="D1234">
        <f t="shared" si="77"/>
        <v>1024</v>
      </c>
      <c r="E1234">
        <f t="shared" si="78"/>
        <v>8775.9424000000017</v>
      </c>
      <c r="F1234">
        <f t="shared" si="79"/>
        <v>1024</v>
      </c>
    </row>
    <row r="1235" spans="1:6" x14ac:dyDescent="0.3">
      <c r="A1235">
        <v>41</v>
      </c>
      <c r="B1235">
        <v>229.86</v>
      </c>
      <c r="C1235">
        <f t="shared" si="76"/>
        <v>9424.26</v>
      </c>
      <c r="D1235">
        <f t="shared" si="77"/>
        <v>1681</v>
      </c>
      <c r="E1235">
        <f t="shared" si="78"/>
        <v>52835.619600000005</v>
      </c>
      <c r="F1235">
        <f t="shared" si="79"/>
        <v>1681</v>
      </c>
    </row>
    <row r="1236" spans="1:6" x14ac:dyDescent="0.3">
      <c r="A1236">
        <v>53</v>
      </c>
      <c r="B1236">
        <v>78.73</v>
      </c>
      <c r="C1236">
        <f t="shared" si="76"/>
        <v>4172.6900000000005</v>
      </c>
      <c r="D1236">
        <f t="shared" si="77"/>
        <v>2809</v>
      </c>
      <c r="E1236">
        <f t="shared" si="78"/>
        <v>6198.4129000000003</v>
      </c>
      <c r="F1236">
        <f t="shared" si="79"/>
        <v>2809</v>
      </c>
    </row>
    <row r="1237" spans="1:6" x14ac:dyDescent="0.3">
      <c r="A1237">
        <v>35</v>
      </c>
      <c r="B1237">
        <v>115.92</v>
      </c>
      <c r="C1237">
        <f t="shared" si="76"/>
        <v>4057.2000000000003</v>
      </c>
      <c r="D1237">
        <f t="shared" si="77"/>
        <v>1225</v>
      </c>
      <c r="E1237">
        <f t="shared" si="78"/>
        <v>13437.446400000001</v>
      </c>
      <c r="F1237">
        <f t="shared" si="79"/>
        <v>1225</v>
      </c>
    </row>
    <row r="1238" spans="1:6" x14ac:dyDescent="0.3">
      <c r="A1238">
        <v>67</v>
      </c>
      <c r="B1238">
        <v>93.71</v>
      </c>
      <c r="C1238">
        <f t="shared" si="76"/>
        <v>6278.57</v>
      </c>
      <c r="D1238">
        <f t="shared" si="77"/>
        <v>4489</v>
      </c>
      <c r="E1238">
        <f t="shared" si="78"/>
        <v>8781.5640999999996</v>
      </c>
      <c r="F1238">
        <f t="shared" si="79"/>
        <v>4489</v>
      </c>
    </row>
    <row r="1239" spans="1:6" x14ac:dyDescent="0.3">
      <c r="A1239">
        <v>33</v>
      </c>
      <c r="B1239">
        <v>76.66</v>
      </c>
      <c r="C1239">
        <f t="shared" si="76"/>
        <v>2529.7799999999997</v>
      </c>
      <c r="D1239">
        <f t="shared" si="77"/>
        <v>1089</v>
      </c>
      <c r="E1239">
        <f t="shared" si="78"/>
        <v>5876.7555999999995</v>
      </c>
      <c r="F1239">
        <f t="shared" si="79"/>
        <v>1089</v>
      </c>
    </row>
    <row r="1240" spans="1:6" x14ac:dyDescent="0.3">
      <c r="A1240">
        <v>21</v>
      </c>
      <c r="B1240">
        <v>112.38</v>
      </c>
      <c r="C1240">
        <f t="shared" si="76"/>
        <v>2359.98</v>
      </c>
      <c r="D1240">
        <f t="shared" si="77"/>
        <v>441</v>
      </c>
      <c r="E1240">
        <f t="shared" si="78"/>
        <v>12629.264399999998</v>
      </c>
      <c r="F1240">
        <f t="shared" si="79"/>
        <v>441</v>
      </c>
    </row>
    <row r="1241" spans="1:6" x14ac:dyDescent="0.3">
      <c r="A1241">
        <v>26</v>
      </c>
      <c r="B1241">
        <v>89.3</v>
      </c>
      <c r="C1241">
        <f t="shared" si="76"/>
        <v>2321.7999999999997</v>
      </c>
      <c r="D1241">
        <f t="shared" si="77"/>
        <v>676</v>
      </c>
      <c r="E1241">
        <f t="shared" si="78"/>
        <v>7974.49</v>
      </c>
      <c r="F1241">
        <f t="shared" si="79"/>
        <v>676</v>
      </c>
    </row>
    <row r="1242" spans="1:6" x14ac:dyDescent="0.3">
      <c r="A1242">
        <v>69</v>
      </c>
      <c r="B1242">
        <v>103.44</v>
      </c>
      <c r="C1242">
        <f t="shared" si="76"/>
        <v>7137.36</v>
      </c>
      <c r="D1242">
        <f t="shared" si="77"/>
        <v>4761</v>
      </c>
      <c r="E1242">
        <f t="shared" si="78"/>
        <v>10699.8336</v>
      </c>
      <c r="F1242">
        <f t="shared" si="79"/>
        <v>4761</v>
      </c>
    </row>
    <row r="1243" spans="1:6" x14ac:dyDescent="0.3">
      <c r="A1243">
        <v>73</v>
      </c>
      <c r="B1243">
        <v>79.69</v>
      </c>
      <c r="C1243">
        <f t="shared" si="76"/>
        <v>5817.37</v>
      </c>
      <c r="D1243">
        <f t="shared" si="77"/>
        <v>5329</v>
      </c>
      <c r="E1243">
        <f t="shared" si="78"/>
        <v>6350.4960999999994</v>
      </c>
      <c r="F1243">
        <f t="shared" si="79"/>
        <v>5329</v>
      </c>
    </row>
    <row r="1244" spans="1:6" x14ac:dyDescent="0.3">
      <c r="A1244">
        <v>15</v>
      </c>
      <c r="B1244">
        <v>61.61</v>
      </c>
      <c r="C1244">
        <f t="shared" si="76"/>
        <v>924.15</v>
      </c>
      <c r="D1244">
        <f t="shared" si="77"/>
        <v>225</v>
      </c>
      <c r="E1244">
        <f t="shared" si="78"/>
        <v>3795.7921000000001</v>
      </c>
      <c r="F1244">
        <f t="shared" si="79"/>
        <v>225</v>
      </c>
    </row>
    <row r="1245" spans="1:6" x14ac:dyDescent="0.3">
      <c r="A1245">
        <v>3</v>
      </c>
      <c r="B1245">
        <v>94.12</v>
      </c>
      <c r="C1245">
        <f t="shared" si="76"/>
        <v>282.36</v>
      </c>
      <c r="D1245">
        <f t="shared" si="77"/>
        <v>9</v>
      </c>
      <c r="E1245">
        <f t="shared" si="78"/>
        <v>8858.5744000000013</v>
      </c>
      <c r="F1245">
        <f t="shared" si="79"/>
        <v>9</v>
      </c>
    </row>
    <row r="1246" spans="1:6" x14ac:dyDescent="0.3">
      <c r="A1246">
        <v>1.24</v>
      </c>
      <c r="B1246">
        <v>62.4</v>
      </c>
      <c r="C1246">
        <f t="shared" si="76"/>
        <v>77.376000000000005</v>
      </c>
      <c r="D1246">
        <f t="shared" si="77"/>
        <v>1.5376000000000001</v>
      </c>
      <c r="E1246">
        <f t="shared" si="78"/>
        <v>3893.7599999999998</v>
      </c>
      <c r="F1246">
        <f t="shared" si="79"/>
        <v>1.5376000000000001</v>
      </c>
    </row>
    <row r="1247" spans="1:6" x14ac:dyDescent="0.3">
      <c r="A1247">
        <v>80</v>
      </c>
      <c r="B1247">
        <v>210.96</v>
      </c>
      <c r="C1247">
        <f t="shared" si="76"/>
        <v>16876.8</v>
      </c>
      <c r="D1247">
        <f t="shared" si="77"/>
        <v>6400</v>
      </c>
      <c r="E1247">
        <f t="shared" si="78"/>
        <v>44504.121600000006</v>
      </c>
      <c r="F1247">
        <f t="shared" si="79"/>
        <v>6400</v>
      </c>
    </row>
    <row r="1248" spans="1:6" x14ac:dyDescent="0.3">
      <c r="A1248">
        <v>2</v>
      </c>
      <c r="B1248">
        <v>76.25</v>
      </c>
      <c r="C1248">
        <f t="shared" si="76"/>
        <v>152.5</v>
      </c>
      <c r="D1248">
        <f t="shared" si="77"/>
        <v>4</v>
      </c>
      <c r="E1248">
        <f t="shared" si="78"/>
        <v>5814.0625</v>
      </c>
      <c r="F1248">
        <f t="shared" si="79"/>
        <v>4</v>
      </c>
    </row>
    <row r="1249" spans="1:6" x14ac:dyDescent="0.3">
      <c r="A1249">
        <v>50</v>
      </c>
      <c r="B1249">
        <v>103.48</v>
      </c>
      <c r="C1249">
        <f t="shared" si="76"/>
        <v>5174</v>
      </c>
      <c r="D1249">
        <f t="shared" si="77"/>
        <v>2500</v>
      </c>
      <c r="E1249">
        <f t="shared" si="78"/>
        <v>10708.110400000001</v>
      </c>
      <c r="F1249">
        <f t="shared" si="79"/>
        <v>2500</v>
      </c>
    </row>
    <row r="1250" spans="1:6" x14ac:dyDescent="0.3">
      <c r="A1250">
        <v>30</v>
      </c>
      <c r="B1250">
        <v>96.42</v>
      </c>
      <c r="C1250">
        <f t="shared" si="76"/>
        <v>2892.6</v>
      </c>
      <c r="D1250">
        <f t="shared" si="77"/>
        <v>900</v>
      </c>
      <c r="E1250">
        <f t="shared" si="78"/>
        <v>9296.8163999999997</v>
      </c>
      <c r="F1250">
        <f t="shared" si="79"/>
        <v>900</v>
      </c>
    </row>
    <row r="1251" spans="1:6" x14ac:dyDescent="0.3">
      <c r="A1251">
        <v>15</v>
      </c>
      <c r="B1251">
        <v>78.59</v>
      </c>
      <c r="C1251">
        <f t="shared" si="76"/>
        <v>1178.8500000000001</v>
      </c>
      <c r="D1251">
        <f t="shared" si="77"/>
        <v>225</v>
      </c>
      <c r="E1251">
        <f t="shared" si="78"/>
        <v>6176.3881000000001</v>
      </c>
      <c r="F1251">
        <f t="shared" si="79"/>
        <v>225</v>
      </c>
    </row>
    <row r="1252" spans="1:6" x14ac:dyDescent="0.3">
      <c r="A1252">
        <v>71</v>
      </c>
      <c r="B1252">
        <v>195.25</v>
      </c>
      <c r="C1252">
        <f t="shared" si="76"/>
        <v>13862.75</v>
      </c>
      <c r="D1252">
        <f t="shared" si="77"/>
        <v>5041</v>
      </c>
      <c r="E1252">
        <f t="shared" si="78"/>
        <v>38122.5625</v>
      </c>
      <c r="F1252">
        <f t="shared" si="79"/>
        <v>5041</v>
      </c>
    </row>
    <row r="1253" spans="1:6" x14ac:dyDescent="0.3">
      <c r="A1253">
        <v>4</v>
      </c>
      <c r="B1253">
        <v>103.76</v>
      </c>
      <c r="C1253">
        <f t="shared" si="76"/>
        <v>415.04</v>
      </c>
      <c r="D1253">
        <f t="shared" si="77"/>
        <v>16</v>
      </c>
      <c r="E1253">
        <f t="shared" si="78"/>
        <v>10766.137600000002</v>
      </c>
      <c r="F1253">
        <f t="shared" si="79"/>
        <v>16</v>
      </c>
    </row>
    <row r="1254" spans="1:6" x14ac:dyDescent="0.3">
      <c r="A1254">
        <v>2</v>
      </c>
      <c r="B1254">
        <v>68.52</v>
      </c>
      <c r="C1254">
        <f t="shared" si="76"/>
        <v>137.04</v>
      </c>
      <c r="D1254">
        <f t="shared" si="77"/>
        <v>4</v>
      </c>
      <c r="E1254">
        <f t="shared" si="78"/>
        <v>4694.9903999999997</v>
      </c>
      <c r="F1254">
        <f t="shared" si="79"/>
        <v>4</v>
      </c>
    </row>
    <row r="1255" spans="1:6" x14ac:dyDescent="0.3">
      <c r="A1255">
        <v>11</v>
      </c>
      <c r="B1255">
        <v>92.17</v>
      </c>
      <c r="C1255">
        <f t="shared" si="76"/>
        <v>1013.87</v>
      </c>
      <c r="D1255">
        <f t="shared" si="77"/>
        <v>121</v>
      </c>
      <c r="E1255">
        <f t="shared" si="78"/>
        <v>8495.3089</v>
      </c>
      <c r="F1255">
        <f t="shared" si="79"/>
        <v>121</v>
      </c>
    </row>
    <row r="1256" spans="1:6" x14ac:dyDescent="0.3">
      <c r="A1256">
        <v>45</v>
      </c>
      <c r="B1256">
        <v>81.02</v>
      </c>
      <c r="C1256">
        <f t="shared" si="76"/>
        <v>3645.8999999999996</v>
      </c>
      <c r="D1256">
        <f t="shared" si="77"/>
        <v>2025</v>
      </c>
      <c r="E1256">
        <f t="shared" si="78"/>
        <v>6564.2403999999997</v>
      </c>
      <c r="F1256">
        <f t="shared" si="79"/>
        <v>2025</v>
      </c>
    </row>
    <row r="1257" spans="1:6" x14ac:dyDescent="0.3">
      <c r="A1257">
        <v>22</v>
      </c>
      <c r="B1257">
        <v>94.33</v>
      </c>
      <c r="C1257">
        <f t="shared" si="76"/>
        <v>2075.2599999999998</v>
      </c>
      <c r="D1257">
        <f t="shared" si="77"/>
        <v>484</v>
      </c>
      <c r="E1257">
        <f t="shared" si="78"/>
        <v>8898.1489000000001</v>
      </c>
      <c r="F1257">
        <f t="shared" si="79"/>
        <v>484</v>
      </c>
    </row>
    <row r="1258" spans="1:6" x14ac:dyDescent="0.3">
      <c r="A1258">
        <v>63</v>
      </c>
      <c r="B1258">
        <v>78.430000000000007</v>
      </c>
      <c r="C1258">
        <f t="shared" si="76"/>
        <v>4941.09</v>
      </c>
      <c r="D1258">
        <f t="shared" si="77"/>
        <v>3969</v>
      </c>
      <c r="E1258">
        <f t="shared" si="78"/>
        <v>6151.264900000001</v>
      </c>
      <c r="F1258">
        <f t="shared" si="79"/>
        <v>3969</v>
      </c>
    </row>
    <row r="1259" spans="1:6" x14ac:dyDescent="0.3">
      <c r="A1259">
        <v>50</v>
      </c>
      <c r="B1259">
        <v>217.39</v>
      </c>
      <c r="C1259">
        <f t="shared" si="76"/>
        <v>10869.5</v>
      </c>
      <c r="D1259">
        <f t="shared" si="77"/>
        <v>2500</v>
      </c>
      <c r="E1259">
        <f t="shared" si="78"/>
        <v>47258.412099999994</v>
      </c>
      <c r="F1259">
        <f t="shared" si="79"/>
        <v>2500</v>
      </c>
    </row>
    <row r="1260" spans="1:6" x14ac:dyDescent="0.3">
      <c r="A1260">
        <v>25</v>
      </c>
      <c r="B1260">
        <v>82.77</v>
      </c>
      <c r="C1260">
        <f t="shared" si="76"/>
        <v>2069.25</v>
      </c>
      <c r="D1260">
        <f t="shared" si="77"/>
        <v>625</v>
      </c>
      <c r="E1260">
        <f t="shared" si="78"/>
        <v>6850.8728999999994</v>
      </c>
      <c r="F1260">
        <f t="shared" si="79"/>
        <v>625</v>
      </c>
    </row>
    <row r="1261" spans="1:6" x14ac:dyDescent="0.3">
      <c r="A1261">
        <v>49</v>
      </c>
      <c r="B1261">
        <v>88.13</v>
      </c>
      <c r="C1261">
        <f t="shared" si="76"/>
        <v>4318.37</v>
      </c>
      <c r="D1261">
        <f t="shared" si="77"/>
        <v>2401</v>
      </c>
      <c r="E1261">
        <f t="shared" si="78"/>
        <v>7766.8968999999988</v>
      </c>
      <c r="F1261">
        <f t="shared" si="79"/>
        <v>2401</v>
      </c>
    </row>
    <row r="1262" spans="1:6" x14ac:dyDescent="0.3">
      <c r="A1262">
        <v>39</v>
      </c>
      <c r="B1262">
        <v>102.77</v>
      </c>
      <c r="C1262">
        <f t="shared" si="76"/>
        <v>4008.0299999999997</v>
      </c>
      <c r="D1262">
        <f t="shared" si="77"/>
        <v>1521</v>
      </c>
      <c r="E1262">
        <f t="shared" si="78"/>
        <v>10561.6729</v>
      </c>
      <c r="F1262">
        <f t="shared" si="79"/>
        <v>1521</v>
      </c>
    </row>
    <row r="1263" spans="1:6" x14ac:dyDescent="0.3">
      <c r="A1263">
        <v>43</v>
      </c>
      <c r="B1263">
        <v>101.75</v>
      </c>
      <c r="C1263">
        <f t="shared" si="76"/>
        <v>4375.25</v>
      </c>
      <c r="D1263">
        <f t="shared" si="77"/>
        <v>1849</v>
      </c>
      <c r="E1263">
        <f t="shared" si="78"/>
        <v>10353.0625</v>
      </c>
      <c r="F1263">
        <f t="shared" si="79"/>
        <v>1849</v>
      </c>
    </row>
    <row r="1264" spans="1:6" x14ac:dyDescent="0.3">
      <c r="A1264">
        <v>67</v>
      </c>
      <c r="B1264">
        <v>113.34</v>
      </c>
      <c r="C1264">
        <f t="shared" si="76"/>
        <v>7593.7800000000007</v>
      </c>
      <c r="D1264">
        <f t="shared" si="77"/>
        <v>4489</v>
      </c>
      <c r="E1264">
        <f t="shared" si="78"/>
        <v>12845.955600000001</v>
      </c>
      <c r="F1264">
        <f t="shared" si="79"/>
        <v>4489</v>
      </c>
    </row>
    <row r="1265" spans="1:6" x14ac:dyDescent="0.3">
      <c r="A1265">
        <v>48</v>
      </c>
      <c r="B1265">
        <v>63.33</v>
      </c>
      <c r="C1265">
        <f t="shared" si="76"/>
        <v>3039.84</v>
      </c>
      <c r="D1265">
        <f t="shared" si="77"/>
        <v>2304</v>
      </c>
      <c r="E1265">
        <f t="shared" si="78"/>
        <v>4010.6888999999996</v>
      </c>
      <c r="F1265">
        <f t="shared" si="79"/>
        <v>2304</v>
      </c>
    </row>
    <row r="1266" spans="1:6" x14ac:dyDescent="0.3">
      <c r="A1266">
        <v>38</v>
      </c>
      <c r="B1266">
        <v>69.34</v>
      </c>
      <c r="C1266">
        <f t="shared" si="76"/>
        <v>2634.92</v>
      </c>
      <c r="D1266">
        <f t="shared" si="77"/>
        <v>1444</v>
      </c>
      <c r="E1266">
        <f t="shared" si="78"/>
        <v>4808.0356000000002</v>
      </c>
      <c r="F1266">
        <f t="shared" si="79"/>
        <v>1444</v>
      </c>
    </row>
    <row r="1267" spans="1:6" x14ac:dyDescent="0.3">
      <c r="A1267">
        <v>14</v>
      </c>
      <c r="B1267">
        <v>118.81</v>
      </c>
      <c r="C1267">
        <f t="shared" si="76"/>
        <v>1663.3400000000001</v>
      </c>
      <c r="D1267">
        <f t="shared" si="77"/>
        <v>196</v>
      </c>
      <c r="E1267">
        <f t="shared" si="78"/>
        <v>14115.8161</v>
      </c>
      <c r="F1267">
        <f t="shared" si="79"/>
        <v>196</v>
      </c>
    </row>
    <row r="1268" spans="1:6" x14ac:dyDescent="0.3">
      <c r="A1268">
        <v>63</v>
      </c>
      <c r="B1268">
        <v>66.13</v>
      </c>
      <c r="C1268">
        <f t="shared" si="76"/>
        <v>4166.1899999999996</v>
      </c>
      <c r="D1268">
        <f t="shared" si="77"/>
        <v>3969</v>
      </c>
      <c r="E1268">
        <f t="shared" si="78"/>
        <v>4373.1768999999995</v>
      </c>
      <c r="F1268">
        <f t="shared" si="79"/>
        <v>3969</v>
      </c>
    </row>
    <row r="1269" spans="1:6" x14ac:dyDescent="0.3">
      <c r="A1269">
        <v>37</v>
      </c>
      <c r="B1269">
        <v>67.53</v>
      </c>
      <c r="C1269">
        <f t="shared" si="76"/>
        <v>2498.61</v>
      </c>
      <c r="D1269">
        <f t="shared" si="77"/>
        <v>1369</v>
      </c>
      <c r="E1269">
        <f t="shared" si="78"/>
        <v>4560.3009000000002</v>
      </c>
      <c r="F1269">
        <f t="shared" si="79"/>
        <v>1369</v>
      </c>
    </row>
    <row r="1270" spans="1:6" x14ac:dyDescent="0.3">
      <c r="A1270">
        <v>20</v>
      </c>
      <c r="B1270">
        <v>96.58</v>
      </c>
      <c r="C1270">
        <f t="shared" si="76"/>
        <v>1931.6</v>
      </c>
      <c r="D1270">
        <f t="shared" si="77"/>
        <v>400</v>
      </c>
      <c r="E1270">
        <f t="shared" si="78"/>
        <v>9327.6963999999989</v>
      </c>
      <c r="F1270">
        <f t="shared" si="79"/>
        <v>400</v>
      </c>
    </row>
    <row r="1271" spans="1:6" x14ac:dyDescent="0.3">
      <c r="A1271">
        <v>60</v>
      </c>
      <c r="B1271">
        <v>57.89</v>
      </c>
      <c r="C1271">
        <f t="shared" si="76"/>
        <v>3473.4</v>
      </c>
      <c r="D1271">
        <f t="shared" si="77"/>
        <v>3600</v>
      </c>
      <c r="E1271">
        <f t="shared" si="78"/>
        <v>3351.2521000000002</v>
      </c>
      <c r="F1271">
        <f t="shared" si="79"/>
        <v>3600</v>
      </c>
    </row>
    <row r="1272" spans="1:6" x14ac:dyDescent="0.3">
      <c r="A1272">
        <v>13</v>
      </c>
      <c r="B1272">
        <v>78.38</v>
      </c>
      <c r="C1272">
        <f t="shared" si="76"/>
        <v>1018.9399999999999</v>
      </c>
      <c r="D1272">
        <f t="shared" si="77"/>
        <v>169</v>
      </c>
      <c r="E1272">
        <f t="shared" si="78"/>
        <v>6143.424399999999</v>
      </c>
      <c r="F1272">
        <f t="shared" si="79"/>
        <v>169</v>
      </c>
    </row>
    <row r="1273" spans="1:6" x14ac:dyDescent="0.3">
      <c r="A1273">
        <v>34</v>
      </c>
      <c r="B1273">
        <v>94.15</v>
      </c>
      <c r="C1273">
        <f t="shared" si="76"/>
        <v>3201.1000000000004</v>
      </c>
      <c r="D1273">
        <f t="shared" si="77"/>
        <v>1156</v>
      </c>
      <c r="E1273">
        <f t="shared" si="78"/>
        <v>8864.2225000000017</v>
      </c>
      <c r="F1273">
        <f t="shared" si="79"/>
        <v>1156</v>
      </c>
    </row>
    <row r="1274" spans="1:6" x14ac:dyDescent="0.3">
      <c r="A1274">
        <v>22</v>
      </c>
      <c r="B1274">
        <v>89.53</v>
      </c>
      <c r="C1274">
        <f t="shared" si="76"/>
        <v>1969.66</v>
      </c>
      <c r="D1274">
        <f t="shared" si="77"/>
        <v>484</v>
      </c>
      <c r="E1274">
        <f t="shared" si="78"/>
        <v>8015.6208999999999</v>
      </c>
      <c r="F1274">
        <f t="shared" si="79"/>
        <v>484</v>
      </c>
    </row>
    <row r="1275" spans="1:6" x14ac:dyDescent="0.3">
      <c r="A1275">
        <v>46</v>
      </c>
      <c r="B1275">
        <v>127.75</v>
      </c>
      <c r="C1275">
        <f t="shared" si="76"/>
        <v>5876.5</v>
      </c>
      <c r="D1275">
        <f t="shared" si="77"/>
        <v>2116</v>
      </c>
      <c r="E1275">
        <f t="shared" si="78"/>
        <v>16320.0625</v>
      </c>
      <c r="F1275">
        <f t="shared" si="79"/>
        <v>2116</v>
      </c>
    </row>
    <row r="1276" spans="1:6" x14ac:dyDescent="0.3">
      <c r="A1276">
        <v>53</v>
      </c>
      <c r="B1276">
        <v>76.790000000000006</v>
      </c>
      <c r="C1276">
        <f t="shared" si="76"/>
        <v>4069.8700000000003</v>
      </c>
      <c r="D1276">
        <f t="shared" si="77"/>
        <v>2809</v>
      </c>
      <c r="E1276">
        <f t="shared" si="78"/>
        <v>5896.7041000000008</v>
      </c>
      <c r="F1276">
        <f t="shared" si="79"/>
        <v>2809</v>
      </c>
    </row>
    <row r="1277" spans="1:6" x14ac:dyDescent="0.3">
      <c r="A1277">
        <v>28</v>
      </c>
      <c r="B1277">
        <v>141.15</v>
      </c>
      <c r="C1277">
        <f t="shared" si="76"/>
        <v>3952.2000000000003</v>
      </c>
      <c r="D1277">
        <f t="shared" si="77"/>
        <v>784</v>
      </c>
      <c r="E1277">
        <f t="shared" si="78"/>
        <v>19923.322500000002</v>
      </c>
      <c r="F1277">
        <f t="shared" si="79"/>
        <v>784</v>
      </c>
    </row>
    <row r="1278" spans="1:6" x14ac:dyDescent="0.3">
      <c r="A1278">
        <v>62</v>
      </c>
      <c r="B1278">
        <v>88.63</v>
      </c>
      <c r="C1278">
        <f t="shared" si="76"/>
        <v>5495.0599999999995</v>
      </c>
      <c r="D1278">
        <f t="shared" si="77"/>
        <v>3844</v>
      </c>
      <c r="E1278">
        <f t="shared" si="78"/>
        <v>7855.2768999999989</v>
      </c>
      <c r="F1278">
        <f t="shared" si="79"/>
        <v>3844</v>
      </c>
    </row>
    <row r="1279" spans="1:6" x14ac:dyDescent="0.3">
      <c r="A1279">
        <v>6</v>
      </c>
      <c r="B1279">
        <v>201.25</v>
      </c>
      <c r="C1279">
        <f t="shared" si="76"/>
        <v>1207.5</v>
      </c>
      <c r="D1279">
        <f t="shared" si="77"/>
        <v>36</v>
      </c>
      <c r="E1279">
        <f t="shared" si="78"/>
        <v>40501.5625</v>
      </c>
      <c r="F1279">
        <f t="shared" si="79"/>
        <v>36</v>
      </c>
    </row>
    <row r="1280" spans="1:6" x14ac:dyDescent="0.3">
      <c r="A1280">
        <v>11</v>
      </c>
      <c r="B1280">
        <v>130.15</v>
      </c>
      <c r="C1280">
        <f t="shared" si="76"/>
        <v>1431.65</v>
      </c>
      <c r="D1280">
        <f t="shared" si="77"/>
        <v>121</v>
      </c>
      <c r="E1280">
        <f t="shared" si="78"/>
        <v>16939.022500000003</v>
      </c>
      <c r="F1280">
        <f t="shared" si="79"/>
        <v>121</v>
      </c>
    </row>
    <row r="1281" spans="1:6" x14ac:dyDescent="0.3">
      <c r="A1281">
        <v>66</v>
      </c>
      <c r="B1281">
        <v>108.03</v>
      </c>
      <c r="C1281">
        <f t="shared" si="76"/>
        <v>7129.9800000000005</v>
      </c>
      <c r="D1281">
        <f t="shared" si="77"/>
        <v>4356</v>
      </c>
      <c r="E1281">
        <f t="shared" si="78"/>
        <v>11670.4809</v>
      </c>
      <c r="F1281">
        <f t="shared" si="79"/>
        <v>4356</v>
      </c>
    </row>
    <row r="1282" spans="1:6" x14ac:dyDescent="0.3">
      <c r="A1282">
        <v>80</v>
      </c>
      <c r="B1282">
        <v>104.07</v>
      </c>
      <c r="C1282">
        <f t="shared" si="76"/>
        <v>8325.5999999999985</v>
      </c>
      <c r="D1282">
        <f t="shared" si="77"/>
        <v>6400</v>
      </c>
      <c r="E1282">
        <f t="shared" si="78"/>
        <v>10830.564899999999</v>
      </c>
      <c r="F1282">
        <f t="shared" si="79"/>
        <v>6400</v>
      </c>
    </row>
    <row r="1283" spans="1:6" x14ac:dyDescent="0.3">
      <c r="A1283">
        <v>8</v>
      </c>
      <c r="B1283">
        <v>88.83</v>
      </c>
      <c r="C1283">
        <f t="shared" ref="C1283:C1346" si="80">A1283*B1283</f>
        <v>710.64</v>
      </c>
      <c r="D1283">
        <f t="shared" ref="D1283:D1346" si="81">A1283*A1283</f>
        <v>64</v>
      </c>
      <c r="E1283">
        <f t="shared" ref="E1283:E1346" si="82">B1283*B1283</f>
        <v>7890.7689</v>
      </c>
      <c r="F1283">
        <f t="shared" ref="F1283:F1346" si="83">A1283^2</f>
        <v>64</v>
      </c>
    </row>
    <row r="1284" spans="1:6" x14ac:dyDescent="0.3">
      <c r="A1284">
        <v>53</v>
      </c>
      <c r="B1284">
        <v>197.79</v>
      </c>
      <c r="C1284">
        <f t="shared" si="80"/>
        <v>10482.869999999999</v>
      </c>
      <c r="D1284">
        <f t="shared" si="81"/>
        <v>2809</v>
      </c>
      <c r="E1284">
        <f t="shared" si="82"/>
        <v>39120.884099999996</v>
      </c>
      <c r="F1284">
        <f t="shared" si="83"/>
        <v>2809</v>
      </c>
    </row>
    <row r="1285" spans="1:6" x14ac:dyDescent="0.3">
      <c r="A1285">
        <v>63</v>
      </c>
      <c r="B1285">
        <v>150.44999999999999</v>
      </c>
      <c r="C1285">
        <f t="shared" si="80"/>
        <v>9478.3499999999985</v>
      </c>
      <c r="D1285">
        <f t="shared" si="81"/>
        <v>3969</v>
      </c>
      <c r="E1285">
        <f t="shared" si="82"/>
        <v>22635.202499999996</v>
      </c>
      <c r="F1285">
        <f t="shared" si="83"/>
        <v>3969</v>
      </c>
    </row>
    <row r="1286" spans="1:6" x14ac:dyDescent="0.3">
      <c r="A1286">
        <v>31</v>
      </c>
      <c r="B1286">
        <v>100.39</v>
      </c>
      <c r="C1286">
        <f t="shared" si="80"/>
        <v>3112.09</v>
      </c>
      <c r="D1286">
        <f t="shared" si="81"/>
        <v>961</v>
      </c>
      <c r="E1286">
        <f t="shared" si="82"/>
        <v>10078.152099999999</v>
      </c>
      <c r="F1286">
        <f t="shared" si="83"/>
        <v>961</v>
      </c>
    </row>
    <row r="1287" spans="1:6" x14ac:dyDescent="0.3">
      <c r="A1287">
        <v>43</v>
      </c>
      <c r="B1287">
        <v>79.92</v>
      </c>
      <c r="C1287">
        <f t="shared" si="80"/>
        <v>3436.56</v>
      </c>
      <c r="D1287">
        <f t="shared" si="81"/>
        <v>1849</v>
      </c>
      <c r="E1287">
        <f t="shared" si="82"/>
        <v>6387.2064</v>
      </c>
      <c r="F1287">
        <f t="shared" si="83"/>
        <v>1849</v>
      </c>
    </row>
    <row r="1288" spans="1:6" x14ac:dyDescent="0.3">
      <c r="A1288">
        <v>79</v>
      </c>
      <c r="B1288">
        <v>96.79</v>
      </c>
      <c r="C1288">
        <f t="shared" si="80"/>
        <v>7646.4100000000008</v>
      </c>
      <c r="D1288">
        <f t="shared" si="81"/>
        <v>6241</v>
      </c>
      <c r="E1288">
        <f t="shared" si="82"/>
        <v>9368.3041000000012</v>
      </c>
      <c r="F1288">
        <f t="shared" si="83"/>
        <v>6241</v>
      </c>
    </row>
    <row r="1289" spans="1:6" x14ac:dyDescent="0.3">
      <c r="A1289">
        <v>8</v>
      </c>
      <c r="B1289">
        <v>86.84</v>
      </c>
      <c r="C1289">
        <f t="shared" si="80"/>
        <v>694.72</v>
      </c>
      <c r="D1289">
        <f t="shared" si="81"/>
        <v>64</v>
      </c>
      <c r="E1289">
        <f t="shared" si="82"/>
        <v>7541.1856000000007</v>
      </c>
      <c r="F1289">
        <f t="shared" si="83"/>
        <v>64</v>
      </c>
    </row>
    <row r="1290" spans="1:6" x14ac:dyDescent="0.3">
      <c r="A1290">
        <v>38</v>
      </c>
      <c r="B1290">
        <v>61.27</v>
      </c>
      <c r="C1290">
        <f t="shared" si="80"/>
        <v>2328.2600000000002</v>
      </c>
      <c r="D1290">
        <f t="shared" si="81"/>
        <v>1444</v>
      </c>
      <c r="E1290">
        <f t="shared" si="82"/>
        <v>3754.0129000000002</v>
      </c>
      <c r="F1290">
        <f t="shared" si="83"/>
        <v>1444</v>
      </c>
    </row>
    <row r="1291" spans="1:6" x14ac:dyDescent="0.3">
      <c r="A1291">
        <v>80</v>
      </c>
      <c r="B1291">
        <v>72.61</v>
      </c>
      <c r="C1291">
        <f t="shared" si="80"/>
        <v>5808.8</v>
      </c>
      <c r="D1291">
        <f t="shared" si="81"/>
        <v>6400</v>
      </c>
      <c r="E1291">
        <f t="shared" si="82"/>
        <v>5272.2120999999997</v>
      </c>
      <c r="F1291">
        <f t="shared" si="83"/>
        <v>6400</v>
      </c>
    </row>
    <row r="1292" spans="1:6" x14ac:dyDescent="0.3">
      <c r="A1292">
        <v>49</v>
      </c>
      <c r="B1292">
        <v>82.41</v>
      </c>
      <c r="C1292">
        <f t="shared" si="80"/>
        <v>4038.0899999999997</v>
      </c>
      <c r="D1292">
        <f t="shared" si="81"/>
        <v>2401</v>
      </c>
      <c r="E1292">
        <f t="shared" si="82"/>
        <v>6791.4080999999996</v>
      </c>
      <c r="F1292">
        <f t="shared" si="83"/>
        <v>2401</v>
      </c>
    </row>
    <row r="1293" spans="1:6" x14ac:dyDescent="0.3">
      <c r="A1293">
        <v>50</v>
      </c>
      <c r="B1293">
        <v>74.72</v>
      </c>
      <c r="C1293">
        <f t="shared" si="80"/>
        <v>3736</v>
      </c>
      <c r="D1293">
        <f t="shared" si="81"/>
        <v>2500</v>
      </c>
      <c r="E1293">
        <f t="shared" si="82"/>
        <v>5583.0783999999994</v>
      </c>
      <c r="F1293">
        <f t="shared" si="83"/>
        <v>2500</v>
      </c>
    </row>
    <row r="1294" spans="1:6" x14ac:dyDescent="0.3">
      <c r="A1294">
        <v>13</v>
      </c>
      <c r="B1294">
        <v>57.37</v>
      </c>
      <c r="C1294">
        <f t="shared" si="80"/>
        <v>745.81</v>
      </c>
      <c r="D1294">
        <f t="shared" si="81"/>
        <v>169</v>
      </c>
      <c r="E1294">
        <f t="shared" si="82"/>
        <v>3291.3168999999998</v>
      </c>
      <c r="F1294">
        <f t="shared" si="83"/>
        <v>169</v>
      </c>
    </row>
    <row r="1295" spans="1:6" x14ac:dyDescent="0.3">
      <c r="A1295">
        <v>46</v>
      </c>
      <c r="B1295">
        <v>73.72</v>
      </c>
      <c r="C1295">
        <f t="shared" si="80"/>
        <v>3391.12</v>
      </c>
      <c r="D1295">
        <f t="shared" si="81"/>
        <v>2116</v>
      </c>
      <c r="E1295">
        <f t="shared" si="82"/>
        <v>5434.6383999999998</v>
      </c>
      <c r="F1295">
        <f t="shared" si="83"/>
        <v>2116</v>
      </c>
    </row>
    <row r="1296" spans="1:6" x14ac:dyDescent="0.3">
      <c r="A1296">
        <v>73</v>
      </c>
      <c r="B1296">
        <v>88.34</v>
      </c>
      <c r="C1296">
        <f t="shared" si="80"/>
        <v>6448.8200000000006</v>
      </c>
      <c r="D1296">
        <f t="shared" si="81"/>
        <v>5329</v>
      </c>
      <c r="E1296">
        <f t="shared" si="82"/>
        <v>7803.9556000000002</v>
      </c>
      <c r="F1296">
        <f t="shared" si="83"/>
        <v>5329</v>
      </c>
    </row>
    <row r="1297" spans="1:6" x14ac:dyDescent="0.3">
      <c r="A1297">
        <v>60</v>
      </c>
      <c r="B1297">
        <v>101.34</v>
      </c>
      <c r="C1297">
        <f t="shared" si="80"/>
        <v>6080.4000000000005</v>
      </c>
      <c r="D1297">
        <f t="shared" si="81"/>
        <v>3600</v>
      </c>
      <c r="E1297">
        <f t="shared" si="82"/>
        <v>10269.795600000001</v>
      </c>
      <c r="F1297">
        <f t="shared" si="83"/>
        <v>3600</v>
      </c>
    </row>
    <row r="1298" spans="1:6" x14ac:dyDescent="0.3">
      <c r="A1298">
        <v>44</v>
      </c>
      <c r="B1298">
        <v>119.01</v>
      </c>
      <c r="C1298">
        <f t="shared" si="80"/>
        <v>5236.4400000000005</v>
      </c>
      <c r="D1298">
        <f t="shared" si="81"/>
        <v>1936</v>
      </c>
      <c r="E1298">
        <f t="shared" si="82"/>
        <v>14163.3801</v>
      </c>
      <c r="F1298">
        <f t="shared" si="83"/>
        <v>1936</v>
      </c>
    </row>
    <row r="1299" spans="1:6" x14ac:dyDescent="0.3">
      <c r="A1299">
        <v>79</v>
      </c>
      <c r="B1299">
        <v>71.98</v>
      </c>
      <c r="C1299">
        <f t="shared" si="80"/>
        <v>5686.42</v>
      </c>
      <c r="D1299">
        <f t="shared" si="81"/>
        <v>6241</v>
      </c>
      <c r="E1299">
        <f t="shared" si="82"/>
        <v>5181.1204000000007</v>
      </c>
      <c r="F1299">
        <f t="shared" si="83"/>
        <v>6241</v>
      </c>
    </row>
    <row r="1300" spans="1:6" x14ac:dyDescent="0.3">
      <c r="A1300">
        <v>5</v>
      </c>
      <c r="B1300">
        <v>84.91</v>
      </c>
      <c r="C1300">
        <f t="shared" si="80"/>
        <v>424.54999999999995</v>
      </c>
      <c r="D1300">
        <f t="shared" si="81"/>
        <v>25</v>
      </c>
      <c r="E1300">
        <f t="shared" si="82"/>
        <v>7209.7080999999998</v>
      </c>
      <c r="F1300">
        <f t="shared" si="83"/>
        <v>25</v>
      </c>
    </row>
    <row r="1301" spans="1:6" x14ac:dyDescent="0.3">
      <c r="A1301">
        <v>51</v>
      </c>
      <c r="B1301">
        <v>91.63</v>
      </c>
      <c r="C1301">
        <f t="shared" si="80"/>
        <v>4673.13</v>
      </c>
      <c r="D1301">
        <f t="shared" si="81"/>
        <v>2601</v>
      </c>
      <c r="E1301">
        <f t="shared" si="82"/>
        <v>8396.0568999999996</v>
      </c>
      <c r="F1301">
        <f t="shared" si="83"/>
        <v>2601</v>
      </c>
    </row>
    <row r="1302" spans="1:6" x14ac:dyDescent="0.3">
      <c r="A1302">
        <v>71</v>
      </c>
      <c r="B1302">
        <v>214.77</v>
      </c>
      <c r="C1302">
        <f t="shared" si="80"/>
        <v>15248.67</v>
      </c>
      <c r="D1302">
        <f t="shared" si="81"/>
        <v>5041</v>
      </c>
      <c r="E1302">
        <f t="shared" si="82"/>
        <v>46126.152900000001</v>
      </c>
      <c r="F1302">
        <f t="shared" si="83"/>
        <v>5041</v>
      </c>
    </row>
    <row r="1303" spans="1:6" x14ac:dyDescent="0.3">
      <c r="A1303">
        <v>5</v>
      </c>
      <c r="B1303">
        <v>145.71</v>
      </c>
      <c r="C1303">
        <f t="shared" si="80"/>
        <v>728.55000000000007</v>
      </c>
      <c r="D1303">
        <f t="shared" si="81"/>
        <v>25</v>
      </c>
      <c r="E1303">
        <f t="shared" si="82"/>
        <v>21231.404100000003</v>
      </c>
      <c r="F1303">
        <f t="shared" si="83"/>
        <v>25</v>
      </c>
    </row>
    <row r="1304" spans="1:6" x14ac:dyDescent="0.3">
      <c r="A1304">
        <v>65</v>
      </c>
      <c r="B1304">
        <v>167.31</v>
      </c>
      <c r="C1304">
        <f t="shared" si="80"/>
        <v>10875.15</v>
      </c>
      <c r="D1304">
        <f t="shared" si="81"/>
        <v>4225</v>
      </c>
      <c r="E1304">
        <f t="shared" si="82"/>
        <v>27992.6361</v>
      </c>
      <c r="F1304">
        <f t="shared" si="83"/>
        <v>4225</v>
      </c>
    </row>
    <row r="1305" spans="1:6" x14ac:dyDescent="0.3">
      <c r="A1305">
        <v>81</v>
      </c>
      <c r="B1305">
        <v>63.65</v>
      </c>
      <c r="C1305">
        <f t="shared" si="80"/>
        <v>5155.6499999999996</v>
      </c>
      <c r="D1305">
        <f t="shared" si="81"/>
        <v>6561</v>
      </c>
      <c r="E1305">
        <f t="shared" si="82"/>
        <v>4051.3224999999998</v>
      </c>
      <c r="F1305">
        <f t="shared" si="83"/>
        <v>6561</v>
      </c>
    </row>
    <row r="1306" spans="1:6" x14ac:dyDescent="0.3">
      <c r="A1306">
        <v>46</v>
      </c>
      <c r="B1306">
        <v>79.63</v>
      </c>
      <c r="C1306">
        <f t="shared" si="80"/>
        <v>3662.9799999999996</v>
      </c>
      <c r="D1306">
        <f t="shared" si="81"/>
        <v>2116</v>
      </c>
      <c r="E1306">
        <f t="shared" si="82"/>
        <v>6340.9368999999997</v>
      </c>
      <c r="F1306">
        <f t="shared" si="83"/>
        <v>2116</v>
      </c>
    </row>
    <row r="1307" spans="1:6" x14ac:dyDescent="0.3">
      <c r="A1307">
        <v>44</v>
      </c>
      <c r="B1307">
        <v>87.49</v>
      </c>
      <c r="C1307">
        <f t="shared" si="80"/>
        <v>3849.56</v>
      </c>
      <c r="D1307">
        <f t="shared" si="81"/>
        <v>1936</v>
      </c>
      <c r="E1307">
        <f t="shared" si="82"/>
        <v>7654.5000999999993</v>
      </c>
      <c r="F1307">
        <f t="shared" si="83"/>
        <v>1936</v>
      </c>
    </row>
    <row r="1308" spans="1:6" x14ac:dyDescent="0.3">
      <c r="A1308">
        <v>54</v>
      </c>
      <c r="B1308">
        <v>98.74</v>
      </c>
      <c r="C1308">
        <f t="shared" si="80"/>
        <v>5331.96</v>
      </c>
      <c r="D1308">
        <f t="shared" si="81"/>
        <v>2916</v>
      </c>
      <c r="E1308">
        <f t="shared" si="82"/>
        <v>9749.5875999999989</v>
      </c>
      <c r="F1308">
        <f t="shared" si="83"/>
        <v>2916</v>
      </c>
    </row>
    <row r="1309" spans="1:6" x14ac:dyDescent="0.3">
      <c r="A1309">
        <v>25</v>
      </c>
      <c r="B1309">
        <v>92.82</v>
      </c>
      <c r="C1309">
        <f t="shared" si="80"/>
        <v>2320.5</v>
      </c>
      <c r="D1309">
        <f t="shared" si="81"/>
        <v>625</v>
      </c>
      <c r="E1309">
        <f t="shared" si="82"/>
        <v>8615.5523999999987</v>
      </c>
      <c r="F1309">
        <f t="shared" si="83"/>
        <v>625</v>
      </c>
    </row>
    <row r="1310" spans="1:6" x14ac:dyDescent="0.3">
      <c r="A1310">
        <v>49</v>
      </c>
      <c r="B1310">
        <v>72.2</v>
      </c>
      <c r="C1310">
        <f t="shared" si="80"/>
        <v>3537.8</v>
      </c>
      <c r="D1310">
        <f t="shared" si="81"/>
        <v>2401</v>
      </c>
      <c r="E1310">
        <f t="shared" si="82"/>
        <v>5212.84</v>
      </c>
      <c r="F1310">
        <f t="shared" si="83"/>
        <v>2401</v>
      </c>
    </row>
    <row r="1311" spans="1:6" x14ac:dyDescent="0.3">
      <c r="A1311">
        <v>80</v>
      </c>
      <c r="B1311">
        <v>181.23</v>
      </c>
      <c r="C1311">
        <f t="shared" si="80"/>
        <v>14498.4</v>
      </c>
      <c r="D1311">
        <f t="shared" si="81"/>
        <v>6400</v>
      </c>
      <c r="E1311">
        <f t="shared" si="82"/>
        <v>32844.312899999997</v>
      </c>
      <c r="F1311">
        <f t="shared" si="83"/>
        <v>6400</v>
      </c>
    </row>
    <row r="1312" spans="1:6" x14ac:dyDescent="0.3">
      <c r="A1312">
        <v>22</v>
      </c>
      <c r="B1312">
        <v>63.37</v>
      </c>
      <c r="C1312">
        <f t="shared" si="80"/>
        <v>1394.1399999999999</v>
      </c>
      <c r="D1312">
        <f t="shared" si="81"/>
        <v>484</v>
      </c>
      <c r="E1312">
        <f t="shared" si="82"/>
        <v>4015.7568999999999</v>
      </c>
      <c r="F1312">
        <f t="shared" si="83"/>
        <v>484</v>
      </c>
    </row>
    <row r="1313" spans="1:6" x14ac:dyDescent="0.3">
      <c r="A1313">
        <v>61</v>
      </c>
      <c r="B1313">
        <v>74.819999999999993</v>
      </c>
      <c r="C1313">
        <f t="shared" si="80"/>
        <v>4564.0199999999995</v>
      </c>
      <c r="D1313">
        <f t="shared" si="81"/>
        <v>3721</v>
      </c>
      <c r="E1313">
        <f t="shared" si="82"/>
        <v>5598.0323999999991</v>
      </c>
      <c r="F1313">
        <f t="shared" si="83"/>
        <v>3721</v>
      </c>
    </row>
    <row r="1314" spans="1:6" x14ac:dyDescent="0.3">
      <c r="A1314">
        <v>3</v>
      </c>
      <c r="B1314">
        <v>97.6</v>
      </c>
      <c r="C1314">
        <f t="shared" si="80"/>
        <v>292.79999999999995</v>
      </c>
      <c r="D1314">
        <f t="shared" si="81"/>
        <v>9</v>
      </c>
      <c r="E1314">
        <f t="shared" si="82"/>
        <v>9525.7599999999984</v>
      </c>
      <c r="F1314">
        <f t="shared" si="83"/>
        <v>9</v>
      </c>
    </row>
    <row r="1315" spans="1:6" x14ac:dyDescent="0.3">
      <c r="A1315">
        <v>50</v>
      </c>
      <c r="B1315">
        <v>93.04</v>
      </c>
      <c r="C1315">
        <f t="shared" si="80"/>
        <v>4652</v>
      </c>
      <c r="D1315">
        <f t="shared" si="81"/>
        <v>2500</v>
      </c>
      <c r="E1315">
        <f t="shared" si="82"/>
        <v>8656.4416000000019</v>
      </c>
      <c r="F1315">
        <f t="shared" si="83"/>
        <v>2500</v>
      </c>
    </row>
    <row r="1316" spans="1:6" x14ac:dyDescent="0.3">
      <c r="A1316">
        <v>45</v>
      </c>
      <c r="B1316">
        <v>97.12</v>
      </c>
      <c r="C1316">
        <f t="shared" si="80"/>
        <v>4370.4000000000005</v>
      </c>
      <c r="D1316">
        <f t="shared" si="81"/>
        <v>2025</v>
      </c>
      <c r="E1316">
        <f t="shared" si="82"/>
        <v>9432.2944000000007</v>
      </c>
      <c r="F1316">
        <f t="shared" si="83"/>
        <v>2025</v>
      </c>
    </row>
    <row r="1317" spans="1:6" x14ac:dyDescent="0.3">
      <c r="A1317">
        <v>55</v>
      </c>
      <c r="B1317">
        <v>82.81</v>
      </c>
      <c r="C1317">
        <f t="shared" si="80"/>
        <v>4554.55</v>
      </c>
      <c r="D1317">
        <f t="shared" si="81"/>
        <v>3025</v>
      </c>
      <c r="E1317">
        <f t="shared" si="82"/>
        <v>6857.4961000000003</v>
      </c>
      <c r="F1317">
        <f t="shared" si="83"/>
        <v>3025</v>
      </c>
    </row>
    <row r="1318" spans="1:6" x14ac:dyDescent="0.3">
      <c r="A1318">
        <v>21</v>
      </c>
      <c r="B1318">
        <v>134.44999999999999</v>
      </c>
      <c r="C1318">
        <f t="shared" si="80"/>
        <v>2823.45</v>
      </c>
      <c r="D1318">
        <f t="shared" si="81"/>
        <v>441</v>
      </c>
      <c r="E1318">
        <f t="shared" si="82"/>
        <v>18076.802499999998</v>
      </c>
      <c r="F1318">
        <f t="shared" si="83"/>
        <v>441</v>
      </c>
    </row>
    <row r="1319" spans="1:6" x14ac:dyDescent="0.3">
      <c r="A1319">
        <v>0.8</v>
      </c>
      <c r="B1319">
        <v>98.67</v>
      </c>
      <c r="C1319">
        <f t="shared" si="80"/>
        <v>78.936000000000007</v>
      </c>
      <c r="D1319">
        <f t="shared" si="81"/>
        <v>0.64000000000000012</v>
      </c>
      <c r="E1319">
        <f t="shared" si="82"/>
        <v>9735.7689000000009</v>
      </c>
      <c r="F1319">
        <f t="shared" si="83"/>
        <v>0.64000000000000012</v>
      </c>
    </row>
    <row r="1320" spans="1:6" x14ac:dyDescent="0.3">
      <c r="A1320">
        <v>50</v>
      </c>
      <c r="B1320">
        <v>85.82</v>
      </c>
      <c r="C1320">
        <f t="shared" si="80"/>
        <v>4291</v>
      </c>
      <c r="D1320">
        <f t="shared" si="81"/>
        <v>2500</v>
      </c>
      <c r="E1320">
        <f t="shared" si="82"/>
        <v>7365.0723999999991</v>
      </c>
      <c r="F1320">
        <f t="shared" si="83"/>
        <v>2500</v>
      </c>
    </row>
    <row r="1321" spans="1:6" x14ac:dyDescent="0.3">
      <c r="A1321">
        <v>73</v>
      </c>
      <c r="B1321">
        <v>189.45</v>
      </c>
      <c r="C1321">
        <f t="shared" si="80"/>
        <v>13829.849999999999</v>
      </c>
      <c r="D1321">
        <f t="shared" si="81"/>
        <v>5329</v>
      </c>
      <c r="E1321">
        <f t="shared" si="82"/>
        <v>35891.302499999998</v>
      </c>
      <c r="F1321">
        <f t="shared" si="83"/>
        <v>5329</v>
      </c>
    </row>
    <row r="1322" spans="1:6" x14ac:dyDescent="0.3">
      <c r="A1322">
        <v>58</v>
      </c>
      <c r="B1322">
        <v>144.16</v>
      </c>
      <c r="C1322">
        <f t="shared" si="80"/>
        <v>8361.2800000000007</v>
      </c>
      <c r="D1322">
        <f t="shared" si="81"/>
        <v>3364</v>
      </c>
      <c r="E1322">
        <f t="shared" si="82"/>
        <v>20782.105599999999</v>
      </c>
      <c r="F1322">
        <f t="shared" si="83"/>
        <v>3364</v>
      </c>
    </row>
    <row r="1323" spans="1:6" x14ac:dyDescent="0.3">
      <c r="A1323">
        <v>30</v>
      </c>
      <c r="B1323">
        <v>82.56</v>
      </c>
      <c r="C1323">
        <f t="shared" si="80"/>
        <v>2476.8000000000002</v>
      </c>
      <c r="D1323">
        <f t="shared" si="81"/>
        <v>900</v>
      </c>
      <c r="E1323">
        <f t="shared" si="82"/>
        <v>6816.1536000000006</v>
      </c>
      <c r="F1323">
        <f t="shared" si="83"/>
        <v>900</v>
      </c>
    </row>
    <row r="1324" spans="1:6" x14ac:dyDescent="0.3">
      <c r="A1324">
        <v>55</v>
      </c>
      <c r="B1324">
        <v>206.4</v>
      </c>
      <c r="C1324">
        <f t="shared" si="80"/>
        <v>11352</v>
      </c>
      <c r="D1324">
        <f t="shared" si="81"/>
        <v>3025</v>
      </c>
      <c r="E1324">
        <f t="shared" si="82"/>
        <v>42600.959999999999</v>
      </c>
      <c r="F1324">
        <f t="shared" si="83"/>
        <v>3025</v>
      </c>
    </row>
    <row r="1325" spans="1:6" x14ac:dyDescent="0.3">
      <c r="A1325">
        <v>57</v>
      </c>
      <c r="B1325">
        <v>67.97</v>
      </c>
      <c r="C1325">
        <f t="shared" si="80"/>
        <v>3874.29</v>
      </c>
      <c r="D1325">
        <f t="shared" si="81"/>
        <v>3249</v>
      </c>
      <c r="E1325">
        <f t="shared" si="82"/>
        <v>4619.9209000000001</v>
      </c>
      <c r="F1325">
        <f t="shared" si="83"/>
        <v>3249</v>
      </c>
    </row>
    <row r="1326" spans="1:6" x14ac:dyDescent="0.3">
      <c r="A1326">
        <v>80</v>
      </c>
      <c r="B1326">
        <v>84.86</v>
      </c>
      <c r="C1326">
        <f t="shared" si="80"/>
        <v>6788.8</v>
      </c>
      <c r="D1326">
        <f t="shared" si="81"/>
        <v>6400</v>
      </c>
      <c r="E1326">
        <f t="shared" si="82"/>
        <v>7201.2196000000004</v>
      </c>
      <c r="F1326">
        <f t="shared" si="83"/>
        <v>6400</v>
      </c>
    </row>
    <row r="1327" spans="1:6" x14ac:dyDescent="0.3">
      <c r="A1327">
        <v>77</v>
      </c>
      <c r="B1327">
        <v>71.7</v>
      </c>
      <c r="C1327">
        <f t="shared" si="80"/>
        <v>5520.9000000000005</v>
      </c>
      <c r="D1327">
        <f t="shared" si="81"/>
        <v>5929</v>
      </c>
      <c r="E1327">
        <f t="shared" si="82"/>
        <v>5140.8900000000003</v>
      </c>
      <c r="F1327">
        <f t="shared" si="83"/>
        <v>5929</v>
      </c>
    </row>
    <row r="1328" spans="1:6" x14ac:dyDescent="0.3">
      <c r="A1328">
        <v>29</v>
      </c>
      <c r="B1328">
        <v>72.02</v>
      </c>
      <c r="C1328">
        <f t="shared" si="80"/>
        <v>2088.58</v>
      </c>
      <c r="D1328">
        <f t="shared" si="81"/>
        <v>841</v>
      </c>
      <c r="E1328">
        <f t="shared" si="82"/>
        <v>5186.8803999999991</v>
      </c>
      <c r="F1328">
        <f t="shared" si="83"/>
        <v>841</v>
      </c>
    </row>
    <row r="1329" spans="1:6" x14ac:dyDescent="0.3">
      <c r="A1329">
        <v>46</v>
      </c>
      <c r="B1329">
        <v>61.81</v>
      </c>
      <c r="C1329">
        <f t="shared" si="80"/>
        <v>2843.26</v>
      </c>
      <c r="D1329">
        <f t="shared" si="81"/>
        <v>2116</v>
      </c>
      <c r="E1329">
        <f t="shared" si="82"/>
        <v>3820.4761000000003</v>
      </c>
      <c r="F1329">
        <f t="shared" si="83"/>
        <v>2116</v>
      </c>
    </row>
    <row r="1330" spans="1:6" x14ac:dyDescent="0.3">
      <c r="A1330">
        <v>40</v>
      </c>
      <c r="B1330">
        <v>103.09</v>
      </c>
      <c r="C1330">
        <f t="shared" si="80"/>
        <v>4123.6000000000004</v>
      </c>
      <c r="D1330">
        <f t="shared" si="81"/>
        <v>1600</v>
      </c>
      <c r="E1330">
        <f t="shared" si="82"/>
        <v>10627.5481</v>
      </c>
      <c r="F1330">
        <f t="shared" si="83"/>
        <v>1600</v>
      </c>
    </row>
    <row r="1331" spans="1:6" x14ac:dyDescent="0.3">
      <c r="A1331">
        <v>29</v>
      </c>
      <c r="B1331">
        <v>73.75</v>
      </c>
      <c r="C1331">
        <f t="shared" si="80"/>
        <v>2138.75</v>
      </c>
      <c r="D1331">
        <f t="shared" si="81"/>
        <v>841</v>
      </c>
      <c r="E1331">
        <f t="shared" si="82"/>
        <v>5439.0625</v>
      </c>
      <c r="F1331">
        <f t="shared" si="83"/>
        <v>841</v>
      </c>
    </row>
    <row r="1332" spans="1:6" x14ac:dyDescent="0.3">
      <c r="A1332">
        <v>37</v>
      </c>
      <c r="B1332">
        <v>156.69999999999999</v>
      </c>
      <c r="C1332">
        <f t="shared" si="80"/>
        <v>5797.9</v>
      </c>
      <c r="D1332">
        <f t="shared" si="81"/>
        <v>1369</v>
      </c>
      <c r="E1332">
        <f t="shared" si="82"/>
        <v>24554.889999999996</v>
      </c>
      <c r="F1332">
        <f t="shared" si="83"/>
        <v>1369</v>
      </c>
    </row>
    <row r="1333" spans="1:6" x14ac:dyDescent="0.3">
      <c r="A1333">
        <v>35</v>
      </c>
      <c r="B1333">
        <v>70.87</v>
      </c>
      <c r="C1333">
        <f t="shared" si="80"/>
        <v>2480.4500000000003</v>
      </c>
      <c r="D1333">
        <f t="shared" si="81"/>
        <v>1225</v>
      </c>
      <c r="E1333">
        <f t="shared" si="82"/>
        <v>5022.5569000000005</v>
      </c>
      <c r="F1333">
        <f t="shared" si="83"/>
        <v>1225</v>
      </c>
    </row>
    <row r="1334" spans="1:6" x14ac:dyDescent="0.3">
      <c r="A1334">
        <v>54</v>
      </c>
      <c r="B1334">
        <v>138.47</v>
      </c>
      <c r="C1334">
        <f t="shared" si="80"/>
        <v>7477.38</v>
      </c>
      <c r="D1334">
        <f t="shared" si="81"/>
        <v>2916</v>
      </c>
      <c r="E1334">
        <f t="shared" si="82"/>
        <v>19173.940900000001</v>
      </c>
      <c r="F1334">
        <f t="shared" si="83"/>
        <v>2916</v>
      </c>
    </row>
    <row r="1335" spans="1:6" x14ac:dyDescent="0.3">
      <c r="A1335">
        <v>56</v>
      </c>
      <c r="B1335">
        <v>64.66</v>
      </c>
      <c r="C1335">
        <f t="shared" si="80"/>
        <v>3620.96</v>
      </c>
      <c r="D1335">
        <f t="shared" si="81"/>
        <v>3136</v>
      </c>
      <c r="E1335">
        <f t="shared" si="82"/>
        <v>4180.9155999999994</v>
      </c>
      <c r="F1335">
        <f t="shared" si="83"/>
        <v>3136</v>
      </c>
    </row>
    <row r="1336" spans="1:6" x14ac:dyDescent="0.3">
      <c r="A1336">
        <v>26</v>
      </c>
      <c r="B1336">
        <v>91.88</v>
      </c>
      <c r="C1336">
        <f t="shared" si="80"/>
        <v>2388.88</v>
      </c>
      <c r="D1336">
        <f t="shared" si="81"/>
        <v>676</v>
      </c>
      <c r="E1336">
        <f t="shared" si="82"/>
        <v>8441.9343999999983</v>
      </c>
      <c r="F1336">
        <f t="shared" si="83"/>
        <v>676</v>
      </c>
    </row>
    <row r="1337" spans="1:6" x14ac:dyDescent="0.3">
      <c r="A1337">
        <v>75</v>
      </c>
      <c r="B1337">
        <v>74.790000000000006</v>
      </c>
      <c r="C1337">
        <f t="shared" si="80"/>
        <v>5609.2500000000009</v>
      </c>
      <c r="D1337">
        <f t="shared" si="81"/>
        <v>5625</v>
      </c>
      <c r="E1337">
        <f t="shared" si="82"/>
        <v>5593.544100000001</v>
      </c>
      <c r="F1337">
        <f t="shared" si="83"/>
        <v>5625</v>
      </c>
    </row>
    <row r="1338" spans="1:6" x14ac:dyDescent="0.3">
      <c r="A1338">
        <v>44</v>
      </c>
      <c r="B1338">
        <v>78.180000000000007</v>
      </c>
      <c r="C1338">
        <f t="shared" si="80"/>
        <v>3439.92</v>
      </c>
      <c r="D1338">
        <f t="shared" si="81"/>
        <v>1936</v>
      </c>
      <c r="E1338">
        <f t="shared" si="82"/>
        <v>6112.1124000000009</v>
      </c>
      <c r="F1338">
        <f t="shared" si="83"/>
        <v>1936</v>
      </c>
    </row>
    <row r="1339" spans="1:6" x14ac:dyDescent="0.3">
      <c r="A1339">
        <v>63</v>
      </c>
      <c r="B1339">
        <v>77.819999999999993</v>
      </c>
      <c r="C1339">
        <f t="shared" si="80"/>
        <v>4902.66</v>
      </c>
      <c r="D1339">
        <f t="shared" si="81"/>
        <v>3969</v>
      </c>
      <c r="E1339">
        <f t="shared" si="82"/>
        <v>6055.9523999999992</v>
      </c>
      <c r="F1339">
        <f t="shared" si="83"/>
        <v>3969</v>
      </c>
    </row>
    <row r="1340" spans="1:6" x14ac:dyDescent="0.3">
      <c r="A1340">
        <v>17</v>
      </c>
      <c r="B1340">
        <v>112.23</v>
      </c>
      <c r="C1340">
        <f t="shared" si="80"/>
        <v>1907.91</v>
      </c>
      <c r="D1340">
        <f t="shared" si="81"/>
        <v>289</v>
      </c>
      <c r="E1340">
        <f t="shared" si="82"/>
        <v>12595.572900000001</v>
      </c>
      <c r="F1340">
        <f t="shared" si="83"/>
        <v>289</v>
      </c>
    </row>
    <row r="1341" spans="1:6" x14ac:dyDescent="0.3">
      <c r="A1341">
        <v>46</v>
      </c>
      <c r="B1341">
        <v>178.76</v>
      </c>
      <c r="C1341">
        <f t="shared" si="80"/>
        <v>8222.9599999999991</v>
      </c>
      <c r="D1341">
        <f t="shared" si="81"/>
        <v>2116</v>
      </c>
      <c r="E1341">
        <f t="shared" si="82"/>
        <v>31955.137599999998</v>
      </c>
      <c r="F1341">
        <f t="shared" si="83"/>
        <v>2116</v>
      </c>
    </row>
    <row r="1342" spans="1:6" x14ac:dyDescent="0.3">
      <c r="A1342">
        <v>47</v>
      </c>
      <c r="B1342">
        <v>121.43</v>
      </c>
      <c r="C1342">
        <f t="shared" si="80"/>
        <v>5707.21</v>
      </c>
      <c r="D1342">
        <f t="shared" si="81"/>
        <v>2209</v>
      </c>
      <c r="E1342">
        <f t="shared" si="82"/>
        <v>14745.244900000002</v>
      </c>
      <c r="F1342">
        <f t="shared" si="83"/>
        <v>2209</v>
      </c>
    </row>
    <row r="1343" spans="1:6" x14ac:dyDescent="0.3">
      <c r="A1343">
        <v>50</v>
      </c>
      <c r="B1343">
        <v>94.22</v>
      </c>
      <c r="C1343">
        <f t="shared" si="80"/>
        <v>4711</v>
      </c>
      <c r="D1343">
        <f t="shared" si="81"/>
        <v>2500</v>
      </c>
      <c r="E1343">
        <f t="shared" si="82"/>
        <v>8877.4084000000003</v>
      </c>
      <c r="F1343">
        <f t="shared" si="83"/>
        <v>2500</v>
      </c>
    </row>
    <row r="1344" spans="1:6" x14ac:dyDescent="0.3">
      <c r="A1344">
        <v>49</v>
      </c>
      <c r="B1344">
        <v>67.27</v>
      </c>
      <c r="C1344">
        <f t="shared" si="80"/>
        <v>3296.23</v>
      </c>
      <c r="D1344">
        <f t="shared" si="81"/>
        <v>2401</v>
      </c>
      <c r="E1344">
        <f t="shared" si="82"/>
        <v>4525.2528999999995</v>
      </c>
      <c r="F1344">
        <f t="shared" si="83"/>
        <v>2401</v>
      </c>
    </row>
    <row r="1345" spans="1:6" x14ac:dyDescent="0.3">
      <c r="A1345">
        <v>76</v>
      </c>
      <c r="B1345">
        <v>197.58</v>
      </c>
      <c r="C1345">
        <f t="shared" si="80"/>
        <v>15016.080000000002</v>
      </c>
      <c r="D1345">
        <f t="shared" si="81"/>
        <v>5776</v>
      </c>
      <c r="E1345">
        <f t="shared" si="82"/>
        <v>39037.856400000004</v>
      </c>
      <c r="F1345">
        <f t="shared" si="83"/>
        <v>5776</v>
      </c>
    </row>
    <row r="1346" spans="1:6" x14ac:dyDescent="0.3">
      <c r="A1346">
        <v>47</v>
      </c>
      <c r="B1346">
        <v>86.37</v>
      </c>
      <c r="C1346">
        <f t="shared" si="80"/>
        <v>4059.3900000000003</v>
      </c>
      <c r="D1346">
        <f t="shared" si="81"/>
        <v>2209</v>
      </c>
      <c r="E1346">
        <f t="shared" si="82"/>
        <v>7459.7769000000008</v>
      </c>
      <c r="F1346">
        <f t="shared" si="83"/>
        <v>2209</v>
      </c>
    </row>
    <row r="1347" spans="1:6" x14ac:dyDescent="0.3">
      <c r="A1347">
        <v>47</v>
      </c>
      <c r="B1347">
        <v>112.09</v>
      </c>
      <c r="C1347">
        <f t="shared" ref="C1347:C1410" si="84">A1347*B1347</f>
        <v>5268.2300000000005</v>
      </c>
      <c r="D1347">
        <f t="shared" ref="D1347:D1410" si="85">A1347*A1347</f>
        <v>2209</v>
      </c>
      <c r="E1347">
        <f t="shared" ref="E1347:E1410" si="86">B1347*B1347</f>
        <v>12564.168100000001</v>
      </c>
      <c r="F1347">
        <f t="shared" ref="F1347:F1410" si="87">A1347^2</f>
        <v>2209</v>
      </c>
    </row>
    <row r="1348" spans="1:6" x14ac:dyDescent="0.3">
      <c r="A1348">
        <v>49</v>
      </c>
      <c r="B1348">
        <v>199.96</v>
      </c>
      <c r="C1348">
        <f t="shared" si="84"/>
        <v>9798.0400000000009</v>
      </c>
      <c r="D1348">
        <f t="shared" si="85"/>
        <v>2401</v>
      </c>
      <c r="E1348">
        <f t="shared" si="86"/>
        <v>39984.001600000003</v>
      </c>
      <c r="F1348">
        <f t="shared" si="87"/>
        <v>2401</v>
      </c>
    </row>
    <row r="1349" spans="1:6" x14ac:dyDescent="0.3">
      <c r="A1349">
        <v>71</v>
      </c>
      <c r="B1349">
        <v>85.33</v>
      </c>
      <c r="C1349">
        <f t="shared" si="84"/>
        <v>6058.43</v>
      </c>
      <c r="D1349">
        <f t="shared" si="85"/>
        <v>5041</v>
      </c>
      <c r="E1349">
        <f t="shared" si="86"/>
        <v>7281.2088999999996</v>
      </c>
      <c r="F1349">
        <f t="shared" si="87"/>
        <v>5041</v>
      </c>
    </row>
    <row r="1350" spans="1:6" x14ac:dyDescent="0.3">
      <c r="A1350">
        <v>65</v>
      </c>
      <c r="B1350">
        <v>86.33</v>
      </c>
      <c r="C1350">
        <f t="shared" si="84"/>
        <v>5611.45</v>
      </c>
      <c r="D1350">
        <f t="shared" si="85"/>
        <v>4225</v>
      </c>
      <c r="E1350">
        <f t="shared" si="86"/>
        <v>7452.8688999999995</v>
      </c>
      <c r="F1350">
        <f t="shared" si="87"/>
        <v>4225</v>
      </c>
    </row>
    <row r="1351" spans="1:6" x14ac:dyDescent="0.3">
      <c r="A1351">
        <v>40</v>
      </c>
      <c r="B1351">
        <v>80.47</v>
      </c>
      <c r="C1351">
        <f t="shared" si="84"/>
        <v>3218.8</v>
      </c>
      <c r="D1351">
        <f t="shared" si="85"/>
        <v>1600</v>
      </c>
      <c r="E1351">
        <f t="shared" si="86"/>
        <v>6475.4209000000001</v>
      </c>
      <c r="F1351">
        <f t="shared" si="87"/>
        <v>1600</v>
      </c>
    </row>
    <row r="1352" spans="1:6" x14ac:dyDescent="0.3">
      <c r="A1352">
        <v>82</v>
      </c>
      <c r="B1352">
        <v>62.46</v>
      </c>
      <c r="C1352">
        <f t="shared" si="84"/>
        <v>5121.72</v>
      </c>
      <c r="D1352">
        <f t="shared" si="85"/>
        <v>6724</v>
      </c>
      <c r="E1352">
        <f t="shared" si="86"/>
        <v>3901.2516000000001</v>
      </c>
      <c r="F1352">
        <f t="shared" si="87"/>
        <v>6724</v>
      </c>
    </row>
    <row r="1353" spans="1:6" x14ac:dyDescent="0.3">
      <c r="A1353">
        <v>64</v>
      </c>
      <c r="B1353">
        <v>78.849999999999994</v>
      </c>
      <c r="C1353">
        <f t="shared" si="84"/>
        <v>5046.3999999999996</v>
      </c>
      <c r="D1353">
        <f t="shared" si="85"/>
        <v>4096</v>
      </c>
      <c r="E1353">
        <f t="shared" si="86"/>
        <v>6217.3224999999993</v>
      </c>
      <c r="F1353">
        <f t="shared" si="87"/>
        <v>4096</v>
      </c>
    </row>
    <row r="1354" spans="1:6" x14ac:dyDescent="0.3">
      <c r="A1354">
        <v>72</v>
      </c>
      <c r="B1354">
        <v>72.09</v>
      </c>
      <c r="C1354">
        <f t="shared" si="84"/>
        <v>5190.4800000000005</v>
      </c>
      <c r="D1354">
        <f t="shared" si="85"/>
        <v>5184</v>
      </c>
      <c r="E1354">
        <f t="shared" si="86"/>
        <v>5196.9681</v>
      </c>
      <c r="F1354">
        <f t="shared" si="87"/>
        <v>5184</v>
      </c>
    </row>
    <row r="1355" spans="1:6" x14ac:dyDescent="0.3">
      <c r="A1355">
        <v>50</v>
      </c>
      <c r="B1355">
        <v>103.81</v>
      </c>
      <c r="C1355">
        <f t="shared" si="84"/>
        <v>5190.5</v>
      </c>
      <c r="D1355">
        <f t="shared" si="85"/>
        <v>2500</v>
      </c>
      <c r="E1355">
        <f t="shared" si="86"/>
        <v>10776.516100000001</v>
      </c>
      <c r="F1355">
        <f t="shared" si="87"/>
        <v>2500</v>
      </c>
    </row>
    <row r="1356" spans="1:6" x14ac:dyDescent="0.3">
      <c r="A1356">
        <v>40</v>
      </c>
      <c r="B1356">
        <v>78.040000000000006</v>
      </c>
      <c r="C1356">
        <f t="shared" si="84"/>
        <v>3121.6000000000004</v>
      </c>
      <c r="D1356">
        <f t="shared" si="85"/>
        <v>1600</v>
      </c>
      <c r="E1356">
        <f t="shared" si="86"/>
        <v>6090.2416000000012</v>
      </c>
      <c r="F1356">
        <f t="shared" si="87"/>
        <v>1600</v>
      </c>
    </row>
    <row r="1357" spans="1:6" x14ac:dyDescent="0.3">
      <c r="A1357">
        <v>74</v>
      </c>
      <c r="B1357">
        <v>94.67</v>
      </c>
      <c r="C1357">
        <f t="shared" si="84"/>
        <v>7005.58</v>
      </c>
      <c r="D1357">
        <f t="shared" si="85"/>
        <v>5476</v>
      </c>
      <c r="E1357">
        <f t="shared" si="86"/>
        <v>8962.4089000000004</v>
      </c>
      <c r="F1357">
        <f t="shared" si="87"/>
        <v>5476</v>
      </c>
    </row>
    <row r="1358" spans="1:6" x14ac:dyDescent="0.3">
      <c r="A1358">
        <v>30</v>
      </c>
      <c r="B1358">
        <v>62.25</v>
      </c>
      <c r="C1358">
        <f t="shared" si="84"/>
        <v>1867.5</v>
      </c>
      <c r="D1358">
        <f t="shared" si="85"/>
        <v>900</v>
      </c>
      <c r="E1358">
        <f t="shared" si="86"/>
        <v>3875.0625</v>
      </c>
      <c r="F1358">
        <f t="shared" si="87"/>
        <v>900</v>
      </c>
    </row>
    <row r="1359" spans="1:6" x14ac:dyDescent="0.3">
      <c r="A1359">
        <v>68</v>
      </c>
      <c r="B1359">
        <v>155.16999999999999</v>
      </c>
      <c r="C1359">
        <f t="shared" si="84"/>
        <v>10551.56</v>
      </c>
      <c r="D1359">
        <f t="shared" si="85"/>
        <v>4624</v>
      </c>
      <c r="E1359">
        <f t="shared" si="86"/>
        <v>24077.728899999995</v>
      </c>
      <c r="F1359">
        <f t="shared" si="87"/>
        <v>4624</v>
      </c>
    </row>
    <row r="1360" spans="1:6" x14ac:dyDescent="0.3">
      <c r="A1360">
        <v>6</v>
      </c>
      <c r="B1360">
        <v>83.28</v>
      </c>
      <c r="C1360">
        <f t="shared" si="84"/>
        <v>499.68</v>
      </c>
      <c r="D1360">
        <f t="shared" si="85"/>
        <v>36</v>
      </c>
      <c r="E1360">
        <f t="shared" si="86"/>
        <v>6935.5583999999999</v>
      </c>
      <c r="F1360">
        <f t="shared" si="87"/>
        <v>36</v>
      </c>
    </row>
    <row r="1361" spans="1:6" x14ac:dyDescent="0.3">
      <c r="A1361">
        <v>4</v>
      </c>
      <c r="B1361">
        <v>132.41</v>
      </c>
      <c r="C1361">
        <f t="shared" si="84"/>
        <v>529.64</v>
      </c>
      <c r="D1361">
        <f t="shared" si="85"/>
        <v>16</v>
      </c>
      <c r="E1361">
        <f t="shared" si="86"/>
        <v>17532.408100000001</v>
      </c>
      <c r="F1361">
        <f t="shared" si="87"/>
        <v>16</v>
      </c>
    </row>
    <row r="1362" spans="1:6" x14ac:dyDescent="0.3">
      <c r="A1362">
        <v>60</v>
      </c>
      <c r="B1362">
        <v>62.78</v>
      </c>
      <c r="C1362">
        <f t="shared" si="84"/>
        <v>3766.8</v>
      </c>
      <c r="D1362">
        <f t="shared" si="85"/>
        <v>3600</v>
      </c>
      <c r="E1362">
        <f t="shared" si="86"/>
        <v>3941.3284000000003</v>
      </c>
      <c r="F1362">
        <f t="shared" si="87"/>
        <v>3600</v>
      </c>
    </row>
    <row r="1363" spans="1:6" x14ac:dyDescent="0.3">
      <c r="A1363">
        <v>59</v>
      </c>
      <c r="B1363">
        <v>89.96</v>
      </c>
      <c r="C1363">
        <f t="shared" si="84"/>
        <v>5307.6399999999994</v>
      </c>
      <c r="D1363">
        <f t="shared" si="85"/>
        <v>3481</v>
      </c>
      <c r="E1363">
        <f t="shared" si="86"/>
        <v>8092.8015999999989</v>
      </c>
      <c r="F1363">
        <f t="shared" si="87"/>
        <v>3481</v>
      </c>
    </row>
    <row r="1364" spans="1:6" x14ac:dyDescent="0.3">
      <c r="A1364">
        <v>72</v>
      </c>
      <c r="B1364">
        <v>103.25</v>
      </c>
      <c r="C1364">
        <f t="shared" si="84"/>
        <v>7434</v>
      </c>
      <c r="D1364">
        <f t="shared" si="85"/>
        <v>5184</v>
      </c>
      <c r="E1364">
        <f t="shared" si="86"/>
        <v>10660.5625</v>
      </c>
      <c r="F1364">
        <f t="shared" si="87"/>
        <v>5184</v>
      </c>
    </row>
    <row r="1365" spans="1:6" x14ac:dyDescent="0.3">
      <c r="A1365">
        <v>62</v>
      </c>
      <c r="B1365">
        <v>126.99</v>
      </c>
      <c r="C1365">
        <f t="shared" si="84"/>
        <v>7873.38</v>
      </c>
      <c r="D1365">
        <f t="shared" si="85"/>
        <v>3844</v>
      </c>
      <c r="E1365">
        <f t="shared" si="86"/>
        <v>16126.460099999998</v>
      </c>
      <c r="F1365">
        <f t="shared" si="87"/>
        <v>3844</v>
      </c>
    </row>
    <row r="1366" spans="1:6" x14ac:dyDescent="0.3">
      <c r="A1366">
        <v>13</v>
      </c>
      <c r="B1366">
        <v>102.27</v>
      </c>
      <c r="C1366">
        <f t="shared" si="84"/>
        <v>1329.51</v>
      </c>
      <c r="D1366">
        <f t="shared" si="85"/>
        <v>169</v>
      </c>
      <c r="E1366">
        <f t="shared" si="86"/>
        <v>10459.152899999999</v>
      </c>
      <c r="F1366">
        <f t="shared" si="87"/>
        <v>169</v>
      </c>
    </row>
    <row r="1367" spans="1:6" x14ac:dyDescent="0.3">
      <c r="A1367">
        <v>72</v>
      </c>
      <c r="B1367">
        <v>113.63</v>
      </c>
      <c r="C1367">
        <f t="shared" si="84"/>
        <v>8181.36</v>
      </c>
      <c r="D1367">
        <f t="shared" si="85"/>
        <v>5184</v>
      </c>
      <c r="E1367">
        <f t="shared" si="86"/>
        <v>12911.776899999999</v>
      </c>
      <c r="F1367">
        <f t="shared" si="87"/>
        <v>5184</v>
      </c>
    </row>
    <row r="1368" spans="1:6" x14ac:dyDescent="0.3">
      <c r="A1368">
        <v>1.08</v>
      </c>
      <c r="B1368">
        <v>86.09</v>
      </c>
      <c r="C1368">
        <f t="shared" si="84"/>
        <v>92.977200000000011</v>
      </c>
      <c r="D1368">
        <f t="shared" si="85"/>
        <v>1.1664000000000001</v>
      </c>
      <c r="E1368">
        <f t="shared" si="86"/>
        <v>7411.4881000000005</v>
      </c>
      <c r="F1368">
        <f t="shared" si="87"/>
        <v>1.1664000000000001</v>
      </c>
    </row>
    <row r="1369" spans="1:6" x14ac:dyDescent="0.3">
      <c r="A1369">
        <v>35</v>
      </c>
      <c r="B1369">
        <v>108.08</v>
      </c>
      <c r="C1369">
        <f t="shared" si="84"/>
        <v>3782.7999999999997</v>
      </c>
      <c r="D1369">
        <f t="shared" si="85"/>
        <v>1225</v>
      </c>
      <c r="E1369">
        <f t="shared" si="86"/>
        <v>11681.286399999999</v>
      </c>
      <c r="F1369">
        <f t="shared" si="87"/>
        <v>1225</v>
      </c>
    </row>
    <row r="1370" spans="1:6" x14ac:dyDescent="0.3">
      <c r="A1370">
        <v>54</v>
      </c>
      <c r="B1370">
        <v>108.34</v>
      </c>
      <c r="C1370">
        <f t="shared" si="84"/>
        <v>5850.3600000000006</v>
      </c>
      <c r="D1370">
        <f t="shared" si="85"/>
        <v>2916</v>
      </c>
      <c r="E1370">
        <f t="shared" si="86"/>
        <v>11737.555600000002</v>
      </c>
      <c r="F1370">
        <f t="shared" si="87"/>
        <v>2916</v>
      </c>
    </row>
    <row r="1371" spans="1:6" x14ac:dyDescent="0.3">
      <c r="A1371">
        <v>40</v>
      </c>
      <c r="B1371">
        <v>56.07</v>
      </c>
      <c r="C1371">
        <f t="shared" si="84"/>
        <v>2242.8000000000002</v>
      </c>
      <c r="D1371">
        <f t="shared" si="85"/>
        <v>1600</v>
      </c>
      <c r="E1371">
        <f t="shared" si="86"/>
        <v>3143.8449000000001</v>
      </c>
      <c r="F1371">
        <f t="shared" si="87"/>
        <v>1600</v>
      </c>
    </row>
    <row r="1372" spans="1:6" x14ac:dyDescent="0.3">
      <c r="A1372">
        <v>3</v>
      </c>
      <c r="B1372">
        <v>82.91</v>
      </c>
      <c r="C1372">
        <f t="shared" si="84"/>
        <v>248.73</v>
      </c>
      <c r="D1372">
        <f t="shared" si="85"/>
        <v>9</v>
      </c>
      <c r="E1372">
        <f t="shared" si="86"/>
        <v>6874.0680999999995</v>
      </c>
      <c r="F1372">
        <f t="shared" si="87"/>
        <v>9</v>
      </c>
    </row>
    <row r="1373" spans="1:6" x14ac:dyDescent="0.3">
      <c r="A1373">
        <v>2</v>
      </c>
      <c r="B1373">
        <v>94.75</v>
      </c>
      <c r="C1373">
        <f t="shared" si="84"/>
        <v>189.5</v>
      </c>
      <c r="D1373">
        <f t="shared" si="85"/>
        <v>4</v>
      </c>
      <c r="E1373">
        <f t="shared" si="86"/>
        <v>8977.5625</v>
      </c>
      <c r="F1373">
        <f t="shared" si="87"/>
        <v>4</v>
      </c>
    </row>
    <row r="1374" spans="1:6" x14ac:dyDescent="0.3">
      <c r="A1374">
        <v>41</v>
      </c>
      <c r="B1374">
        <v>101.79</v>
      </c>
      <c r="C1374">
        <f t="shared" si="84"/>
        <v>4173.3900000000003</v>
      </c>
      <c r="D1374">
        <f t="shared" si="85"/>
        <v>1681</v>
      </c>
      <c r="E1374">
        <f t="shared" si="86"/>
        <v>10361.204100000001</v>
      </c>
      <c r="F1374">
        <f t="shared" si="87"/>
        <v>1681</v>
      </c>
    </row>
    <row r="1375" spans="1:6" x14ac:dyDescent="0.3">
      <c r="A1375">
        <v>61</v>
      </c>
      <c r="B1375">
        <v>88.41</v>
      </c>
      <c r="C1375">
        <f t="shared" si="84"/>
        <v>5393.01</v>
      </c>
      <c r="D1375">
        <f t="shared" si="85"/>
        <v>3721</v>
      </c>
      <c r="E1375">
        <f t="shared" si="86"/>
        <v>7816.3280999999997</v>
      </c>
      <c r="F1375">
        <f t="shared" si="87"/>
        <v>3721</v>
      </c>
    </row>
    <row r="1376" spans="1:6" x14ac:dyDescent="0.3">
      <c r="A1376">
        <v>58</v>
      </c>
      <c r="B1376">
        <v>101.05</v>
      </c>
      <c r="C1376">
        <f t="shared" si="84"/>
        <v>5860.9</v>
      </c>
      <c r="D1376">
        <f t="shared" si="85"/>
        <v>3364</v>
      </c>
      <c r="E1376">
        <f t="shared" si="86"/>
        <v>10211.102499999999</v>
      </c>
      <c r="F1376">
        <f t="shared" si="87"/>
        <v>3364</v>
      </c>
    </row>
    <row r="1377" spans="1:6" x14ac:dyDescent="0.3">
      <c r="A1377">
        <v>17</v>
      </c>
      <c r="B1377">
        <v>85.07</v>
      </c>
      <c r="C1377">
        <f t="shared" si="84"/>
        <v>1446.1899999999998</v>
      </c>
      <c r="D1377">
        <f t="shared" si="85"/>
        <v>289</v>
      </c>
      <c r="E1377">
        <f t="shared" si="86"/>
        <v>7236.9048999999986</v>
      </c>
      <c r="F1377">
        <f t="shared" si="87"/>
        <v>289</v>
      </c>
    </row>
    <row r="1378" spans="1:6" x14ac:dyDescent="0.3">
      <c r="A1378">
        <v>64</v>
      </c>
      <c r="B1378">
        <v>108.1</v>
      </c>
      <c r="C1378">
        <f t="shared" si="84"/>
        <v>6918.4</v>
      </c>
      <c r="D1378">
        <f t="shared" si="85"/>
        <v>4096</v>
      </c>
      <c r="E1378">
        <f t="shared" si="86"/>
        <v>11685.609999999999</v>
      </c>
      <c r="F1378">
        <f t="shared" si="87"/>
        <v>4096</v>
      </c>
    </row>
    <row r="1379" spans="1:6" x14ac:dyDescent="0.3">
      <c r="A1379">
        <v>32</v>
      </c>
      <c r="B1379">
        <v>93.17</v>
      </c>
      <c r="C1379">
        <f t="shared" si="84"/>
        <v>2981.44</v>
      </c>
      <c r="D1379">
        <f t="shared" si="85"/>
        <v>1024</v>
      </c>
      <c r="E1379">
        <f t="shared" si="86"/>
        <v>8680.6489000000001</v>
      </c>
      <c r="F1379">
        <f t="shared" si="87"/>
        <v>1024</v>
      </c>
    </row>
    <row r="1380" spans="1:6" x14ac:dyDescent="0.3">
      <c r="A1380">
        <v>42</v>
      </c>
      <c r="B1380">
        <v>158.88999999999999</v>
      </c>
      <c r="C1380">
        <f t="shared" si="84"/>
        <v>6673.3799999999992</v>
      </c>
      <c r="D1380">
        <f t="shared" si="85"/>
        <v>1764</v>
      </c>
      <c r="E1380">
        <f t="shared" si="86"/>
        <v>25246.032099999997</v>
      </c>
      <c r="F1380">
        <f t="shared" si="87"/>
        <v>1764</v>
      </c>
    </row>
    <row r="1381" spans="1:6" x14ac:dyDescent="0.3">
      <c r="A1381">
        <v>39</v>
      </c>
      <c r="B1381">
        <v>205.77</v>
      </c>
      <c r="C1381">
        <f t="shared" si="84"/>
        <v>8025.0300000000007</v>
      </c>
      <c r="D1381">
        <f t="shared" si="85"/>
        <v>1521</v>
      </c>
      <c r="E1381">
        <f t="shared" si="86"/>
        <v>42341.292900000008</v>
      </c>
      <c r="F1381">
        <f t="shared" si="87"/>
        <v>1521</v>
      </c>
    </row>
    <row r="1382" spans="1:6" x14ac:dyDescent="0.3">
      <c r="A1382">
        <v>10</v>
      </c>
      <c r="B1382">
        <v>112.34</v>
      </c>
      <c r="C1382">
        <f t="shared" si="84"/>
        <v>1123.4000000000001</v>
      </c>
      <c r="D1382">
        <f t="shared" si="85"/>
        <v>100</v>
      </c>
      <c r="E1382">
        <f t="shared" si="86"/>
        <v>12620.275600000001</v>
      </c>
      <c r="F1382">
        <f t="shared" si="87"/>
        <v>100</v>
      </c>
    </row>
    <row r="1383" spans="1:6" x14ac:dyDescent="0.3">
      <c r="A1383">
        <v>78</v>
      </c>
      <c r="B1383">
        <v>119.03</v>
      </c>
      <c r="C1383">
        <f t="shared" si="84"/>
        <v>9284.34</v>
      </c>
      <c r="D1383">
        <f t="shared" si="85"/>
        <v>6084</v>
      </c>
      <c r="E1383">
        <f t="shared" si="86"/>
        <v>14168.1409</v>
      </c>
      <c r="F1383">
        <f t="shared" si="87"/>
        <v>6084</v>
      </c>
    </row>
    <row r="1384" spans="1:6" x14ac:dyDescent="0.3">
      <c r="A1384">
        <v>68</v>
      </c>
      <c r="B1384">
        <v>237.21</v>
      </c>
      <c r="C1384">
        <f t="shared" si="84"/>
        <v>16130.28</v>
      </c>
      <c r="D1384">
        <f t="shared" si="85"/>
        <v>4624</v>
      </c>
      <c r="E1384">
        <f t="shared" si="86"/>
        <v>56268.584100000007</v>
      </c>
      <c r="F1384">
        <f t="shared" si="87"/>
        <v>4624</v>
      </c>
    </row>
    <row r="1385" spans="1:6" x14ac:dyDescent="0.3">
      <c r="A1385">
        <v>24</v>
      </c>
      <c r="B1385">
        <v>89.68</v>
      </c>
      <c r="C1385">
        <f t="shared" si="84"/>
        <v>2152.3200000000002</v>
      </c>
      <c r="D1385">
        <f t="shared" si="85"/>
        <v>576</v>
      </c>
      <c r="E1385">
        <f t="shared" si="86"/>
        <v>8042.5024000000012</v>
      </c>
      <c r="F1385">
        <f t="shared" si="87"/>
        <v>576</v>
      </c>
    </row>
    <row r="1386" spans="1:6" x14ac:dyDescent="0.3">
      <c r="A1386">
        <v>59</v>
      </c>
      <c r="B1386">
        <v>246.53</v>
      </c>
      <c r="C1386">
        <f t="shared" si="84"/>
        <v>14545.27</v>
      </c>
      <c r="D1386">
        <f t="shared" si="85"/>
        <v>3481</v>
      </c>
      <c r="E1386">
        <f t="shared" si="86"/>
        <v>60777.0409</v>
      </c>
      <c r="F1386">
        <f t="shared" si="87"/>
        <v>3481</v>
      </c>
    </row>
    <row r="1387" spans="1:6" x14ac:dyDescent="0.3">
      <c r="A1387">
        <v>45</v>
      </c>
      <c r="B1387">
        <v>89.05</v>
      </c>
      <c r="C1387">
        <f t="shared" si="84"/>
        <v>4007.25</v>
      </c>
      <c r="D1387">
        <f t="shared" si="85"/>
        <v>2025</v>
      </c>
      <c r="E1387">
        <f t="shared" si="86"/>
        <v>7929.9024999999992</v>
      </c>
      <c r="F1387">
        <f t="shared" si="87"/>
        <v>2025</v>
      </c>
    </row>
    <row r="1388" spans="1:6" x14ac:dyDescent="0.3">
      <c r="A1388">
        <v>12</v>
      </c>
      <c r="B1388">
        <v>81.739999999999995</v>
      </c>
      <c r="C1388">
        <f t="shared" si="84"/>
        <v>980.87999999999988</v>
      </c>
      <c r="D1388">
        <f t="shared" si="85"/>
        <v>144</v>
      </c>
      <c r="E1388">
        <f t="shared" si="86"/>
        <v>6681.4275999999991</v>
      </c>
      <c r="F1388">
        <f t="shared" si="87"/>
        <v>144</v>
      </c>
    </row>
    <row r="1389" spans="1:6" x14ac:dyDescent="0.3">
      <c r="A1389">
        <v>37</v>
      </c>
      <c r="B1389">
        <v>98.12</v>
      </c>
      <c r="C1389">
        <f t="shared" si="84"/>
        <v>3630.44</v>
      </c>
      <c r="D1389">
        <f t="shared" si="85"/>
        <v>1369</v>
      </c>
      <c r="E1389">
        <f t="shared" si="86"/>
        <v>9627.5344000000005</v>
      </c>
      <c r="F1389">
        <f t="shared" si="87"/>
        <v>1369</v>
      </c>
    </row>
    <row r="1390" spans="1:6" x14ac:dyDescent="0.3">
      <c r="A1390">
        <v>43</v>
      </c>
      <c r="B1390">
        <v>105.59</v>
      </c>
      <c r="C1390">
        <f t="shared" si="84"/>
        <v>4540.37</v>
      </c>
      <c r="D1390">
        <f t="shared" si="85"/>
        <v>1849</v>
      </c>
      <c r="E1390">
        <f t="shared" si="86"/>
        <v>11149.248100000001</v>
      </c>
      <c r="F1390">
        <f t="shared" si="87"/>
        <v>1849</v>
      </c>
    </row>
    <row r="1391" spans="1:6" x14ac:dyDescent="0.3">
      <c r="A1391">
        <v>12</v>
      </c>
      <c r="B1391">
        <v>86</v>
      </c>
      <c r="C1391">
        <f t="shared" si="84"/>
        <v>1032</v>
      </c>
      <c r="D1391">
        <f t="shared" si="85"/>
        <v>144</v>
      </c>
      <c r="E1391">
        <f t="shared" si="86"/>
        <v>7396</v>
      </c>
      <c r="F1391">
        <f t="shared" si="87"/>
        <v>144</v>
      </c>
    </row>
    <row r="1392" spans="1:6" x14ac:dyDescent="0.3">
      <c r="A1392">
        <v>13</v>
      </c>
      <c r="B1392">
        <v>65.510000000000005</v>
      </c>
      <c r="C1392">
        <f t="shared" si="84"/>
        <v>851.63000000000011</v>
      </c>
      <c r="D1392">
        <f t="shared" si="85"/>
        <v>169</v>
      </c>
      <c r="E1392">
        <f t="shared" si="86"/>
        <v>4291.5601000000006</v>
      </c>
      <c r="F1392">
        <f t="shared" si="87"/>
        <v>169</v>
      </c>
    </row>
    <row r="1393" spans="1:6" x14ac:dyDescent="0.3">
      <c r="A1393">
        <v>74</v>
      </c>
      <c r="B1393">
        <v>61.78</v>
      </c>
      <c r="C1393">
        <f t="shared" si="84"/>
        <v>4571.72</v>
      </c>
      <c r="D1393">
        <f t="shared" si="85"/>
        <v>5476</v>
      </c>
      <c r="E1393">
        <f t="shared" si="86"/>
        <v>3816.7683999999999</v>
      </c>
      <c r="F1393">
        <f t="shared" si="87"/>
        <v>5476</v>
      </c>
    </row>
    <row r="1394" spans="1:6" x14ac:dyDescent="0.3">
      <c r="A1394">
        <v>2</v>
      </c>
      <c r="B1394">
        <v>109.56</v>
      </c>
      <c r="C1394">
        <f t="shared" si="84"/>
        <v>219.12</v>
      </c>
      <c r="D1394">
        <f t="shared" si="85"/>
        <v>4</v>
      </c>
      <c r="E1394">
        <f t="shared" si="86"/>
        <v>12003.393600000001</v>
      </c>
      <c r="F1394">
        <f t="shared" si="87"/>
        <v>4</v>
      </c>
    </row>
    <row r="1395" spans="1:6" x14ac:dyDescent="0.3">
      <c r="A1395">
        <v>59</v>
      </c>
      <c r="B1395">
        <v>65.819999999999993</v>
      </c>
      <c r="C1395">
        <f t="shared" si="84"/>
        <v>3883.3799999999997</v>
      </c>
      <c r="D1395">
        <f t="shared" si="85"/>
        <v>3481</v>
      </c>
      <c r="E1395">
        <f t="shared" si="86"/>
        <v>4332.2723999999989</v>
      </c>
      <c r="F1395">
        <f t="shared" si="87"/>
        <v>3481</v>
      </c>
    </row>
    <row r="1396" spans="1:6" x14ac:dyDescent="0.3">
      <c r="A1396">
        <v>21</v>
      </c>
      <c r="B1396">
        <v>90.16</v>
      </c>
      <c r="C1396">
        <f t="shared" si="84"/>
        <v>1893.36</v>
      </c>
      <c r="D1396">
        <f t="shared" si="85"/>
        <v>441</v>
      </c>
      <c r="E1396">
        <f t="shared" si="86"/>
        <v>8128.8255999999992</v>
      </c>
      <c r="F1396">
        <f t="shared" si="87"/>
        <v>441</v>
      </c>
    </row>
    <row r="1397" spans="1:6" x14ac:dyDescent="0.3">
      <c r="A1397">
        <v>55</v>
      </c>
      <c r="B1397">
        <v>64.45</v>
      </c>
      <c r="C1397">
        <f t="shared" si="84"/>
        <v>3544.75</v>
      </c>
      <c r="D1397">
        <f t="shared" si="85"/>
        <v>3025</v>
      </c>
      <c r="E1397">
        <f t="shared" si="86"/>
        <v>4153.8025000000007</v>
      </c>
      <c r="F1397">
        <f t="shared" si="87"/>
        <v>3025</v>
      </c>
    </row>
    <row r="1398" spans="1:6" x14ac:dyDescent="0.3">
      <c r="A1398">
        <v>14</v>
      </c>
      <c r="B1398">
        <v>91.85</v>
      </c>
      <c r="C1398">
        <f t="shared" si="84"/>
        <v>1285.8999999999999</v>
      </c>
      <c r="D1398">
        <f t="shared" si="85"/>
        <v>196</v>
      </c>
      <c r="E1398">
        <f t="shared" si="86"/>
        <v>8436.4224999999988</v>
      </c>
      <c r="F1398">
        <f t="shared" si="87"/>
        <v>196</v>
      </c>
    </row>
    <row r="1399" spans="1:6" x14ac:dyDescent="0.3">
      <c r="A1399">
        <v>53</v>
      </c>
      <c r="B1399">
        <v>97.89</v>
      </c>
      <c r="C1399">
        <f t="shared" si="84"/>
        <v>5188.17</v>
      </c>
      <c r="D1399">
        <f t="shared" si="85"/>
        <v>2809</v>
      </c>
      <c r="E1399">
        <f t="shared" si="86"/>
        <v>9582.4521000000004</v>
      </c>
      <c r="F1399">
        <f t="shared" si="87"/>
        <v>2809</v>
      </c>
    </row>
    <row r="1400" spans="1:6" x14ac:dyDescent="0.3">
      <c r="A1400">
        <v>75</v>
      </c>
      <c r="B1400">
        <v>206.33</v>
      </c>
      <c r="C1400">
        <f t="shared" si="84"/>
        <v>15474.750000000002</v>
      </c>
      <c r="D1400">
        <f t="shared" si="85"/>
        <v>5625</v>
      </c>
      <c r="E1400">
        <f t="shared" si="86"/>
        <v>42572.068900000006</v>
      </c>
      <c r="F1400">
        <f t="shared" si="87"/>
        <v>5625</v>
      </c>
    </row>
    <row r="1401" spans="1:6" x14ac:dyDescent="0.3">
      <c r="A1401">
        <v>37</v>
      </c>
      <c r="B1401">
        <v>74.290000000000006</v>
      </c>
      <c r="C1401">
        <f t="shared" si="84"/>
        <v>2748.73</v>
      </c>
      <c r="D1401">
        <f t="shared" si="85"/>
        <v>1369</v>
      </c>
      <c r="E1401">
        <f t="shared" si="86"/>
        <v>5519.004100000001</v>
      </c>
      <c r="F1401">
        <f t="shared" si="87"/>
        <v>1369</v>
      </c>
    </row>
    <row r="1402" spans="1:6" x14ac:dyDescent="0.3">
      <c r="A1402">
        <v>49</v>
      </c>
      <c r="B1402">
        <v>107.4</v>
      </c>
      <c r="C1402">
        <f t="shared" si="84"/>
        <v>5262.6</v>
      </c>
      <c r="D1402">
        <f t="shared" si="85"/>
        <v>2401</v>
      </c>
      <c r="E1402">
        <f t="shared" si="86"/>
        <v>11534.760000000002</v>
      </c>
      <c r="F1402">
        <f t="shared" si="87"/>
        <v>2401</v>
      </c>
    </row>
    <row r="1403" spans="1:6" x14ac:dyDescent="0.3">
      <c r="A1403">
        <v>55</v>
      </c>
      <c r="B1403">
        <v>87.72</v>
      </c>
      <c r="C1403">
        <f t="shared" si="84"/>
        <v>4824.6000000000004</v>
      </c>
      <c r="D1403">
        <f t="shared" si="85"/>
        <v>3025</v>
      </c>
      <c r="E1403">
        <f t="shared" si="86"/>
        <v>7694.7983999999997</v>
      </c>
      <c r="F1403">
        <f t="shared" si="87"/>
        <v>3025</v>
      </c>
    </row>
    <row r="1404" spans="1:6" x14ac:dyDescent="0.3">
      <c r="A1404">
        <v>57</v>
      </c>
      <c r="B1404">
        <v>85.99</v>
      </c>
      <c r="C1404">
        <f t="shared" si="84"/>
        <v>4901.4299999999994</v>
      </c>
      <c r="D1404">
        <f t="shared" si="85"/>
        <v>3249</v>
      </c>
      <c r="E1404">
        <f t="shared" si="86"/>
        <v>7394.280099999999</v>
      </c>
      <c r="F1404">
        <f t="shared" si="87"/>
        <v>3249</v>
      </c>
    </row>
    <row r="1405" spans="1:6" x14ac:dyDescent="0.3">
      <c r="A1405">
        <v>45</v>
      </c>
      <c r="B1405">
        <v>100.84</v>
      </c>
      <c r="C1405">
        <f t="shared" si="84"/>
        <v>4537.8</v>
      </c>
      <c r="D1405">
        <f t="shared" si="85"/>
        <v>2025</v>
      </c>
      <c r="E1405">
        <f t="shared" si="86"/>
        <v>10168.705600000001</v>
      </c>
      <c r="F1405">
        <f t="shared" si="87"/>
        <v>2025</v>
      </c>
    </row>
    <row r="1406" spans="1:6" x14ac:dyDescent="0.3">
      <c r="A1406">
        <v>46</v>
      </c>
      <c r="B1406">
        <v>124.61</v>
      </c>
      <c r="C1406">
        <f t="shared" si="84"/>
        <v>5732.06</v>
      </c>
      <c r="D1406">
        <f t="shared" si="85"/>
        <v>2116</v>
      </c>
      <c r="E1406">
        <f t="shared" si="86"/>
        <v>15527.652099999999</v>
      </c>
      <c r="F1406">
        <f t="shared" si="87"/>
        <v>2116</v>
      </c>
    </row>
    <row r="1407" spans="1:6" x14ac:dyDescent="0.3">
      <c r="A1407">
        <v>12</v>
      </c>
      <c r="B1407">
        <v>86.55</v>
      </c>
      <c r="C1407">
        <f t="shared" si="84"/>
        <v>1038.5999999999999</v>
      </c>
      <c r="D1407">
        <f t="shared" si="85"/>
        <v>144</v>
      </c>
      <c r="E1407">
        <f t="shared" si="86"/>
        <v>7490.9024999999992</v>
      </c>
      <c r="F1407">
        <f t="shared" si="87"/>
        <v>144</v>
      </c>
    </row>
    <row r="1408" spans="1:6" x14ac:dyDescent="0.3">
      <c r="A1408">
        <v>12</v>
      </c>
      <c r="B1408">
        <v>90.42</v>
      </c>
      <c r="C1408">
        <f t="shared" si="84"/>
        <v>1085.04</v>
      </c>
      <c r="D1408">
        <f t="shared" si="85"/>
        <v>144</v>
      </c>
      <c r="E1408">
        <f t="shared" si="86"/>
        <v>8175.7764000000006</v>
      </c>
      <c r="F1408">
        <f t="shared" si="87"/>
        <v>144</v>
      </c>
    </row>
    <row r="1409" spans="1:6" x14ac:dyDescent="0.3">
      <c r="A1409">
        <v>77</v>
      </c>
      <c r="B1409">
        <v>100.85</v>
      </c>
      <c r="C1409">
        <f t="shared" si="84"/>
        <v>7765.45</v>
      </c>
      <c r="D1409">
        <f t="shared" si="85"/>
        <v>5929</v>
      </c>
      <c r="E1409">
        <f t="shared" si="86"/>
        <v>10170.722499999998</v>
      </c>
      <c r="F1409">
        <f t="shared" si="87"/>
        <v>5929</v>
      </c>
    </row>
    <row r="1410" spans="1:6" x14ac:dyDescent="0.3">
      <c r="A1410">
        <v>6</v>
      </c>
      <c r="B1410">
        <v>87.74</v>
      </c>
      <c r="C1410">
        <f t="shared" si="84"/>
        <v>526.43999999999994</v>
      </c>
      <c r="D1410">
        <f t="shared" si="85"/>
        <v>36</v>
      </c>
      <c r="E1410">
        <f t="shared" si="86"/>
        <v>7698.3075999999992</v>
      </c>
      <c r="F1410">
        <f t="shared" si="87"/>
        <v>36</v>
      </c>
    </row>
    <row r="1411" spans="1:6" x14ac:dyDescent="0.3">
      <c r="A1411">
        <v>76</v>
      </c>
      <c r="B1411">
        <v>80.150000000000006</v>
      </c>
      <c r="C1411">
        <f t="shared" ref="C1411:C1474" si="88">A1411*B1411</f>
        <v>6091.4000000000005</v>
      </c>
      <c r="D1411">
        <f t="shared" ref="D1411:D1474" si="89">A1411*A1411</f>
        <v>5776</v>
      </c>
      <c r="E1411">
        <f t="shared" ref="E1411:E1474" si="90">B1411*B1411</f>
        <v>6424.0225000000009</v>
      </c>
      <c r="F1411">
        <f t="shared" ref="F1411:F1474" si="91">A1411^2</f>
        <v>5776</v>
      </c>
    </row>
    <row r="1412" spans="1:6" x14ac:dyDescent="0.3">
      <c r="A1412">
        <v>52</v>
      </c>
      <c r="B1412">
        <v>107.29</v>
      </c>
      <c r="C1412">
        <f t="shared" si="88"/>
        <v>5579.08</v>
      </c>
      <c r="D1412">
        <f t="shared" si="89"/>
        <v>2704</v>
      </c>
      <c r="E1412">
        <f t="shared" si="90"/>
        <v>11511.144100000001</v>
      </c>
      <c r="F1412">
        <f t="shared" si="91"/>
        <v>2704</v>
      </c>
    </row>
    <row r="1413" spans="1:6" x14ac:dyDescent="0.3">
      <c r="A1413">
        <v>62</v>
      </c>
      <c r="B1413">
        <v>206.98</v>
      </c>
      <c r="C1413">
        <f t="shared" si="88"/>
        <v>12832.76</v>
      </c>
      <c r="D1413">
        <f t="shared" si="89"/>
        <v>3844</v>
      </c>
      <c r="E1413">
        <f t="shared" si="90"/>
        <v>42840.720399999998</v>
      </c>
      <c r="F1413">
        <f t="shared" si="91"/>
        <v>3844</v>
      </c>
    </row>
    <row r="1414" spans="1:6" x14ac:dyDescent="0.3">
      <c r="A1414">
        <v>82</v>
      </c>
      <c r="B1414">
        <v>227.28</v>
      </c>
      <c r="C1414">
        <f t="shared" si="88"/>
        <v>18636.96</v>
      </c>
      <c r="D1414">
        <f t="shared" si="89"/>
        <v>6724</v>
      </c>
      <c r="E1414">
        <f t="shared" si="90"/>
        <v>51656.198400000001</v>
      </c>
      <c r="F1414">
        <f t="shared" si="91"/>
        <v>6724</v>
      </c>
    </row>
    <row r="1415" spans="1:6" x14ac:dyDescent="0.3">
      <c r="A1415">
        <v>69</v>
      </c>
      <c r="B1415">
        <v>80.430000000000007</v>
      </c>
      <c r="C1415">
        <f t="shared" si="88"/>
        <v>5549.67</v>
      </c>
      <c r="D1415">
        <f t="shared" si="89"/>
        <v>4761</v>
      </c>
      <c r="E1415">
        <f t="shared" si="90"/>
        <v>6468.9849000000013</v>
      </c>
      <c r="F1415">
        <f t="shared" si="91"/>
        <v>4761</v>
      </c>
    </row>
    <row r="1416" spans="1:6" x14ac:dyDescent="0.3">
      <c r="A1416">
        <v>78</v>
      </c>
      <c r="B1416">
        <v>228.7</v>
      </c>
      <c r="C1416">
        <f t="shared" si="88"/>
        <v>17838.599999999999</v>
      </c>
      <c r="D1416">
        <f t="shared" si="89"/>
        <v>6084</v>
      </c>
      <c r="E1416">
        <f t="shared" si="90"/>
        <v>52303.689999999995</v>
      </c>
      <c r="F1416">
        <f t="shared" si="91"/>
        <v>6084</v>
      </c>
    </row>
    <row r="1417" spans="1:6" x14ac:dyDescent="0.3">
      <c r="A1417">
        <v>37</v>
      </c>
      <c r="B1417">
        <v>120.07</v>
      </c>
      <c r="C1417">
        <f t="shared" si="88"/>
        <v>4442.59</v>
      </c>
      <c r="D1417">
        <f t="shared" si="89"/>
        <v>1369</v>
      </c>
      <c r="E1417">
        <f t="shared" si="90"/>
        <v>14416.804899999999</v>
      </c>
      <c r="F1417">
        <f t="shared" si="91"/>
        <v>1369</v>
      </c>
    </row>
    <row r="1418" spans="1:6" x14ac:dyDescent="0.3">
      <c r="A1418">
        <v>50</v>
      </c>
      <c r="B1418">
        <v>93.47</v>
      </c>
      <c r="C1418">
        <f t="shared" si="88"/>
        <v>4673.5</v>
      </c>
      <c r="D1418">
        <f t="shared" si="89"/>
        <v>2500</v>
      </c>
      <c r="E1418">
        <f t="shared" si="90"/>
        <v>8736.6409000000003</v>
      </c>
      <c r="F1418">
        <f t="shared" si="91"/>
        <v>2500</v>
      </c>
    </row>
    <row r="1419" spans="1:6" x14ac:dyDescent="0.3">
      <c r="A1419">
        <v>41</v>
      </c>
      <c r="B1419">
        <v>80.77</v>
      </c>
      <c r="C1419">
        <f t="shared" si="88"/>
        <v>3311.5699999999997</v>
      </c>
      <c r="D1419">
        <f t="shared" si="89"/>
        <v>1681</v>
      </c>
      <c r="E1419">
        <f t="shared" si="90"/>
        <v>6523.7928999999995</v>
      </c>
      <c r="F1419">
        <f t="shared" si="91"/>
        <v>1681</v>
      </c>
    </row>
    <row r="1420" spans="1:6" x14ac:dyDescent="0.3">
      <c r="A1420">
        <v>54</v>
      </c>
      <c r="B1420">
        <v>150.27000000000001</v>
      </c>
      <c r="C1420">
        <f t="shared" si="88"/>
        <v>8114.5800000000008</v>
      </c>
      <c r="D1420">
        <f t="shared" si="89"/>
        <v>2916</v>
      </c>
      <c r="E1420">
        <f t="shared" si="90"/>
        <v>22581.072900000003</v>
      </c>
      <c r="F1420">
        <f t="shared" si="91"/>
        <v>2916</v>
      </c>
    </row>
    <row r="1421" spans="1:6" x14ac:dyDescent="0.3">
      <c r="A1421">
        <v>43</v>
      </c>
      <c r="B1421">
        <v>81.94</v>
      </c>
      <c r="C1421">
        <f t="shared" si="88"/>
        <v>3523.42</v>
      </c>
      <c r="D1421">
        <f t="shared" si="89"/>
        <v>1849</v>
      </c>
      <c r="E1421">
        <f t="shared" si="90"/>
        <v>6714.1635999999999</v>
      </c>
      <c r="F1421">
        <f t="shared" si="91"/>
        <v>1849</v>
      </c>
    </row>
    <row r="1422" spans="1:6" x14ac:dyDescent="0.3">
      <c r="A1422">
        <v>37</v>
      </c>
      <c r="B1422">
        <v>70.75</v>
      </c>
      <c r="C1422">
        <f t="shared" si="88"/>
        <v>2617.75</v>
      </c>
      <c r="D1422">
        <f t="shared" si="89"/>
        <v>1369</v>
      </c>
      <c r="E1422">
        <f t="shared" si="90"/>
        <v>5005.5625</v>
      </c>
      <c r="F1422">
        <f t="shared" si="91"/>
        <v>1369</v>
      </c>
    </row>
    <row r="1423" spans="1:6" x14ac:dyDescent="0.3">
      <c r="A1423">
        <v>9</v>
      </c>
      <c r="B1423">
        <v>83.83</v>
      </c>
      <c r="C1423">
        <f t="shared" si="88"/>
        <v>754.47</v>
      </c>
      <c r="D1423">
        <f t="shared" si="89"/>
        <v>81</v>
      </c>
      <c r="E1423">
        <f t="shared" si="90"/>
        <v>7027.4688999999998</v>
      </c>
      <c r="F1423">
        <f t="shared" si="91"/>
        <v>81</v>
      </c>
    </row>
    <row r="1424" spans="1:6" x14ac:dyDescent="0.3">
      <c r="A1424">
        <v>11</v>
      </c>
      <c r="B1424">
        <v>73.66</v>
      </c>
      <c r="C1424">
        <f t="shared" si="88"/>
        <v>810.26</v>
      </c>
      <c r="D1424">
        <f t="shared" si="89"/>
        <v>121</v>
      </c>
      <c r="E1424">
        <f t="shared" si="90"/>
        <v>5425.7955999999995</v>
      </c>
      <c r="F1424">
        <f t="shared" si="91"/>
        <v>121</v>
      </c>
    </row>
    <row r="1425" spans="1:6" x14ac:dyDescent="0.3">
      <c r="A1425">
        <v>56</v>
      </c>
      <c r="B1425">
        <v>102.37</v>
      </c>
      <c r="C1425">
        <f t="shared" si="88"/>
        <v>5732.72</v>
      </c>
      <c r="D1425">
        <f t="shared" si="89"/>
        <v>3136</v>
      </c>
      <c r="E1425">
        <f t="shared" si="90"/>
        <v>10479.616900000001</v>
      </c>
      <c r="F1425">
        <f t="shared" si="91"/>
        <v>3136</v>
      </c>
    </row>
    <row r="1426" spans="1:6" x14ac:dyDescent="0.3">
      <c r="A1426">
        <v>5</v>
      </c>
      <c r="B1426">
        <v>77.83</v>
      </c>
      <c r="C1426">
        <f t="shared" si="88"/>
        <v>389.15</v>
      </c>
      <c r="D1426">
        <f t="shared" si="89"/>
        <v>25</v>
      </c>
      <c r="E1426">
        <f t="shared" si="90"/>
        <v>6057.5088999999998</v>
      </c>
      <c r="F1426">
        <f t="shared" si="91"/>
        <v>25</v>
      </c>
    </row>
    <row r="1427" spans="1:6" x14ac:dyDescent="0.3">
      <c r="A1427">
        <v>17</v>
      </c>
      <c r="B1427">
        <v>70.010000000000005</v>
      </c>
      <c r="C1427">
        <f t="shared" si="88"/>
        <v>1190.17</v>
      </c>
      <c r="D1427">
        <f t="shared" si="89"/>
        <v>289</v>
      </c>
      <c r="E1427">
        <f t="shared" si="90"/>
        <v>4901.4001000000007</v>
      </c>
      <c r="F1427">
        <f t="shared" si="91"/>
        <v>289</v>
      </c>
    </row>
    <row r="1428" spans="1:6" x14ac:dyDescent="0.3">
      <c r="A1428">
        <v>6</v>
      </c>
      <c r="B1428">
        <v>119.88</v>
      </c>
      <c r="C1428">
        <f t="shared" si="88"/>
        <v>719.28</v>
      </c>
      <c r="D1428">
        <f t="shared" si="89"/>
        <v>36</v>
      </c>
      <c r="E1428">
        <f t="shared" si="90"/>
        <v>14371.214399999999</v>
      </c>
      <c r="F1428">
        <f t="shared" si="91"/>
        <v>36</v>
      </c>
    </row>
    <row r="1429" spans="1:6" x14ac:dyDescent="0.3">
      <c r="A1429">
        <v>25</v>
      </c>
      <c r="B1429">
        <v>78.290000000000006</v>
      </c>
      <c r="C1429">
        <f t="shared" si="88"/>
        <v>1957.2500000000002</v>
      </c>
      <c r="D1429">
        <f t="shared" si="89"/>
        <v>625</v>
      </c>
      <c r="E1429">
        <f t="shared" si="90"/>
        <v>6129.3241000000007</v>
      </c>
      <c r="F1429">
        <f t="shared" si="91"/>
        <v>625</v>
      </c>
    </row>
    <row r="1430" spans="1:6" x14ac:dyDescent="0.3">
      <c r="A1430">
        <v>57</v>
      </c>
      <c r="B1430">
        <v>169.97</v>
      </c>
      <c r="C1430">
        <f t="shared" si="88"/>
        <v>9688.2899999999991</v>
      </c>
      <c r="D1430">
        <f t="shared" si="89"/>
        <v>3249</v>
      </c>
      <c r="E1430">
        <f t="shared" si="90"/>
        <v>28889.800899999998</v>
      </c>
      <c r="F1430">
        <f t="shared" si="91"/>
        <v>3249</v>
      </c>
    </row>
    <row r="1431" spans="1:6" x14ac:dyDescent="0.3">
      <c r="A1431">
        <v>18</v>
      </c>
      <c r="B1431">
        <v>123.79</v>
      </c>
      <c r="C1431">
        <f t="shared" si="88"/>
        <v>2228.2200000000003</v>
      </c>
      <c r="D1431">
        <f t="shared" si="89"/>
        <v>324</v>
      </c>
      <c r="E1431">
        <f t="shared" si="90"/>
        <v>15323.964100000001</v>
      </c>
      <c r="F1431">
        <f t="shared" si="91"/>
        <v>324</v>
      </c>
    </row>
    <row r="1432" spans="1:6" x14ac:dyDescent="0.3">
      <c r="A1432">
        <v>2</v>
      </c>
      <c r="B1432">
        <v>80.98</v>
      </c>
      <c r="C1432">
        <f t="shared" si="88"/>
        <v>161.96</v>
      </c>
      <c r="D1432">
        <f t="shared" si="89"/>
        <v>4</v>
      </c>
      <c r="E1432">
        <f t="shared" si="90"/>
        <v>6557.760400000001</v>
      </c>
      <c r="F1432">
        <f t="shared" si="91"/>
        <v>4</v>
      </c>
    </row>
    <row r="1433" spans="1:6" x14ac:dyDescent="0.3">
      <c r="A1433">
        <v>76</v>
      </c>
      <c r="B1433">
        <v>84.21</v>
      </c>
      <c r="C1433">
        <f t="shared" si="88"/>
        <v>6399.9599999999991</v>
      </c>
      <c r="D1433">
        <f t="shared" si="89"/>
        <v>5776</v>
      </c>
      <c r="E1433">
        <f t="shared" si="90"/>
        <v>7091.3240999999989</v>
      </c>
      <c r="F1433">
        <f t="shared" si="91"/>
        <v>5776</v>
      </c>
    </row>
    <row r="1434" spans="1:6" x14ac:dyDescent="0.3">
      <c r="A1434">
        <v>1</v>
      </c>
      <c r="B1434">
        <v>101.31</v>
      </c>
      <c r="C1434">
        <f t="shared" si="88"/>
        <v>101.31</v>
      </c>
      <c r="D1434">
        <f t="shared" si="89"/>
        <v>1</v>
      </c>
      <c r="E1434">
        <f t="shared" si="90"/>
        <v>10263.7161</v>
      </c>
      <c r="F1434">
        <f t="shared" si="91"/>
        <v>1</v>
      </c>
    </row>
    <row r="1435" spans="1:6" x14ac:dyDescent="0.3">
      <c r="A1435">
        <v>54</v>
      </c>
      <c r="B1435">
        <v>86.26</v>
      </c>
      <c r="C1435">
        <f t="shared" si="88"/>
        <v>4658.04</v>
      </c>
      <c r="D1435">
        <f t="shared" si="89"/>
        <v>2916</v>
      </c>
      <c r="E1435">
        <f t="shared" si="90"/>
        <v>7440.7876000000006</v>
      </c>
      <c r="F1435">
        <f t="shared" si="91"/>
        <v>2916</v>
      </c>
    </row>
    <row r="1436" spans="1:6" x14ac:dyDescent="0.3">
      <c r="A1436">
        <v>45</v>
      </c>
      <c r="B1436">
        <v>92.86</v>
      </c>
      <c r="C1436">
        <f t="shared" si="88"/>
        <v>4178.7</v>
      </c>
      <c r="D1436">
        <f t="shared" si="89"/>
        <v>2025</v>
      </c>
      <c r="E1436">
        <f t="shared" si="90"/>
        <v>8622.9796000000006</v>
      </c>
      <c r="F1436">
        <f t="shared" si="91"/>
        <v>2025</v>
      </c>
    </row>
    <row r="1437" spans="1:6" x14ac:dyDescent="0.3">
      <c r="A1437">
        <v>54</v>
      </c>
      <c r="B1437">
        <v>140.28</v>
      </c>
      <c r="C1437">
        <f t="shared" si="88"/>
        <v>7575.12</v>
      </c>
      <c r="D1437">
        <f t="shared" si="89"/>
        <v>2916</v>
      </c>
      <c r="E1437">
        <f t="shared" si="90"/>
        <v>19678.4784</v>
      </c>
      <c r="F1437">
        <f t="shared" si="91"/>
        <v>2916</v>
      </c>
    </row>
    <row r="1438" spans="1:6" x14ac:dyDescent="0.3">
      <c r="A1438">
        <v>67</v>
      </c>
      <c r="B1438">
        <v>244.28</v>
      </c>
      <c r="C1438">
        <f t="shared" si="88"/>
        <v>16366.76</v>
      </c>
      <c r="D1438">
        <f t="shared" si="89"/>
        <v>4489</v>
      </c>
      <c r="E1438">
        <f t="shared" si="90"/>
        <v>59672.718399999998</v>
      </c>
      <c r="F1438">
        <f t="shared" si="91"/>
        <v>4489</v>
      </c>
    </row>
    <row r="1439" spans="1:6" x14ac:dyDescent="0.3">
      <c r="A1439">
        <v>53</v>
      </c>
      <c r="B1439">
        <v>124.16</v>
      </c>
      <c r="C1439">
        <f t="shared" si="88"/>
        <v>6580.48</v>
      </c>
      <c r="D1439">
        <f t="shared" si="89"/>
        <v>2809</v>
      </c>
      <c r="E1439">
        <f t="shared" si="90"/>
        <v>15415.705599999999</v>
      </c>
      <c r="F1439">
        <f t="shared" si="91"/>
        <v>2809</v>
      </c>
    </row>
    <row r="1440" spans="1:6" x14ac:dyDescent="0.3">
      <c r="A1440">
        <v>47</v>
      </c>
      <c r="B1440">
        <v>93.55</v>
      </c>
      <c r="C1440">
        <f t="shared" si="88"/>
        <v>4396.8499999999995</v>
      </c>
      <c r="D1440">
        <f t="shared" si="89"/>
        <v>2209</v>
      </c>
      <c r="E1440">
        <f t="shared" si="90"/>
        <v>8751.6024999999991</v>
      </c>
      <c r="F1440">
        <f t="shared" si="91"/>
        <v>2209</v>
      </c>
    </row>
    <row r="1441" spans="1:6" x14ac:dyDescent="0.3">
      <c r="A1441">
        <v>44</v>
      </c>
      <c r="B1441">
        <v>99.34</v>
      </c>
      <c r="C1441">
        <f t="shared" si="88"/>
        <v>4370.96</v>
      </c>
      <c r="D1441">
        <f t="shared" si="89"/>
        <v>1936</v>
      </c>
      <c r="E1441">
        <f t="shared" si="90"/>
        <v>9868.4356000000007</v>
      </c>
      <c r="F1441">
        <f t="shared" si="91"/>
        <v>1936</v>
      </c>
    </row>
    <row r="1442" spans="1:6" x14ac:dyDescent="0.3">
      <c r="A1442">
        <v>65</v>
      </c>
      <c r="B1442">
        <v>59.87</v>
      </c>
      <c r="C1442">
        <f t="shared" si="88"/>
        <v>3891.5499999999997</v>
      </c>
      <c r="D1442">
        <f t="shared" si="89"/>
        <v>4225</v>
      </c>
      <c r="E1442">
        <f t="shared" si="90"/>
        <v>3584.4168999999997</v>
      </c>
      <c r="F1442">
        <f t="shared" si="91"/>
        <v>4225</v>
      </c>
    </row>
    <row r="1443" spans="1:6" x14ac:dyDescent="0.3">
      <c r="A1443">
        <v>40</v>
      </c>
      <c r="B1443">
        <v>72.760000000000005</v>
      </c>
      <c r="C1443">
        <f t="shared" si="88"/>
        <v>2910.4</v>
      </c>
      <c r="D1443">
        <f t="shared" si="89"/>
        <v>1600</v>
      </c>
      <c r="E1443">
        <f t="shared" si="90"/>
        <v>5294.017600000001</v>
      </c>
      <c r="F1443">
        <f t="shared" si="91"/>
        <v>1600</v>
      </c>
    </row>
    <row r="1444" spans="1:6" x14ac:dyDescent="0.3">
      <c r="A1444">
        <v>3</v>
      </c>
      <c r="B1444">
        <v>68.34</v>
      </c>
      <c r="C1444">
        <f t="shared" si="88"/>
        <v>205.02</v>
      </c>
      <c r="D1444">
        <f t="shared" si="89"/>
        <v>9</v>
      </c>
      <c r="E1444">
        <f t="shared" si="90"/>
        <v>4670.3556000000008</v>
      </c>
      <c r="F1444">
        <f t="shared" si="91"/>
        <v>9</v>
      </c>
    </row>
    <row r="1445" spans="1:6" x14ac:dyDescent="0.3">
      <c r="A1445">
        <v>81</v>
      </c>
      <c r="B1445">
        <v>61.1</v>
      </c>
      <c r="C1445">
        <f t="shared" si="88"/>
        <v>4949.1000000000004</v>
      </c>
      <c r="D1445">
        <f t="shared" si="89"/>
        <v>6561</v>
      </c>
      <c r="E1445">
        <f t="shared" si="90"/>
        <v>3733.21</v>
      </c>
      <c r="F1445">
        <f t="shared" si="91"/>
        <v>6561</v>
      </c>
    </row>
    <row r="1446" spans="1:6" x14ac:dyDescent="0.3">
      <c r="A1446">
        <v>24</v>
      </c>
      <c r="B1446">
        <v>120.77</v>
      </c>
      <c r="C1446">
        <f t="shared" si="88"/>
        <v>2898.48</v>
      </c>
      <c r="D1446">
        <f t="shared" si="89"/>
        <v>576</v>
      </c>
      <c r="E1446">
        <f t="shared" si="90"/>
        <v>14585.392899999999</v>
      </c>
      <c r="F1446">
        <f t="shared" si="91"/>
        <v>576</v>
      </c>
    </row>
    <row r="1447" spans="1:6" x14ac:dyDescent="0.3">
      <c r="A1447">
        <v>9</v>
      </c>
      <c r="B1447">
        <v>60.39</v>
      </c>
      <c r="C1447">
        <f t="shared" si="88"/>
        <v>543.51</v>
      </c>
      <c r="D1447">
        <f t="shared" si="89"/>
        <v>81</v>
      </c>
      <c r="E1447">
        <f t="shared" si="90"/>
        <v>3646.9521</v>
      </c>
      <c r="F1447">
        <f t="shared" si="91"/>
        <v>81</v>
      </c>
    </row>
    <row r="1448" spans="1:6" x14ac:dyDescent="0.3">
      <c r="A1448">
        <v>52</v>
      </c>
      <c r="B1448">
        <v>126.34</v>
      </c>
      <c r="C1448">
        <f t="shared" si="88"/>
        <v>6569.68</v>
      </c>
      <c r="D1448">
        <f t="shared" si="89"/>
        <v>2704</v>
      </c>
      <c r="E1448">
        <f t="shared" si="90"/>
        <v>15961.795600000001</v>
      </c>
      <c r="F1448">
        <f t="shared" si="91"/>
        <v>2704</v>
      </c>
    </row>
    <row r="1449" spans="1:6" x14ac:dyDescent="0.3">
      <c r="A1449">
        <v>63</v>
      </c>
      <c r="B1449">
        <v>93.24</v>
      </c>
      <c r="C1449">
        <f t="shared" si="88"/>
        <v>5874.12</v>
      </c>
      <c r="D1449">
        <f t="shared" si="89"/>
        <v>3969</v>
      </c>
      <c r="E1449">
        <f t="shared" si="90"/>
        <v>8693.6975999999995</v>
      </c>
      <c r="F1449">
        <f t="shared" si="91"/>
        <v>3969</v>
      </c>
    </row>
    <row r="1450" spans="1:6" x14ac:dyDescent="0.3">
      <c r="A1450">
        <v>78</v>
      </c>
      <c r="B1450">
        <v>154.75</v>
      </c>
      <c r="C1450">
        <f t="shared" si="88"/>
        <v>12070.5</v>
      </c>
      <c r="D1450">
        <f t="shared" si="89"/>
        <v>6084</v>
      </c>
      <c r="E1450">
        <f t="shared" si="90"/>
        <v>23947.5625</v>
      </c>
      <c r="F1450">
        <f t="shared" si="91"/>
        <v>6084</v>
      </c>
    </row>
    <row r="1451" spans="1:6" x14ac:dyDescent="0.3">
      <c r="A1451">
        <v>22</v>
      </c>
      <c r="B1451">
        <v>62.81</v>
      </c>
      <c r="C1451">
        <f t="shared" si="88"/>
        <v>1381.8200000000002</v>
      </c>
      <c r="D1451">
        <f t="shared" si="89"/>
        <v>484</v>
      </c>
      <c r="E1451">
        <f t="shared" si="90"/>
        <v>3945.0961000000002</v>
      </c>
      <c r="F1451">
        <f t="shared" si="91"/>
        <v>484</v>
      </c>
    </row>
    <row r="1452" spans="1:6" x14ac:dyDescent="0.3">
      <c r="A1452">
        <v>2</v>
      </c>
      <c r="B1452">
        <v>65.959999999999994</v>
      </c>
      <c r="C1452">
        <f t="shared" si="88"/>
        <v>131.91999999999999</v>
      </c>
      <c r="D1452">
        <f t="shared" si="89"/>
        <v>4</v>
      </c>
      <c r="E1452">
        <f t="shared" si="90"/>
        <v>4350.7215999999989</v>
      </c>
      <c r="F1452">
        <f t="shared" si="91"/>
        <v>4</v>
      </c>
    </row>
    <row r="1453" spans="1:6" x14ac:dyDescent="0.3">
      <c r="A1453">
        <v>79</v>
      </c>
      <c r="B1453">
        <v>79.53</v>
      </c>
      <c r="C1453">
        <f t="shared" si="88"/>
        <v>6282.87</v>
      </c>
      <c r="D1453">
        <f t="shared" si="89"/>
        <v>6241</v>
      </c>
      <c r="E1453">
        <f t="shared" si="90"/>
        <v>6325.0209000000004</v>
      </c>
      <c r="F1453">
        <f t="shared" si="91"/>
        <v>6241</v>
      </c>
    </row>
    <row r="1454" spans="1:6" x14ac:dyDescent="0.3">
      <c r="A1454">
        <v>49</v>
      </c>
      <c r="B1454">
        <v>96.85</v>
      </c>
      <c r="C1454">
        <f t="shared" si="88"/>
        <v>4745.6499999999996</v>
      </c>
      <c r="D1454">
        <f t="shared" si="89"/>
        <v>2401</v>
      </c>
      <c r="E1454">
        <f t="shared" si="90"/>
        <v>9379.9224999999988</v>
      </c>
      <c r="F1454">
        <f t="shared" si="91"/>
        <v>2401</v>
      </c>
    </row>
    <row r="1455" spans="1:6" x14ac:dyDescent="0.3">
      <c r="A1455">
        <v>74</v>
      </c>
      <c r="B1455">
        <v>251.99</v>
      </c>
      <c r="C1455">
        <f t="shared" si="88"/>
        <v>18647.260000000002</v>
      </c>
      <c r="D1455">
        <f t="shared" si="89"/>
        <v>5476</v>
      </c>
      <c r="E1455">
        <f t="shared" si="90"/>
        <v>63498.960100000004</v>
      </c>
      <c r="F1455">
        <f t="shared" si="91"/>
        <v>5476</v>
      </c>
    </row>
    <row r="1456" spans="1:6" x14ac:dyDescent="0.3">
      <c r="A1456">
        <v>62</v>
      </c>
      <c r="B1456">
        <v>115.13</v>
      </c>
      <c r="C1456">
        <f t="shared" si="88"/>
        <v>7138.0599999999995</v>
      </c>
      <c r="D1456">
        <f t="shared" si="89"/>
        <v>3844</v>
      </c>
      <c r="E1456">
        <f t="shared" si="90"/>
        <v>13254.916899999998</v>
      </c>
      <c r="F1456">
        <f t="shared" si="91"/>
        <v>3844</v>
      </c>
    </row>
    <row r="1457" spans="1:6" x14ac:dyDescent="0.3">
      <c r="A1457">
        <v>16</v>
      </c>
      <c r="B1457">
        <v>102.3</v>
      </c>
      <c r="C1457">
        <f t="shared" si="88"/>
        <v>1636.8</v>
      </c>
      <c r="D1457">
        <f t="shared" si="89"/>
        <v>256</v>
      </c>
      <c r="E1457">
        <f t="shared" si="90"/>
        <v>10465.289999999999</v>
      </c>
      <c r="F1457">
        <f t="shared" si="91"/>
        <v>256</v>
      </c>
    </row>
    <row r="1458" spans="1:6" x14ac:dyDescent="0.3">
      <c r="A1458">
        <v>62</v>
      </c>
      <c r="B1458">
        <v>78.989999999999995</v>
      </c>
      <c r="C1458">
        <f t="shared" si="88"/>
        <v>4897.38</v>
      </c>
      <c r="D1458">
        <f t="shared" si="89"/>
        <v>3844</v>
      </c>
      <c r="E1458">
        <f t="shared" si="90"/>
        <v>6239.4200999999994</v>
      </c>
      <c r="F1458">
        <f t="shared" si="91"/>
        <v>3844</v>
      </c>
    </row>
    <row r="1459" spans="1:6" x14ac:dyDescent="0.3">
      <c r="A1459">
        <v>27</v>
      </c>
      <c r="B1459">
        <v>191.79</v>
      </c>
      <c r="C1459">
        <f t="shared" si="88"/>
        <v>5178.33</v>
      </c>
      <c r="D1459">
        <f t="shared" si="89"/>
        <v>729</v>
      </c>
      <c r="E1459">
        <f t="shared" si="90"/>
        <v>36783.4041</v>
      </c>
      <c r="F1459">
        <f t="shared" si="91"/>
        <v>729</v>
      </c>
    </row>
    <row r="1460" spans="1:6" x14ac:dyDescent="0.3">
      <c r="A1460">
        <v>50</v>
      </c>
      <c r="B1460">
        <v>68.8</v>
      </c>
      <c r="C1460">
        <f t="shared" si="88"/>
        <v>3440</v>
      </c>
      <c r="D1460">
        <f t="shared" si="89"/>
        <v>2500</v>
      </c>
      <c r="E1460">
        <f t="shared" si="90"/>
        <v>4733.4399999999996</v>
      </c>
      <c r="F1460">
        <f t="shared" si="91"/>
        <v>2500</v>
      </c>
    </row>
    <row r="1461" spans="1:6" x14ac:dyDescent="0.3">
      <c r="A1461">
        <v>49</v>
      </c>
      <c r="B1461">
        <v>83.84</v>
      </c>
      <c r="C1461">
        <f t="shared" si="88"/>
        <v>4108.16</v>
      </c>
      <c r="D1461">
        <f t="shared" si="89"/>
        <v>2401</v>
      </c>
      <c r="E1461">
        <f t="shared" si="90"/>
        <v>7029.1456000000007</v>
      </c>
      <c r="F1461">
        <f t="shared" si="91"/>
        <v>2401</v>
      </c>
    </row>
    <row r="1462" spans="1:6" x14ac:dyDescent="0.3">
      <c r="A1462">
        <v>24</v>
      </c>
      <c r="B1462">
        <v>94.66</v>
      </c>
      <c r="C1462">
        <f t="shared" si="88"/>
        <v>2271.84</v>
      </c>
      <c r="D1462">
        <f t="shared" si="89"/>
        <v>576</v>
      </c>
      <c r="E1462">
        <f t="shared" si="90"/>
        <v>8960.5155999999988</v>
      </c>
      <c r="F1462">
        <f t="shared" si="91"/>
        <v>576</v>
      </c>
    </row>
    <row r="1463" spans="1:6" x14ac:dyDescent="0.3">
      <c r="A1463">
        <v>21</v>
      </c>
      <c r="B1463">
        <v>107.98</v>
      </c>
      <c r="C1463">
        <f t="shared" si="88"/>
        <v>2267.58</v>
      </c>
      <c r="D1463">
        <f t="shared" si="89"/>
        <v>441</v>
      </c>
      <c r="E1463">
        <f t="shared" si="90"/>
        <v>11659.680400000001</v>
      </c>
      <c r="F1463">
        <f t="shared" si="91"/>
        <v>441</v>
      </c>
    </row>
    <row r="1464" spans="1:6" x14ac:dyDescent="0.3">
      <c r="A1464">
        <v>17</v>
      </c>
      <c r="B1464">
        <v>61.01</v>
      </c>
      <c r="C1464">
        <f t="shared" si="88"/>
        <v>1037.17</v>
      </c>
      <c r="D1464">
        <f t="shared" si="89"/>
        <v>289</v>
      </c>
      <c r="E1464">
        <f t="shared" si="90"/>
        <v>3722.2200999999995</v>
      </c>
      <c r="F1464">
        <f t="shared" si="91"/>
        <v>289</v>
      </c>
    </row>
    <row r="1465" spans="1:6" x14ac:dyDescent="0.3">
      <c r="A1465">
        <v>22</v>
      </c>
      <c r="B1465">
        <v>135.63999999999999</v>
      </c>
      <c r="C1465">
        <f t="shared" si="88"/>
        <v>2984.08</v>
      </c>
      <c r="D1465">
        <f t="shared" si="89"/>
        <v>484</v>
      </c>
      <c r="E1465">
        <f t="shared" si="90"/>
        <v>18398.209599999995</v>
      </c>
      <c r="F1465">
        <f t="shared" si="91"/>
        <v>484</v>
      </c>
    </row>
    <row r="1466" spans="1:6" x14ac:dyDescent="0.3">
      <c r="A1466">
        <v>13</v>
      </c>
      <c r="B1466">
        <v>92.65</v>
      </c>
      <c r="C1466">
        <f t="shared" si="88"/>
        <v>1204.45</v>
      </c>
      <c r="D1466">
        <f t="shared" si="89"/>
        <v>169</v>
      </c>
      <c r="E1466">
        <f t="shared" si="90"/>
        <v>8584.0225000000009</v>
      </c>
      <c r="F1466">
        <f t="shared" si="91"/>
        <v>169</v>
      </c>
    </row>
    <row r="1467" spans="1:6" x14ac:dyDescent="0.3">
      <c r="A1467">
        <v>21</v>
      </c>
      <c r="B1467">
        <v>121.11</v>
      </c>
      <c r="C1467">
        <f t="shared" si="88"/>
        <v>2543.31</v>
      </c>
      <c r="D1467">
        <f t="shared" si="89"/>
        <v>441</v>
      </c>
      <c r="E1467">
        <f t="shared" si="90"/>
        <v>14667.632100000001</v>
      </c>
      <c r="F1467">
        <f t="shared" si="91"/>
        <v>441</v>
      </c>
    </row>
    <row r="1468" spans="1:6" x14ac:dyDescent="0.3">
      <c r="A1468">
        <v>51</v>
      </c>
      <c r="B1468">
        <v>163.56</v>
      </c>
      <c r="C1468">
        <f t="shared" si="88"/>
        <v>8341.56</v>
      </c>
      <c r="D1468">
        <f t="shared" si="89"/>
        <v>2601</v>
      </c>
      <c r="E1468">
        <f t="shared" si="90"/>
        <v>26751.873599999999</v>
      </c>
      <c r="F1468">
        <f t="shared" si="91"/>
        <v>2601</v>
      </c>
    </row>
    <row r="1469" spans="1:6" x14ac:dyDescent="0.3">
      <c r="A1469">
        <v>8</v>
      </c>
      <c r="B1469">
        <v>107.69</v>
      </c>
      <c r="C1469">
        <f t="shared" si="88"/>
        <v>861.52</v>
      </c>
      <c r="D1469">
        <f t="shared" si="89"/>
        <v>64</v>
      </c>
      <c r="E1469">
        <f t="shared" si="90"/>
        <v>11597.1361</v>
      </c>
      <c r="F1469">
        <f t="shared" si="91"/>
        <v>64</v>
      </c>
    </row>
    <row r="1470" spans="1:6" x14ac:dyDescent="0.3">
      <c r="A1470">
        <v>48</v>
      </c>
      <c r="B1470">
        <v>216.88</v>
      </c>
      <c r="C1470">
        <f t="shared" si="88"/>
        <v>10410.24</v>
      </c>
      <c r="D1470">
        <f t="shared" si="89"/>
        <v>2304</v>
      </c>
      <c r="E1470">
        <f t="shared" si="90"/>
        <v>47036.934399999998</v>
      </c>
      <c r="F1470">
        <f t="shared" si="91"/>
        <v>2304</v>
      </c>
    </row>
    <row r="1471" spans="1:6" x14ac:dyDescent="0.3">
      <c r="A1471">
        <v>16</v>
      </c>
      <c r="B1471">
        <v>70.150000000000006</v>
      </c>
      <c r="C1471">
        <f t="shared" si="88"/>
        <v>1122.4000000000001</v>
      </c>
      <c r="D1471">
        <f t="shared" si="89"/>
        <v>256</v>
      </c>
      <c r="E1471">
        <f t="shared" si="90"/>
        <v>4921.0225000000009</v>
      </c>
      <c r="F1471">
        <f t="shared" si="91"/>
        <v>256</v>
      </c>
    </row>
    <row r="1472" spans="1:6" x14ac:dyDescent="0.3">
      <c r="A1472">
        <v>18</v>
      </c>
      <c r="B1472">
        <v>83.02</v>
      </c>
      <c r="C1472">
        <f t="shared" si="88"/>
        <v>1494.36</v>
      </c>
      <c r="D1472">
        <f t="shared" si="89"/>
        <v>324</v>
      </c>
      <c r="E1472">
        <f t="shared" si="90"/>
        <v>6892.3203999999996</v>
      </c>
      <c r="F1472">
        <f t="shared" si="91"/>
        <v>324</v>
      </c>
    </row>
    <row r="1473" spans="1:6" x14ac:dyDescent="0.3">
      <c r="A1473">
        <v>7</v>
      </c>
      <c r="B1473">
        <v>87.94</v>
      </c>
      <c r="C1473">
        <f t="shared" si="88"/>
        <v>615.57999999999993</v>
      </c>
      <c r="D1473">
        <f t="shared" si="89"/>
        <v>49</v>
      </c>
      <c r="E1473">
        <f t="shared" si="90"/>
        <v>7733.4435999999996</v>
      </c>
      <c r="F1473">
        <f t="shared" si="91"/>
        <v>49</v>
      </c>
    </row>
    <row r="1474" spans="1:6" x14ac:dyDescent="0.3">
      <c r="A1474">
        <v>68</v>
      </c>
      <c r="B1474">
        <v>222.29</v>
      </c>
      <c r="C1474">
        <f t="shared" si="88"/>
        <v>15115.72</v>
      </c>
      <c r="D1474">
        <f t="shared" si="89"/>
        <v>4624</v>
      </c>
      <c r="E1474">
        <f t="shared" si="90"/>
        <v>49412.844099999995</v>
      </c>
      <c r="F1474">
        <f t="shared" si="91"/>
        <v>4624</v>
      </c>
    </row>
    <row r="1475" spans="1:6" x14ac:dyDescent="0.3">
      <c r="A1475">
        <v>49</v>
      </c>
      <c r="B1475">
        <v>139.43</v>
      </c>
      <c r="C1475">
        <f t="shared" ref="C1475:C1538" si="92">A1475*B1475</f>
        <v>6832.0700000000006</v>
      </c>
      <c r="D1475">
        <f t="shared" ref="D1475:D1538" si="93">A1475*A1475</f>
        <v>2401</v>
      </c>
      <c r="E1475">
        <f t="shared" ref="E1475:E1538" si="94">B1475*B1475</f>
        <v>19440.724900000001</v>
      </c>
      <c r="F1475">
        <f t="shared" ref="F1475:F1538" si="95">A1475^2</f>
        <v>2401</v>
      </c>
    </row>
    <row r="1476" spans="1:6" x14ac:dyDescent="0.3">
      <c r="A1476">
        <v>80</v>
      </c>
      <c r="B1476">
        <v>213.11</v>
      </c>
      <c r="C1476">
        <f t="shared" si="92"/>
        <v>17048.800000000003</v>
      </c>
      <c r="D1476">
        <f t="shared" si="93"/>
        <v>6400</v>
      </c>
      <c r="E1476">
        <f t="shared" si="94"/>
        <v>45415.872100000008</v>
      </c>
      <c r="F1476">
        <f t="shared" si="95"/>
        <v>6400</v>
      </c>
    </row>
    <row r="1477" spans="1:6" x14ac:dyDescent="0.3">
      <c r="A1477">
        <v>31</v>
      </c>
      <c r="B1477">
        <v>77.23</v>
      </c>
      <c r="C1477">
        <f t="shared" si="92"/>
        <v>2394.13</v>
      </c>
      <c r="D1477">
        <f t="shared" si="93"/>
        <v>961</v>
      </c>
      <c r="E1477">
        <f t="shared" si="94"/>
        <v>5964.4729000000007</v>
      </c>
      <c r="F1477">
        <f t="shared" si="95"/>
        <v>961</v>
      </c>
    </row>
    <row r="1478" spans="1:6" x14ac:dyDescent="0.3">
      <c r="A1478">
        <v>25</v>
      </c>
      <c r="B1478">
        <v>58.48</v>
      </c>
      <c r="C1478">
        <f t="shared" si="92"/>
        <v>1462</v>
      </c>
      <c r="D1478">
        <f t="shared" si="93"/>
        <v>625</v>
      </c>
      <c r="E1478">
        <f t="shared" si="94"/>
        <v>3419.9103999999998</v>
      </c>
      <c r="F1478">
        <f t="shared" si="95"/>
        <v>625</v>
      </c>
    </row>
    <row r="1479" spans="1:6" x14ac:dyDescent="0.3">
      <c r="A1479">
        <v>39</v>
      </c>
      <c r="B1479">
        <v>87.33</v>
      </c>
      <c r="C1479">
        <f t="shared" si="92"/>
        <v>3405.87</v>
      </c>
      <c r="D1479">
        <f t="shared" si="93"/>
        <v>1521</v>
      </c>
      <c r="E1479">
        <f t="shared" si="94"/>
        <v>7626.5288999999993</v>
      </c>
      <c r="F1479">
        <f t="shared" si="95"/>
        <v>1521</v>
      </c>
    </row>
    <row r="1480" spans="1:6" x14ac:dyDescent="0.3">
      <c r="A1480">
        <v>35</v>
      </c>
      <c r="B1480">
        <v>102.34</v>
      </c>
      <c r="C1480">
        <f t="shared" si="92"/>
        <v>3581.9</v>
      </c>
      <c r="D1480">
        <f t="shared" si="93"/>
        <v>1225</v>
      </c>
      <c r="E1480">
        <f t="shared" si="94"/>
        <v>10473.475600000002</v>
      </c>
      <c r="F1480">
        <f t="shared" si="95"/>
        <v>1225</v>
      </c>
    </row>
    <row r="1481" spans="1:6" x14ac:dyDescent="0.3">
      <c r="A1481">
        <v>71</v>
      </c>
      <c r="B1481">
        <v>151.30000000000001</v>
      </c>
      <c r="C1481">
        <f t="shared" si="92"/>
        <v>10742.300000000001</v>
      </c>
      <c r="D1481">
        <f t="shared" si="93"/>
        <v>5041</v>
      </c>
      <c r="E1481">
        <f t="shared" si="94"/>
        <v>22891.690000000002</v>
      </c>
      <c r="F1481">
        <f t="shared" si="95"/>
        <v>5041</v>
      </c>
    </row>
    <row r="1482" spans="1:6" x14ac:dyDescent="0.3">
      <c r="A1482">
        <v>71</v>
      </c>
      <c r="B1482">
        <v>144.22999999999999</v>
      </c>
      <c r="C1482">
        <f t="shared" si="92"/>
        <v>10240.33</v>
      </c>
      <c r="D1482">
        <f t="shared" si="93"/>
        <v>5041</v>
      </c>
      <c r="E1482">
        <f t="shared" si="94"/>
        <v>20802.292899999997</v>
      </c>
      <c r="F1482">
        <f t="shared" si="95"/>
        <v>5041</v>
      </c>
    </row>
    <row r="1483" spans="1:6" x14ac:dyDescent="0.3">
      <c r="A1483">
        <v>40</v>
      </c>
      <c r="B1483">
        <v>110.6</v>
      </c>
      <c r="C1483">
        <f t="shared" si="92"/>
        <v>4424</v>
      </c>
      <c r="D1483">
        <f t="shared" si="93"/>
        <v>1600</v>
      </c>
      <c r="E1483">
        <f t="shared" si="94"/>
        <v>12232.359999999999</v>
      </c>
      <c r="F1483">
        <f t="shared" si="95"/>
        <v>1600</v>
      </c>
    </row>
    <row r="1484" spans="1:6" x14ac:dyDescent="0.3">
      <c r="A1484">
        <v>41</v>
      </c>
      <c r="B1484">
        <v>80.28</v>
      </c>
      <c r="C1484">
        <f t="shared" si="92"/>
        <v>3291.48</v>
      </c>
      <c r="D1484">
        <f t="shared" si="93"/>
        <v>1681</v>
      </c>
      <c r="E1484">
        <f t="shared" si="94"/>
        <v>6444.8784000000005</v>
      </c>
      <c r="F1484">
        <f t="shared" si="95"/>
        <v>1681</v>
      </c>
    </row>
    <row r="1485" spans="1:6" x14ac:dyDescent="0.3">
      <c r="A1485">
        <v>2</v>
      </c>
      <c r="B1485">
        <v>111.02</v>
      </c>
      <c r="C1485">
        <f t="shared" si="92"/>
        <v>222.04</v>
      </c>
      <c r="D1485">
        <f t="shared" si="93"/>
        <v>4</v>
      </c>
      <c r="E1485">
        <f t="shared" si="94"/>
        <v>12325.440399999999</v>
      </c>
      <c r="F1485">
        <f t="shared" si="95"/>
        <v>4</v>
      </c>
    </row>
    <row r="1486" spans="1:6" x14ac:dyDescent="0.3">
      <c r="A1486">
        <v>3</v>
      </c>
      <c r="B1486">
        <v>114.88</v>
      </c>
      <c r="C1486">
        <f t="shared" si="92"/>
        <v>344.64</v>
      </c>
      <c r="D1486">
        <f t="shared" si="93"/>
        <v>9</v>
      </c>
      <c r="E1486">
        <f t="shared" si="94"/>
        <v>13197.4144</v>
      </c>
      <c r="F1486">
        <f t="shared" si="95"/>
        <v>9</v>
      </c>
    </row>
    <row r="1487" spans="1:6" x14ac:dyDescent="0.3">
      <c r="A1487">
        <v>53</v>
      </c>
      <c r="B1487">
        <v>227.51</v>
      </c>
      <c r="C1487">
        <f t="shared" si="92"/>
        <v>12058.029999999999</v>
      </c>
      <c r="D1487">
        <f t="shared" si="93"/>
        <v>2809</v>
      </c>
      <c r="E1487">
        <f t="shared" si="94"/>
        <v>51760.800099999993</v>
      </c>
      <c r="F1487">
        <f t="shared" si="95"/>
        <v>2809</v>
      </c>
    </row>
    <row r="1488" spans="1:6" x14ac:dyDescent="0.3">
      <c r="A1488">
        <v>1.88</v>
      </c>
      <c r="B1488">
        <v>111.65</v>
      </c>
      <c r="C1488">
        <f t="shared" si="92"/>
        <v>209.90199999999999</v>
      </c>
      <c r="D1488">
        <f t="shared" si="93"/>
        <v>3.5343999999999998</v>
      </c>
      <c r="E1488">
        <f t="shared" si="94"/>
        <v>12465.722500000002</v>
      </c>
      <c r="F1488">
        <f t="shared" si="95"/>
        <v>3.5343999999999998</v>
      </c>
    </row>
    <row r="1489" spans="1:6" x14ac:dyDescent="0.3">
      <c r="A1489">
        <v>60</v>
      </c>
      <c r="B1489">
        <v>201.01</v>
      </c>
      <c r="C1489">
        <f t="shared" si="92"/>
        <v>12060.599999999999</v>
      </c>
      <c r="D1489">
        <f t="shared" si="93"/>
        <v>3600</v>
      </c>
      <c r="E1489">
        <f t="shared" si="94"/>
        <v>40405.020099999994</v>
      </c>
      <c r="F1489">
        <f t="shared" si="95"/>
        <v>3600</v>
      </c>
    </row>
    <row r="1490" spans="1:6" x14ac:dyDescent="0.3">
      <c r="A1490">
        <v>5</v>
      </c>
      <c r="B1490">
        <v>129.01</v>
      </c>
      <c r="C1490">
        <f t="shared" si="92"/>
        <v>645.04999999999995</v>
      </c>
      <c r="D1490">
        <f t="shared" si="93"/>
        <v>25</v>
      </c>
      <c r="E1490">
        <f t="shared" si="94"/>
        <v>16643.580099999999</v>
      </c>
      <c r="F1490">
        <f t="shared" si="95"/>
        <v>25</v>
      </c>
    </row>
    <row r="1491" spans="1:6" x14ac:dyDescent="0.3">
      <c r="A1491">
        <v>30</v>
      </c>
      <c r="B1491">
        <v>124.08</v>
      </c>
      <c r="C1491">
        <f t="shared" si="92"/>
        <v>3722.4</v>
      </c>
      <c r="D1491">
        <f t="shared" si="93"/>
        <v>900</v>
      </c>
      <c r="E1491">
        <f t="shared" si="94"/>
        <v>15395.8464</v>
      </c>
      <c r="F1491">
        <f t="shared" si="95"/>
        <v>900</v>
      </c>
    </row>
    <row r="1492" spans="1:6" x14ac:dyDescent="0.3">
      <c r="A1492">
        <v>49</v>
      </c>
      <c r="B1492">
        <v>107.91</v>
      </c>
      <c r="C1492">
        <f t="shared" si="92"/>
        <v>5287.59</v>
      </c>
      <c r="D1492">
        <f t="shared" si="93"/>
        <v>2401</v>
      </c>
      <c r="E1492">
        <f t="shared" si="94"/>
        <v>11644.568099999999</v>
      </c>
      <c r="F1492">
        <f t="shared" si="95"/>
        <v>2401</v>
      </c>
    </row>
    <row r="1493" spans="1:6" x14ac:dyDescent="0.3">
      <c r="A1493">
        <v>68</v>
      </c>
      <c r="B1493">
        <v>95.4</v>
      </c>
      <c r="C1493">
        <f t="shared" si="92"/>
        <v>6487.2000000000007</v>
      </c>
      <c r="D1493">
        <f t="shared" si="93"/>
        <v>4624</v>
      </c>
      <c r="E1493">
        <f t="shared" si="94"/>
        <v>9101.1600000000017</v>
      </c>
      <c r="F1493">
        <f t="shared" si="95"/>
        <v>4624</v>
      </c>
    </row>
    <row r="1494" spans="1:6" x14ac:dyDescent="0.3">
      <c r="A1494">
        <v>23</v>
      </c>
      <c r="B1494">
        <v>65.900000000000006</v>
      </c>
      <c r="C1494">
        <f t="shared" si="92"/>
        <v>1515.7</v>
      </c>
      <c r="D1494">
        <f t="shared" si="93"/>
        <v>529</v>
      </c>
      <c r="E1494">
        <f t="shared" si="94"/>
        <v>4342.8100000000004</v>
      </c>
      <c r="F1494">
        <f t="shared" si="95"/>
        <v>529</v>
      </c>
    </row>
    <row r="1495" spans="1:6" x14ac:dyDescent="0.3">
      <c r="A1495">
        <v>2</v>
      </c>
      <c r="B1495">
        <v>78.98</v>
      </c>
      <c r="C1495">
        <f t="shared" si="92"/>
        <v>157.96</v>
      </c>
      <c r="D1495">
        <f t="shared" si="93"/>
        <v>4</v>
      </c>
      <c r="E1495">
        <f t="shared" si="94"/>
        <v>6237.840400000001</v>
      </c>
      <c r="F1495">
        <f t="shared" si="95"/>
        <v>4</v>
      </c>
    </row>
    <row r="1496" spans="1:6" x14ac:dyDescent="0.3">
      <c r="A1496">
        <v>24</v>
      </c>
      <c r="B1496">
        <v>111.33</v>
      </c>
      <c r="C1496">
        <f t="shared" si="92"/>
        <v>2671.92</v>
      </c>
      <c r="D1496">
        <f t="shared" si="93"/>
        <v>576</v>
      </c>
      <c r="E1496">
        <f t="shared" si="94"/>
        <v>12394.368899999999</v>
      </c>
      <c r="F1496">
        <f t="shared" si="95"/>
        <v>576</v>
      </c>
    </row>
    <row r="1497" spans="1:6" x14ac:dyDescent="0.3">
      <c r="A1497">
        <v>41</v>
      </c>
      <c r="B1497">
        <v>104.36</v>
      </c>
      <c r="C1497">
        <f t="shared" si="92"/>
        <v>4278.76</v>
      </c>
      <c r="D1497">
        <f t="shared" si="93"/>
        <v>1681</v>
      </c>
      <c r="E1497">
        <f t="shared" si="94"/>
        <v>10891.009599999999</v>
      </c>
      <c r="F1497">
        <f t="shared" si="95"/>
        <v>1681</v>
      </c>
    </row>
    <row r="1498" spans="1:6" x14ac:dyDescent="0.3">
      <c r="A1498">
        <v>63</v>
      </c>
      <c r="B1498">
        <v>123.87</v>
      </c>
      <c r="C1498">
        <f t="shared" si="92"/>
        <v>7803.81</v>
      </c>
      <c r="D1498">
        <f t="shared" si="93"/>
        <v>3969</v>
      </c>
      <c r="E1498">
        <f t="shared" si="94"/>
        <v>15343.776900000001</v>
      </c>
      <c r="F1498">
        <f t="shared" si="95"/>
        <v>3969</v>
      </c>
    </row>
    <row r="1499" spans="1:6" x14ac:dyDescent="0.3">
      <c r="A1499">
        <v>64</v>
      </c>
      <c r="B1499">
        <v>210</v>
      </c>
      <c r="C1499">
        <f t="shared" si="92"/>
        <v>13440</v>
      </c>
      <c r="D1499">
        <f t="shared" si="93"/>
        <v>4096</v>
      </c>
      <c r="E1499">
        <f t="shared" si="94"/>
        <v>44100</v>
      </c>
      <c r="F1499">
        <f t="shared" si="95"/>
        <v>4096</v>
      </c>
    </row>
    <row r="1500" spans="1:6" x14ac:dyDescent="0.3">
      <c r="A1500">
        <v>38</v>
      </c>
      <c r="B1500">
        <v>86.86</v>
      </c>
      <c r="C1500">
        <f t="shared" si="92"/>
        <v>3300.68</v>
      </c>
      <c r="D1500">
        <f t="shared" si="93"/>
        <v>1444</v>
      </c>
      <c r="E1500">
        <f t="shared" si="94"/>
        <v>7544.6596</v>
      </c>
      <c r="F1500">
        <f t="shared" si="95"/>
        <v>1444</v>
      </c>
    </row>
    <row r="1501" spans="1:6" x14ac:dyDescent="0.3">
      <c r="A1501">
        <v>1.24</v>
      </c>
      <c r="B1501">
        <v>113.96</v>
      </c>
      <c r="C1501">
        <f t="shared" si="92"/>
        <v>141.31039999999999</v>
      </c>
      <c r="D1501">
        <f t="shared" si="93"/>
        <v>1.5376000000000001</v>
      </c>
      <c r="E1501">
        <f t="shared" si="94"/>
        <v>12986.881599999999</v>
      </c>
      <c r="F1501">
        <f t="shared" si="95"/>
        <v>1.5376000000000001</v>
      </c>
    </row>
    <row r="1502" spans="1:6" x14ac:dyDescent="0.3">
      <c r="A1502">
        <v>38</v>
      </c>
      <c r="B1502">
        <v>81.28</v>
      </c>
      <c r="C1502">
        <f t="shared" si="92"/>
        <v>3088.64</v>
      </c>
      <c r="D1502">
        <f t="shared" si="93"/>
        <v>1444</v>
      </c>
      <c r="E1502">
        <f t="shared" si="94"/>
        <v>6606.4384</v>
      </c>
      <c r="F1502">
        <f t="shared" si="95"/>
        <v>1444</v>
      </c>
    </row>
    <row r="1503" spans="1:6" x14ac:dyDescent="0.3">
      <c r="A1503">
        <v>43</v>
      </c>
      <c r="B1503">
        <v>102.5</v>
      </c>
      <c r="C1503">
        <f t="shared" si="92"/>
        <v>4407.5</v>
      </c>
      <c r="D1503">
        <f t="shared" si="93"/>
        <v>1849</v>
      </c>
      <c r="E1503">
        <f t="shared" si="94"/>
        <v>10506.25</v>
      </c>
      <c r="F1503">
        <f t="shared" si="95"/>
        <v>1849</v>
      </c>
    </row>
    <row r="1504" spans="1:6" x14ac:dyDescent="0.3">
      <c r="A1504">
        <v>27</v>
      </c>
      <c r="B1504">
        <v>78.05</v>
      </c>
      <c r="C1504">
        <f t="shared" si="92"/>
        <v>2107.35</v>
      </c>
      <c r="D1504">
        <f t="shared" si="93"/>
        <v>729</v>
      </c>
      <c r="E1504">
        <f t="shared" si="94"/>
        <v>6091.8024999999998</v>
      </c>
      <c r="F1504">
        <f t="shared" si="95"/>
        <v>729</v>
      </c>
    </row>
    <row r="1505" spans="1:6" x14ac:dyDescent="0.3">
      <c r="A1505">
        <v>61</v>
      </c>
      <c r="B1505">
        <v>237.58</v>
      </c>
      <c r="C1505">
        <f t="shared" si="92"/>
        <v>14492.380000000001</v>
      </c>
      <c r="D1505">
        <f t="shared" si="93"/>
        <v>3721</v>
      </c>
      <c r="E1505">
        <f t="shared" si="94"/>
        <v>56444.256400000006</v>
      </c>
      <c r="F1505">
        <f t="shared" si="95"/>
        <v>3721</v>
      </c>
    </row>
    <row r="1506" spans="1:6" x14ac:dyDescent="0.3">
      <c r="A1506">
        <v>42</v>
      </c>
      <c r="B1506">
        <v>86.07</v>
      </c>
      <c r="C1506">
        <f t="shared" si="92"/>
        <v>3614.9399999999996</v>
      </c>
      <c r="D1506">
        <f t="shared" si="93"/>
        <v>1764</v>
      </c>
      <c r="E1506">
        <f t="shared" si="94"/>
        <v>7408.044899999999</v>
      </c>
      <c r="F1506">
        <f t="shared" si="95"/>
        <v>1764</v>
      </c>
    </row>
    <row r="1507" spans="1:6" x14ac:dyDescent="0.3">
      <c r="A1507">
        <v>46</v>
      </c>
      <c r="B1507">
        <v>59.05</v>
      </c>
      <c r="C1507">
        <f t="shared" si="92"/>
        <v>2716.2999999999997</v>
      </c>
      <c r="D1507">
        <f t="shared" si="93"/>
        <v>2116</v>
      </c>
      <c r="E1507">
        <f t="shared" si="94"/>
        <v>3486.9024999999997</v>
      </c>
      <c r="F1507">
        <f t="shared" si="95"/>
        <v>2116</v>
      </c>
    </row>
    <row r="1508" spans="1:6" x14ac:dyDescent="0.3">
      <c r="A1508">
        <v>67</v>
      </c>
      <c r="B1508">
        <v>95.88</v>
      </c>
      <c r="C1508">
        <f t="shared" si="92"/>
        <v>6423.96</v>
      </c>
      <c r="D1508">
        <f t="shared" si="93"/>
        <v>4489</v>
      </c>
      <c r="E1508">
        <f t="shared" si="94"/>
        <v>9192.9743999999992</v>
      </c>
      <c r="F1508">
        <f t="shared" si="95"/>
        <v>4489</v>
      </c>
    </row>
    <row r="1509" spans="1:6" x14ac:dyDescent="0.3">
      <c r="A1509">
        <v>34</v>
      </c>
      <c r="B1509">
        <v>70.180000000000007</v>
      </c>
      <c r="C1509">
        <f t="shared" si="92"/>
        <v>2386.1200000000003</v>
      </c>
      <c r="D1509">
        <f t="shared" si="93"/>
        <v>1156</v>
      </c>
      <c r="E1509">
        <f t="shared" si="94"/>
        <v>4925.2324000000008</v>
      </c>
      <c r="F1509">
        <f t="shared" si="95"/>
        <v>1156</v>
      </c>
    </row>
    <row r="1510" spans="1:6" x14ac:dyDescent="0.3">
      <c r="A1510">
        <v>51</v>
      </c>
      <c r="B1510">
        <v>111.13</v>
      </c>
      <c r="C1510">
        <f t="shared" si="92"/>
        <v>5667.63</v>
      </c>
      <c r="D1510">
        <f t="shared" si="93"/>
        <v>2601</v>
      </c>
      <c r="E1510">
        <f t="shared" si="94"/>
        <v>12349.876899999999</v>
      </c>
      <c r="F1510">
        <f t="shared" si="95"/>
        <v>2601</v>
      </c>
    </row>
    <row r="1511" spans="1:6" x14ac:dyDescent="0.3">
      <c r="A1511">
        <v>77</v>
      </c>
      <c r="B1511">
        <v>79.3</v>
      </c>
      <c r="C1511">
        <f t="shared" si="92"/>
        <v>6106.0999999999995</v>
      </c>
      <c r="D1511">
        <f t="shared" si="93"/>
        <v>5929</v>
      </c>
      <c r="E1511">
        <f t="shared" si="94"/>
        <v>6288.49</v>
      </c>
      <c r="F1511">
        <f t="shared" si="95"/>
        <v>5929</v>
      </c>
    </row>
    <row r="1512" spans="1:6" x14ac:dyDescent="0.3">
      <c r="A1512">
        <v>30</v>
      </c>
      <c r="B1512">
        <v>65.84</v>
      </c>
      <c r="C1512">
        <f t="shared" si="92"/>
        <v>1975.2</v>
      </c>
      <c r="D1512">
        <f t="shared" si="93"/>
        <v>900</v>
      </c>
      <c r="E1512">
        <f t="shared" si="94"/>
        <v>4334.9056</v>
      </c>
      <c r="F1512">
        <f t="shared" si="95"/>
        <v>900</v>
      </c>
    </row>
    <row r="1513" spans="1:6" x14ac:dyDescent="0.3">
      <c r="A1513">
        <v>81</v>
      </c>
      <c r="B1513">
        <v>123.49</v>
      </c>
      <c r="C1513">
        <f t="shared" si="92"/>
        <v>10002.689999999999</v>
      </c>
      <c r="D1513">
        <f t="shared" si="93"/>
        <v>6561</v>
      </c>
      <c r="E1513">
        <f t="shared" si="94"/>
        <v>15249.780099999998</v>
      </c>
      <c r="F1513">
        <f t="shared" si="95"/>
        <v>6561</v>
      </c>
    </row>
    <row r="1514" spans="1:6" x14ac:dyDescent="0.3">
      <c r="A1514">
        <v>12</v>
      </c>
      <c r="B1514">
        <v>207.45</v>
      </c>
      <c r="C1514">
        <f t="shared" si="92"/>
        <v>2489.3999999999996</v>
      </c>
      <c r="D1514">
        <f t="shared" si="93"/>
        <v>144</v>
      </c>
      <c r="E1514">
        <f t="shared" si="94"/>
        <v>43035.502499999995</v>
      </c>
      <c r="F1514">
        <f t="shared" si="95"/>
        <v>144</v>
      </c>
    </row>
    <row r="1515" spans="1:6" x14ac:dyDescent="0.3">
      <c r="A1515">
        <v>18</v>
      </c>
      <c r="B1515">
        <v>143.44999999999999</v>
      </c>
      <c r="C1515">
        <f t="shared" si="92"/>
        <v>2582.1</v>
      </c>
      <c r="D1515">
        <f t="shared" si="93"/>
        <v>324</v>
      </c>
      <c r="E1515">
        <f t="shared" si="94"/>
        <v>20577.902499999997</v>
      </c>
      <c r="F1515">
        <f t="shared" si="95"/>
        <v>324</v>
      </c>
    </row>
    <row r="1516" spans="1:6" x14ac:dyDescent="0.3">
      <c r="A1516">
        <v>35</v>
      </c>
      <c r="B1516">
        <v>89.11</v>
      </c>
      <c r="C1516">
        <f t="shared" si="92"/>
        <v>3118.85</v>
      </c>
      <c r="D1516">
        <f t="shared" si="93"/>
        <v>1225</v>
      </c>
      <c r="E1516">
        <f t="shared" si="94"/>
        <v>7940.5920999999998</v>
      </c>
      <c r="F1516">
        <f t="shared" si="95"/>
        <v>1225</v>
      </c>
    </row>
    <row r="1517" spans="1:6" x14ac:dyDescent="0.3">
      <c r="A1517">
        <v>82</v>
      </c>
      <c r="B1517">
        <v>58.3</v>
      </c>
      <c r="C1517">
        <f t="shared" si="92"/>
        <v>4780.5999999999995</v>
      </c>
      <c r="D1517">
        <f t="shared" si="93"/>
        <v>6724</v>
      </c>
      <c r="E1517">
        <f t="shared" si="94"/>
        <v>3398.89</v>
      </c>
      <c r="F1517">
        <f t="shared" si="95"/>
        <v>6724</v>
      </c>
    </row>
    <row r="1518" spans="1:6" x14ac:dyDescent="0.3">
      <c r="A1518">
        <v>53</v>
      </c>
      <c r="B1518">
        <v>78.680000000000007</v>
      </c>
      <c r="C1518">
        <f t="shared" si="92"/>
        <v>4170.04</v>
      </c>
      <c r="D1518">
        <f t="shared" si="93"/>
        <v>2809</v>
      </c>
      <c r="E1518">
        <f t="shared" si="94"/>
        <v>6190.5424000000012</v>
      </c>
      <c r="F1518">
        <f t="shared" si="95"/>
        <v>2809</v>
      </c>
    </row>
    <row r="1519" spans="1:6" x14ac:dyDescent="0.3">
      <c r="A1519">
        <v>75</v>
      </c>
      <c r="B1519">
        <v>98.91</v>
      </c>
      <c r="C1519">
        <f t="shared" si="92"/>
        <v>7418.25</v>
      </c>
      <c r="D1519">
        <f t="shared" si="93"/>
        <v>5625</v>
      </c>
      <c r="E1519">
        <f t="shared" si="94"/>
        <v>9783.1880999999994</v>
      </c>
      <c r="F1519">
        <f t="shared" si="95"/>
        <v>5625</v>
      </c>
    </row>
    <row r="1520" spans="1:6" x14ac:dyDescent="0.3">
      <c r="A1520">
        <v>32</v>
      </c>
      <c r="B1520">
        <v>67.92</v>
      </c>
      <c r="C1520">
        <f t="shared" si="92"/>
        <v>2173.44</v>
      </c>
      <c r="D1520">
        <f t="shared" si="93"/>
        <v>1024</v>
      </c>
      <c r="E1520">
        <f t="shared" si="94"/>
        <v>4613.1264000000001</v>
      </c>
      <c r="F1520">
        <f t="shared" si="95"/>
        <v>1024</v>
      </c>
    </row>
    <row r="1521" spans="1:6" x14ac:dyDescent="0.3">
      <c r="A1521">
        <v>27</v>
      </c>
      <c r="B1521">
        <v>73</v>
      </c>
      <c r="C1521">
        <f t="shared" si="92"/>
        <v>1971</v>
      </c>
      <c r="D1521">
        <f t="shared" si="93"/>
        <v>729</v>
      </c>
      <c r="E1521">
        <f t="shared" si="94"/>
        <v>5329</v>
      </c>
      <c r="F1521">
        <f t="shared" si="95"/>
        <v>729</v>
      </c>
    </row>
    <row r="1522" spans="1:6" x14ac:dyDescent="0.3">
      <c r="A1522">
        <v>56</v>
      </c>
      <c r="B1522">
        <v>97.5</v>
      </c>
      <c r="C1522">
        <f t="shared" si="92"/>
        <v>5460</v>
      </c>
      <c r="D1522">
        <f t="shared" si="93"/>
        <v>3136</v>
      </c>
      <c r="E1522">
        <f t="shared" si="94"/>
        <v>9506.25</v>
      </c>
      <c r="F1522">
        <f t="shared" si="95"/>
        <v>3136</v>
      </c>
    </row>
    <row r="1523" spans="1:6" x14ac:dyDescent="0.3">
      <c r="A1523">
        <v>71</v>
      </c>
      <c r="B1523">
        <v>108.43</v>
      </c>
      <c r="C1523">
        <f t="shared" si="92"/>
        <v>7698.5300000000007</v>
      </c>
      <c r="D1523">
        <f t="shared" si="93"/>
        <v>5041</v>
      </c>
      <c r="E1523">
        <f t="shared" si="94"/>
        <v>11757.064900000001</v>
      </c>
      <c r="F1523">
        <f t="shared" si="95"/>
        <v>5041</v>
      </c>
    </row>
    <row r="1524" spans="1:6" x14ac:dyDescent="0.3">
      <c r="A1524">
        <v>78</v>
      </c>
      <c r="B1524">
        <v>90.43</v>
      </c>
      <c r="C1524">
        <f t="shared" si="92"/>
        <v>7053.5400000000009</v>
      </c>
      <c r="D1524">
        <f t="shared" si="93"/>
        <v>6084</v>
      </c>
      <c r="E1524">
        <f t="shared" si="94"/>
        <v>8177.5849000000017</v>
      </c>
      <c r="F1524">
        <f t="shared" si="95"/>
        <v>6084</v>
      </c>
    </row>
    <row r="1525" spans="1:6" x14ac:dyDescent="0.3">
      <c r="A1525">
        <v>44</v>
      </c>
      <c r="B1525">
        <v>76.3</v>
      </c>
      <c r="C1525">
        <f t="shared" si="92"/>
        <v>3357.2</v>
      </c>
      <c r="D1525">
        <f t="shared" si="93"/>
        <v>1936</v>
      </c>
      <c r="E1525">
        <f t="shared" si="94"/>
        <v>5821.69</v>
      </c>
      <c r="F1525">
        <f t="shared" si="95"/>
        <v>1936</v>
      </c>
    </row>
    <row r="1526" spans="1:6" x14ac:dyDescent="0.3">
      <c r="A1526">
        <v>62</v>
      </c>
      <c r="B1526">
        <v>121.27</v>
      </c>
      <c r="C1526">
        <f t="shared" si="92"/>
        <v>7518.74</v>
      </c>
      <c r="D1526">
        <f t="shared" si="93"/>
        <v>3844</v>
      </c>
      <c r="E1526">
        <f t="shared" si="94"/>
        <v>14706.412899999999</v>
      </c>
      <c r="F1526">
        <f t="shared" si="95"/>
        <v>3844</v>
      </c>
    </row>
    <row r="1527" spans="1:6" x14ac:dyDescent="0.3">
      <c r="A1527">
        <v>27</v>
      </c>
      <c r="B1527">
        <v>119.67</v>
      </c>
      <c r="C1527">
        <f t="shared" si="92"/>
        <v>3231.09</v>
      </c>
      <c r="D1527">
        <f t="shared" si="93"/>
        <v>729</v>
      </c>
      <c r="E1527">
        <f t="shared" si="94"/>
        <v>14320.9089</v>
      </c>
      <c r="F1527">
        <f t="shared" si="95"/>
        <v>729</v>
      </c>
    </row>
    <row r="1528" spans="1:6" x14ac:dyDescent="0.3">
      <c r="A1528">
        <v>42</v>
      </c>
      <c r="B1528">
        <v>226.93</v>
      </c>
      <c r="C1528">
        <f t="shared" si="92"/>
        <v>9531.06</v>
      </c>
      <c r="D1528">
        <f t="shared" si="93"/>
        <v>1764</v>
      </c>
      <c r="E1528">
        <f t="shared" si="94"/>
        <v>51497.224900000001</v>
      </c>
      <c r="F1528">
        <f t="shared" si="95"/>
        <v>1764</v>
      </c>
    </row>
    <row r="1529" spans="1:6" x14ac:dyDescent="0.3">
      <c r="A1529">
        <v>66</v>
      </c>
      <c r="B1529">
        <v>76.11</v>
      </c>
      <c r="C1529">
        <f t="shared" si="92"/>
        <v>5023.26</v>
      </c>
      <c r="D1529">
        <f t="shared" si="93"/>
        <v>4356</v>
      </c>
      <c r="E1529">
        <f t="shared" si="94"/>
        <v>5792.7321000000002</v>
      </c>
      <c r="F1529">
        <f t="shared" si="95"/>
        <v>4356</v>
      </c>
    </row>
    <row r="1530" spans="1:6" x14ac:dyDescent="0.3">
      <c r="A1530">
        <v>25</v>
      </c>
      <c r="B1530">
        <v>93.23</v>
      </c>
      <c r="C1530">
        <f t="shared" si="92"/>
        <v>2330.75</v>
      </c>
      <c r="D1530">
        <f t="shared" si="93"/>
        <v>625</v>
      </c>
      <c r="E1530">
        <f t="shared" si="94"/>
        <v>8691.8329000000012</v>
      </c>
      <c r="F1530">
        <f t="shared" si="95"/>
        <v>625</v>
      </c>
    </row>
    <row r="1531" spans="1:6" x14ac:dyDescent="0.3">
      <c r="A1531">
        <v>82</v>
      </c>
      <c r="B1531">
        <v>253.16</v>
      </c>
      <c r="C1531">
        <f t="shared" si="92"/>
        <v>20759.12</v>
      </c>
      <c r="D1531">
        <f t="shared" si="93"/>
        <v>6724</v>
      </c>
      <c r="E1531">
        <f t="shared" si="94"/>
        <v>64089.9856</v>
      </c>
      <c r="F1531">
        <f t="shared" si="95"/>
        <v>6724</v>
      </c>
    </row>
    <row r="1532" spans="1:6" x14ac:dyDescent="0.3">
      <c r="A1532">
        <v>49</v>
      </c>
      <c r="B1532">
        <v>101.02</v>
      </c>
      <c r="C1532">
        <f t="shared" si="92"/>
        <v>4949.9799999999996</v>
      </c>
      <c r="D1532">
        <f t="shared" si="93"/>
        <v>2401</v>
      </c>
      <c r="E1532">
        <f t="shared" si="94"/>
        <v>10205.0404</v>
      </c>
      <c r="F1532">
        <f t="shared" si="95"/>
        <v>2401</v>
      </c>
    </row>
    <row r="1533" spans="1:6" x14ac:dyDescent="0.3">
      <c r="A1533">
        <v>77</v>
      </c>
      <c r="B1533">
        <v>238.53</v>
      </c>
      <c r="C1533">
        <f t="shared" si="92"/>
        <v>18366.810000000001</v>
      </c>
      <c r="D1533">
        <f t="shared" si="93"/>
        <v>5929</v>
      </c>
      <c r="E1533">
        <f t="shared" si="94"/>
        <v>56896.560900000004</v>
      </c>
      <c r="F1533">
        <f t="shared" si="95"/>
        <v>5929</v>
      </c>
    </row>
    <row r="1534" spans="1:6" x14ac:dyDescent="0.3">
      <c r="A1534">
        <v>59</v>
      </c>
      <c r="B1534">
        <v>79.180000000000007</v>
      </c>
      <c r="C1534">
        <f t="shared" si="92"/>
        <v>4671.6200000000008</v>
      </c>
      <c r="D1534">
        <f t="shared" si="93"/>
        <v>3481</v>
      </c>
      <c r="E1534">
        <f t="shared" si="94"/>
        <v>6269.4724000000015</v>
      </c>
      <c r="F1534">
        <f t="shared" si="95"/>
        <v>3481</v>
      </c>
    </row>
    <row r="1535" spans="1:6" x14ac:dyDescent="0.3">
      <c r="A1535">
        <v>54</v>
      </c>
      <c r="B1535">
        <v>207.79</v>
      </c>
      <c r="C1535">
        <f t="shared" si="92"/>
        <v>11220.66</v>
      </c>
      <c r="D1535">
        <f t="shared" si="93"/>
        <v>2916</v>
      </c>
      <c r="E1535">
        <f t="shared" si="94"/>
        <v>43176.684099999999</v>
      </c>
      <c r="F1535">
        <f t="shared" si="95"/>
        <v>2916</v>
      </c>
    </row>
    <row r="1536" spans="1:6" x14ac:dyDescent="0.3">
      <c r="A1536">
        <v>38</v>
      </c>
      <c r="B1536">
        <v>196.2</v>
      </c>
      <c r="C1536">
        <f t="shared" si="92"/>
        <v>7455.5999999999995</v>
      </c>
      <c r="D1536">
        <f t="shared" si="93"/>
        <v>1444</v>
      </c>
      <c r="E1536">
        <f t="shared" si="94"/>
        <v>38494.439999999995</v>
      </c>
      <c r="F1536">
        <f t="shared" si="95"/>
        <v>1444</v>
      </c>
    </row>
    <row r="1537" spans="1:6" x14ac:dyDescent="0.3">
      <c r="A1537">
        <v>55</v>
      </c>
      <c r="B1537">
        <v>231.76</v>
      </c>
      <c r="C1537">
        <f t="shared" si="92"/>
        <v>12746.8</v>
      </c>
      <c r="D1537">
        <f t="shared" si="93"/>
        <v>3025</v>
      </c>
      <c r="E1537">
        <f t="shared" si="94"/>
        <v>53712.697599999992</v>
      </c>
      <c r="F1537">
        <f t="shared" si="95"/>
        <v>3025</v>
      </c>
    </row>
    <row r="1538" spans="1:6" x14ac:dyDescent="0.3">
      <c r="A1538">
        <v>13</v>
      </c>
      <c r="B1538">
        <v>93.3</v>
      </c>
      <c r="C1538">
        <f t="shared" si="92"/>
        <v>1212.8999999999999</v>
      </c>
      <c r="D1538">
        <f t="shared" si="93"/>
        <v>169</v>
      </c>
      <c r="E1538">
        <f t="shared" si="94"/>
        <v>8704.89</v>
      </c>
      <c r="F1538">
        <f t="shared" si="95"/>
        <v>169</v>
      </c>
    </row>
    <row r="1539" spans="1:6" x14ac:dyDescent="0.3">
      <c r="A1539">
        <v>45</v>
      </c>
      <c r="B1539">
        <v>110.47</v>
      </c>
      <c r="C1539">
        <f t="shared" ref="C1539:C1602" si="96">A1539*B1539</f>
        <v>4971.1499999999996</v>
      </c>
      <c r="D1539">
        <f t="shared" ref="D1539:D1602" si="97">A1539*A1539</f>
        <v>2025</v>
      </c>
      <c r="E1539">
        <f t="shared" ref="E1539:E1602" si="98">B1539*B1539</f>
        <v>12203.6209</v>
      </c>
      <c r="F1539">
        <f t="shared" ref="F1539:F1602" si="99">A1539^2</f>
        <v>2025</v>
      </c>
    </row>
    <row r="1540" spans="1:6" x14ac:dyDescent="0.3">
      <c r="A1540">
        <v>54</v>
      </c>
      <c r="B1540">
        <v>77.52</v>
      </c>
      <c r="C1540">
        <f t="shared" si="96"/>
        <v>4186.08</v>
      </c>
      <c r="D1540">
        <f t="shared" si="97"/>
        <v>2916</v>
      </c>
      <c r="E1540">
        <f t="shared" si="98"/>
        <v>6009.3503999999994</v>
      </c>
      <c r="F1540">
        <f t="shared" si="99"/>
        <v>2916</v>
      </c>
    </row>
    <row r="1541" spans="1:6" x14ac:dyDescent="0.3">
      <c r="A1541">
        <v>30</v>
      </c>
      <c r="B1541">
        <v>91.23</v>
      </c>
      <c r="C1541">
        <f t="shared" si="96"/>
        <v>2736.9</v>
      </c>
      <c r="D1541">
        <f t="shared" si="97"/>
        <v>900</v>
      </c>
      <c r="E1541">
        <f t="shared" si="98"/>
        <v>8322.9129000000012</v>
      </c>
      <c r="F1541">
        <f t="shared" si="99"/>
        <v>900</v>
      </c>
    </row>
    <row r="1542" spans="1:6" x14ac:dyDescent="0.3">
      <c r="A1542">
        <v>51</v>
      </c>
      <c r="B1542">
        <v>216.92</v>
      </c>
      <c r="C1542">
        <f t="shared" si="96"/>
        <v>11062.92</v>
      </c>
      <c r="D1542">
        <f t="shared" si="97"/>
        <v>2601</v>
      </c>
      <c r="E1542">
        <f t="shared" si="98"/>
        <v>47054.286399999997</v>
      </c>
      <c r="F1542">
        <f t="shared" si="99"/>
        <v>2601</v>
      </c>
    </row>
    <row r="1543" spans="1:6" x14ac:dyDescent="0.3">
      <c r="A1543">
        <v>47</v>
      </c>
      <c r="B1543">
        <v>157.01</v>
      </c>
      <c r="C1543">
        <f t="shared" si="96"/>
        <v>7379.4699999999993</v>
      </c>
      <c r="D1543">
        <f t="shared" si="97"/>
        <v>2209</v>
      </c>
      <c r="E1543">
        <f t="shared" si="98"/>
        <v>24652.140099999997</v>
      </c>
      <c r="F1543">
        <f t="shared" si="99"/>
        <v>2209</v>
      </c>
    </row>
    <row r="1544" spans="1:6" x14ac:dyDescent="0.3">
      <c r="A1544">
        <v>25</v>
      </c>
      <c r="B1544">
        <v>93.51</v>
      </c>
      <c r="C1544">
        <f t="shared" si="96"/>
        <v>2337.75</v>
      </c>
      <c r="D1544">
        <f t="shared" si="97"/>
        <v>625</v>
      </c>
      <c r="E1544">
        <f t="shared" si="98"/>
        <v>8744.1201000000001</v>
      </c>
      <c r="F1544">
        <f t="shared" si="99"/>
        <v>625</v>
      </c>
    </row>
    <row r="1545" spans="1:6" x14ac:dyDescent="0.3">
      <c r="A1545">
        <v>61</v>
      </c>
      <c r="B1545">
        <v>102.54</v>
      </c>
      <c r="C1545">
        <f t="shared" si="96"/>
        <v>6254.9400000000005</v>
      </c>
      <c r="D1545">
        <f t="shared" si="97"/>
        <v>3721</v>
      </c>
      <c r="E1545">
        <f t="shared" si="98"/>
        <v>10514.451600000002</v>
      </c>
      <c r="F1545">
        <f t="shared" si="99"/>
        <v>3721</v>
      </c>
    </row>
    <row r="1546" spans="1:6" x14ac:dyDescent="0.3">
      <c r="A1546">
        <v>55</v>
      </c>
      <c r="B1546">
        <v>87.78</v>
      </c>
      <c r="C1546">
        <f t="shared" si="96"/>
        <v>4827.8999999999996</v>
      </c>
      <c r="D1546">
        <f t="shared" si="97"/>
        <v>3025</v>
      </c>
      <c r="E1546">
        <f t="shared" si="98"/>
        <v>7705.3284000000003</v>
      </c>
      <c r="F1546">
        <f t="shared" si="99"/>
        <v>3025</v>
      </c>
    </row>
    <row r="1547" spans="1:6" x14ac:dyDescent="0.3">
      <c r="A1547">
        <v>23</v>
      </c>
      <c r="B1547">
        <v>126.67</v>
      </c>
      <c r="C1547">
        <f t="shared" si="96"/>
        <v>2913.41</v>
      </c>
      <c r="D1547">
        <f t="shared" si="97"/>
        <v>529</v>
      </c>
      <c r="E1547">
        <f t="shared" si="98"/>
        <v>16045.2889</v>
      </c>
      <c r="F1547">
        <f t="shared" si="99"/>
        <v>529</v>
      </c>
    </row>
    <row r="1548" spans="1:6" x14ac:dyDescent="0.3">
      <c r="A1548">
        <v>71</v>
      </c>
      <c r="B1548">
        <v>93.6</v>
      </c>
      <c r="C1548">
        <f t="shared" si="96"/>
        <v>6645.5999999999995</v>
      </c>
      <c r="D1548">
        <f t="shared" si="97"/>
        <v>5041</v>
      </c>
      <c r="E1548">
        <f t="shared" si="98"/>
        <v>8760.9599999999991</v>
      </c>
      <c r="F1548">
        <f t="shared" si="99"/>
        <v>5041</v>
      </c>
    </row>
    <row r="1549" spans="1:6" x14ac:dyDescent="0.3">
      <c r="A1549">
        <v>59</v>
      </c>
      <c r="B1549">
        <v>194.98</v>
      </c>
      <c r="C1549">
        <f t="shared" si="96"/>
        <v>11503.82</v>
      </c>
      <c r="D1549">
        <f t="shared" si="97"/>
        <v>3481</v>
      </c>
      <c r="E1549">
        <f t="shared" si="98"/>
        <v>38017.200399999994</v>
      </c>
      <c r="F1549">
        <f t="shared" si="99"/>
        <v>3481</v>
      </c>
    </row>
    <row r="1550" spans="1:6" x14ac:dyDescent="0.3">
      <c r="A1550">
        <v>4</v>
      </c>
      <c r="B1550">
        <v>99.96</v>
      </c>
      <c r="C1550">
        <f t="shared" si="96"/>
        <v>399.84</v>
      </c>
      <c r="D1550">
        <f t="shared" si="97"/>
        <v>16</v>
      </c>
      <c r="E1550">
        <f t="shared" si="98"/>
        <v>9992.0015999999996</v>
      </c>
      <c r="F1550">
        <f t="shared" si="99"/>
        <v>16</v>
      </c>
    </row>
    <row r="1551" spans="1:6" x14ac:dyDescent="0.3">
      <c r="A1551">
        <v>65</v>
      </c>
      <c r="B1551">
        <v>58.87</v>
      </c>
      <c r="C1551">
        <f t="shared" si="96"/>
        <v>3826.5499999999997</v>
      </c>
      <c r="D1551">
        <f t="shared" si="97"/>
        <v>4225</v>
      </c>
      <c r="E1551">
        <f t="shared" si="98"/>
        <v>3465.6768999999995</v>
      </c>
      <c r="F1551">
        <f t="shared" si="99"/>
        <v>4225</v>
      </c>
    </row>
    <row r="1552" spans="1:6" x14ac:dyDescent="0.3">
      <c r="A1552">
        <v>50</v>
      </c>
      <c r="B1552">
        <v>77.67</v>
      </c>
      <c r="C1552">
        <f t="shared" si="96"/>
        <v>3883.5</v>
      </c>
      <c r="D1552">
        <f t="shared" si="97"/>
        <v>2500</v>
      </c>
      <c r="E1552">
        <f t="shared" si="98"/>
        <v>6032.6289000000006</v>
      </c>
      <c r="F1552">
        <f t="shared" si="99"/>
        <v>2500</v>
      </c>
    </row>
    <row r="1553" spans="1:6" x14ac:dyDescent="0.3">
      <c r="A1553">
        <v>42</v>
      </c>
      <c r="B1553">
        <v>83.14</v>
      </c>
      <c r="C1553">
        <f t="shared" si="96"/>
        <v>3491.88</v>
      </c>
      <c r="D1553">
        <f t="shared" si="97"/>
        <v>1764</v>
      </c>
      <c r="E1553">
        <f t="shared" si="98"/>
        <v>6912.2596000000003</v>
      </c>
      <c r="F1553">
        <f t="shared" si="99"/>
        <v>1764</v>
      </c>
    </row>
    <row r="1554" spans="1:6" x14ac:dyDescent="0.3">
      <c r="A1554">
        <v>51</v>
      </c>
      <c r="B1554">
        <v>69.180000000000007</v>
      </c>
      <c r="C1554">
        <f t="shared" si="96"/>
        <v>3528.1800000000003</v>
      </c>
      <c r="D1554">
        <f t="shared" si="97"/>
        <v>2601</v>
      </c>
      <c r="E1554">
        <f t="shared" si="98"/>
        <v>4785.8724000000011</v>
      </c>
      <c r="F1554">
        <f t="shared" si="99"/>
        <v>2601</v>
      </c>
    </row>
    <row r="1555" spans="1:6" x14ac:dyDescent="0.3">
      <c r="A1555">
        <v>66</v>
      </c>
      <c r="B1555">
        <v>218.54</v>
      </c>
      <c r="C1555">
        <f t="shared" si="96"/>
        <v>14423.64</v>
      </c>
      <c r="D1555">
        <f t="shared" si="97"/>
        <v>4356</v>
      </c>
      <c r="E1555">
        <f t="shared" si="98"/>
        <v>47759.731599999999</v>
      </c>
      <c r="F1555">
        <f t="shared" si="99"/>
        <v>4356</v>
      </c>
    </row>
    <row r="1556" spans="1:6" x14ac:dyDescent="0.3">
      <c r="A1556">
        <v>22</v>
      </c>
      <c r="B1556">
        <v>71.22</v>
      </c>
      <c r="C1556">
        <f t="shared" si="96"/>
        <v>1566.84</v>
      </c>
      <c r="D1556">
        <f t="shared" si="97"/>
        <v>484</v>
      </c>
      <c r="E1556">
        <f t="shared" si="98"/>
        <v>5072.2883999999995</v>
      </c>
      <c r="F1556">
        <f t="shared" si="99"/>
        <v>484</v>
      </c>
    </row>
    <row r="1557" spans="1:6" x14ac:dyDescent="0.3">
      <c r="A1557">
        <v>5</v>
      </c>
      <c r="B1557">
        <v>82.41</v>
      </c>
      <c r="C1557">
        <f t="shared" si="96"/>
        <v>412.04999999999995</v>
      </c>
      <c r="D1557">
        <f t="shared" si="97"/>
        <v>25</v>
      </c>
      <c r="E1557">
        <f t="shared" si="98"/>
        <v>6791.4080999999996</v>
      </c>
      <c r="F1557">
        <f t="shared" si="99"/>
        <v>25</v>
      </c>
    </row>
    <row r="1558" spans="1:6" x14ac:dyDescent="0.3">
      <c r="A1558">
        <v>19</v>
      </c>
      <c r="B1558">
        <v>82.07</v>
      </c>
      <c r="C1558">
        <f t="shared" si="96"/>
        <v>1559.33</v>
      </c>
      <c r="D1558">
        <f t="shared" si="97"/>
        <v>361</v>
      </c>
      <c r="E1558">
        <f t="shared" si="98"/>
        <v>6735.4848999999986</v>
      </c>
      <c r="F1558">
        <f t="shared" si="99"/>
        <v>361</v>
      </c>
    </row>
    <row r="1559" spans="1:6" x14ac:dyDescent="0.3">
      <c r="A1559">
        <v>47</v>
      </c>
      <c r="B1559">
        <v>73</v>
      </c>
      <c r="C1559">
        <f t="shared" si="96"/>
        <v>3431</v>
      </c>
      <c r="D1559">
        <f t="shared" si="97"/>
        <v>2209</v>
      </c>
      <c r="E1559">
        <f t="shared" si="98"/>
        <v>5329</v>
      </c>
      <c r="F1559">
        <f t="shared" si="99"/>
        <v>2209</v>
      </c>
    </row>
    <row r="1560" spans="1:6" x14ac:dyDescent="0.3">
      <c r="A1560">
        <v>12</v>
      </c>
      <c r="B1560">
        <v>127.25</v>
      </c>
      <c r="C1560">
        <f t="shared" si="96"/>
        <v>1527</v>
      </c>
      <c r="D1560">
        <f t="shared" si="97"/>
        <v>144</v>
      </c>
      <c r="E1560">
        <f t="shared" si="98"/>
        <v>16192.5625</v>
      </c>
      <c r="F1560">
        <f t="shared" si="99"/>
        <v>144</v>
      </c>
    </row>
    <row r="1561" spans="1:6" x14ac:dyDescent="0.3">
      <c r="A1561">
        <v>53</v>
      </c>
      <c r="B1561">
        <v>72.63</v>
      </c>
      <c r="C1561">
        <f t="shared" si="96"/>
        <v>3849.39</v>
      </c>
      <c r="D1561">
        <f t="shared" si="97"/>
        <v>2809</v>
      </c>
      <c r="E1561">
        <f t="shared" si="98"/>
        <v>5275.1168999999991</v>
      </c>
      <c r="F1561">
        <f t="shared" si="99"/>
        <v>2809</v>
      </c>
    </row>
    <row r="1562" spans="1:6" x14ac:dyDescent="0.3">
      <c r="A1562">
        <v>26</v>
      </c>
      <c r="B1562">
        <v>108.2</v>
      </c>
      <c r="C1562">
        <f t="shared" si="96"/>
        <v>2813.2000000000003</v>
      </c>
      <c r="D1562">
        <f t="shared" si="97"/>
        <v>676</v>
      </c>
      <c r="E1562">
        <f t="shared" si="98"/>
        <v>11707.24</v>
      </c>
      <c r="F1562">
        <f t="shared" si="99"/>
        <v>676</v>
      </c>
    </row>
    <row r="1563" spans="1:6" x14ac:dyDescent="0.3">
      <c r="A1563">
        <v>62</v>
      </c>
      <c r="B1563">
        <v>123.95</v>
      </c>
      <c r="C1563">
        <f t="shared" si="96"/>
        <v>7684.9000000000005</v>
      </c>
      <c r="D1563">
        <f t="shared" si="97"/>
        <v>3844</v>
      </c>
      <c r="E1563">
        <f t="shared" si="98"/>
        <v>15363.602500000001</v>
      </c>
      <c r="F1563">
        <f t="shared" si="99"/>
        <v>3844</v>
      </c>
    </row>
    <row r="1564" spans="1:6" x14ac:dyDescent="0.3">
      <c r="A1564">
        <v>81</v>
      </c>
      <c r="B1564">
        <v>58.71</v>
      </c>
      <c r="C1564">
        <f t="shared" si="96"/>
        <v>4755.51</v>
      </c>
      <c r="D1564">
        <f t="shared" si="97"/>
        <v>6561</v>
      </c>
      <c r="E1564">
        <f t="shared" si="98"/>
        <v>3446.8641000000002</v>
      </c>
      <c r="F1564">
        <f t="shared" si="99"/>
        <v>6561</v>
      </c>
    </row>
    <row r="1565" spans="1:6" x14ac:dyDescent="0.3">
      <c r="A1565">
        <v>63</v>
      </c>
      <c r="B1565">
        <v>98.46</v>
      </c>
      <c r="C1565">
        <f t="shared" si="96"/>
        <v>6202.98</v>
      </c>
      <c r="D1565">
        <f t="shared" si="97"/>
        <v>3969</v>
      </c>
      <c r="E1565">
        <f t="shared" si="98"/>
        <v>9694.3715999999986</v>
      </c>
      <c r="F1565">
        <f t="shared" si="99"/>
        <v>3969</v>
      </c>
    </row>
    <row r="1566" spans="1:6" x14ac:dyDescent="0.3">
      <c r="A1566">
        <v>25</v>
      </c>
      <c r="B1566">
        <v>68.78</v>
      </c>
      <c r="C1566">
        <f t="shared" si="96"/>
        <v>1719.5</v>
      </c>
      <c r="D1566">
        <f t="shared" si="97"/>
        <v>625</v>
      </c>
      <c r="E1566">
        <f t="shared" si="98"/>
        <v>4730.6884</v>
      </c>
      <c r="F1566">
        <f t="shared" si="99"/>
        <v>625</v>
      </c>
    </row>
    <row r="1567" spans="1:6" x14ac:dyDescent="0.3">
      <c r="A1567">
        <v>8</v>
      </c>
      <c r="B1567">
        <v>133.63</v>
      </c>
      <c r="C1567">
        <f t="shared" si="96"/>
        <v>1069.04</v>
      </c>
      <c r="D1567">
        <f t="shared" si="97"/>
        <v>64</v>
      </c>
      <c r="E1567">
        <f t="shared" si="98"/>
        <v>17856.976899999998</v>
      </c>
      <c r="F1567">
        <f t="shared" si="99"/>
        <v>64</v>
      </c>
    </row>
    <row r="1568" spans="1:6" x14ac:dyDescent="0.3">
      <c r="A1568">
        <v>76</v>
      </c>
      <c r="B1568">
        <v>101.43</v>
      </c>
      <c r="C1568">
        <f t="shared" si="96"/>
        <v>7708.68</v>
      </c>
      <c r="D1568">
        <f t="shared" si="97"/>
        <v>5776</v>
      </c>
      <c r="E1568">
        <f t="shared" si="98"/>
        <v>10288.044900000001</v>
      </c>
      <c r="F1568">
        <f t="shared" si="99"/>
        <v>5776</v>
      </c>
    </row>
    <row r="1569" spans="1:6" x14ac:dyDescent="0.3">
      <c r="A1569">
        <v>44</v>
      </c>
      <c r="B1569">
        <v>65.3</v>
      </c>
      <c r="C1569">
        <f t="shared" si="96"/>
        <v>2873.2</v>
      </c>
      <c r="D1569">
        <f t="shared" si="97"/>
        <v>1936</v>
      </c>
      <c r="E1569">
        <f t="shared" si="98"/>
        <v>4264.0899999999992</v>
      </c>
      <c r="F1569">
        <f t="shared" si="99"/>
        <v>1936</v>
      </c>
    </row>
    <row r="1570" spans="1:6" x14ac:dyDescent="0.3">
      <c r="A1570">
        <v>65</v>
      </c>
      <c r="B1570">
        <v>72.489999999999995</v>
      </c>
      <c r="C1570">
        <f t="shared" si="96"/>
        <v>4711.8499999999995</v>
      </c>
      <c r="D1570">
        <f t="shared" si="97"/>
        <v>4225</v>
      </c>
      <c r="E1570">
        <f t="shared" si="98"/>
        <v>5254.8000999999995</v>
      </c>
      <c r="F1570">
        <f t="shared" si="99"/>
        <v>4225</v>
      </c>
    </row>
    <row r="1571" spans="1:6" x14ac:dyDescent="0.3">
      <c r="A1571">
        <v>54</v>
      </c>
      <c r="B1571">
        <v>65.489999999999995</v>
      </c>
      <c r="C1571">
        <f t="shared" si="96"/>
        <v>3536.4599999999996</v>
      </c>
      <c r="D1571">
        <f t="shared" si="97"/>
        <v>2916</v>
      </c>
      <c r="E1571">
        <f t="shared" si="98"/>
        <v>4288.9400999999989</v>
      </c>
      <c r="F1571">
        <f t="shared" si="99"/>
        <v>2916</v>
      </c>
    </row>
    <row r="1572" spans="1:6" x14ac:dyDescent="0.3">
      <c r="A1572">
        <v>24</v>
      </c>
      <c r="B1572">
        <v>63.4</v>
      </c>
      <c r="C1572">
        <f t="shared" si="96"/>
        <v>1521.6</v>
      </c>
      <c r="D1572">
        <f t="shared" si="97"/>
        <v>576</v>
      </c>
      <c r="E1572">
        <f t="shared" si="98"/>
        <v>4019.56</v>
      </c>
      <c r="F1572">
        <f t="shared" si="99"/>
        <v>576</v>
      </c>
    </row>
    <row r="1573" spans="1:6" x14ac:dyDescent="0.3">
      <c r="A1573">
        <v>65</v>
      </c>
      <c r="B1573">
        <v>105.29</v>
      </c>
      <c r="C1573">
        <f t="shared" si="96"/>
        <v>6843.85</v>
      </c>
      <c r="D1573">
        <f t="shared" si="97"/>
        <v>4225</v>
      </c>
      <c r="E1573">
        <f t="shared" si="98"/>
        <v>11085.984100000001</v>
      </c>
      <c r="F1573">
        <f t="shared" si="99"/>
        <v>4225</v>
      </c>
    </row>
    <row r="1574" spans="1:6" x14ac:dyDescent="0.3">
      <c r="A1574">
        <v>12</v>
      </c>
      <c r="B1574">
        <v>64.08</v>
      </c>
      <c r="C1574">
        <f t="shared" si="96"/>
        <v>768.96</v>
      </c>
      <c r="D1574">
        <f t="shared" si="97"/>
        <v>144</v>
      </c>
      <c r="E1574">
        <f t="shared" si="98"/>
        <v>4106.2464</v>
      </c>
      <c r="F1574">
        <f t="shared" si="99"/>
        <v>144</v>
      </c>
    </row>
    <row r="1575" spans="1:6" x14ac:dyDescent="0.3">
      <c r="A1575">
        <v>33</v>
      </c>
      <c r="B1575">
        <v>78.34</v>
      </c>
      <c r="C1575">
        <f t="shared" si="96"/>
        <v>2585.2200000000003</v>
      </c>
      <c r="D1575">
        <f t="shared" si="97"/>
        <v>1089</v>
      </c>
      <c r="E1575">
        <f t="shared" si="98"/>
        <v>6137.155600000001</v>
      </c>
      <c r="F1575">
        <f t="shared" si="99"/>
        <v>1089</v>
      </c>
    </row>
    <row r="1576" spans="1:6" x14ac:dyDescent="0.3">
      <c r="A1576">
        <v>74</v>
      </c>
      <c r="B1576">
        <v>66.319999999999993</v>
      </c>
      <c r="C1576">
        <f t="shared" si="96"/>
        <v>4907.6799999999994</v>
      </c>
      <c r="D1576">
        <f t="shared" si="97"/>
        <v>5476</v>
      </c>
      <c r="E1576">
        <f t="shared" si="98"/>
        <v>4398.3423999999995</v>
      </c>
      <c r="F1576">
        <f t="shared" si="99"/>
        <v>5476</v>
      </c>
    </row>
    <row r="1577" spans="1:6" x14ac:dyDescent="0.3">
      <c r="A1577">
        <v>18</v>
      </c>
      <c r="B1577">
        <v>168.15</v>
      </c>
      <c r="C1577">
        <f t="shared" si="96"/>
        <v>3026.7000000000003</v>
      </c>
      <c r="D1577">
        <f t="shared" si="97"/>
        <v>324</v>
      </c>
      <c r="E1577">
        <f t="shared" si="98"/>
        <v>28274.422500000001</v>
      </c>
      <c r="F1577">
        <f t="shared" si="99"/>
        <v>324</v>
      </c>
    </row>
    <row r="1578" spans="1:6" x14ac:dyDescent="0.3">
      <c r="A1578">
        <v>77</v>
      </c>
      <c r="B1578">
        <v>93.48</v>
      </c>
      <c r="C1578">
        <f t="shared" si="96"/>
        <v>7197.96</v>
      </c>
      <c r="D1578">
        <f t="shared" si="97"/>
        <v>5929</v>
      </c>
      <c r="E1578">
        <f t="shared" si="98"/>
        <v>8738.510400000001</v>
      </c>
      <c r="F1578">
        <f t="shared" si="99"/>
        <v>5929</v>
      </c>
    </row>
    <row r="1579" spans="1:6" x14ac:dyDescent="0.3">
      <c r="A1579">
        <v>48</v>
      </c>
      <c r="B1579">
        <v>79.2</v>
      </c>
      <c r="C1579">
        <f t="shared" si="96"/>
        <v>3801.6000000000004</v>
      </c>
      <c r="D1579">
        <f t="shared" si="97"/>
        <v>2304</v>
      </c>
      <c r="E1579">
        <f t="shared" si="98"/>
        <v>6272.64</v>
      </c>
      <c r="F1579">
        <f t="shared" si="99"/>
        <v>2304</v>
      </c>
    </row>
    <row r="1580" spans="1:6" x14ac:dyDescent="0.3">
      <c r="A1580">
        <v>52</v>
      </c>
      <c r="B1580">
        <v>107.45</v>
      </c>
      <c r="C1580">
        <f t="shared" si="96"/>
        <v>5587.4000000000005</v>
      </c>
      <c r="D1580">
        <f t="shared" si="97"/>
        <v>2704</v>
      </c>
      <c r="E1580">
        <f t="shared" si="98"/>
        <v>11545.502500000001</v>
      </c>
      <c r="F1580">
        <f t="shared" si="99"/>
        <v>2704</v>
      </c>
    </row>
    <row r="1581" spans="1:6" x14ac:dyDescent="0.3">
      <c r="A1581">
        <v>23</v>
      </c>
      <c r="B1581">
        <v>83.86</v>
      </c>
      <c r="C1581">
        <f t="shared" si="96"/>
        <v>1928.78</v>
      </c>
      <c r="D1581">
        <f t="shared" si="97"/>
        <v>529</v>
      </c>
      <c r="E1581">
        <f t="shared" si="98"/>
        <v>7032.4996000000001</v>
      </c>
      <c r="F1581">
        <f t="shared" si="99"/>
        <v>529</v>
      </c>
    </row>
    <row r="1582" spans="1:6" x14ac:dyDescent="0.3">
      <c r="A1582">
        <v>25</v>
      </c>
      <c r="B1582">
        <v>119.96</v>
      </c>
      <c r="C1582">
        <f t="shared" si="96"/>
        <v>2999</v>
      </c>
      <c r="D1582">
        <f t="shared" si="97"/>
        <v>625</v>
      </c>
      <c r="E1582">
        <f t="shared" si="98"/>
        <v>14390.401599999999</v>
      </c>
      <c r="F1582">
        <f t="shared" si="99"/>
        <v>625</v>
      </c>
    </row>
    <row r="1583" spans="1:6" x14ac:dyDescent="0.3">
      <c r="A1583">
        <v>44</v>
      </c>
      <c r="B1583">
        <v>70.58</v>
      </c>
      <c r="C1583">
        <f t="shared" si="96"/>
        <v>3105.52</v>
      </c>
      <c r="D1583">
        <f t="shared" si="97"/>
        <v>1936</v>
      </c>
      <c r="E1583">
        <f t="shared" si="98"/>
        <v>4981.5364</v>
      </c>
      <c r="F1583">
        <f t="shared" si="99"/>
        <v>1936</v>
      </c>
    </row>
    <row r="1584" spans="1:6" x14ac:dyDescent="0.3">
      <c r="A1584">
        <v>78</v>
      </c>
      <c r="B1584">
        <v>87.7</v>
      </c>
      <c r="C1584">
        <f t="shared" si="96"/>
        <v>6840.6</v>
      </c>
      <c r="D1584">
        <f t="shared" si="97"/>
        <v>6084</v>
      </c>
      <c r="E1584">
        <f t="shared" si="98"/>
        <v>7691.2900000000009</v>
      </c>
      <c r="F1584">
        <f t="shared" si="99"/>
        <v>6084</v>
      </c>
    </row>
    <row r="1585" spans="1:6" x14ac:dyDescent="0.3">
      <c r="A1585">
        <v>37</v>
      </c>
      <c r="B1585">
        <v>65.290000000000006</v>
      </c>
      <c r="C1585">
        <f t="shared" si="96"/>
        <v>2415.73</v>
      </c>
      <c r="D1585">
        <f t="shared" si="97"/>
        <v>1369</v>
      </c>
      <c r="E1585">
        <f t="shared" si="98"/>
        <v>4262.7841000000008</v>
      </c>
      <c r="F1585">
        <f t="shared" si="99"/>
        <v>1369</v>
      </c>
    </row>
    <row r="1586" spans="1:6" x14ac:dyDescent="0.3">
      <c r="A1586">
        <v>32</v>
      </c>
      <c r="B1586">
        <v>97.14</v>
      </c>
      <c r="C1586">
        <f t="shared" si="96"/>
        <v>3108.48</v>
      </c>
      <c r="D1586">
        <f t="shared" si="97"/>
        <v>1024</v>
      </c>
      <c r="E1586">
        <f t="shared" si="98"/>
        <v>9436.1795999999995</v>
      </c>
      <c r="F1586">
        <f t="shared" si="99"/>
        <v>1024</v>
      </c>
    </row>
    <row r="1587" spans="1:6" x14ac:dyDescent="0.3">
      <c r="A1587">
        <v>67</v>
      </c>
      <c r="B1587">
        <v>110.68</v>
      </c>
      <c r="C1587">
        <f t="shared" si="96"/>
        <v>7415.56</v>
      </c>
      <c r="D1587">
        <f t="shared" si="97"/>
        <v>4489</v>
      </c>
      <c r="E1587">
        <f t="shared" si="98"/>
        <v>12250.062400000001</v>
      </c>
      <c r="F1587">
        <f t="shared" si="99"/>
        <v>4489</v>
      </c>
    </row>
    <row r="1588" spans="1:6" x14ac:dyDescent="0.3">
      <c r="A1588">
        <v>41</v>
      </c>
      <c r="B1588">
        <v>91.93</v>
      </c>
      <c r="C1588">
        <f t="shared" si="96"/>
        <v>3769.13</v>
      </c>
      <c r="D1588">
        <f t="shared" si="97"/>
        <v>1681</v>
      </c>
      <c r="E1588">
        <f t="shared" si="98"/>
        <v>8451.1249000000007</v>
      </c>
      <c r="F1588">
        <f t="shared" si="99"/>
        <v>1681</v>
      </c>
    </row>
    <row r="1589" spans="1:6" x14ac:dyDescent="0.3">
      <c r="A1589">
        <v>2</v>
      </c>
      <c r="B1589">
        <v>88.54</v>
      </c>
      <c r="C1589">
        <f t="shared" si="96"/>
        <v>177.08</v>
      </c>
      <c r="D1589">
        <f t="shared" si="97"/>
        <v>4</v>
      </c>
      <c r="E1589">
        <f t="shared" si="98"/>
        <v>7839.3316000000013</v>
      </c>
      <c r="F1589">
        <f t="shared" si="99"/>
        <v>4</v>
      </c>
    </row>
    <row r="1590" spans="1:6" x14ac:dyDescent="0.3">
      <c r="A1590">
        <v>75</v>
      </c>
      <c r="B1590">
        <v>183</v>
      </c>
      <c r="C1590">
        <f t="shared" si="96"/>
        <v>13725</v>
      </c>
      <c r="D1590">
        <f t="shared" si="97"/>
        <v>5625</v>
      </c>
      <c r="E1590">
        <f t="shared" si="98"/>
        <v>33489</v>
      </c>
      <c r="F1590">
        <f t="shared" si="99"/>
        <v>5625</v>
      </c>
    </row>
    <row r="1591" spans="1:6" x14ac:dyDescent="0.3">
      <c r="A1591">
        <v>17</v>
      </c>
      <c r="B1591">
        <v>115.93</v>
      </c>
      <c r="C1591">
        <f t="shared" si="96"/>
        <v>1970.8100000000002</v>
      </c>
      <c r="D1591">
        <f t="shared" si="97"/>
        <v>289</v>
      </c>
      <c r="E1591">
        <f t="shared" si="98"/>
        <v>13439.764900000002</v>
      </c>
      <c r="F1591">
        <f t="shared" si="99"/>
        <v>289</v>
      </c>
    </row>
    <row r="1592" spans="1:6" x14ac:dyDescent="0.3">
      <c r="A1592">
        <v>13</v>
      </c>
      <c r="B1592">
        <v>99.13</v>
      </c>
      <c r="C1592">
        <f t="shared" si="96"/>
        <v>1288.69</v>
      </c>
      <c r="D1592">
        <f t="shared" si="97"/>
        <v>169</v>
      </c>
      <c r="E1592">
        <f t="shared" si="98"/>
        <v>9826.7568999999985</v>
      </c>
      <c r="F1592">
        <f t="shared" si="99"/>
        <v>169</v>
      </c>
    </row>
    <row r="1593" spans="1:6" x14ac:dyDescent="0.3">
      <c r="A1593">
        <v>25</v>
      </c>
      <c r="B1593">
        <v>69.239999999999995</v>
      </c>
      <c r="C1593">
        <f t="shared" si="96"/>
        <v>1730.9999999999998</v>
      </c>
      <c r="D1593">
        <f t="shared" si="97"/>
        <v>625</v>
      </c>
      <c r="E1593">
        <f t="shared" si="98"/>
        <v>4794.1775999999991</v>
      </c>
      <c r="F1593">
        <f t="shared" si="99"/>
        <v>625</v>
      </c>
    </row>
    <row r="1594" spans="1:6" x14ac:dyDescent="0.3">
      <c r="A1594">
        <v>57</v>
      </c>
      <c r="B1594">
        <v>102.28</v>
      </c>
      <c r="C1594">
        <f t="shared" si="96"/>
        <v>5829.96</v>
      </c>
      <c r="D1594">
        <f t="shared" si="97"/>
        <v>3249</v>
      </c>
      <c r="E1594">
        <f t="shared" si="98"/>
        <v>10461.198400000001</v>
      </c>
      <c r="F1594">
        <f t="shared" si="99"/>
        <v>3249</v>
      </c>
    </row>
    <row r="1595" spans="1:6" x14ac:dyDescent="0.3">
      <c r="A1595">
        <v>31</v>
      </c>
      <c r="B1595">
        <v>71.31</v>
      </c>
      <c r="C1595">
        <f t="shared" si="96"/>
        <v>2210.61</v>
      </c>
      <c r="D1595">
        <f t="shared" si="97"/>
        <v>961</v>
      </c>
      <c r="E1595">
        <f t="shared" si="98"/>
        <v>5085.1161000000002</v>
      </c>
      <c r="F1595">
        <f t="shared" si="99"/>
        <v>961</v>
      </c>
    </row>
    <row r="1596" spans="1:6" x14ac:dyDescent="0.3">
      <c r="A1596">
        <v>61</v>
      </c>
      <c r="B1596">
        <v>89.75</v>
      </c>
      <c r="C1596">
        <f t="shared" si="96"/>
        <v>5474.75</v>
      </c>
      <c r="D1596">
        <f t="shared" si="97"/>
        <v>3721</v>
      </c>
      <c r="E1596">
        <f t="shared" si="98"/>
        <v>8055.0625</v>
      </c>
      <c r="F1596">
        <f t="shared" si="99"/>
        <v>3721</v>
      </c>
    </row>
    <row r="1597" spans="1:6" x14ac:dyDescent="0.3">
      <c r="A1597">
        <v>46</v>
      </c>
      <c r="B1597">
        <v>87.66</v>
      </c>
      <c r="C1597">
        <f t="shared" si="96"/>
        <v>4032.3599999999997</v>
      </c>
      <c r="D1597">
        <f t="shared" si="97"/>
        <v>2116</v>
      </c>
      <c r="E1597">
        <f t="shared" si="98"/>
        <v>7684.275599999999</v>
      </c>
      <c r="F1597">
        <f t="shared" si="99"/>
        <v>2116</v>
      </c>
    </row>
    <row r="1598" spans="1:6" x14ac:dyDescent="0.3">
      <c r="A1598">
        <v>47</v>
      </c>
      <c r="B1598">
        <v>237.17</v>
      </c>
      <c r="C1598">
        <f t="shared" si="96"/>
        <v>11146.99</v>
      </c>
      <c r="D1598">
        <f t="shared" si="97"/>
        <v>2209</v>
      </c>
      <c r="E1598">
        <f t="shared" si="98"/>
        <v>56249.608899999992</v>
      </c>
      <c r="F1598">
        <f t="shared" si="99"/>
        <v>2209</v>
      </c>
    </row>
    <row r="1599" spans="1:6" x14ac:dyDescent="0.3">
      <c r="A1599">
        <v>15</v>
      </c>
      <c r="B1599">
        <v>81.11</v>
      </c>
      <c r="C1599">
        <f t="shared" si="96"/>
        <v>1216.6500000000001</v>
      </c>
      <c r="D1599">
        <f t="shared" si="97"/>
        <v>225</v>
      </c>
      <c r="E1599">
        <f t="shared" si="98"/>
        <v>6578.8320999999996</v>
      </c>
      <c r="F1599">
        <f t="shared" si="99"/>
        <v>225</v>
      </c>
    </row>
    <row r="1600" spans="1:6" x14ac:dyDescent="0.3">
      <c r="A1600">
        <v>47</v>
      </c>
      <c r="B1600">
        <v>178.33</v>
      </c>
      <c r="C1600">
        <f t="shared" si="96"/>
        <v>8381.51</v>
      </c>
      <c r="D1600">
        <f t="shared" si="97"/>
        <v>2209</v>
      </c>
      <c r="E1600">
        <f t="shared" si="98"/>
        <v>31801.588900000006</v>
      </c>
      <c r="F1600">
        <f t="shared" si="99"/>
        <v>2209</v>
      </c>
    </row>
    <row r="1601" spans="1:6" x14ac:dyDescent="0.3">
      <c r="A1601">
        <v>68</v>
      </c>
      <c r="B1601">
        <v>81.38</v>
      </c>
      <c r="C1601">
        <f t="shared" si="96"/>
        <v>5533.84</v>
      </c>
      <c r="D1601">
        <f t="shared" si="97"/>
        <v>4624</v>
      </c>
      <c r="E1601">
        <f t="shared" si="98"/>
        <v>6622.7043999999996</v>
      </c>
      <c r="F1601">
        <f t="shared" si="99"/>
        <v>4624</v>
      </c>
    </row>
    <row r="1602" spans="1:6" x14ac:dyDescent="0.3">
      <c r="A1602">
        <v>0.4</v>
      </c>
      <c r="B1602">
        <v>109.56</v>
      </c>
      <c r="C1602">
        <f t="shared" si="96"/>
        <v>43.824000000000005</v>
      </c>
      <c r="D1602">
        <f t="shared" si="97"/>
        <v>0.16000000000000003</v>
      </c>
      <c r="E1602">
        <f t="shared" si="98"/>
        <v>12003.393600000001</v>
      </c>
      <c r="F1602">
        <f t="shared" si="99"/>
        <v>0.16000000000000003</v>
      </c>
    </row>
    <row r="1603" spans="1:6" x14ac:dyDescent="0.3">
      <c r="A1603">
        <v>40</v>
      </c>
      <c r="B1603">
        <v>70.45</v>
      </c>
      <c r="C1603">
        <f t="shared" ref="C1603:C1666" si="100">A1603*B1603</f>
        <v>2818</v>
      </c>
      <c r="D1603">
        <f t="shared" ref="D1603:D1666" si="101">A1603*A1603</f>
        <v>1600</v>
      </c>
      <c r="E1603">
        <f t="shared" ref="E1603:E1666" si="102">B1603*B1603</f>
        <v>4963.2025000000003</v>
      </c>
      <c r="F1603">
        <f t="shared" ref="F1603:F1666" si="103">A1603^2</f>
        <v>1600</v>
      </c>
    </row>
    <row r="1604" spans="1:6" x14ac:dyDescent="0.3">
      <c r="A1604">
        <v>62</v>
      </c>
      <c r="B1604">
        <v>73.44</v>
      </c>
      <c r="C1604">
        <f t="shared" si="100"/>
        <v>4553.28</v>
      </c>
      <c r="D1604">
        <f t="shared" si="101"/>
        <v>3844</v>
      </c>
      <c r="E1604">
        <f t="shared" si="102"/>
        <v>5393.4335999999994</v>
      </c>
      <c r="F1604">
        <f t="shared" si="103"/>
        <v>3844</v>
      </c>
    </row>
    <row r="1605" spans="1:6" x14ac:dyDescent="0.3">
      <c r="A1605">
        <v>45</v>
      </c>
      <c r="B1605">
        <v>146.44</v>
      </c>
      <c r="C1605">
        <f t="shared" si="100"/>
        <v>6589.8</v>
      </c>
      <c r="D1605">
        <f t="shared" si="101"/>
        <v>2025</v>
      </c>
      <c r="E1605">
        <f t="shared" si="102"/>
        <v>21444.673599999998</v>
      </c>
      <c r="F1605">
        <f t="shared" si="103"/>
        <v>2025</v>
      </c>
    </row>
    <row r="1606" spans="1:6" x14ac:dyDescent="0.3">
      <c r="A1606">
        <v>47</v>
      </c>
      <c r="B1606">
        <v>65.040000000000006</v>
      </c>
      <c r="C1606">
        <f t="shared" si="100"/>
        <v>3056.88</v>
      </c>
      <c r="D1606">
        <f t="shared" si="101"/>
        <v>2209</v>
      </c>
      <c r="E1606">
        <f t="shared" si="102"/>
        <v>4230.2016000000012</v>
      </c>
      <c r="F1606">
        <f t="shared" si="103"/>
        <v>2209</v>
      </c>
    </row>
    <row r="1607" spans="1:6" x14ac:dyDescent="0.3">
      <c r="A1607">
        <v>35</v>
      </c>
      <c r="B1607">
        <v>151.25</v>
      </c>
      <c r="C1607">
        <f t="shared" si="100"/>
        <v>5293.75</v>
      </c>
      <c r="D1607">
        <f t="shared" si="101"/>
        <v>1225</v>
      </c>
      <c r="E1607">
        <f t="shared" si="102"/>
        <v>22876.5625</v>
      </c>
      <c r="F1607">
        <f t="shared" si="103"/>
        <v>1225</v>
      </c>
    </row>
    <row r="1608" spans="1:6" x14ac:dyDescent="0.3">
      <c r="A1608">
        <v>51</v>
      </c>
      <c r="B1608">
        <v>106.41</v>
      </c>
      <c r="C1608">
        <f t="shared" si="100"/>
        <v>5426.91</v>
      </c>
      <c r="D1608">
        <f t="shared" si="101"/>
        <v>2601</v>
      </c>
      <c r="E1608">
        <f t="shared" si="102"/>
        <v>11323.088099999999</v>
      </c>
      <c r="F1608">
        <f t="shared" si="103"/>
        <v>2601</v>
      </c>
    </row>
    <row r="1609" spans="1:6" x14ac:dyDescent="0.3">
      <c r="A1609">
        <v>60</v>
      </c>
      <c r="B1609">
        <v>197.09</v>
      </c>
      <c r="C1609">
        <f t="shared" si="100"/>
        <v>11825.4</v>
      </c>
      <c r="D1609">
        <f t="shared" si="101"/>
        <v>3600</v>
      </c>
      <c r="E1609">
        <f t="shared" si="102"/>
        <v>38844.468099999998</v>
      </c>
      <c r="F1609">
        <f t="shared" si="103"/>
        <v>3600</v>
      </c>
    </row>
    <row r="1610" spans="1:6" x14ac:dyDescent="0.3">
      <c r="A1610">
        <v>59</v>
      </c>
      <c r="B1610">
        <v>93.58</v>
      </c>
      <c r="C1610">
        <f t="shared" si="100"/>
        <v>5521.22</v>
      </c>
      <c r="D1610">
        <f t="shared" si="101"/>
        <v>3481</v>
      </c>
      <c r="E1610">
        <f t="shared" si="102"/>
        <v>8757.2163999999993</v>
      </c>
      <c r="F1610">
        <f t="shared" si="103"/>
        <v>3481</v>
      </c>
    </row>
    <row r="1611" spans="1:6" x14ac:dyDescent="0.3">
      <c r="A1611">
        <v>1.24</v>
      </c>
      <c r="B1611">
        <v>122.04</v>
      </c>
      <c r="C1611">
        <f t="shared" si="100"/>
        <v>151.3296</v>
      </c>
      <c r="D1611">
        <f t="shared" si="101"/>
        <v>1.5376000000000001</v>
      </c>
      <c r="E1611">
        <f t="shared" si="102"/>
        <v>14893.761600000002</v>
      </c>
      <c r="F1611">
        <f t="shared" si="103"/>
        <v>1.5376000000000001</v>
      </c>
    </row>
    <row r="1612" spans="1:6" x14ac:dyDescent="0.3">
      <c r="A1612">
        <v>18</v>
      </c>
      <c r="B1612">
        <v>80.06</v>
      </c>
      <c r="C1612">
        <f t="shared" si="100"/>
        <v>1441.08</v>
      </c>
      <c r="D1612">
        <f t="shared" si="101"/>
        <v>324</v>
      </c>
      <c r="E1612">
        <f t="shared" si="102"/>
        <v>6409.6036000000004</v>
      </c>
      <c r="F1612">
        <f t="shared" si="103"/>
        <v>324</v>
      </c>
    </row>
    <row r="1613" spans="1:6" x14ac:dyDescent="0.3">
      <c r="A1613">
        <v>81</v>
      </c>
      <c r="B1613">
        <v>84.93</v>
      </c>
      <c r="C1613">
        <f t="shared" si="100"/>
        <v>6879.3300000000008</v>
      </c>
      <c r="D1613">
        <f t="shared" si="101"/>
        <v>6561</v>
      </c>
      <c r="E1613">
        <f t="shared" si="102"/>
        <v>7213.1049000000012</v>
      </c>
      <c r="F1613">
        <f t="shared" si="103"/>
        <v>6561</v>
      </c>
    </row>
    <row r="1614" spans="1:6" x14ac:dyDescent="0.3">
      <c r="A1614">
        <v>15</v>
      </c>
      <c r="B1614">
        <v>68.400000000000006</v>
      </c>
      <c r="C1614">
        <f t="shared" si="100"/>
        <v>1026</v>
      </c>
      <c r="D1614">
        <f t="shared" si="101"/>
        <v>225</v>
      </c>
      <c r="E1614">
        <f t="shared" si="102"/>
        <v>4678.5600000000004</v>
      </c>
      <c r="F1614">
        <f t="shared" si="103"/>
        <v>225</v>
      </c>
    </row>
    <row r="1615" spans="1:6" x14ac:dyDescent="0.3">
      <c r="A1615">
        <v>73</v>
      </c>
      <c r="B1615">
        <v>62.99</v>
      </c>
      <c r="C1615">
        <f t="shared" si="100"/>
        <v>4598.2700000000004</v>
      </c>
      <c r="D1615">
        <f t="shared" si="101"/>
        <v>5329</v>
      </c>
      <c r="E1615">
        <f t="shared" si="102"/>
        <v>3967.7401000000004</v>
      </c>
      <c r="F1615">
        <f t="shared" si="103"/>
        <v>5329</v>
      </c>
    </row>
    <row r="1616" spans="1:6" x14ac:dyDescent="0.3">
      <c r="A1616">
        <v>0.08</v>
      </c>
      <c r="B1616">
        <v>139.66999999999999</v>
      </c>
      <c r="C1616">
        <f t="shared" si="100"/>
        <v>11.173599999999999</v>
      </c>
      <c r="D1616">
        <f t="shared" si="101"/>
        <v>6.4000000000000003E-3</v>
      </c>
      <c r="E1616">
        <f t="shared" si="102"/>
        <v>19507.708899999998</v>
      </c>
      <c r="F1616">
        <f t="shared" si="103"/>
        <v>6.4000000000000003E-3</v>
      </c>
    </row>
    <row r="1617" spans="1:6" x14ac:dyDescent="0.3">
      <c r="A1617">
        <v>53</v>
      </c>
      <c r="B1617">
        <v>113.4</v>
      </c>
      <c r="C1617">
        <f t="shared" si="100"/>
        <v>6010.2000000000007</v>
      </c>
      <c r="D1617">
        <f t="shared" si="101"/>
        <v>2809</v>
      </c>
      <c r="E1617">
        <f t="shared" si="102"/>
        <v>12859.560000000001</v>
      </c>
      <c r="F1617">
        <f t="shared" si="103"/>
        <v>2809</v>
      </c>
    </row>
    <row r="1618" spans="1:6" x14ac:dyDescent="0.3">
      <c r="A1618">
        <v>45</v>
      </c>
      <c r="B1618">
        <v>101.92</v>
      </c>
      <c r="C1618">
        <f t="shared" si="100"/>
        <v>4586.3999999999996</v>
      </c>
      <c r="D1618">
        <f t="shared" si="101"/>
        <v>2025</v>
      </c>
      <c r="E1618">
        <f t="shared" si="102"/>
        <v>10387.686400000001</v>
      </c>
      <c r="F1618">
        <f t="shared" si="103"/>
        <v>2025</v>
      </c>
    </row>
    <row r="1619" spans="1:6" x14ac:dyDescent="0.3">
      <c r="A1619">
        <v>70</v>
      </c>
      <c r="B1619">
        <v>65.98</v>
      </c>
      <c r="C1619">
        <f t="shared" si="100"/>
        <v>4618.6000000000004</v>
      </c>
      <c r="D1619">
        <f t="shared" si="101"/>
        <v>4900</v>
      </c>
      <c r="E1619">
        <f t="shared" si="102"/>
        <v>4353.3604000000005</v>
      </c>
      <c r="F1619">
        <f t="shared" si="103"/>
        <v>4900</v>
      </c>
    </row>
    <row r="1620" spans="1:6" x14ac:dyDescent="0.3">
      <c r="A1620">
        <v>56</v>
      </c>
      <c r="B1620">
        <v>84.3</v>
      </c>
      <c r="C1620">
        <f t="shared" si="100"/>
        <v>4720.8</v>
      </c>
      <c r="D1620">
        <f t="shared" si="101"/>
        <v>3136</v>
      </c>
      <c r="E1620">
        <f t="shared" si="102"/>
        <v>7106.49</v>
      </c>
      <c r="F1620">
        <f t="shared" si="103"/>
        <v>3136</v>
      </c>
    </row>
    <row r="1621" spans="1:6" x14ac:dyDescent="0.3">
      <c r="A1621">
        <v>7</v>
      </c>
      <c r="B1621">
        <v>61.42</v>
      </c>
      <c r="C1621">
        <f t="shared" si="100"/>
        <v>429.94</v>
      </c>
      <c r="D1621">
        <f t="shared" si="101"/>
        <v>49</v>
      </c>
      <c r="E1621">
        <f t="shared" si="102"/>
        <v>3772.4164000000001</v>
      </c>
      <c r="F1621">
        <f t="shared" si="103"/>
        <v>49</v>
      </c>
    </row>
    <row r="1622" spans="1:6" x14ac:dyDescent="0.3">
      <c r="A1622">
        <v>66</v>
      </c>
      <c r="B1622">
        <v>85.52</v>
      </c>
      <c r="C1622">
        <f t="shared" si="100"/>
        <v>5644.32</v>
      </c>
      <c r="D1622">
        <f t="shared" si="101"/>
        <v>4356</v>
      </c>
      <c r="E1622">
        <f t="shared" si="102"/>
        <v>7313.6703999999991</v>
      </c>
      <c r="F1622">
        <f t="shared" si="103"/>
        <v>4356</v>
      </c>
    </row>
    <row r="1623" spans="1:6" x14ac:dyDescent="0.3">
      <c r="A1623">
        <v>53</v>
      </c>
      <c r="B1623">
        <v>83.79</v>
      </c>
      <c r="C1623">
        <f t="shared" si="100"/>
        <v>4440.87</v>
      </c>
      <c r="D1623">
        <f t="shared" si="101"/>
        <v>2809</v>
      </c>
      <c r="E1623">
        <f t="shared" si="102"/>
        <v>7020.7641000000012</v>
      </c>
      <c r="F1623">
        <f t="shared" si="103"/>
        <v>2809</v>
      </c>
    </row>
    <row r="1624" spans="1:6" x14ac:dyDescent="0.3">
      <c r="A1624">
        <v>20</v>
      </c>
      <c r="B1624">
        <v>73.83</v>
      </c>
      <c r="C1624">
        <f t="shared" si="100"/>
        <v>1476.6</v>
      </c>
      <c r="D1624">
        <f t="shared" si="101"/>
        <v>400</v>
      </c>
      <c r="E1624">
        <f t="shared" si="102"/>
        <v>5450.8688999999995</v>
      </c>
      <c r="F1624">
        <f t="shared" si="103"/>
        <v>400</v>
      </c>
    </row>
    <row r="1625" spans="1:6" x14ac:dyDescent="0.3">
      <c r="A1625">
        <v>15</v>
      </c>
      <c r="B1625">
        <v>69.38</v>
      </c>
      <c r="C1625">
        <f t="shared" si="100"/>
        <v>1040.6999999999998</v>
      </c>
      <c r="D1625">
        <f t="shared" si="101"/>
        <v>225</v>
      </c>
      <c r="E1625">
        <f t="shared" si="102"/>
        <v>4813.5843999999997</v>
      </c>
      <c r="F1625">
        <f t="shared" si="103"/>
        <v>225</v>
      </c>
    </row>
    <row r="1626" spans="1:6" x14ac:dyDescent="0.3">
      <c r="A1626">
        <v>51</v>
      </c>
      <c r="B1626">
        <v>66.11</v>
      </c>
      <c r="C1626">
        <f t="shared" si="100"/>
        <v>3371.61</v>
      </c>
      <c r="D1626">
        <f t="shared" si="101"/>
        <v>2601</v>
      </c>
      <c r="E1626">
        <f t="shared" si="102"/>
        <v>4370.5321000000004</v>
      </c>
      <c r="F1626">
        <f t="shared" si="103"/>
        <v>2601</v>
      </c>
    </row>
    <row r="1627" spans="1:6" x14ac:dyDescent="0.3">
      <c r="A1627">
        <v>34</v>
      </c>
      <c r="B1627">
        <v>149.62</v>
      </c>
      <c r="C1627">
        <f t="shared" si="100"/>
        <v>5087.08</v>
      </c>
      <c r="D1627">
        <f t="shared" si="101"/>
        <v>1156</v>
      </c>
      <c r="E1627">
        <f t="shared" si="102"/>
        <v>22386.144400000001</v>
      </c>
      <c r="F1627">
        <f t="shared" si="103"/>
        <v>1156</v>
      </c>
    </row>
    <row r="1628" spans="1:6" x14ac:dyDescent="0.3">
      <c r="A1628">
        <v>33</v>
      </c>
      <c r="B1628">
        <v>242.84</v>
      </c>
      <c r="C1628">
        <f t="shared" si="100"/>
        <v>8013.72</v>
      </c>
      <c r="D1628">
        <f t="shared" si="101"/>
        <v>1089</v>
      </c>
      <c r="E1628">
        <f t="shared" si="102"/>
        <v>58971.265599999999</v>
      </c>
      <c r="F1628">
        <f t="shared" si="103"/>
        <v>1089</v>
      </c>
    </row>
    <row r="1629" spans="1:6" x14ac:dyDescent="0.3">
      <c r="A1629">
        <v>53</v>
      </c>
      <c r="B1629">
        <v>202.66</v>
      </c>
      <c r="C1629">
        <f t="shared" si="100"/>
        <v>10740.98</v>
      </c>
      <c r="D1629">
        <f t="shared" si="101"/>
        <v>2809</v>
      </c>
      <c r="E1629">
        <f t="shared" si="102"/>
        <v>41071.075599999996</v>
      </c>
      <c r="F1629">
        <f t="shared" si="103"/>
        <v>2809</v>
      </c>
    </row>
    <row r="1630" spans="1:6" x14ac:dyDescent="0.3">
      <c r="A1630">
        <v>69</v>
      </c>
      <c r="B1630">
        <v>216.9</v>
      </c>
      <c r="C1630">
        <f t="shared" si="100"/>
        <v>14966.1</v>
      </c>
      <c r="D1630">
        <f t="shared" si="101"/>
        <v>4761</v>
      </c>
      <c r="E1630">
        <f t="shared" si="102"/>
        <v>47045.61</v>
      </c>
      <c r="F1630">
        <f t="shared" si="103"/>
        <v>4761</v>
      </c>
    </row>
    <row r="1631" spans="1:6" x14ac:dyDescent="0.3">
      <c r="A1631">
        <v>28</v>
      </c>
      <c r="B1631">
        <v>103.78</v>
      </c>
      <c r="C1631">
        <f t="shared" si="100"/>
        <v>2905.84</v>
      </c>
      <c r="D1631">
        <f t="shared" si="101"/>
        <v>784</v>
      </c>
      <c r="E1631">
        <f t="shared" si="102"/>
        <v>10770.288399999999</v>
      </c>
      <c r="F1631">
        <f t="shared" si="103"/>
        <v>784</v>
      </c>
    </row>
    <row r="1632" spans="1:6" x14ac:dyDescent="0.3">
      <c r="A1632">
        <v>81</v>
      </c>
      <c r="B1632">
        <v>114.88</v>
      </c>
      <c r="C1632">
        <f t="shared" si="100"/>
        <v>9305.2799999999988</v>
      </c>
      <c r="D1632">
        <f t="shared" si="101"/>
        <v>6561</v>
      </c>
      <c r="E1632">
        <f t="shared" si="102"/>
        <v>13197.4144</v>
      </c>
      <c r="F1632">
        <f t="shared" si="103"/>
        <v>6561</v>
      </c>
    </row>
    <row r="1633" spans="1:6" x14ac:dyDescent="0.3">
      <c r="A1633">
        <v>20</v>
      </c>
      <c r="B1633">
        <v>75.94</v>
      </c>
      <c r="C1633">
        <f t="shared" si="100"/>
        <v>1518.8</v>
      </c>
      <c r="D1633">
        <f t="shared" si="101"/>
        <v>400</v>
      </c>
      <c r="E1633">
        <f t="shared" si="102"/>
        <v>5766.8835999999992</v>
      </c>
      <c r="F1633">
        <f t="shared" si="103"/>
        <v>400</v>
      </c>
    </row>
    <row r="1634" spans="1:6" x14ac:dyDescent="0.3">
      <c r="A1634">
        <v>1.48</v>
      </c>
      <c r="B1634">
        <v>55.51</v>
      </c>
      <c r="C1634">
        <f t="shared" si="100"/>
        <v>82.154799999999994</v>
      </c>
      <c r="D1634">
        <f t="shared" si="101"/>
        <v>2.1903999999999999</v>
      </c>
      <c r="E1634">
        <f t="shared" si="102"/>
        <v>3081.3600999999999</v>
      </c>
      <c r="F1634">
        <f t="shared" si="103"/>
        <v>2.1903999999999999</v>
      </c>
    </row>
    <row r="1635" spans="1:6" x14ac:dyDescent="0.3">
      <c r="A1635">
        <v>2</v>
      </c>
      <c r="B1635">
        <v>93.74</v>
      </c>
      <c r="C1635">
        <f t="shared" si="100"/>
        <v>187.48</v>
      </c>
      <c r="D1635">
        <f t="shared" si="101"/>
        <v>4</v>
      </c>
      <c r="E1635">
        <f t="shared" si="102"/>
        <v>8787.1875999999993</v>
      </c>
      <c r="F1635">
        <f t="shared" si="103"/>
        <v>4</v>
      </c>
    </row>
    <row r="1636" spans="1:6" x14ac:dyDescent="0.3">
      <c r="A1636">
        <v>77</v>
      </c>
      <c r="B1636">
        <v>71.44</v>
      </c>
      <c r="C1636">
        <f t="shared" si="100"/>
        <v>5500.88</v>
      </c>
      <c r="D1636">
        <f t="shared" si="101"/>
        <v>5929</v>
      </c>
      <c r="E1636">
        <f t="shared" si="102"/>
        <v>5103.6736000000001</v>
      </c>
      <c r="F1636">
        <f t="shared" si="103"/>
        <v>5929</v>
      </c>
    </row>
    <row r="1637" spans="1:6" x14ac:dyDescent="0.3">
      <c r="A1637">
        <v>38</v>
      </c>
      <c r="B1637">
        <v>58.29</v>
      </c>
      <c r="C1637">
        <f t="shared" si="100"/>
        <v>2215.02</v>
      </c>
      <c r="D1637">
        <f t="shared" si="101"/>
        <v>1444</v>
      </c>
      <c r="E1637">
        <f t="shared" si="102"/>
        <v>3397.7240999999999</v>
      </c>
      <c r="F1637">
        <f t="shared" si="103"/>
        <v>1444</v>
      </c>
    </row>
    <row r="1638" spans="1:6" x14ac:dyDescent="0.3">
      <c r="A1638">
        <v>23</v>
      </c>
      <c r="B1638">
        <v>115.83</v>
      </c>
      <c r="C1638">
        <f t="shared" si="100"/>
        <v>2664.09</v>
      </c>
      <c r="D1638">
        <f t="shared" si="101"/>
        <v>529</v>
      </c>
      <c r="E1638">
        <f t="shared" si="102"/>
        <v>13416.588899999999</v>
      </c>
      <c r="F1638">
        <f t="shared" si="103"/>
        <v>529</v>
      </c>
    </row>
    <row r="1639" spans="1:6" x14ac:dyDescent="0.3">
      <c r="A1639">
        <v>67</v>
      </c>
      <c r="B1639">
        <v>102.71</v>
      </c>
      <c r="C1639">
        <f t="shared" si="100"/>
        <v>6881.57</v>
      </c>
      <c r="D1639">
        <f t="shared" si="101"/>
        <v>4489</v>
      </c>
      <c r="E1639">
        <f t="shared" si="102"/>
        <v>10549.344099999998</v>
      </c>
      <c r="F1639">
        <f t="shared" si="103"/>
        <v>4489</v>
      </c>
    </row>
    <row r="1640" spans="1:6" x14ac:dyDescent="0.3">
      <c r="A1640">
        <v>59</v>
      </c>
      <c r="B1640">
        <v>99.69</v>
      </c>
      <c r="C1640">
        <f t="shared" si="100"/>
        <v>5881.71</v>
      </c>
      <c r="D1640">
        <f t="shared" si="101"/>
        <v>3481</v>
      </c>
      <c r="E1640">
        <f t="shared" si="102"/>
        <v>9938.0960999999988</v>
      </c>
      <c r="F1640">
        <f t="shared" si="103"/>
        <v>3481</v>
      </c>
    </row>
    <row r="1641" spans="1:6" x14ac:dyDescent="0.3">
      <c r="A1641">
        <v>41</v>
      </c>
      <c r="B1641">
        <v>102.89</v>
      </c>
      <c r="C1641">
        <f t="shared" si="100"/>
        <v>4218.49</v>
      </c>
      <c r="D1641">
        <f t="shared" si="101"/>
        <v>1681</v>
      </c>
      <c r="E1641">
        <f t="shared" si="102"/>
        <v>10586.3521</v>
      </c>
      <c r="F1641">
        <f t="shared" si="103"/>
        <v>1681</v>
      </c>
    </row>
    <row r="1642" spans="1:6" x14ac:dyDescent="0.3">
      <c r="A1642">
        <v>76</v>
      </c>
      <c r="B1642">
        <v>79.05</v>
      </c>
      <c r="C1642">
        <f t="shared" si="100"/>
        <v>6007.8</v>
      </c>
      <c r="D1642">
        <f t="shared" si="101"/>
        <v>5776</v>
      </c>
      <c r="E1642">
        <f t="shared" si="102"/>
        <v>6248.9024999999992</v>
      </c>
      <c r="F1642">
        <f t="shared" si="103"/>
        <v>5776</v>
      </c>
    </row>
    <row r="1643" spans="1:6" x14ac:dyDescent="0.3">
      <c r="A1643">
        <v>21</v>
      </c>
      <c r="B1643">
        <v>56.63</v>
      </c>
      <c r="C1643">
        <f t="shared" si="100"/>
        <v>1189.23</v>
      </c>
      <c r="D1643">
        <f t="shared" si="101"/>
        <v>441</v>
      </c>
      <c r="E1643">
        <f t="shared" si="102"/>
        <v>3206.9569000000001</v>
      </c>
      <c r="F1643">
        <f t="shared" si="103"/>
        <v>441</v>
      </c>
    </row>
    <row r="1644" spans="1:6" x14ac:dyDescent="0.3">
      <c r="A1644">
        <v>41</v>
      </c>
      <c r="B1644">
        <v>87.34</v>
      </c>
      <c r="C1644">
        <f t="shared" si="100"/>
        <v>3580.94</v>
      </c>
      <c r="D1644">
        <f t="shared" si="101"/>
        <v>1681</v>
      </c>
      <c r="E1644">
        <f t="shared" si="102"/>
        <v>7628.2756000000008</v>
      </c>
      <c r="F1644">
        <f t="shared" si="103"/>
        <v>1681</v>
      </c>
    </row>
    <row r="1645" spans="1:6" x14ac:dyDescent="0.3">
      <c r="A1645">
        <v>54</v>
      </c>
      <c r="B1645">
        <v>109.51</v>
      </c>
      <c r="C1645">
        <f t="shared" si="100"/>
        <v>5913.54</v>
      </c>
      <c r="D1645">
        <f t="shared" si="101"/>
        <v>2916</v>
      </c>
      <c r="E1645">
        <f t="shared" si="102"/>
        <v>11992.440100000002</v>
      </c>
      <c r="F1645">
        <f t="shared" si="103"/>
        <v>2916</v>
      </c>
    </row>
    <row r="1646" spans="1:6" x14ac:dyDescent="0.3">
      <c r="A1646">
        <v>29</v>
      </c>
      <c r="B1646">
        <v>81.430000000000007</v>
      </c>
      <c r="C1646">
        <f t="shared" si="100"/>
        <v>2361.4700000000003</v>
      </c>
      <c r="D1646">
        <f t="shared" si="101"/>
        <v>841</v>
      </c>
      <c r="E1646">
        <f t="shared" si="102"/>
        <v>6630.844900000001</v>
      </c>
      <c r="F1646">
        <f t="shared" si="103"/>
        <v>841</v>
      </c>
    </row>
    <row r="1647" spans="1:6" x14ac:dyDescent="0.3">
      <c r="A1647">
        <v>25</v>
      </c>
      <c r="B1647">
        <v>78.59</v>
      </c>
      <c r="C1647">
        <f t="shared" si="100"/>
        <v>1964.75</v>
      </c>
      <c r="D1647">
        <f t="shared" si="101"/>
        <v>625</v>
      </c>
      <c r="E1647">
        <f t="shared" si="102"/>
        <v>6176.3881000000001</v>
      </c>
      <c r="F1647">
        <f t="shared" si="103"/>
        <v>625</v>
      </c>
    </row>
    <row r="1648" spans="1:6" x14ac:dyDescent="0.3">
      <c r="A1648">
        <v>48</v>
      </c>
      <c r="B1648">
        <v>101.22</v>
      </c>
      <c r="C1648">
        <f t="shared" si="100"/>
        <v>4858.5599999999995</v>
      </c>
      <c r="D1648">
        <f t="shared" si="101"/>
        <v>2304</v>
      </c>
      <c r="E1648">
        <f t="shared" si="102"/>
        <v>10245.4884</v>
      </c>
      <c r="F1648">
        <f t="shared" si="103"/>
        <v>2304</v>
      </c>
    </row>
    <row r="1649" spans="1:6" x14ac:dyDescent="0.3">
      <c r="A1649">
        <v>6</v>
      </c>
      <c r="B1649">
        <v>78.260000000000005</v>
      </c>
      <c r="C1649">
        <f t="shared" si="100"/>
        <v>469.56000000000006</v>
      </c>
      <c r="D1649">
        <f t="shared" si="101"/>
        <v>36</v>
      </c>
      <c r="E1649">
        <f t="shared" si="102"/>
        <v>6124.6276000000007</v>
      </c>
      <c r="F1649">
        <f t="shared" si="103"/>
        <v>36</v>
      </c>
    </row>
    <row r="1650" spans="1:6" x14ac:dyDescent="0.3">
      <c r="A1650">
        <v>21</v>
      </c>
      <c r="B1650">
        <v>105.47</v>
      </c>
      <c r="C1650">
        <f t="shared" si="100"/>
        <v>2214.87</v>
      </c>
      <c r="D1650">
        <f t="shared" si="101"/>
        <v>441</v>
      </c>
      <c r="E1650">
        <f t="shared" si="102"/>
        <v>11123.920899999999</v>
      </c>
      <c r="F1650">
        <f t="shared" si="103"/>
        <v>441</v>
      </c>
    </row>
    <row r="1651" spans="1:6" x14ac:dyDescent="0.3">
      <c r="A1651">
        <v>32</v>
      </c>
      <c r="B1651">
        <v>68.19</v>
      </c>
      <c r="C1651">
        <f t="shared" si="100"/>
        <v>2182.08</v>
      </c>
      <c r="D1651">
        <f t="shared" si="101"/>
        <v>1024</v>
      </c>
      <c r="E1651">
        <f t="shared" si="102"/>
        <v>4649.8760999999995</v>
      </c>
      <c r="F1651">
        <f t="shared" si="103"/>
        <v>1024</v>
      </c>
    </row>
    <row r="1652" spans="1:6" x14ac:dyDescent="0.3">
      <c r="A1652">
        <v>57</v>
      </c>
      <c r="B1652">
        <v>210</v>
      </c>
      <c r="C1652">
        <f t="shared" si="100"/>
        <v>11970</v>
      </c>
      <c r="D1652">
        <f t="shared" si="101"/>
        <v>3249</v>
      </c>
      <c r="E1652">
        <f t="shared" si="102"/>
        <v>44100</v>
      </c>
      <c r="F1652">
        <f t="shared" si="103"/>
        <v>3249</v>
      </c>
    </row>
    <row r="1653" spans="1:6" x14ac:dyDescent="0.3">
      <c r="A1653">
        <v>64</v>
      </c>
      <c r="B1653">
        <v>114.47</v>
      </c>
      <c r="C1653">
        <f t="shared" si="100"/>
        <v>7326.08</v>
      </c>
      <c r="D1653">
        <f t="shared" si="101"/>
        <v>4096</v>
      </c>
      <c r="E1653">
        <f t="shared" si="102"/>
        <v>13103.3809</v>
      </c>
      <c r="F1653">
        <f t="shared" si="103"/>
        <v>4096</v>
      </c>
    </row>
    <row r="1654" spans="1:6" x14ac:dyDescent="0.3">
      <c r="A1654">
        <v>70</v>
      </c>
      <c r="B1654">
        <v>66.849999999999994</v>
      </c>
      <c r="C1654">
        <f t="shared" si="100"/>
        <v>4679.5</v>
      </c>
      <c r="D1654">
        <f t="shared" si="101"/>
        <v>4900</v>
      </c>
      <c r="E1654">
        <f t="shared" si="102"/>
        <v>4468.9224999999997</v>
      </c>
      <c r="F1654">
        <f t="shared" si="103"/>
        <v>4900</v>
      </c>
    </row>
    <row r="1655" spans="1:6" x14ac:dyDescent="0.3">
      <c r="A1655">
        <v>44</v>
      </c>
      <c r="B1655">
        <v>94.71</v>
      </c>
      <c r="C1655">
        <f t="shared" si="100"/>
        <v>4167.24</v>
      </c>
      <c r="D1655">
        <f t="shared" si="101"/>
        <v>1936</v>
      </c>
      <c r="E1655">
        <f t="shared" si="102"/>
        <v>8969.9840999999997</v>
      </c>
      <c r="F1655">
        <f t="shared" si="103"/>
        <v>1936</v>
      </c>
    </row>
    <row r="1656" spans="1:6" x14ac:dyDescent="0.3">
      <c r="A1656">
        <v>60</v>
      </c>
      <c r="B1656">
        <v>208.05</v>
      </c>
      <c r="C1656">
        <f t="shared" si="100"/>
        <v>12483</v>
      </c>
      <c r="D1656">
        <f t="shared" si="101"/>
        <v>3600</v>
      </c>
      <c r="E1656">
        <f t="shared" si="102"/>
        <v>43284.802500000005</v>
      </c>
      <c r="F1656">
        <f t="shared" si="103"/>
        <v>3600</v>
      </c>
    </row>
    <row r="1657" spans="1:6" x14ac:dyDescent="0.3">
      <c r="A1657">
        <v>56</v>
      </c>
      <c r="B1657">
        <v>222.6</v>
      </c>
      <c r="C1657">
        <f t="shared" si="100"/>
        <v>12465.6</v>
      </c>
      <c r="D1657">
        <f t="shared" si="101"/>
        <v>3136</v>
      </c>
      <c r="E1657">
        <f t="shared" si="102"/>
        <v>49550.759999999995</v>
      </c>
      <c r="F1657">
        <f t="shared" si="103"/>
        <v>3136</v>
      </c>
    </row>
    <row r="1658" spans="1:6" x14ac:dyDescent="0.3">
      <c r="A1658">
        <v>53</v>
      </c>
      <c r="B1658">
        <v>80.81</v>
      </c>
      <c r="C1658">
        <f t="shared" si="100"/>
        <v>4282.93</v>
      </c>
      <c r="D1658">
        <f t="shared" si="101"/>
        <v>2809</v>
      </c>
      <c r="E1658">
        <f t="shared" si="102"/>
        <v>6530.2561000000005</v>
      </c>
      <c r="F1658">
        <f t="shared" si="103"/>
        <v>2809</v>
      </c>
    </row>
    <row r="1659" spans="1:6" x14ac:dyDescent="0.3">
      <c r="A1659">
        <v>59</v>
      </c>
      <c r="B1659">
        <v>64.510000000000005</v>
      </c>
      <c r="C1659">
        <f t="shared" si="100"/>
        <v>3806.09</v>
      </c>
      <c r="D1659">
        <f t="shared" si="101"/>
        <v>3481</v>
      </c>
      <c r="E1659">
        <f t="shared" si="102"/>
        <v>4161.5401000000011</v>
      </c>
      <c r="F1659">
        <f t="shared" si="103"/>
        <v>3481</v>
      </c>
    </row>
    <row r="1660" spans="1:6" x14ac:dyDescent="0.3">
      <c r="A1660">
        <v>53</v>
      </c>
      <c r="B1660">
        <v>151.56</v>
      </c>
      <c r="C1660">
        <f t="shared" si="100"/>
        <v>8032.68</v>
      </c>
      <c r="D1660">
        <f t="shared" si="101"/>
        <v>2809</v>
      </c>
      <c r="E1660">
        <f t="shared" si="102"/>
        <v>22970.4336</v>
      </c>
      <c r="F1660">
        <f t="shared" si="103"/>
        <v>2809</v>
      </c>
    </row>
    <row r="1661" spans="1:6" x14ac:dyDescent="0.3">
      <c r="A1661">
        <v>63</v>
      </c>
      <c r="B1661">
        <v>199.14</v>
      </c>
      <c r="C1661">
        <f t="shared" si="100"/>
        <v>12545.82</v>
      </c>
      <c r="D1661">
        <f t="shared" si="101"/>
        <v>3969</v>
      </c>
      <c r="E1661">
        <f t="shared" si="102"/>
        <v>39656.739599999994</v>
      </c>
      <c r="F1661">
        <f t="shared" si="103"/>
        <v>3969</v>
      </c>
    </row>
    <row r="1662" spans="1:6" x14ac:dyDescent="0.3">
      <c r="A1662">
        <v>42</v>
      </c>
      <c r="B1662">
        <v>73.41</v>
      </c>
      <c r="C1662">
        <f t="shared" si="100"/>
        <v>3083.22</v>
      </c>
      <c r="D1662">
        <f t="shared" si="101"/>
        <v>1764</v>
      </c>
      <c r="E1662">
        <f t="shared" si="102"/>
        <v>5389.0280999999995</v>
      </c>
      <c r="F1662">
        <f t="shared" si="103"/>
        <v>1764</v>
      </c>
    </row>
    <row r="1663" spans="1:6" x14ac:dyDescent="0.3">
      <c r="A1663">
        <v>63</v>
      </c>
      <c r="B1663">
        <v>109.65</v>
      </c>
      <c r="C1663">
        <f t="shared" si="100"/>
        <v>6907.9500000000007</v>
      </c>
      <c r="D1663">
        <f t="shared" si="101"/>
        <v>3969</v>
      </c>
      <c r="E1663">
        <f t="shared" si="102"/>
        <v>12023.122500000001</v>
      </c>
      <c r="F1663">
        <f t="shared" si="103"/>
        <v>3969</v>
      </c>
    </row>
    <row r="1664" spans="1:6" x14ac:dyDescent="0.3">
      <c r="A1664">
        <v>52</v>
      </c>
      <c r="B1664">
        <v>69.11</v>
      </c>
      <c r="C1664">
        <f t="shared" si="100"/>
        <v>3593.72</v>
      </c>
      <c r="D1664">
        <f t="shared" si="101"/>
        <v>2704</v>
      </c>
      <c r="E1664">
        <f t="shared" si="102"/>
        <v>4776.1921000000002</v>
      </c>
      <c r="F1664">
        <f t="shared" si="103"/>
        <v>2704</v>
      </c>
    </row>
    <row r="1665" spans="1:6" x14ac:dyDescent="0.3">
      <c r="A1665">
        <v>62</v>
      </c>
      <c r="B1665">
        <v>114.41</v>
      </c>
      <c r="C1665">
        <f t="shared" si="100"/>
        <v>7093.42</v>
      </c>
      <c r="D1665">
        <f t="shared" si="101"/>
        <v>3844</v>
      </c>
      <c r="E1665">
        <f t="shared" si="102"/>
        <v>13089.648099999999</v>
      </c>
      <c r="F1665">
        <f t="shared" si="103"/>
        <v>3844</v>
      </c>
    </row>
    <row r="1666" spans="1:6" x14ac:dyDescent="0.3">
      <c r="A1666">
        <v>68</v>
      </c>
      <c r="B1666">
        <v>103.46</v>
      </c>
      <c r="C1666">
        <f t="shared" si="100"/>
        <v>7035.28</v>
      </c>
      <c r="D1666">
        <f t="shared" si="101"/>
        <v>4624</v>
      </c>
      <c r="E1666">
        <f t="shared" si="102"/>
        <v>10703.971599999999</v>
      </c>
      <c r="F1666">
        <f t="shared" si="103"/>
        <v>4624</v>
      </c>
    </row>
    <row r="1667" spans="1:6" x14ac:dyDescent="0.3">
      <c r="A1667">
        <v>36</v>
      </c>
      <c r="B1667">
        <v>95.36</v>
      </c>
      <c r="C1667">
        <f t="shared" ref="C1667:C1730" si="104">A1667*B1667</f>
        <v>3432.96</v>
      </c>
      <c r="D1667">
        <f t="shared" ref="D1667:D1730" si="105">A1667*A1667</f>
        <v>1296</v>
      </c>
      <c r="E1667">
        <f t="shared" ref="E1667:E1730" si="106">B1667*B1667</f>
        <v>9093.5295999999998</v>
      </c>
      <c r="F1667">
        <f t="shared" ref="F1667:F1730" si="107">A1667^2</f>
        <v>1296</v>
      </c>
    </row>
    <row r="1668" spans="1:6" x14ac:dyDescent="0.3">
      <c r="A1668">
        <v>3</v>
      </c>
      <c r="B1668">
        <v>57.33</v>
      </c>
      <c r="C1668">
        <f t="shared" si="104"/>
        <v>171.99</v>
      </c>
      <c r="D1668">
        <f t="shared" si="105"/>
        <v>9</v>
      </c>
      <c r="E1668">
        <f t="shared" si="106"/>
        <v>3286.7288999999996</v>
      </c>
      <c r="F1668">
        <f t="shared" si="107"/>
        <v>9</v>
      </c>
    </row>
    <row r="1669" spans="1:6" x14ac:dyDescent="0.3">
      <c r="A1669">
        <v>40</v>
      </c>
      <c r="B1669">
        <v>191.48</v>
      </c>
      <c r="C1669">
        <f t="shared" si="104"/>
        <v>7659.2</v>
      </c>
      <c r="D1669">
        <f t="shared" si="105"/>
        <v>1600</v>
      </c>
      <c r="E1669">
        <f t="shared" si="106"/>
        <v>36664.590399999994</v>
      </c>
      <c r="F1669">
        <f t="shared" si="107"/>
        <v>1600</v>
      </c>
    </row>
    <row r="1670" spans="1:6" x14ac:dyDescent="0.3">
      <c r="A1670">
        <v>8</v>
      </c>
      <c r="B1670">
        <v>71.63</v>
      </c>
      <c r="C1670">
        <f t="shared" si="104"/>
        <v>573.04</v>
      </c>
      <c r="D1670">
        <f t="shared" si="105"/>
        <v>64</v>
      </c>
      <c r="E1670">
        <f t="shared" si="106"/>
        <v>5130.8568999999998</v>
      </c>
      <c r="F1670">
        <f t="shared" si="107"/>
        <v>64</v>
      </c>
    </row>
    <row r="1671" spans="1:6" x14ac:dyDescent="0.3">
      <c r="A1671">
        <v>58</v>
      </c>
      <c r="B1671">
        <v>94</v>
      </c>
      <c r="C1671">
        <f t="shared" si="104"/>
        <v>5452</v>
      </c>
      <c r="D1671">
        <f t="shared" si="105"/>
        <v>3364</v>
      </c>
      <c r="E1671">
        <f t="shared" si="106"/>
        <v>8836</v>
      </c>
      <c r="F1671">
        <f t="shared" si="107"/>
        <v>3364</v>
      </c>
    </row>
    <row r="1672" spans="1:6" x14ac:dyDescent="0.3">
      <c r="A1672">
        <v>45</v>
      </c>
      <c r="B1672">
        <v>93.77</v>
      </c>
      <c r="C1672">
        <f t="shared" si="104"/>
        <v>4219.6499999999996</v>
      </c>
      <c r="D1672">
        <f t="shared" si="105"/>
        <v>2025</v>
      </c>
      <c r="E1672">
        <f t="shared" si="106"/>
        <v>8792.812899999999</v>
      </c>
      <c r="F1672">
        <f t="shared" si="107"/>
        <v>2025</v>
      </c>
    </row>
    <row r="1673" spans="1:6" x14ac:dyDescent="0.3">
      <c r="A1673">
        <v>65</v>
      </c>
      <c r="B1673">
        <v>84.75</v>
      </c>
      <c r="C1673">
        <f t="shared" si="104"/>
        <v>5508.75</v>
      </c>
      <c r="D1673">
        <f t="shared" si="105"/>
        <v>4225</v>
      </c>
      <c r="E1673">
        <f t="shared" si="106"/>
        <v>7182.5625</v>
      </c>
      <c r="F1673">
        <f t="shared" si="107"/>
        <v>4225</v>
      </c>
    </row>
    <row r="1674" spans="1:6" x14ac:dyDescent="0.3">
      <c r="A1674">
        <v>28</v>
      </c>
      <c r="B1674">
        <v>89.24</v>
      </c>
      <c r="C1674">
        <f t="shared" si="104"/>
        <v>2498.7199999999998</v>
      </c>
      <c r="D1674">
        <f t="shared" si="105"/>
        <v>784</v>
      </c>
      <c r="E1674">
        <f t="shared" si="106"/>
        <v>7963.7775999999994</v>
      </c>
      <c r="F1674">
        <f t="shared" si="107"/>
        <v>784</v>
      </c>
    </row>
    <row r="1675" spans="1:6" x14ac:dyDescent="0.3">
      <c r="A1675">
        <v>40</v>
      </c>
      <c r="B1675">
        <v>70.13</v>
      </c>
      <c r="C1675">
        <f t="shared" si="104"/>
        <v>2805.2</v>
      </c>
      <c r="D1675">
        <f t="shared" si="105"/>
        <v>1600</v>
      </c>
      <c r="E1675">
        <f t="shared" si="106"/>
        <v>4918.2168999999994</v>
      </c>
      <c r="F1675">
        <f t="shared" si="107"/>
        <v>1600</v>
      </c>
    </row>
    <row r="1676" spans="1:6" x14ac:dyDescent="0.3">
      <c r="A1676">
        <v>65</v>
      </c>
      <c r="B1676">
        <v>82.26</v>
      </c>
      <c r="C1676">
        <f t="shared" si="104"/>
        <v>5346.9000000000005</v>
      </c>
      <c r="D1676">
        <f t="shared" si="105"/>
        <v>4225</v>
      </c>
      <c r="E1676">
        <f t="shared" si="106"/>
        <v>6766.7076000000006</v>
      </c>
      <c r="F1676">
        <f t="shared" si="107"/>
        <v>4225</v>
      </c>
    </row>
    <row r="1677" spans="1:6" x14ac:dyDescent="0.3">
      <c r="A1677">
        <v>58</v>
      </c>
      <c r="B1677">
        <v>200.16</v>
      </c>
      <c r="C1677">
        <f t="shared" si="104"/>
        <v>11609.28</v>
      </c>
      <c r="D1677">
        <f t="shared" si="105"/>
        <v>3364</v>
      </c>
      <c r="E1677">
        <f t="shared" si="106"/>
        <v>40064.025600000001</v>
      </c>
      <c r="F1677">
        <f t="shared" si="107"/>
        <v>3364</v>
      </c>
    </row>
    <row r="1678" spans="1:6" x14ac:dyDescent="0.3">
      <c r="A1678">
        <v>44</v>
      </c>
      <c r="B1678">
        <v>80.73</v>
      </c>
      <c r="C1678">
        <f t="shared" si="104"/>
        <v>3552.1200000000003</v>
      </c>
      <c r="D1678">
        <f t="shared" si="105"/>
        <v>1936</v>
      </c>
      <c r="E1678">
        <f t="shared" si="106"/>
        <v>6517.3329000000003</v>
      </c>
      <c r="F1678">
        <f t="shared" si="107"/>
        <v>1936</v>
      </c>
    </row>
    <row r="1679" spans="1:6" x14ac:dyDescent="0.3">
      <c r="A1679">
        <v>54</v>
      </c>
      <c r="B1679">
        <v>75.09</v>
      </c>
      <c r="C1679">
        <f t="shared" si="104"/>
        <v>4054.86</v>
      </c>
      <c r="D1679">
        <f t="shared" si="105"/>
        <v>2916</v>
      </c>
      <c r="E1679">
        <f t="shared" si="106"/>
        <v>5638.5081000000009</v>
      </c>
      <c r="F1679">
        <f t="shared" si="107"/>
        <v>2916</v>
      </c>
    </row>
    <row r="1680" spans="1:6" x14ac:dyDescent="0.3">
      <c r="A1680">
        <v>79</v>
      </c>
      <c r="B1680">
        <v>80.569999999999993</v>
      </c>
      <c r="C1680">
        <f t="shared" si="104"/>
        <v>6365.03</v>
      </c>
      <c r="D1680">
        <f t="shared" si="105"/>
        <v>6241</v>
      </c>
      <c r="E1680">
        <f t="shared" si="106"/>
        <v>6491.5248999999985</v>
      </c>
      <c r="F1680">
        <f t="shared" si="107"/>
        <v>6241</v>
      </c>
    </row>
    <row r="1681" spans="1:6" x14ac:dyDescent="0.3">
      <c r="A1681">
        <v>62</v>
      </c>
      <c r="B1681">
        <v>77.040000000000006</v>
      </c>
      <c r="C1681">
        <f t="shared" si="104"/>
        <v>4776.4800000000005</v>
      </c>
      <c r="D1681">
        <f t="shared" si="105"/>
        <v>3844</v>
      </c>
      <c r="E1681">
        <f t="shared" si="106"/>
        <v>5935.1616000000013</v>
      </c>
      <c r="F1681">
        <f t="shared" si="107"/>
        <v>3844</v>
      </c>
    </row>
    <row r="1682" spans="1:6" x14ac:dyDescent="0.3">
      <c r="A1682">
        <v>37</v>
      </c>
      <c r="B1682">
        <v>145.26</v>
      </c>
      <c r="C1682">
        <f t="shared" si="104"/>
        <v>5374.62</v>
      </c>
      <c r="D1682">
        <f t="shared" si="105"/>
        <v>1369</v>
      </c>
      <c r="E1682">
        <f t="shared" si="106"/>
        <v>21100.467599999996</v>
      </c>
      <c r="F1682">
        <f t="shared" si="107"/>
        <v>1369</v>
      </c>
    </row>
    <row r="1683" spans="1:6" x14ac:dyDescent="0.3">
      <c r="A1683">
        <v>66</v>
      </c>
      <c r="B1683">
        <v>190.4</v>
      </c>
      <c r="C1683">
        <f t="shared" si="104"/>
        <v>12566.4</v>
      </c>
      <c r="D1683">
        <f t="shared" si="105"/>
        <v>4356</v>
      </c>
      <c r="E1683">
        <f t="shared" si="106"/>
        <v>36252.160000000003</v>
      </c>
      <c r="F1683">
        <f t="shared" si="107"/>
        <v>4356</v>
      </c>
    </row>
    <row r="1684" spans="1:6" x14ac:dyDescent="0.3">
      <c r="A1684">
        <v>63</v>
      </c>
      <c r="B1684">
        <v>82.08</v>
      </c>
      <c r="C1684">
        <f t="shared" si="104"/>
        <v>5171.04</v>
      </c>
      <c r="D1684">
        <f t="shared" si="105"/>
        <v>3969</v>
      </c>
      <c r="E1684">
        <f t="shared" si="106"/>
        <v>6737.1264000000001</v>
      </c>
      <c r="F1684">
        <f t="shared" si="107"/>
        <v>3969</v>
      </c>
    </row>
    <row r="1685" spans="1:6" x14ac:dyDescent="0.3">
      <c r="A1685">
        <v>27</v>
      </c>
      <c r="B1685">
        <v>103.35</v>
      </c>
      <c r="C1685">
        <f t="shared" si="104"/>
        <v>2790.45</v>
      </c>
      <c r="D1685">
        <f t="shared" si="105"/>
        <v>729</v>
      </c>
      <c r="E1685">
        <f t="shared" si="106"/>
        <v>10681.222499999998</v>
      </c>
      <c r="F1685">
        <f t="shared" si="107"/>
        <v>729</v>
      </c>
    </row>
    <row r="1686" spans="1:6" x14ac:dyDescent="0.3">
      <c r="A1686">
        <v>6</v>
      </c>
      <c r="B1686">
        <v>97.46</v>
      </c>
      <c r="C1686">
        <f t="shared" si="104"/>
        <v>584.76</v>
      </c>
      <c r="D1686">
        <f t="shared" si="105"/>
        <v>36</v>
      </c>
      <c r="E1686">
        <f t="shared" si="106"/>
        <v>9498.4515999999985</v>
      </c>
      <c r="F1686">
        <f t="shared" si="107"/>
        <v>36</v>
      </c>
    </row>
    <row r="1687" spans="1:6" x14ac:dyDescent="0.3">
      <c r="A1687">
        <v>30</v>
      </c>
      <c r="B1687">
        <v>123.65</v>
      </c>
      <c r="C1687">
        <f t="shared" si="104"/>
        <v>3709.5</v>
      </c>
      <c r="D1687">
        <f t="shared" si="105"/>
        <v>900</v>
      </c>
      <c r="E1687">
        <f t="shared" si="106"/>
        <v>15289.322500000002</v>
      </c>
      <c r="F1687">
        <f t="shared" si="107"/>
        <v>900</v>
      </c>
    </row>
    <row r="1688" spans="1:6" x14ac:dyDescent="0.3">
      <c r="A1688">
        <v>15</v>
      </c>
      <c r="B1688">
        <v>87.96</v>
      </c>
      <c r="C1688">
        <f t="shared" si="104"/>
        <v>1319.3999999999999</v>
      </c>
      <c r="D1688">
        <f t="shared" si="105"/>
        <v>225</v>
      </c>
      <c r="E1688">
        <f t="shared" si="106"/>
        <v>7736.9615999999987</v>
      </c>
      <c r="F1688">
        <f t="shared" si="107"/>
        <v>225</v>
      </c>
    </row>
    <row r="1689" spans="1:6" x14ac:dyDescent="0.3">
      <c r="A1689">
        <v>50</v>
      </c>
      <c r="B1689">
        <v>85.92</v>
      </c>
      <c r="C1689">
        <f t="shared" si="104"/>
        <v>4296</v>
      </c>
      <c r="D1689">
        <f t="shared" si="105"/>
        <v>2500</v>
      </c>
      <c r="E1689">
        <f t="shared" si="106"/>
        <v>7382.2464</v>
      </c>
      <c r="F1689">
        <f t="shared" si="107"/>
        <v>2500</v>
      </c>
    </row>
    <row r="1690" spans="1:6" x14ac:dyDescent="0.3">
      <c r="A1690">
        <v>32</v>
      </c>
      <c r="B1690">
        <v>80.8</v>
      </c>
      <c r="C1690">
        <f t="shared" si="104"/>
        <v>2585.6</v>
      </c>
      <c r="D1690">
        <f t="shared" si="105"/>
        <v>1024</v>
      </c>
      <c r="E1690">
        <f t="shared" si="106"/>
        <v>6528.6399999999994</v>
      </c>
      <c r="F1690">
        <f t="shared" si="107"/>
        <v>1024</v>
      </c>
    </row>
    <row r="1691" spans="1:6" x14ac:dyDescent="0.3">
      <c r="A1691">
        <v>33</v>
      </c>
      <c r="B1691">
        <v>99.3</v>
      </c>
      <c r="C1691">
        <f t="shared" si="104"/>
        <v>3276.9</v>
      </c>
      <c r="D1691">
        <f t="shared" si="105"/>
        <v>1089</v>
      </c>
      <c r="E1691">
        <f t="shared" si="106"/>
        <v>9860.49</v>
      </c>
      <c r="F1691">
        <f t="shared" si="107"/>
        <v>1089</v>
      </c>
    </row>
    <row r="1692" spans="1:6" x14ac:dyDescent="0.3">
      <c r="A1692">
        <v>62</v>
      </c>
      <c r="B1692">
        <v>62.56</v>
      </c>
      <c r="C1692">
        <f t="shared" si="104"/>
        <v>3878.7200000000003</v>
      </c>
      <c r="D1692">
        <f t="shared" si="105"/>
        <v>3844</v>
      </c>
      <c r="E1692">
        <f t="shared" si="106"/>
        <v>3913.7536000000005</v>
      </c>
      <c r="F1692">
        <f t="shared" si="107"/>
        <v>3844</v>
      </c>
    </row>
    <row r="1693" spans="1:6" x14ac:dyDescent="0.3">
      <c r="A1693">
        <v>82</v>
      </c>
      <c r="B1693">
        <v>144.19999999999999</v>
      </c>
      <c r="C1693">
        <f t="shared" si="104"/>
        <v>11824.4</v>
      </c>
      <c r="D1693">
        <f t="shared" si="105"/>
        <v>6724</v>
      </c>
      <c r="E1693">
        <f t="shared" si="106"/>
        <v>20793.639999999996</v>
      </c>
      <c r="F1693">
        <f t="shared" si="107"/>
        <v>6724</v>
      </c>
    </row>
    <row r="1694" spans="1:6" x14ac:dyDescent="0.3">
      <c r="A1694">
        <v>71</v>
      </c>
      <c r="B1694">
        <v>71.38</v>
      </c>
      <c r="C1694">
        <f t="shared" si="104"/>
        <v>5067.9799999999996</v>
      </c>
      <c r="D1694">
        <f t="shared" si="105"/>
        <v>5041</v>
      </c>
      <c r="E1694">
        <f t="shared" si="106"/>
        <v>5095.1043999999993</v>
      </c>
      <c r="F1694">
        <f t="shared" si="107"/>
        <v>5041</v>
      </c>
    </row>
    <row r="1695" spans="1:6" x14ac:dyDescent="0.3">
      <c r="A1695">
        <v>20</v>
      </c>
      <c r="B1695">
        <v>95.5</v>
      </c>
      <c r="C1695">
        <f t="shared" si="104"/>
        <v>1910</v>
      </c>
      <c r="D1695">
        <f t="shared" si="105"/>
        <v>400</v>
      </c>
      <c r="E1695">
        <f t="shared" si="106"/>
        <v>9120.25</v>
      </c>
      <c r="F1695">
        <f t="shared" si="107"/>
        <v>400</v>
      </c>
    </row>
    <row r="1696" spans="1:6" x14ac:dyDescent="0.3">
      <c r="A1696">
        <v>44</v>
      </c>
      <c r="B1696">
        <v>67.06</v>
      </c>
      <c r="C1696">
        <f t="shared" si="104"/>
        <v>2950.6400000000003</v>
      </c>
      <c r="D1696">
        <f t="shared" si="105"/>
        <v>1936</v>
      </c>
      <c r="E1696">
        <f t="shared" si="106"/>
        <v>4497.0436</v>
      </c>
      <c r="F1696">
        <f t="shared" si="107"/>
        <v>1936</v>
      </c>
    </row>
    <row r="1697" spans="1:6" x14ac:dyDescent="0.3">
      <c r="A1697">
        <v>57</v>
      </c>
      <c r="B1697">
        <v>70.16</v>
      </c>
      <c r="C1697">
        <f t="shared" si="104"/>
        <v>3999.12</v>
      </c>
      <c r="D1697">
        <f t="shared" si="105"/>
        <v>3249</v>
      </c>
      <c r="E1697">
        <f t="shared" si="106"/>
        <v>4922.4255999999996</v>
      </c>
      <c r="F1697">
        <f t="shared" si="107"/>
        <v>3249</v>
      </c>
    </row>
    <row r="1698" spans="1:6" x14ac:dyDescent="0.3">
      <c r="A1698">
        <v>50</v>
      </c>
      <c r="B1698">
        <v>104.24</v>
      </c>
      <c r="C1698">
        <f t="shared" si="104"/>
        <v>5212</v>
      </c>
      <c r="D1698">
        <f t="shared" si="105"/>
        <v>2500</v>
      </c>
      <c r="E1698">
        <f t="shared" si="106"/>
        <v>10865.977599999998</v>
      </c>
      <c r="F1698">
        <f t="shared" si="107"/>
        <v>2500</v>
      </c>
    </row>
    <row r="1699" spans="1:6" x14ac:dyDescent="0.3">
      <c r="A1699">
        <v>50</v>
      </c>
      <c r="B1699">
        <v>122.48</v>
      </c>
      <c r="C1699">
        <f t="shared" si="104"/>
        <v>6124</v>
      </c>
      <c r="D1699">
        <f t="shared" si="105"/>
        <v>2500</v>
      </c>
      <c r="E1699">
        <f t="shared" si="106"/>
        <v>15001.350400000001</v>
      </c>
      <c r="F1699">
        <f t="shared" si="107"/>
        <v>2500</v>
      </c>
    </row>
    <row r="1700" spans="1:6" x14ac:dyDescent="0.3">
      <c r="A1700">
        <v>44</v>
      </c>
      <c r="B1700">
        <v>215.9</v>
      </c>
      <c r="C1700">
        <f t="shared" si="104"/>
        <v>9499.6</v>
      </c>
      <c r="D1700">
        <f t="shared" si="105"/>
        <v>1936</v>
      </c>
      <c r="E1700">
        <f t="shared" si="106"/>
        <v>46612.810000000005</v>
      </c>
      <c r="F1700">
        <f t="shared" si="107"/>
        <v>1936</v>
      </c>
    </row>
    <row r="1701" spans="1:6" x14ac:dyDescent="0.3">
      <c r="A1701">
        <v>47</v>
      </c>
      <c r="B1701">
        <v>108.56</v>
      </c>
      <c r="C1701">
        <f t="shared" si="104"/>
        <v>5102.32</v>
      </c>
      <c r="D1701">
        <f t="shared" si="105"/>
        <v>2209</v>
      </c>
      <c r="E1701">
        <f t="shared" si="106"/>
        <v>11785.2736</v>
      </c>
      <c r="F1701">
        <f t="shared" si="107"/>
        <v>2209</v>
      </c>
    </row>
    <row r="1702" spans="1:6" x14ac:dyDescent="0.3">
      <c r="A1702">
        <v>35</v>
      </c>
      <c r="B1702">
        <v>69.88</v>
      </c>
      <c r="C1702">
        <f t="shared" si="104"/>
        <v>2445.7999999999997</v>
      </c>
      <c r="D1702">
        <f t="shared" si="105"/>
        <v>1225</v>
      </c>
      <c r="E1702">
        <f t="shared" si="106"/>
        <v>4883.2143999999989</v>
      </c>
      <c r="F1702">
        <f t="shared" si="107"/>
        <v>1225</v>
      </c>
    </row>
    <row r="1703" spans="1:6" x14ac:dyDescent="0.3">
      <c r="A1703">
        <v>8</v>
      </c>
      <c r="B1703">
        <v>91.54</v>
      </c>
      <c r="C1703">
        <f t="shared" si="104"/>
        <v>732.32</v>
      </c>
      <c r="D1703">
        <f t="shared" si="105"/>
        <v>64</v>
      </c>
      <c r="E1703">
        <f t="shared" si="106"/>
        <v>8379.5716000000011</v>
      </c>
      <c r="F1703">
        <f t="shared" si="107"/>
        <v>64</v>
      </c>
    </row>
    <row r="1704" spans="1:6" x14ac:dyDescent="0.3">
      <c r="A1704">
        <v>3</v>
      </c>
      <c r="B1704">
        <v>65.849999999999994</v>
      </c>
      <c r="C1704">
        <f t="shared" si="104"/>
        <v>197.54999999999998</v>
      </c>
      <c r="D1704">
        <f t="shared" si="105"/>
        <v>9</v>
      </c>
      <c r="E1704">
        <f t="shared" si="106"/>
        <v>4336.2224999999989</v>
      </c>
      <c r="F1704">
        <f t="shared" si="107"/>
        <v>9</v>
      </c>
    </row>
    <row r="1705" spans="1:6" x14ac:dyDescent="0.3">
      <c r="A1705">
        <v>29</v>
      </c>
      <c r="B1705">
        <v>60.74</v>
      </c>
      <c r="C1705">
        <f t="shared" si="104"/>
        <v>1761.46</v>
      </c>
      <c r="D1705">
        <f t="shared" si="105"/>
        <v>841</v>
      </c>
      <c r="E1705">
        <f t="shared" si="106"/>
        <v>3689.3476000000001</v>
      </c>
      <c r="F1705">
        <f t="shared" si="107"/>
        <v>841</v>
      </c>
    </row>
    <row r="1706" spans="1:6" x14ac:dyDescent="0.3">
      <c r="A1706">
        <v>36</v>
      </c>
      <c r="B1706">
        <v>233.52</v>
      </c>
      <c r="C1706">
        <f t="shared" si="104"/>
        <v>8406.7200000000012</v>
      </c>
      <c r="D1706">
        <f t="shared" si="105"/>
        <v>1296</v>
      </c>
      <c r="E1706">
        <f t="shared" si="106"/>
        <v>54531.590400000008</v>
      </c>
      <c r="F1706">
        <f t="shared" si="107"/>
        <v>1296</v>
      </c>
    </row>
    <row r="1707" spans="1:6" x14ac:dyDescent="0.3">
      <c r="A1707">
        <v>19</v>
      </c>
      <c r="B1707">
        <v>110.7</v>
      </c>
      <c r="C1707">
        <f t="shared" si="104"/>
        <v>2103.3000000000002</v>
      </c>
      <c r="D1707">
        <f t="shared" si="105"/>
        <v>361</v>
      </c>
      <c r="E1707">
        <f t="shared" si="106"/>
        <v>12254.49</v>
      </c>
      <c r="F1707">
        <f t="shared" si="107"/>
        <v>361</v>
      </c>
    </row>
    <row r="1708" spans="1:6" x14ac:dyDescent="0.3">
      <c r="A1708">
        <v>41</v>
      </c>
      <c r="B1708">
        <v>78.930000000000007</v>
      </c>
      <c r="C1708">
        <f t="shared" si="104"/>
        <v>3236.13</v>
      </c>
      <c r="D1708">
        <f t="shared" si="105"/>
        <v>1681</v>
      </c>
      <c r="E1708">
        <f t="shared" si="106"/>
        <v>6229.9449000000013</v>
      </c>
      <c r="F1708">
        <f t="shared" si="107"/>
        <v>1681</v>
      </c>
    </row>
    <row r="1709" spans="1:6" x14ac:dyDescent="0.3">
      <c r="A1709">
        <v>23</v>
      </c>
      <c r="B1709">
        <v>124.5</v>
      </c>
      <c r="C1709">
        <f t="shared" si="104"/>
        <v>2863.5</v>
      </c>
      <c r="D1709">
        <f t="shared" si="105"/>
        <v>529</v>
      </c>
      <c r="E1709">
        <f t="shared" si="106"/>
        <v>15500.25</v>
      </c>
      <c r="F1709">
        <f t="shared" si="107"/>
        <v>529</v>
      </c>
    </row>
    <row r="1710" spans="1:6" x14ac:dyDescent="0.3">
      <c r="A1710">
        <v>14</v>
      </c>
      <c r="B1710">
        <v>57.95</v>
      </c>
      <c r="C1710">
        <f t="shared" si="104"/>
        <v>811.30000000000007</v>
      </c>
      <c r="D1710">
        <f t="shared" si="105"/>
        <v>196</v>
      </c>
      <c r="E1710">
        <f t="shared" si="106"/>
        <v>3358.2025000000003</v>
      </c>
      <c r="F1710">
        <f t="shared" si="107"/>
        <v>196</v>
      </c>
    </row>
    <row r="1711" spans="1:6" x14ac:dyDescent="0.3">
      <c r="A1711">
        <v>35</v>
      </c>
      <c r="B1711">
        <v>92.82</v>
      </c>
      <c r="C1711">
        <f t="shared" si="104"/>
        <v>3248.7</v>
      </c>
      <c r="D1711">
        <f t="shared" si="105"/>
        <v>1225</v>
      </c>
      <c r="E1711">
        <f t="shared" si="106"/>
        <v>8615.5523999999987</v>
      </c>
      <c r="F1711">
        <f t="shared" si="107"/>
        <v>1225</v>
      </c>
    </row>
    <row r="1712" spans="1:6" x14ac:dyDescent="0.3">
      <c r="A1712">
        <v>45</v>
      </c>
      <c r="B1712">
        <v>58.25</v>
      </c>
      <c r="C1712">
        <f t="shared" si="104"/>
        <v>2621.25</v>
      </c>
      <c r="D1712">
        <f t="shared" si="105"/>
        <v>2025</v>
      </c>
      <c r="E1712">
        <f t="shared" si="106"/>
        <v>3393.0625</v>
      </c>
      <c r="F1712">
        <f t="shared" si="107"/>
        <v>2025</v>
      </c>
    </row>
    <row r="1713" spans="1:6" x14ac:dyDescent="0.3">
      <c r="A1713">
        <v>52</v>
      </c>
      <c r="B1713">
        <v>213.54</v>
      </c>
      <c r="C1713">
        <f t="shared" si="104"/>
        <v>11104.08</v>
      </c>
      <c r="D1713">
        <f t="shared" si="105"/>
        <v>2704</v>
      </c>
      <c r="E1713">
        <f t="shared" si="106"/>
        <v>45599.331599999998</v>
      </c>
      <c r="F1713">
        <f t="shared" si="107"/>
        <v>2704</v>
      </c>
    </row>
    <row r="1714" spans="1:6" x14ac:dyDescent="0.3">
      <c r="A1714">
        <v>19</v>
      </c>
      <c r="B1714">
        <v>74.86</v>
      </c>
      <c r="C1714">
        <f t="shared" si="104"/>
        <v>1422.34</v>
      </c>
      <c r="D1714">
        <f t="shared" si="105"/>
        <v>361</v>
      </c>
      <c r="E1714">
        <f t="shared" si="106"/>
        <v>5604.0195999999996</v>
      </c>
      <c r="F1714">
        <f t="shared" si="107"/>
        <v>361</v>
      </c>
    </row>
    <row r="1715" spans="1:6" x14ac:dyDescent="0.3">
      <c r="A1715">
        <v>21</v>
      </c>
      <c r="B1715">
        <v>78.349999999999994</v>
      </c>
      <c r="C1715">
        <f t="shared" si="104"/>
        <v>1645.35</v>
      </c>
      <c r="D1715">
        <f t="shared" si="105"/>
        <v>441</v>
      </c>
      <c r="E1715">
        <f t="shared" si="106"/>
        <v>6138.7224999999989</v>
      </c>
      <c r="F1715">
        <f t="shared" si="107"/>
        <v>441</v>
      </c>
    </row>
    <row r="1716" spans="1:6" x14ac:dyDescent="0.3">
      <c r="A1716">
        <v>8</v>
      </c>
      <c r="B1716">
        <v>101.26</v>
      </c>
      <c r="C1716">
        <f t="shared" si="104"/>
        <v>810.08</v>
      </c>
      <c r="D1716">
        <f t="shared" si="105"/>
        <v>64</v>
      </c>
      <c r="E1716">
        <f t="shared" si="106"/>
        <v>10253.587600000001</v>
      </c>
      <c r="F1716">
        <f t="shared" si="107"/>
        <v>64</v>
      </c>
    </row>
    <row r="1717" spans="1:6" x14ac:dyDescent="0.3">
      <c r="A1717">
        <v>35</v>
      </c>
      <c r="B1717">
        <v>86.87</v>
      </c>
      <c r="C1717">
        <f t="shared" si="104"/>
        <v>3040.4500000000003</v>
      </c>
      <c r="D1717">
        <f t="shared" si="105"/>
        <v>1225</v>
      </c>
      <c r="E1717">
        <f t="shared" si="106"/>
        <v>7546.3969000000006</v>
      </c>
      <c r="F1717">
        <f t="shared" si="107"/>
        <v>1225</v>
      </c>
    </row>
    <row r="1718" spans="1:6" x14ac:dyDescent="0.3">
      <c r="A1718">
        <v>33</v>
      </c>
      <c r="B1718">
        <v>124.01</v>
      </c>
      <c r="C1718">
        <f t="shared" si="104"/>
        <v>4092.3300000000004</v>
      </c>
      <c r="D1718">
        <f t="shared" si="105"/>
        <v>1089</v>
      </c>
      <c r="E1718">
        <f t="shared" si="106"/>
        <v>15378.480100000001</v>
      </c>
      <c r="F1718">
        <f t="shared" si="107"/>
        <v>1089</v>
      </c>
    </row>
    <row r="1719" spans="1:6" x14ac:dyDescent="0.3">
      <c r="A1719">
        <v>53</v>
      </c>
      <c r="B1719">
        <v>83.41</v>
      </c>
      <c r="C1719">
        <f t="shared" si="104"/>
        <v>4420.7299999999996</v>
      </c>
      <c r="D1719">
        <f t="shared" si="105"/>
        <v>2809</v>
      </c>
      <c r="E1719">
        <f t="shared" si="106"/>
        <v>6957.2280999999994</v>
      </c>
      <c r="F1719">
        <f t="shared" si="107"/>
        <v>2809</v>
      </c>
    </row>
    <row r="1720" spans="1:6" x14ac:dyDescent="0.3">
      <c r="A1720">
        <v>59</v>
      </c>
      <c r="B1720">
        <v>188.69</v>
      </c>
      <c r="C1720">
        <f t="shared" si="104"/>
        <v>11132.71</v>
      </c>
      <c r="D1720">
        <f t="shared" si="105"/>
        <v>3481</v>
      </c>
      <c r="E1720">
        <f t="shared" si="106"/>
        <v>35603.916100000002</v>
      </c>
      <c r="F1720">
        <f t="shared" si="107"/>
        <v>3481</v>
      </c>
    </row>
    <row r="1721" spans="1:6" x14ac:dyDescent="0.3">
      <c r="A1721">
        <v>34</v>
      </c>
      <c r="B1721">
        <v>86.51</v>
      </c>
      <c r="C1721">
        <f t="shared" si="104"/>
        <v>2941.34</v>
      </c>
      <c r="D1721">
        <f t="shared" si="105"/>
        <v>1156</v>
      </c>
      <c r="E1721">
        <f t="shared" si="106"/>
        <v>7483.9801000000007</v>
      </c>
      <c r="F1721">
        <f t="shared" si="107"/>
        <v>1156</v>
      </c>
    </row>
    <row r="1722" spans="1:6" x14ac:dyDescent="0.3">
      <c r="A1722">
        <v>31</v>
      </c>
      <c r="B1722">
        <v>70.650000000000006</v>
      </c>
      <c r="C1722">
        <f t="shared" si="104"/>
        <v>2190.15</v>
      </c>
      <c r="D1722">
        <f t="shared" si="105"/>
        <v>961</v>
      </c>
      <c r="E1722">
        <f t="shared" si="106"/>
        <v>4991.4225000000006</v>
      </c>
      <c r="F1722">
        <f t="shared" si="107"/>
        <v>961</v>
      </c>
    </row>
    <row r="1723" spans="1:6" x14ac:dyDescent="0.3">
      <c r="A1723">
        <v>43</v>
      </c>
      <c r="B1723">
        <v>92.4</v>
      </c>
      <c r="C1723">
        <f t="shared" si="104"/>
        <v>3973.2000000000003</v>
      </c>
      <c r="D1723">
        <f t="shared" si="105"/>
        <v>1849</v>
      </c>
      <c r="E1723">
        <f t="shared" si="106"/>
        <v>8537.76</v>
      </c>
      <c r="F1723">
        <f t="shared" si="107"/>
        <v>1849</v>
      </c>
    </row>
    <row r="1724" spans="1:6" x14ac:dyDescent="0.3">
      <c r="A1724">
        <v>61</v>
      </c>
      <c r="B1724">
        <v>73.36</v>
      </c>
      <c r="C1724">
        <f t="shared" si="104"/>
        <v>4474.96</v>
      </c>
      <c r="D1724">
        <f t="shared" si="105"/>
        <v>3721</v>
      </c>
      <c r="E1724">
        <f t="shared" si="106"/>
        <v>5381.6895999999997</v>
      </c>
      <c r="F1724">
        <f t="shared" si="107"/>
        <v>3721</v>
      </c>
    </row>
    <row r="1725" spans="1:6" x14ac:dyDescent="0.3">
      <c r="A1725">
        <v>57</v>
      </c>
      <c r="B1725">
        <v>219.5</v>
      </c>
      <c r="C1725">
        <f t="shared" si="104"/>
        <v>12511.5</v>
      </c>
      <c r="D1725">
        <f t="shared" si="105"/>
        <v>3249</v>
      </c>
      <c r="E1725">
        <f t="shared" si="106"/>
        <v>48180.25</v>
      </c>
      <c r="F1725">
        <f t="shared" si="107"/>
        <v>3249</v>
      </c>
    </row>
    <row r="1726" spans="1:6" x14ac:dyDescent="0.3">
      <c r="A1726">
        <v>11</v>
      </c>
      <c r="B1726">
        <v>105.73</v>
      </c>
      <c r="C1726">
        <f t="shared" si="104"/>
        <v>1163.03</v>
      </c>
      <c r="D1726">
        <f t="shared" si="105"/>
        <v>121</v>
      </c>
      <c r="E1726">
        <f t="shared" si="106"/>
        <v>11178.832900000001</v>
      </c>
      <c r="F1726">
        <f t="shared" si="107"/>
        <v>121</v>
      </c>
    </row>
    <row r="1727" spans="1:6" x14ac:dyDescent="0.3">
      <c r="A1727">
        <v>36</v>
      </c>
      <c r="B1727">
        <v>83.79</v>
      </c>
      <c r="C1727">
        <f t="shared" si="104"/>
        <v>3016.44</v>
      </c>
      <c r="D1727">
        <f t="shared" si="105"/>
        <v>1296</v>
      </c>
      <c r="E1727">
        <f t="shared" si="106"/>
        <v>7020.7641000000012</v>
      </c>
      <c r="F1727">
        <f t="shared" si="107"/>
        <v>1296</v>
      </c>
    </row>
    <row r="1728" spans="1:6" x14ac:dyDescent="0.3">
      <c r="A1728">
        <v>16</v>
      </c>
      <c r="B1728">
        <v>58.02</v>
      </c>
      <c r="C1728">
        <f t="shared" si="104"/>
        <v>928.32</v>
      </c>
      <c r="D1728">
        <f t="shared" si="105"/>
        <v>256</v>
      </c>
      <c r="E1728">
        <f t="shared" si="106"/>
        <v>3366.3204000000005</v>
      </c>
      <c r="F1728">
        <f t="shared" si="107"/>
        <v>256</v>
      </c>
    </row>
    <row r="1729" spans="1:6" x14ac:dyDescent="0.3">
      <c r="A1729">
        <v>60</v>
      </c>
      <c r="B1729">
        <v>61.94</v>
      </c>
      <c r="C1729">
        <f t="shared" si="104"/>
        <v>3716.3999999999996</v>
      </c>
      <c r="D1729">
        <f t="shared" si="105"/>
        <v>3600</v>
      </c>
      <c r="E1729">
        <f t="shared" si="106"/>
        <v>3836.5635999999995</v>
      </c>
      <c r="F1729">
        <f t="shared" si="107"/>
        <v>3600</v>
      </c>
    </row>
    <row r="1730" spans="1:6" x14ac:dyDescent="0.3">
      <c r="A1730">
        <v>13</v>
      </c>
      <c r="B1730">
        <v>99.71</v>
      </c>
      <c r="C1730">
        <f t="shared" si="104"/>
        <v>1296.23</v>
      </c>
      <c r="D1730">
        <f t="shared" si="105"/>
        <v>169</v>
      </c>
      <c r="E1730">
        <f t="shared" si="106"/>
        <v>9942.0840999999982</v>
      </c>
      <c r="F1730">
        <f t="shared" si="107"/>
        <v>169</v>
      </c>
    </row>
    <row r="1731" spans="1:6" x14ac:dyDescent="0.3">
      <c r="A1731">
        <v>69</v>
      </c>
      <c r="B1731">
        <v>63.19</v>
      </c>
      <c r="C1731">
        <f t="shared" ref="C1731:C1794" si="108">A1731*B1731</f>
        <v>4360.1099999999997</v>
      </c>
      <c r="D1731">
        <f t="shared" ref="D1731:D1794" si="109">A1731*A1731</f>
        <v>4761</v>
      </c>
      <c r="E1731">
        <f t="shared" ref="E1731:E1794" si="110">B1731*B1731</f>
        <v>3992.9760999999999</v>
      </c>
      <c r="F1731">
        <f t="shared" ref="F1731:F1794" si="111">A1731^2</f>
        <v>4761</v>
      </c>
    </row>
    <row r="1732" spans="1:6" x14ac:dyDescent="0.3">
      <c r="A1732">
        <v>69</v>
      </c>
      <c r="B1732">
        <v>107.11</v>
      </c>
      <c r="C1732">
        <f t="shared" si="108"/>
        <v>7390.59</v>
      </c>
      <c r="D1732">
        <f t="shared" si="109"/>
        <v>4761</v>
      </c>
      <c r="E1732">
        <f t="shared" si="110"/>
        <v>11472.552099999999</v>
      </c>
      <c r="F1732">
        <f t="shared" si="111"/>
        <v>4761</v>
      </c>
    </row>
    <row r="1733" spans="1:6" x14ac:dyDescent="0.3">
      <c r="A1733">
        <v>22</v>
      </c>
      <c r="B1733">
        <v>56.84</v>
      </c>
      <c r="C1733">
        <f t="shared" si="108"/>
        <v>1250.48</v>
      </c>
      <c r="D1733">
        <f t="shared" si="109"/>
        <v>484</v>
      </c>
      <c r="E1733">
        <f t="shared" si="110"/>
        <v>3230.7856000000006</v>
      </c>
      <c r="F1733">
        <f t="shared" si="111"/>
        <v>484</v>
      </c>
    </row>
    <row r="1734" spans="1:6" x14ac:dyDescent="0.3">
      <c r="A1734">
        <v>63</v>
      </c>
      <c r="B1734">
        <v>217.66</v>
      </c>
      <c r="C1734">
        <f t="shared" si="108"/>
        <v>13712.58</v>
      </c>
      <c r="D1734">
        <f t="shared" si="109"/>
        <v>3969</v>
      </c>
      <c r="E1734">
        <f t="shared" si="110"/>
        <v>47375.875599999999</v>
      </c>
      <c r="F1734">
        <f t="shared" si="111"/>
        <v>3969</v>
      </c>
    </row>
    <row r="1735" spans="1:6" x14ac:dyDescent="0.3">
      <c r="A1735">
        <v>45</v>
      </c>
      <c r="B1735">
        <v>77.19</v>
      </c>
      <c r="C1735">
        <f t="shared" si="108"/>
        <v>3473.5499999999997</v>
      </c>
      <c r="D1735">
        <f t="shared" si="109"/>
        <v>2025</v>
      </c>
      <c r="E1735">
        <f t="shared" si="110"/>
        <v>5958.2960999999996</v>
      </c>
      <c r="F1735">
        <f t="shared" si="111"/>
        <v>2025</v>
      </c>
    </row>
    <row r="1736" spans="1:6" x14ac:dyDescent="0.3">
      <c r="A1736">
        <v>58</v>
      </c>
      <c r="B1736">
        <v>76.22</v>
      </c>
      <c r="C1736">
        <f t="shared" si="108"/>
        <v>4420.76</v>
      </c>
      <c r="D1736">
        <f t="shared" si="109"/>
        <v>3364</v>
      </c>
      <c r="E1736">
        <f t="shared" si="110"/>
        <v>5809.4884000000002</v>
      </c>
      <c r="F1736">
        <f t="shared" si="111"/>
        <v>3364</v>
      </c>
    </row>
    <row r="1737" spans="1:6" x14ac:dyDescent="0.3">
      <c r="A1737">
        <v>61</v>
      </c>
      <c r="B1737">
        <v>155.32</v>
      </c>
      <c r="C1737">
        <f t="shared" si="108"/>
        <v>9474.52</v>
      </c>
      <c r="D1737">
        <f t="shared" si="109"/>
        <v>3721</v>
      </c>
      <c r="E1737">
        <f t="shared" si="110"/>
        <v>24124.302399999997</v>
      </c>
      <c r="F1737">
        <f t="shared" si="111"/>
        <v>3721</v>
      </c>
    </row>
    <row r="1738" spans="1:6" x14ac:dyDescent="0.3">
      <c r="A1738">
        <v>30</v>
      </c>
      <c r="B1738">
        <v>70.67</v>
      </c>
      <c r="C1738">
        <f t="shared" si="108"/>
        <v>2120.1</v>
      </c>
      <c r="D1738">
        <f t="shared" si="109"/>
        <v>900</v>
      </c>
      <c r="E1738">
        <f t="shared" si="110"/>
        <v>4994.2489000000005</v>
      </c>
      <c r="F1738">
        <f t="shared" si="111"/>
        <v>900</v>
      </c>
    </row>
    <row r="1739" spans="1:6" x14ac:dyDescent="0.3">
      <c r="A1739">
        <v>78</v>
      </c>
      <c r="B1739">
        <v>227.16</v>
      </c>
      <c r="C1739">
        <f t="shared" si="108"/>
        <v>17718.48</v>
      </c>
      <c r="D1739">
        <f t="shared" si="109"/>
        <v>6084</v>
      </c>
      <c r="E1739">
        <f t="shared" si="110"/>
        <v>51601.6656</v>
      </c>
      <c r="F1739">
        <f t="shared" si="111"/>
        <v>6084</v>
      </c>
    </row>
    <row r="1740" spans="1:6" x14ac:dyDescent="0.3">
      <c r="A1740">
        <v>68</v>
      </c>
      <c r="B1740">
        <v>58.69</v>
      </c>
      <c r="C1740">
        <f t="shared" si="108"/>
        <v>3990.92</v>
      </c>
      <c r="D1740">
        <f t="shared" si="109"/>
        <v>4624</v>
      </c>
      <c r="E1740">
        <f t="shared" si="110"/>
        <v>3444.5160999999998</v>
      </c>
      <c r="F1740">
        <f t="shared" si="111"/>
        <v>4624</v>
      </c>
    </row>
    <row r="1741" spans="1:6" x14ac:dyDescent="0.3">
      <c r="A1741">
        <v>16</v>
      </c>
      <c r="B1741">
        <v>88.85</v>
      </c>
      <c r="C1741">
        <f t="shared" si="108"/>
        <v>1421.6</v>
      </c>
      <c r="D1741">
        <f t="shared" si="109"/>
        <v>256</v>
      </c>
      <c r="E1741">
        <f t="shared" si="110"/>
        <v>7894.3224999999993</v>
      </c>
      <c r="F1741">
        <f t="shared" si="111"/>
        <v>256</v>
      </c>
    </row>
    <row r="1742" spans="1:6" x14ac:dyDescent="0.3">
      <c r="A1742">
        <v>38</v>
      </c>
      <c r="B1742">
        <v>137.94</v>
      </c>
      <c r="C1742">
        <f t="shared" si="108"/>
        <v>5241.72</v>
      </c>
      <c r="D1742">
        <f t="shared" si="109"/>
        <v>1444</v>
      </c>
      <c r="E1742">
        <f t="shared" si="110"/>
        <v>19027.443599999999</v>
      </c>
      <c r="F1742">
        <f t="shared" si="111"/>
        <v>1444</v>
      </c>
    </row>
    <row r="1743" spans="1:6" x14ac:dyDescent="0.3">
      <c r="A1743">
        <v>39</v>
      </c>
      <c r="B1743">
        <v>60.6</v>
      </c>
      <c r="C1743">
        <f t="shared" si="108"/>
        <v>2363.4</v>
      </c>
      <c r="D1743">
        <f t="shared" si="109"/>
        <v>1521</v>
      </c>
      <c r="E1743">
        <f t="shared" si="110"/>
        <v>3672.36</v>
      </c>
      <c r="F1743">
        <f t="shared" si="111"/>
        <v>1521</v>
      </c>
    </row>
    <row r="1744" spans="1:6" x14ac:dyDescent="0.3">
      <c r="A1744">
        <v>51</v>
      </c>
      <c r="B1744">
        <v>93.67</v>
      </c>
      <c r="C1744">
        <f t="shared" si="108"/>
        <v>4777.17</v>
      </c>
      <c r="D1744">
        <f t="shared" si="109"/>
        <v>2601</v>
      </c>
      <c r="E1744">
        <f t="shared" si="110"/>
        <v>8774.0689000000002</v>
      </c>
      <c r="F1744">
        <f t="shared" si="111"/>
        <v>2601</v>
      </c>
    </row>
    <row r="1745" spans="1:6" x14ac:dyDescent="0.3">
      <c r="A1745">
        <v>37</v>
      </c>
      <c r="B1745">
        <v>79.56</v>
      </c>
      <c r="C1745">
        <f t="shared" si="108"/>
        <v>2943.7200000000003</v>
      </c>
      <c r="D1745">
        <f t="shared" si="109"/>
        <v>1369</v>
      </c>
      <c r="E1745">
        <f t="shared" si="110"/>
        <v>6329.7936</v>
      </c>
      <c r="F1745">
        <f t="shared" si="111"/>
        <v>1369</v>
      </c>
    </row>
    <row r="1746" spans="1:6" x14ac:dyDescent="0.3">
      <c r="A1746">
        <v>16</v>
      </c>
      <c r="B1746">
        <v>122.46</v>
      </c>
      <c r="C1746">
        <f t="shared" si="108"/>
        <v>1959.36</v>
      </c>
      <c r="D1746">
        <f t="shared" si="109"/>
        <v>256</v>
      </c>
      <c r="E1746">
        <f t="shared" si="110"/>
        <v>14996.451599999999</v>
      </c>
      <c r="F1746">
        <f t="shared" si="111"/>
        <v>256</v>
      </c>
    </row>
    <row r="1747" spans="1:6" x14ac:dyDescent="0.3">
      <c r="A1747">
        <v>39</v>
      </c>
      <c r="B1747">
        <v>92.32</v>
      </c>
      <c r="C1747">
        <f t="shared" si="108"/>
        <v>3600.4799999999996</v>
      </c>
      <c r="D1747">
        <f t="shared" si="109"/>
        <v>1521</v>
      </c>
      <c r="E1747">
        <f t="shared" si="110"/>
        <v>8522.982399999999</v>
      </c>
      <c r="F1747">
        <f t="shared" si="111"/>
        <v>1521</v>
      </c>
    </row>
    <row r="1748" spans="1:6" x14ac:dyDescent="0.3">
      <c r="A1748">
        <v>24</v>
      </c>
      <c r="B1748">
        <v>80.63</v>
      </c>
      <c r="C1748">
        <f t="shared" si="108"/>
        <v>1935.12</v>
      </c>
      <c r="D1748">
        <f t="shared" si="109"/>
        <v>576</v>
      </c>
      <c r="E1748">
        <f t="shared" si="110"/>
        <v>6501.196899999999</v>
      </c>
      <c r="F1748">
        <f t="shared" si="111"/>
        <v>576</v>
      </c>
    </row>
    <row r="1749" spans="1:6" x14ac:dyDescent="0.3">
      <c r="A1749">
        <v>51</v>
      </c>
      <c r="B1749">
        <v>92.32</v>
      </c>
      <c r="C1749">
        <f t="shared" si="108"/>
        <v>4708.32</v>
      </c>
      <c r="D1749">
        <f t="shared" si="109"/>
        <v>2601</v>
      </c>
      <c r="E1749">
        <f t="shared" si="110"/>
        <v>8522.982399999999</v>
      </c>
      <c r="F1749">
        <f t="shared" si="111"/>
        <v>2601</v>
      </c>
    </row>
    <row r="1750" spans="1:6" x14ac:dyDescent="0.3">
      <c r="A1750">
        <v>50</v>
      </c>
      <c r="B1750">
        <v>59.89</v>
      </c>
      <c r="C1750">
        <f t="shared" si="108"/>
        <v>2994.5</v>
      </c>
      <c r="D1750">
        <f t="shared" si="109"/>
        <v>2500</v>
      </c>
      <c r="E1750">
        <f t="shared" si="110"/>
        <v>3586.8121000000001</v>
      </c>
      <c r="F1750">
        <f t="shared" si="111"/>
        <v>2500</v>
      </c>
    </row>
    <row r="1751" spans="1:6" x14ac:dyDescent="0.3">
      <c r="A1751">
        <v>27</v>
      </c>
      <c r="B1751">
        <v>80.569999999999993</v>
      </c>
      <c r="C1751">
        <f t="shared" si="108"/>
        <v>2175.39</v>
      </c>
      <c r="D1751">
        <f t="shared" si="109"/>
        <v>729</v>
      </c>
      <c r="E1751">
        <f t="shared" si="110"/>
        <v>6491.5248999999985</v>
      </c>
      <c r="F1751">
        <f t="shared" si="111"/>
        <v>729</v>
      </c>
    </row>
    <row r="1752" spans="1:6" x14ac:dyDescent="0.3">
      <c r="A1752">
        <v>73</v>
      </c>
      <c r="B1752">
        <v>88.52</v>
      </c>
      <c r="C1752">
        <f t="shared" si="108"/>
        <v>6461.96</v>
      </c>
      <c r="D1752">
        <f t="shared" si="109"/>
        <v>5329</v>
      </c>
      <c r="E1752">
        <f t="shared" si="110"/>
        <v>7835.790399999999</v>
      </c>
      <c r="F1752">
        <f t="shared" si="111"/>
        <v>5329</v>
      </c>
    </row>
    <row r="1753" spans="1:6" x14ac:dyDescent="0.3">
      <c r="A1753">
        <v>65</v>
      </c>
      <c r="B1753">
        <v>88.82</v>
      </c>
      <c r="C1753">
        <f t="shared" si="108"/>
        <v>5773.2999999999993</v>
      </c>
      <c r="D1753">
        <f t="shared" si="109"/>
        <v>4225</v>
      </c>
      <c r="E1753">
        <f t="shared" si="110"/>
        <v>7888.9923999999992</v>
      </c>
      <c r="F1753">
        <f t="shared" si="111"/>
        <v>4225</v>
      </c>
    </row>
    <row r="1754" spans="1:6" x14ac:dyDescent="0.3">
      <c r="A1754">
        <v>76</v>
      </c>
      <c r="B1754">
        <v>102.08</v>
      </c>
      <c r="C1754">
        <f t="shared" si="108"/>
        <v>7758.08</v>
      </c>
      <c r="D1754">
        <f t="shared" si="109"/>
        <v>5776</v>
      </c>
      <c r="E1754">
        <f t="shared" si="110"/>
        <v>10420.3264</v>
      </c>
      <c r="F1754">
        <f t="shared" si="111"/>
        <v>5776</v>
      </c>
    </row>
    <row r="1755" spans="1:6" x14ac:dyDescent="0.3">
      <c r="A1755">
        <v>66</v>
      </c>
      <c r="B1755">
        <v>71.38</v>
      </c>
      <c r="C1755">
        <f t="shared" si="108"/>
        <v>4711.08</v>
      </c>
      <c r="D1755">
        <f t="shared" si="109"/>
        <v>4356</v>
      </c>
      <c r="E1755">
        <f t="shared" si="110"/>
        <v>5095.1043999999993</v>
      </c>
      <c r="F1755">
        <f t="shared" si="111"/>
        <v>4356</v>
      </c>
    </row>
    <row r="1756" spans="1:6" x14ac:dyDescent="0.3">
      <c r="A1756">
        <v>53</v>
      </c>
      <c r="B1756">
        <v>84.9</v>
      </c>
      <c r="C1756">
        <f t="shared" si="108"/>
        <v>4499.7000000000007</v>
      </c>
      <c r="D1756">
        <f t="shared" si="109"/>
        <v>2809</v>
      </c>
      <c r="E1756">
        <f t="shared" si="110"/>
        <v>7208.0100000000011</v>
      </c>
      <c r="F1756">
        <f t="shared" si="111"/>
        <v>2809</v>
      </c>
    </row>
    <row r="1757" spans="1:6" x14ac:dyDescent="0.3">
      <c r="A1757">
        <v>65</v>
      </c>
      <c r="B1757">
        <v>82.21</v>
      </c>
      <c r="C1757">
        <f t="shared" si="108"/>
        <v>5343.65</v>
      </c>
      <c r="D1757">
        <f t="shared" si="109"/>
        <v>4225</v>
      </c>
      <c r="E1757">
        <f t="shared" si="110"/>
        <v>6758.4840999999988</v>
      </c>
      <c r="F1757">
        <f t="shared" si="111"/>
        <v>4225</v>
      </c>
    </row>
    <row r="1758" spans="1:6" x14ac:dyDescent="0.3">
      <c r="A1758">
        <v>48</v>
      </c>
      <c r="B1758">
        <v>209.9</v>
      </c>
      <c r="C1758">
        <f t="shared" si="108"/>
        <v>10075.200000000001</v>
      </c>
      <c r="D1758">
        <f t="shared" si="109"/>
        <v>2304</v>
      </c>
      <c r="E1758">
        <f t="shared" si="110"/>
        <v>44058.01</v>
      </c>
      <c r="F1758">
        <f t="shared" si="111"/>
        <v>2304</v>
      </c>
    </row>
    <row r="1759" spans="1:6" x14ac:dyDescent="0.3">
      <c r="A1759">
        <v>31</v>
      </c>
      <c r="B1759">
        <v>74.05</v>
      </c>
      <c r="C1759">
        <f t="shared" si="108"/>
        <v>2295.5499999999997</v>
      </c>
      <c r="D1759">
        <f t="shared" si="109"/>
        <v>961</v>
      </c>
      <c r="E1759">
        <f t="shared" si="110"/>
        <v>5483.4024999999992</v>
      </c>
      <c r="F1759">
        <f t="shared" si="111"/>
        <v>961</v>
      </c>
    </row>
    <row r="1760" spans="1:6" x14ac:dyDescent="0.3">
      <c r="A1760">
        <v>1.72</v>
      </c>
      <c r="B1760">
        <v>90.46</v>
      </c>
      <c r="C1760">
        <f t="shared" si="108"/>
        <v>155.59119999999999</v>
      </c>
      <c r="D1760">
        <f t="shared" si="109"/>
        <v>2.9583999999999997</v>
      </c>
      <c r="E1760">
        <f t="shared" si="110"/>
        <v>8183.0115999999989</v>
      </c>
      <c r="F1760">
        <f t="shared" si="111"/>
        <v>2.9583999999999997</v>
      </c>
    </row>
    <row r="1761" spans="1:6" x14ac:dyDescent="0.3">
      <c r="A1761">
        <v>45</v>
      </c>
      <c r="B1761">
        <v>176.48</v>
      </c>
      <c r="C1761">
        <f t="shared" si="108"/>
        <v>7941.5999999999995</v>
      </c>
      <c r="D1761">
        <f t="shared" si="109"/>
        <v>2025</v>
      </c>
      <c r="E1761">
        <f t="shared" si="110"/>
        <v>31145.190399999996</v>
      </c>
      <c r="F1761">
        <f t="shared" si="111"/>
        <v>2025</v>
      </c>
    </row>
    <row r="1762" spans="1:6" x14ac:dyDescent="0.3">
      <c r="A1762">
        <v>56</v>
      </c>
      <c r="B1762">
        <v>94.07</v>
      </c>
      <c r="C1762">
        <f t="shared" si="108"/>
        <v>5267.92</v>
      </c>
      <c r="D1762">
        <f t="shared" si="109"/>
        <v>3136</v>
      </c>
      <c r="E1762">
        <f t="shared" si="110"/>
        <v>8849.1648999999979</v>
      </c>
      <c r="F1762">
        <f t="shared" si="111"/>
        <v>3136</v>
      </c>
    </row>
    <row r="1763" spans="1:6" x14ac:dyDescent="0.3">
      <c r="A1763">
        <v>62</v>
      </c>
      <c r="B1763">
        <v>85.12</v>
      </c>
      <c r="C1763">
        <f t="shared" si="108"/>
        <v>5277.4400000000005</v>
      </c>
      <c r="D1763">
        <f t="shared" si="109"/>
        <v>3844</v>
      </c>
      <c r="E1763">
        <f t="shared" si="110"/>
        <v>7245.4144000000006</v>
      </c>
      <c r="F1763">
        <f t="shared" si="111"/>
        <v>3844</v>
      </c>
    </row>
    <row r="1764" spans="1:6" x14ac:dyDescent="0.3">
      <c r="A1764">
        <v>35</v>
      </c>
      <c r="B1764">
        <v>71.81</v>
      </c>
      <c r="C1764">
        <f t="shared" si="108"/>
        <v>2513.35</v>
      </c>
      <c r="D1764">
        <f t="shared" si="109"/>
        <v>1225</v>
      </c>
      <c r="E1764">
        <f t="shared" si="110"/>
        <v>5156.6761000000006</v>
      </c>
      <c r="F1764">
        <f t="shared" si="111"/>
        <v>1225</v>
      </c>
    </row>
    <row r="1765" spans="1:6" x14ac:dyDescent="0.3">
      <c r="A1765">
        <v>16</v>
      </c>
      <c r="B1765">
        <v>111.93</v>
      </c>
      <c r="C1765">
        <f t="shared" si="108"/>
        <v>1790.88</v>
      </c>
      <c r="D1765">
        <f t="shared" si="109"/>
        <v>256</v>
      </c>
      <c r="E1765">
        <f t="shared" si="110"/>
        <v>12528.324900000001</v>
      </c>
      <c r="F1765">
        <f t="shared" si="111"/>
        <v>256</v>
      </c>
    </row>
    <row r="1766" spans="1:6" x14ac:dyDescent="0.3">
      <c r="A1766">
        <v>31</v>
      </c>
      <c r="B1766">
        <v>94.4</v>
      </c>
      <c r="C1766">
        <f t="shared" si="108"/>
        <v>2926.4</v>
      </c>
      <c r="D1766">
        <f t="shared" si="109"/>
        <v>961</v>
      </c>
      <c r="E1766">
        <f t="shared" si="110"/>
        <v>8911.36</v>
      </c>
      <c r="F1766">
        <f t="shared" si="111"/>
        <v>961</v>
      </c>
    </row>
    <row r="1767" spans="1:6" x14ac:dyDescent="0.3">
      <c r="A1767">
        <v>5</v>
      </c>
      <c r="B1767">
        <v>70</v>
      </c>
      <c r="C1767">
        <f t="shared" si="108"/>
        <v>350</v>
      </c>
      <c r="D1767">
        <f t="shared" si="109"/>
        <v>25</v>
      </c>
      <c r="E1767">
        <f t="shared" si="110"/>
        <v>4900</v>
      </c>
      <c r="F1767">
        <f t="shared" si="111"/>
        <v>25</v>
      </c>
    </row>
    <row r="1768" spans="1:6" x14ac:dyDescent="0.3">
      <c r="A1768">
        <v>26</v>
      </c>
      <c r="B1768">
        <v>95.57</v>
      </c>
      <c r="C1768">
        <f t="shared" si="108"/>
        <v>2484.8199999999997</v>
      </c>
      <c r="D1768">
        <f t="shared" si="109"/>
        <v>676</v>
      </c>
      <c r="E1768">
        <f t="shared" si="110"/>
        <v>9133.6248999999989</v>
      </c>
      <c r="F1768">
        <f t="shared" si="111"/>
        <v>676</v>
      </c>
    </row>
    <row r="1769" spans="1:6" x14ac:dyDescent="0.3">
      <c r="A1769">
        <v>10</v>
      </c>
      <c r="B1769">
        <v>91.98</v>
      </c>
      <c r="C1769">
        <f t="shared" si="108"/>
        <v>919.80000000000007</v>
      </c>
      <c r="D1769">
        <f t="shared" si="109"/>
        <v>100</v>
      </c>
      <c r="E1769">
        <f t="shared" si="110"/>
        <v>8460.3204000000005</v>
      </c>
      <c r="F1769">
        <f t="shared" si="111"/>
        <v>100</v>
      </c>
    </row>
    <row r="1770" spans="1:6" x14ac:dyDescent="0.3">
      <c r="A1770">
        <v>22</v>
      </c>
      <c r="B1770">
        <v>66.290000000000006</v>
      </c>
      <c r="C1770">
        <f t="shared" si="108"/>
        <v>1458.38</v>
      </c>
      <c r="D1770">
        <f t="shared" si="109"/>
        <v>484</v>
      </c>
      <c r="E1770">
        <f t="shared" si="110"/>
        <v>4394.3641000000007</v>
      </c>
      <c r="F1770">
        <f t="shared" si="111"/>
        <v>484</v>
      </c>
    </row>
    <row r="1771" spans="1:6" x14ac:dyDescent="0.3">
      <c r="A1771">
        <v>82</v>
      </c>
      <c r="B1771">
        <v>211.88</v>
      </c>
      <c r="C1771">
        <f t="shared" si="108"/>
        <v>17374.16</v>
      </c>
      <c r="D1771">
        <f t="shared" si="109"/>
        <v>6724</v>
      </c>
      <c r="E1771">
        <f t="shared" si="110"/>
        <v>44893.134399999995</v>
      </c>
      <c r="F1771">
        <f t="shared" si="111"/>
        <v>6724</v>
      </c>
    </row>
    <row r="1772" spans="1:6" x14ac:dyDescent="0.3">
      <c r="A1772">
        <v>50</v>
      </c>
      <c r="B1772">
        <v>76.55</v>
      </c>
      <c r="C1772">
        <f t="shared" si="108"/>
        <v>3827.5</v>
      </c>
      <c r="D1772">
        <f t="shared" si="109"/>
        <v>2500</v>
      </c>
      <c r="E1772">
        <f t="shared" si="110"/>
        <v>5859.9024999999992</v>
      </c>
      <c r="F1772">
        <f t="shared" si="111"/>
        <v>2500</v>
      </c>
    </row>
    <row r="1773" spans="1:6" x14ac:dyDescent="0.3">
      <c r="A1773">
        <v>47</v>
      </c>
      <c r="B1773">
        <v>56.67</v>
      </c>
      <c r="C1773">
        <f t="shared" si="108"/>
        <v>2663.4900000000002</v>
      </c>
      <c r="D1773">
        <f t="shared" si="109"/>
        <v>2209</v>
      </c>
      <c r="E1773">
        <f t="shared" si="110"/>
        <v>3211.4889000000003</v>
      </c>
      <c r="F1773">
        <f t="shared" si="111"/>
        <v>2209</v>
      </c>
    </row>
    <row r="1774" spans="1:6" x14ac:dyDescent="0.3">
      <c r="A1774">
        <v>31</v>
      </c>
      <c r="B1774">
        <v>100.52</v>
      </c>
      <c r="C1774">
        <f t="shared" si="108"/>
        <v>3116.12</v>
      </c>
      <c r="D1774">
        <f t="shared" si="109"/>
        <v>961</v>
      </c>
      <c r="E1774">
        <f t="shared" si="110"/>
        <v>10104.270399999999</v>
      </c>
      <c r="F1774">
        <f t="shared" si="111"/>
        <v>961</v>
      </c>
    </row>
    <row r="1775" spans="1:6" x14ac:dyDescent="0.3">
      <c r="A1775">
        <v>22</v>
      </c>
      <c r="B1775">
        <v>58.96</v>
      </c>
      <c r="C1775">
        <f t="shared" si="108"/>
        <v>1297.1200000000001</v>
      </c>
      <c r="D1775">
        <f t="shared" si="109"/>
        <v>484</v>
      </c>
      <c r="E1775">
        <f t="shared" si="110"/>
        <v>3476.2816000000003</v>
      </c>
      <c r="F1775">
        <f t="shared" si="111"/>
        <v>484</v>
      </c>
    </row>
    <row r="1776" spans="1:6" x14ac:dyDescent="0.3">
      <c r="A1776">
        <v>12</v>
      </c>
      <c r="B1776">
        <v>81.66</v>
      </c>
      <c r="C1776">
        <f t="shared" si="108"/>
        <v>979.92</v>
      </c>
      <c r="D1776">
        <f t="shared" si="109"/>
        <v>144</v>
      </c>
      <c r="E1776">
        <f t="shared" si="110"/>
        <v>6668.3555999999999</v>
      </c>
      <c r="F1776">
        <f t="shared" si="111"/>
        <v>144</v>
      </c>
    </row>
    <row r="1777" spans="1:6" x14ac:dyDescent="0.3">
      <c r="A1777">
        <v>63</v>
      </c>
      <c r="B1777">
        <v>96.77</v>
      </c>
      <c r="C1777">
        <f t="shared" si="108"/>
        <v>6096.5099999999993</v>
      </c>
      <c r="D1777">
        <f t="shared" si="109"/>
        <v>3969</v>
      </c>
      <c r="E1777">
        <f t="shared" si="110"/>
        <v>9364.4328999999998</v>
      </c>
      <c r="F1777">
        <f t="shared" si="111"/>
        <v>3969</v>
      </c>
    </row>
    <row r="1778" spans="1:6" x14ac:dyDescent="0.3">
      <c r="A1778">
        <v>78</v>
      </c>
      <c r="B1778">
        <v>91.63</v>
      </c>
      <c r="C1778">
        <f t="shared" si="108"/>
        <v>7147.1399999999994</v>
      </c>
      <c r="D1778">
        <f t="shared" si="109"/>
        <v>6084</v>
      </c>
      <c r="E1778">
        <f t="shared" si="110"/>
        <v>8396.0568999999996</v>
      </c>
      <c r="F1778">
        <f t="shared" si="111"/>
        <v>6084</v>
      </c>
    </row>
    <row r="1779" spans="1:6" x14ac:dyDescent="0.3">
      <c r="A1779">
        <v>4</v>
      </c>
      <c r="B1779">
        <v>97.51</v>
      </c>
      <c r="C1779">
        <f t="shared" si="108"/>
        <v>390.04</v>
      </c>
      <c r="D1779">
        <f t="shared" si="109"/>
        <v>16</v>
      </c>
      <c r="E1779">
        <f t="shared" si="110"/>
        <v>9508.2001000000018</v>
      </c>
      <c r="F1779">
        <f t="shared" si="111"/>
        <v>16</v>
      </c>
    </row>
    <row r="1780" spans="1:6" x14ac:dyDescent="0.3">
      <c r="A1780">
        <v>76</v>
      </c>
      <c r="B1780">
        <v>225.6</v>
      </c>
      <c r="C1780">
        <f t="shared" si="108"/>
        <v>17145.599999999999</v>
      </c>
      <c r="D1780">
        <f t="shared" si="109"/>
        <v>5776</v>
      </c>
      <c r="E1780">
        <f t="shared" si="110"/>
        <v>50895.360000000001</v>
      </c>
      <c r="F1780">
        <f t="shared" si="111"/>
        <v>5776</v>
      </c>
    </row>
    <row r="1781" spans="1:6" x14ac:dyDescent="0.3">
      <c r="A1781">
        <v>32</v>
      </c>
      <c r="B1781">
        <v>95.58</v>
      </c>
      <c r="C1781">
        <f t="shared" si="108"/>
        <v>3058.56</v>
      </c>
      <c r="D1781">
        <f t="shared" si="109"/>
        <v>1024</v>
      </c>
      <c r="E1781">
        <f t="shared" si="110"/>
        <v>9135.536399999999</v>
      </c>
      <c r="F1781">
        <f t="shared" si="111"/>
        <v>1024</v>
      </c>
    </row>
    <row r="1782" spans="1:6" x14ac:dyDescent="0.3">
      <c r="A1782">
        <v>81</v>
      </c>
      <c r="B1782">
        <v>210.23</v>
      </c>
      <c r="C1782">
        <f t="shared" si="108"/>
        <v>17028.629999999997</v>
      </c>
      <c r="D1782">
        <f t="shared" si="109"/>
        <v>6561</v>
      </c>
      <c r="E1782">
        <f t="shared" si="110"/>
        <v>44196.652899999994</v>
      </c>
      <c r="F1782">
        <f t="shared" si="111"/>
        <v>6561</v>
      </c>
    </row>
    <row r="1783" spans="1:6" x14ac:dyDescent="0.3">
      <c r="A1783">
        <v>39</v>
      </c>
      <c r="B1783">
        <v>92.82</v>
      </c>
      <c r="C1783">
        <f t="shared" si="108"/>
        <v>3619.9799999999996</v>
      </c>
      <c r="D1783">
        <f t="shared" si="109"/>
        <v>1521</v>
      </c>
      <c r="E1783">
        <f t="shared" si="110"/>
        <v>8615.5523999999987</v>
      </c>
      <c r="F1783">
        <f t="shared" si="111"/>
        <v>1521</v>
      </c>
    </row>
    <row r="1784" spans="1:6" x14ac:dyDescent="0.3">
      <c r="A1784">
        <v>59</v>
      </c>
      <c r="B1784">
        <v>234.82</v>
      </c>
      <c r="C1784">
        <f t="shared" si="108"/>
        <v>13854.38</v>
      </c>
      <c r="D1784">
        <f t="shared" si="109"/>
        <v>3481</v>
      </c>
      <c r="E1784">
        <f t="shared" si="110"/>
        <v>55140.432399999998</v>
      </c>
      <c r="F1784">
        <f t="shared" si="111"/>
        <v>3481</v>
      </c>
    </row>
    <row r="1785" spans="1:6" x14ac:dyDescent="0.3">
      <c r="A1785">
        <v>2</v>
      </c>
      <c r="B1785">
        <v>65.67</v>
      </c>
      <c r="C1785">
        <f t="shared" si="108"/>
        <v>131.34</v>
      </c>
      <c r="D1785">
        <f t="shared" si="109"/>
        <v>4</v>
      </c>
      <c r="E1785">
        <f t="shared" si="110"/>
        <v>4312.5488999999998</v>
      </c>
      <c r="F1785">
        <f t="shared" si="111"/>
        <v>4</v>
      </c>
    </row>
    <row r="1786" spans="1:6" x14ac:dyDescent="0.3">
      <c r="A1786">
        <v>37</v>
      </c>
      <c r="B1786">
        <v>74.510000000000005</v>
      </c>
      <c r="C1786">
        <f t="shared" si="108"/>
        <v>2756.8700000000003</v>
      </c>
      <c r="D1786">
        <f t="shared" si="109"/>
        <v>1369</v>
      </c>
      <c r="E1786">
        <f t="shared" si="110"/>
        <v>5551.7401000000009</v>
      </c>
      <c r="F1786">
        <f t="shared" si="111"/>
        <v>1369</v>
      </c>
    </row>
    <row r="1787" spans="1:6" x14ac:dyDescent="0.3">
      <c r="A1787">
        <v>78</v>
      </c>
      <c r="B1787">
        <v>81.99</v>
      </c>
      <c r="C1787">
        <f t="shared" si="108"/>
        <v>6395.2199999999993</v>
      </c>
      <c r="D1787">
        <f t="shared" si="109"/>
        <v>6084</v>
      </c>
      <c r="E1787">
        <f t="shared" si="110"/>
        <v>6722.360099999999</v>
      </c>
      <c r="F1787">
        <f t="shared" si="111"/>
        <v>6084</v>
      </c>
    </row>
    <row r="1788" spans="1:6" x14ac:dyDescent="0.3">
      <c r="A1788">
        <v>75</v>
      </c>
      <c r="B1788">
        <v>87.69</v>
      </c>
      <c r="C1788">
        <f t="shared" si="108"/>
        <v>6576.75</v>
      </c>
      <c r="D1788">
        <f t="shared" si="109"/>
        <v>5625</v>
      </c>
      <c r="E1788">
        <f t="shared" si="110"/>
        <v>7689.5360999999994</v>
      </c>
      <c r="F1788">
        <f t="shared" si="111"/>
        <v>5625</v>
      </c>
    </row>
    <row r="1789" spans="1:6" x14ac:dyDescent="0.3">
      <c r="A1789">
        <v>34</v>
      </c>
      <c r="B1789">
        <v>125.29</v>
      </c>
      <c r="C1789">
        <f t="shared" si="108"/>
        <v>4259.8600000000006</v>
      </c>
      <c r="D1789">
        <f t="shared" si="109"/>
        <v>1156</v>
      </c>
      <c r="E1789">
        <f t="shared" si="110"/>
        <v>15697.584100000002</v>
      </c>
      <c r="F1789">
        <f t="shared" si="111"/>
        <v>1156</v>
      </c>
    </row>
    <row r="1790" spans="1:6" x14ac:dyDescent="0.3">
      <c r="A1790">
        <v>48</v>
      </c>
      <c r="B1790">
        <v>111.64</v>
      </c>
      <c r="C1790">
        <f t="shared" si="108"/>
        <v>5358.72</v>
      </c>
      <c r="D1790">
        <f t="shared" si="109"/>
        <v>2304</v>
      </c>
      <c r="E1790">
        <f t="shared" si="110"/>
        <v>12463.489600000001</v>
      </c>
      <c r="F1790">
        <f t="shared" si="111"/>
        <v>2304</v>
      </c>
    </row>
    <row r="1791" spans="1:6" x14ac:dyDescent="0.3">
      <c r="A1791">
        <v>13</v>
      </c>
      <c r="B1791">
        <v>70.930000000000007</v>
      </c>
      <c r="C1791">
        <f t="shared" si="108"/>
        <v>922.09000000000015</v>
      </c>
      <c r="D1791">
        <f t="shared" si="109"/>
        <v>169</v>
      </c>
      <c r="E1791">
        <f t="shared" si="110"/>
        <v>5031.0649000000012</v>
      </c>
      <c r="F1791">
        <f t="shared" si="111"/>
        <v>169</v>
      </c>
    </row>
    <row r="1792" spans="1:6" x14ac:dyDescent="0.3">
      <c r="A1792">
        <v>54</v>
      </c>
      <c r="B1792">
        <v>89.93</v>
      </c>
      <c r="C1792">
        <f t="shared" si="108"/>
        <v>4856.22</v>
      </c>
      <c r="D1792">
        <f t="shared" si="109"/>
        <v>2916</v>
      </c>
      <c r="E1792">
        <f t="shared" si="110"/>
        <v>8087.4049000000014</v>
      </c>
      <c r="F1792">
        <f t="shared" si="111"/>
        <v>2916</v>
      </c>
    </row>
    <row r="1793" spans="1:6" x14ac:dyDescent="0.3">
      <c r="A1793">
        <v>13</v>
      </c>
      <c r="B1793">
        <v>137.44999999999999</v>
      </c>
      <c r="C1793">
        <f t="shared" si="108"/>
        <v>1786.85</v>
      </c>
      <c r="D1793">
        <f t="shared" si="109"/>
        <v>169</v>
      </c>
      <c r="E1793">
        <f t="shared" si="110"/>
        <v>18892.502499999999</v>
      </c>
      <c r="F1793">
        <f t="shared" si="111"/>
        <v>169</v>
      </c>
    </row>
    <row r="1794" spans="1:6" x14ac:dyDescent="0.3">
      <c r="A1794">
        <v>24</v>
      </c>
      <c r="B1794">
        <v>72.06</v>
      </c>
      <c r="C1794">
        <f t="shared" si="108"/>
        <v>1729.44</v>
      </c>
      <c r="D1794">
        <f t="shared" si="109"/>
        <v>576</v>
      </c>
      <c r="E1794">
        <f t="shared" si="110"/>
        <v>5192.6436000000003</v>
      </c>
      <c r="F1794">
        <f t="shared" si="111"/>
        <v>576</v>
      </c>
    </row>
    <row r="1795" spans="1:6" x14ac:dyDescent="0.3">
      <c r="A1795">
        <v>76</v>
      </c>
      <c r="B1795">
        <v>97.9</v>
      </c>
      <c r="C1795">
        <f t="shared" ref="C1795:C1858" si="112">A1795*B1795</f>
        <v>7440.4000000000005</v>
      </c>
      <c r="D1795">
        <f t="shared" ref="D1795:D1858" si="113">A1795*A1795</f>
        <v>5776</v>
      </c>
      <c r="E1795">
        <f t="shared" ref="E1795:E1858" si="114">B1795*B1795</f>
        <v>9584.4100000000017</v>
      </c>
      <c r="F1795">
        <f t="shared" ref="F1795:F1858" si="115">A1795^2</f>
        <v>5776</v>
      </c>
    </row>
    <row r="1796" spans="1:6" x14ac:dyDescent="0.3">
      <c r="A1796">
        <v>1</v>
      </c>
      <c r="B1796">
        <v>84.85</v>
      </c>
      <c r="C1796">
        <f t="shared" si="112"/>
        <v>84.85</v>
      </c>
      <c r="D1796">
        <f t="shared" si="113"/>
        <v>1</v>
      </c>
      <c r="E1796">
        <f t="shared" si="114"/>
        <v>7199.5224999999991</v>
      </c>
      <c r="F1796">
        <f t="shared" si="115"/>
        <v>1</v>
      </c>
    </row>
    <row r="1797" spans="1:6" x14ac:dyDescent="0.3">
      <c r="A1797">
        <v>57</v>
      </c>
      <c r="B1797">
        <v>230.59</v>
      </c>
      <c r="C1797">
        <f t="shared" si="112"/>
        <v>13143.630000000001</v>
      </c>
      <c r="D1797">
        <f t="shared" si="113"/>
        <v>3249</v>
      </c>
      <c r="E1797">
        <f t="shared" si="114"/>
        <v>53171.748100000004</v>
      </c>
      <c r="F1797">
        <f t="shared" si="115"/>
        <v>3249</v>
      </c>
    </row>
    <row r="1798" spans="1:6" x14ac:dyDescent="0.3">
      <c r="A1798">
        <v>46</v>
      </c>
      <c r="B1798">
        <v>92.81</v>
      </c>
      <c r="C1798">
        <f t="shared" si="112"/>
        <v>4269.26</v>
      </c>
      <c r="D1798">
        <f t="shared" si="113"/>
        <v>2116</v>
      </c>
      <c r="E1798">
        <f t="shared" si="114"/>
        <v>8613.696100000001</v>
      </c>
      <c r="F1798">
        <f t="shared" si="115"/>
        <v>2116</v>
      </c>
    </row>
    <row r="1799" spans="1:6" x14ac:dyDescent="0.3">
      <c r="A1799">
        <v>26</v>
      </c>
      <c r="B1799">
        <v>168.15</v>
      </c>
      <c r="C1799">
        <f t="shared" si="112"/>
        <v>4371.9000000000005</v>
      </c>
      <c r="D1799">
        <f t="shared" si="113"/>
        <v>676</v>
      </c>
      <c r="E1799">
        <f t="shared" si="114"/>
        <v>28274.422500000001</v>
      </c>
      <c r="F1799">
        <f t="shared" si="115"/>
        <v>676</v>
      </c>
    </row>
    <row r="1800" spans="1:6" x14ac:dyDescent="0.3">
      <c r="A1800">
        <v>56</v>
      </c>
      <c r="B1800">
        <v>224.63</v>
      </c>
      <c r="C1800">
        <f t="shared" si="112"/>
        <v>12579.279999999999</v>
      </c>
      <c r="D1800">
        <f t="shared" si="113"/>
        <v>3136</v>
      </c>
      <c r="E1800">
        <f t="shared" si="114"/>
        <v>50458.636899999998</v>
      </c>
      <c r="F1800">
        <f t="shared" si="115"/>
        <v>3136</v>
      </c>
    </row>
    <row r="1801" spans="1:6" x14ac:dyDescent="0.3">
      <c r="A1801">
        <v>34</v>
      </c>
      <c r="B1801">
        <v>108.12</v>
      </c>
      <c r="C1801">
        <f t="shared" si="112"/>
        <v>3676.08</v>
      </c>
      <c r="D1801">
        <f t="shared" si="113"/>
        <v>1156</v>
      </c>
      <c r="E1801">
        <f t="shared" si="114"/>
        <v>11689.9344</v>
      </c>
      <c r="F1801">
        <f t="shared" si="115"/>
        <v>1156</v>
      </c>
    </row>
    <row r="1802" spans="1:6" x14ac:dyDescent="0.3">
      <c r="A1802">
        <v>25</v>
      </c>
      <c r="B1802">
        <v>85.17</v>
      </c>
      <c r="C1802">
        <f t="shared" si="112"/>
        <v>2129.25</v>
      </c>
      <c r="D1802">
        <f t="shared" si="113"/>
        <v>625</v>
      </c>
      <c r="E1802">
        <f t="shared" si="114"/>
        <v>7253.9288999999999</v>
      </c>
      <c r="F1802">
        <f t="shared" si="115"/>
        <v>625</v>
      </c>
    </row>
    <row r="1803" spans="1:6" x14ac:dyDescent="0.3">
      <c r="A1803">
        <v>60</v>
      </c>
      <c r="B1803">
        <v>84.14</v>
      </c>
      <c r="C1803">
        <f t="shared" si="112"/>
        <v>5048.3999999999996</v>
      </c>
      <c r="D1803">
        <f t="shared" si="113"/>
        <v>3600</v>
      </c>
      <c r="E1803">
        <f t="shared" si="114"/>
        <v>7079.5396000000001</v>
      </c>
      <c r="F1803">
        <f t="shared" si="115"/>
        <v>3600</v>
      </c>
    </row>
    <row r="1804" spans="1:6" x14ac:dyDescent="0.3">
      <c r="A1804">
        <v>22</v>
      </c>
      <c r="B1804">
        <v>85.57</v>
      </c>
      <c r="C1804">
        <f t="shared" si="112"/>
        <v>1882.54</v>
      </c>
      <c r="D1804">
        <f t="shared" si="113"/>
        <v>484</v>
      </c>
      <c r="E1804">
        <f t="shared" si="114"/>
        <v>7322.2248999999993</v>
      </c>
      <c r="F1804">
        <f t="shared" si="115"/>
        <v>484</v>
      </c>
    </row>
    <row r="1805" spans="1:6" x14ac:dyDescent="0.3">
      <c r="A1805">
        <v>35</v>
      </c>
      <c r="B1805">
        <v>82.81</v>
      </c>
      <c r="C1805">
        <f t="shared" si="112"/>
        <v>2898.35</v>
      </c>
      <c r="D1805">
        <f t="shared" si="113"/>
        <v>1225</v>
      </c>
      <c r="E1805">
        <f t="shared" si="114"/>
        <v>6857.4961000000003</v>
      </c>
      <c r="F1805">
        <f t="shared" si="115"/>
        <v>1225</v>
      </c>
    </row>
    <row r="1806" spans="1:6" x14ac:dyDescent="0.3">
      <c r="A1806">
        <v>48</v>
      </c>
      <c r="B1806">
        <v>110.53</v>
      </c>
      <c r="C1806">
        <f t="shared" si="112"/>
        <v>5305.4400000000005</v>
      </c>
      <c r="D1806">
        <f t="shared" si="113"/>
        <v>2304</v>
      </c>
      <c r="E1806">
        <f t="shared" si="114"/>
        <v>12216.8809</v>
      </c>
      <c r="F1806">
        <f t="shared" si="115"/>
        <v>2304</v>
      </c>
    </row>
    <row r="1807" spans="1:6" x14ac:dyDescent="0.3">
      <c r="A1807">
        <v>38</v>
      </c>
      <c r="B1807">
        <v>61.88</v>
      </c>
      <c r="C1807">
        <f t="shared" si="112"/>
        <v>2351.44</v>
      </c>
      <c r="D1807">
        <f t="shared" si="113"/>
        <v>1444</v>
      </c>
      <c r="E1807">
        <f t="shared" si="114"/>
        <v>3829.1344000000004</v>
      </c>
      <c r="F1807">
        <f t="shared" si="115"/>
        <v>1444</v>
      </c>
    </row>
    <row r="1808" spans="1:6" x14ac:dyDescent="0.3">
      <c r="A1808">
        <v>12</v>
      </c>
      <c r="B1808">
        <v>85.04</v>
      </c>
      <c r="C1808">
        <f t="shared" si="112"/>
        <v>1020.48</v>
      </c>
      <c r="D1808">
        <f t="shared" si="113"/>
        <v>144</v>
      </c>
      <c r="E1808">
        <f t="shared" si="114"/>
        <v>7231.8016000000007</v>
      </c>
      <c r="F1808">
        <f t="shared" si="115"/>
        <v>144</v>
      </c>
    </row>
    <row r="1809" spans="1:6" x14ac:dyDescent="0.3">
      <c r="A1809">
        <v>22</v>
      </c>
      <c r="B1809">
        <v>140.4</v>
      </c>
      <c r="C1809">
        <f t="shared" si="112"/>
        <v>3088.8</v>
      </c>
      <c r="D1809">
        <f t="shared" si="113"/>
        <v>484</v>
      </c>
      <c r="E1809">
        <f t="shared" si="114"/>
        <v>19712.16</v>
      </c>
      <c r="F1809">
        <f t="shared" si="115"/>
        <v>484</v>
      </c>
    </row>
    <row r="1810" spans="1:6" x14ac:dyDescent="0.3">
      <c r="A1810">
        <v>0.64</v>
      </c>
      <c r="B1810">
        <v>62.27</v>
      </c>
      <c r="C1810">
        <f t="shared" si="112"/>
        <v>39.852800000000002</v>
      </c>
      <c r="D1810">
        <f t="shared" si="113"/>
        <v>0.40960000000000002</v>
      </c>
      <c r="E1810">
        <f t="shared" si="114"/>
        <v>3877.5529000000006</v>
      </c>
      <c r="F1810">
        <f t="shared" si="115"/>
        <v>0.40960000000000002</v>
      </c>
    </row>
    <row r="1811" spans="1:6" x14ac:dyDescent="0.3">
      <c r="A1811">
        <v>13</v>
      </c>
      <c r="B1811">
        <v>99.44</v>
      </c>
      <c r="C1811">
        <f t="shared" si="112"/>
        <v>1292.72</v>
      </c>
      <c r="D1811">
        <f t="shared" si="113"/>
        <v>169</v>
      </c>
      <c r="E1811">
        <f t="shared" si="114"/>
        <v>9888.3135999999995</v>
      </c>
      <c r="F1811">
        <f t="shared" si="115"/>
        <v>169</v>
      </c>
    </row>
    <row r="1812" spans="1:6" x14ac:dyDescent="0.3">
      <c r="A1812">
        <v>78</v>
      </c>
      <c r="B1812">
        <v>88.9</v>
      </c>
      <c r="C1812">
        <f t="shared" si="112"/>
        <v>6934.2000000000007</v>
      </c>
      <c r="D1812">
        <f t="shared" si="113"/>
        <v>6084</v>
      </c>
      <c r="E1812">
        <f t="shared" si="114"/>
        <v>7903.2100000000009</v>
      </c>
      <c r="F1812">
        <f t="shared" si="115"/>
        <v>6084</v>
      </c>
    </row>
    <row r="1813" spans="1:6" x14ac:dyDescent="0.3">
      <c r="A1813">
        <v>23</v>
      </c>
      <c r="B1813">
        <v>64.099999999999994</v>
      </c>
      <c r="C1813">
        <f t="shared" si="112"/>
        <v>1474.3</v>
      </c>
      <c r="D1813">
        <f t="shared" si="113"/>
        <v>529</v>
      </c>
      <c r="E1813">
        <f t="shared" si="114"/>
        <v>4108.8099999999995</v>
      </c>
      <c r="F1813">
        <f t="shared" si="115"/>
        <v>529</v>
      </c>
    </row>
    <row r="1814" spans="1:6" x14ac:dyDescent="0.3">
      <c r="A1814">
        <v>35</v>
      </c>
      <c r="B1814">
        <v>97.58</v>
      </c>
      <c r="C1814">
        <f t="shared" si="112"/>
        <v>3415.2999999999997</v>
      </c>
      <c r="D1814">
        <f t="shared" si="113"/>
        <v>1225</v>
      </c>
      <c r="E1814">
        <f t="shared" si="114"/>
        <v>9521.8564000000006</v>
      </c>
      <c r="F1814">
        <f t="shared" si="115"/>
        <v>1225</v>
      </c>
    </row>
    <row r="1815" spans="1:6" x14ac:dyDescent="0.3">
      <c r="A1815">
        <v>78</v>
      </c>
      <c r="B1815">
        <v>58.66</v>
      </c>
      <c r="C1815">
        <f t="shared" si="112"/>
        <v>4575.4799999999996</v>
      </c>
      <c r="D1815">
        <f t="shared" si="113"/>
        <v>6084</v>
      </c>
      <c r="E1815">
        <f t="shared" si="114"/>
        <v>3440.9955999999997</v>
      </c>
      <c r="F1815">
        <f t="shared" si="115"/>
        <v>6084</v>
      </c>
    </row>
    <row r="1816" spans="1:6" x14ac:dyDescent="0.3">
      <c r="A1816">
        <v>50</v>
      </c>
      <c r="B1816">
        <v>88.24</v>
      </c>
      <c r="C1816">
        <f t="shared" si="112"/>
        <v>4412</v>
      </c>
      <c r="D1816">
        <f t="shared" si="113"/>
        <v>2500</v>
      </c>
      <c r="E1816">
        <f t="shared" si="114"/>
        <v>7786.297599999999</v>
      </c>
      <c r="F1816">
        <f t="shared" si="115"/>
        <v>2500</v>
      </c>
    </row>
    <row r="1817" spans="1:6" x14ac:dyDescent="0.3">
      <c r="A1817">
        <v>61</v>
      </c>
      <c r="B1817">
        <v>61.32</v>
      </c>
      <c r="C1817">
        <f t="shared" si="112"/>
        <v>3740.52</v>
      </c>
      <c r="D1817">
        <f t="shared" si="113"/>
        <v>3721</v>
      </c>
      <c r="E1817">
        <f t="shared" si="114"/>
        <v>3760.1424000000002</v>
      </c>
      <c r="F1817">
        <f t="shared" si="115"/>
        <v>3721</v>
      </c>
    </row>
    <row r="1818" spans="1:6" x14ac:dyDescent="0.3">
      <c r="A1818">
        <v>60</v>
      </c>
      <c r="B1818">
        <v>185.71</v>
      </c>
      <c r="C1818">
        <f t="shared" si="112"/>
        <v>11142.6</v>
      </c>
      <c r="D1818">
        <f t="shared" si="113"/>
        <v>3600</v>
      </c>
      <c r="E1818">
        <f t="shared" si="114"/>
        <v>34488.204100000003</v>
      </c>
      <c r="F1818">
        <f t="shared" si="115"/>
        <v>3600</v>
      </c>
    </row>
    <row r="1819" spans="1:6" x14ac:dyDescent="0.3">
      <c r="A1819">
        <v>43</v>
      </c>
      <c r="B1819">
        <v>62.99</v>
      </c>
      <c r="C1819">
        <f t="shared" si="112"/>
        <v>2708.57</v>
      </c>
      <c r="D1819">
        <f t="shared" si="113"/>
        <v>1849</v>
      </c>
      <c r="E1819">
        <f t="shared" si="114"/>
        <v>3967.7401000000004</v>
      </c>
      <c r="F1819">
        <f t="shared" si="115"/>
        <v>1849</v>
      </c>
    </row>
    <row r="1820" spans="1:6" x14ac:dyDescent="0.3">
      <c r="A1820">
        <v>60</v>
      </c>
      <c r="B1820">
        <v>86.04</v>
      </c>
      <c r="C1820">
        <f t="shared" si="112"/>
        <v>5162.4000000000005</v>
      </c>
      <c r="D1820">
        <f t="shared" si="113"/>
        <v>3600</v>
      </c>
      <c r="E1820">
        <f t="shared" si="114"/>
        <v>7402.8816000000015</v>
      </c>
      <c r="F1820">
        <f t="shared" si="115"/>
        <v>3600</v>
      </c>
    </row>
    <row r="1821" spans="1:6" x14ac:dyDescent="0.3">
      <c r="A1821">
        <v>51</v>
      </c>
      <c r="B1821">
        <v>83.3</v>
      </c>
      <c r="C1821">
        <f t="shared" si="112"/>
        <v>4248.3</v>
      </c>
      <c r="D1821">
        <f t="shared" si="113"/>
        <v>2601</v>
      </c>
      <c r="E1821">
        <f t="shared" si="114"/>
        <v>6938.8899999999994</v>
      </c>
      <c r="F1821">
        <f t="shared" si="115"/>
        <v>2601</v>
      </c>
    </row>
    <row r="1822" spans="1:6" x14ac:dyDescent="0.3">
      <c r="A1822">
        <v>21</v>
      </c>
      <c r="B1822">
        <v>208.17</v>
      </c>
      <c r="C1822">
        <f t="shared" si="112"/>
        <v>4371.57</v>
      </c>
      <c r="D1822">
        <f t="shared" si="113"/>
        <v>441</v>
      </c>
      <c r="E1822">
        <f t="shared" si="114"/>
        <v>43334.748899999991</v>
      </c>
      <c r="F1822">
        <f t="shared" si="115"/>
        <v>441</v>
      </c>
    </row>
    <row r="1823" spans="1:6" x14ac:dyDescent="0.3">
      <c r="A1823">
        <v>16</v>
      </c>
      <c r="B1823">
        <v>133.19999999999999</v>
      </c>
      <c r="C1823">
        <f t="shared" si="112"/>
        <v>2131.1999999999998</v>
      </c>
      <c r="D1823">
        <f t="shared" si="113"/>
        <v>256</v>
      </c>
      <c r="E1823">
        <f t="shared" si="114"/>
        <v>17742.239999999998</v>
      </c>
      <c r="F1823">
        <f t="shared" si="115"/>
        <v>256</v>
      </c>
    </row>
    <row r="1824" spans="1:6" x14ac:dyDescent="0.3">
      <c r="A1824">
        <v>25</v>
      </c>
      <c r="B1824">
        <v>81.540000000000006</v>
      </c>
      <c r="C1824">
        <f t="shared" si="112"/>
        <v>2038.5000000000002</v>
      </c>
      <c r="D1824">
        <f t="shared" si="113"/>
        <v>625</v>
      </c>
      <c r="E1824">
        <f t="shared" si="114"/>
        <v>6648.7716000000009</v>
      </c>
      <c r="F1824">
        <f t="shared" si="115"/>
        <v>625</v>
      </c>
    </row>
    <row r="1825" spans="1:6" x14ac:dyDescent="0.3">
      <c r="A1825">
        <v>36</v>
      </c>
      <c r="B1825">
        <v>146.61000000000001</v>
      </c>
      <c r="C1825">
        <f t="shared" si="112"/>
        <v>5277.9600000000009</v>
      </c>
      <c r="D1825">
        <f t="shared" si="113"/>
        <v>1296</v>
      </c>
      <c r="E1825">
        <f t="shared" si="114"/>
        <v>21494.492100000003</v>
      </c>
      <c r="F1825">
        <f t="shared" si="115"/>
        <v>1296</v>
      </c>
    </row>
    <row r="1826" spans="1:6" x14ac:dyDescent="0.3">
      <c r="A1826">
        <v>8</v>
      </c>
      <c r="B1826">
        <v>79.33</v>
      </c>
      <c r="C1826">
        <f t="shared" si="112"/>
        <v>634.64</v>
      </c>
      <c r="D1826">
        <f t="shared" si="113"/>
        <v>64</v>
      </c>
      <c r="E1826">
        <f t="shared" si="114"/>
        <v>6293.2488999999996</v>
      </c>
      <c r="F1826">
        <f t="shared" si="115"/>
        <v>64</v>
      </c>
    </row>
    <row r="1827" spans="1:6" x14ac:dyDescent="0.3">
      <c r="A1827">
        <v>48</v>
      </c>
      <c r="B1827">
        <v>84.56</v>
      </c>
      <c r="C1827">
        <f t="shared" si="112"/>
        <v>4058.88</v>
      </c>
      <c r="D1827">
        <f t="shared" si="113"/>
        <v>2304</v>
      </c>
      <c r="E1827">
        <f t="shared" si="114"/>
        <v>7150.3936000000003</v>
      </c>
      <c r="F1827">
        <f t="shared" si="115"/>
        <v>2304</v>
      </c>
    </row>
    <row r="1828" spans="1:6" x14ac:dyDescent="0.3">
      <c r="A1828">
        <v>14</v>
      </c>
      <c r="B1828">
        <v>103.44</v>
      </c>
      <c r="C1828">
        <f t="shared" si="112"/>
        <v>1448.1599999999999</v>
      </c>
      <c r="D1828">
        <f t="shared" si="113"/>
        <v>196</v>
      </c>
      <c r="E1828">
        <f t="shared" si="114"/>
        <v>10699.8336</v>
      </c>
      <c r="F1828">
        <f t="shared" si="115"/>
        <v>196</v>
      </c>
    </row>
    <row r="1829" spans="1:6" x14ac:dyDescent="0.3">
      <c r="A1829">
        <v>60</v>
      </c>
      <c r="B1829">
        <v>185.31</v>
      </c>
      <c r="C1829">
        <f t="shared" si="112"/>
        <v>11118.6</v>
      </c>
      <c r="D1829">
        <f t="shared" si="113"/>
        <v>3600</v>
      </c>
      <c r="E1829">
        <f t="shared" si="114"/>
        <v>34339.7961</v>
      </c>
      <c r="F1829">
        <f t="shared" si="115"/>
        <v>3600</v>
      </c>
    </row>
    <row r="1830" spans="1:6" x14ac:dyDescent="0.3">
      <c r="A1830">
        <v>61</v>
      </c>
      <c r="B1830">
        <v>102.53</v>
      </c>
      <c r="C1830">
        <f t="shared" si="112"/>
        <v>6254.33</v>
      </c>
      <c r="D1830">
        <f t="shared" si="113"/>
        <v>3721</v>
      </c>
      <c r="E1830">
        <f t="shared" si="114"/>
        <v>10512.400900000001</v>
      </c>
      <c r="F1830">
        <f t="shared" si="115"/>
        <v>3721</v>
      </c>
    </row>
    <row r="1831" spans="1:6" x14ac:dyDescent="0.3">
      <c r="A1831">
        <v>60</v>
      </c>
      <c r="B1831">
        <v>65.78</v>
      </c>
      <c r="C1831">
        <f t="shared" si="112"/>
        <v>3946.8</v>
      </c>
      <c r="D1831">
        <f t="shared" si="113"/>
        <v>3600</v>
      </c>
      <c r="E1831">
        <f t="shared" si="114"/>
        <v>4327.0083999999997</v>
      </c>
      <c r="F1831">
        <f t="shared" si="115"/>
        <v>3600</v>
      </c>
    </row>
    <row r="1832" spans="1:6" x14ac:dyDescent="0.3">
      <c r="A1832">
        <v>56</v>
      </c>
      <c r="B1832">
        <v>62.6</v>
      </c>
      <c r="C1832">
        <f t="shared" si="112"/>
        <v>3505.6</v>
      </c>
      <c r="D1832">
        <f t="shared" si="113"/>
        <v>3136</v>
      </c>
      <c r="E1832">
        <f t="shared" si="114"/>
        <v>3918.76</v>
      </c>
      <c r="F1832">
        <f t="shared" si="115"/>
        <v>3136</v>
      </c>
    </row>
    <row r="1833" spans="1:6" x14ac:dyDescent="0.3">
      <c r="A1833">
        <v>9</v>
      </c>
      <c r="B1833">
        <v>81.180000000000007</v>
      </c>
      <c r="C1833">
        <f t="shared" si="112"/>
        <v>730.62000000000012</v>
      </c>
      <c r="D1833">
        <f t="shared" si="113"/>
        <v>81</v>
      </c>
      <c r="E1833">
        <f t="shared" si="114"/>
        <v>6590.1924000000008</v>
      </c>
      <c r="F1833">
        <f t="shared" si="115"/>
        <v>81</v>
      </c>
    </row>
    <row r="1834" spans="1:6" x14ac:dyDescent="0.3">
      <c r="A1834">
        <v>45</v>
      </c>
      <c r="B1834">
        <v>76.680000000000007</v>
      </c>
      <c r="C1834">
        <f t="shared" si="112"/>
        <v>3450.6000000000004</v>
      </c>
      <c r="D1834">
        <f t="shared" si="113"/>
        <v>2025</v>
      </c>
      <c r="E1834">
        <f t="shared" si="114"/>
        <v>5879.8224000000009</v>
      </c>
      <c r="F1834">
        <f t="shared" si="115"/>
        <v>2025</v>
      </c>
    </row>
    <row r="1835" spans="1:6" x14ac:dyDescent="0.3">
      <c r="A1835">
        <v>14</v>
      </c>
      <c r="B1835">
        <v>92.86</v>
      </c>
      <c r="C1835">
        <f t="shared" si="112"/>
        <v>1300.04</v>
      </c>
      <c r="D1835">
        <f t="shared" si="113"/>
        <v>196</v>
      </c>
      <c r="E1835">
        <f t="shared" si="114"/>
        <v>8622.9796000000006</v>
      </c>
      <c r="F1835">
        <f t="shared" si="115"/>
        <v>196</v>
      </c>
    </row>
    <row r="1836" spans="1:6" x14ac:dyDescent="0.3">
      <c r="A1836">
        <v>37</v>
      </c>
      <c r="B1836">
        <v>90.95</v>
      </c>
      <c r="C1836">
        <f t="shared" si="112"/>
        <v>3365.15</v>
      </c>
      <c r="D1836">
        <f t="shared" si="113"/>
        <v>1369</v>
      </c>
      <c r="E1836">
        <f t="shared" si="114"/>
        <v>8271.9025000000001</v>
      </c>
      <c r="F1836">
        <f t="shared" si="115"/>
        <v>1369</v>
      </c>
    </row>
    <row r="1837" spans="1:6" x14ac:dyDescent="0.3">
      <c r="A1837">
        <v>52</v>
      </c>
      <c r="B1837">
        <v>85.66</v>
      </c>
      <c r="C1837">
        <f t="shared" si="112"/>
        <v>4454.32</v>
      </c>
      <c r="D1837">
        <f t="shared" si="113"/>
        <v>2704</v>
      </c>
      <c r="E1837">
        <f t="shared" si="114"/>
        <v>7337.6355999999996</v>
      </c>
      <c r="F1837">
        <f t="shared" si="115"/>
        <v>2704</v>
      </c>
    </row>
    <row r="1838" spans="1:6" x14ac:dyDescent="0.3">
      <c r="A1838">
        <v>30</v>
      </c>
      <c r="B1838">
        <v>88.2</v>
      </c>
      <c r="C1838">
        <f t="shared" si="112"/>
        <v>2646</v>
      </c>
      <c r="D1838">
        <f t="shared" si="113"/>
        <v>900</v>
      </c>
      <c r="E1838">
        <f t="shared" si="114"/>
        <v>7779.2400000000007</v>
      </c>
      <c r="F1838">
        <f t="shared" si="115"/>
        <v>900</v>
      </c>
    </row>
    <row r="1839" spans="1:6" x14ac:dyDescent="0.3">
      <c r="A1839">
        <v>60</v>
      </c>
      <c r="B1839">
        <v>203.04</v>
      </c>
      <c r="C1839">
        <f t="shared" si="112"/>
        <v>12182.4</v>
      </c>
      <c r="D1839">
        <f t="shared" si="113"/>
        <v>3600</v>
      </c>
      <c r="E1839">
        <f t="shared" si="114"/>
        <v>41225.241599999994</v>
      </c>
      <c r="F1839">
        <f t="shared" si="115"/>
        <v>3600</v>
      </c>
    </row>
    <row r="1840" spans="1:6" x14ac:dyDescent="0.3">
      <c r="A1840">
        <v>47</v>
      </c>
      <c r="B1840">
        <v>68.37</v>
      </c>
      <c r="C1840">
        <f t="shared" si="112"/>
        <v>3213.3900000000003</v>
      </c>
      <c r="D1840">
        <f t="shared" si="113"/>
        <v>2209</v>
      </c>
      <c r="E1840">
        <f t="shared" si="114"/>
        <v>4674.456900000001</v>
      </c>
      <c r="F1840">
        <f t="shared" si="115"/>
        <v>2209</v>
      </c>
    </row>
    <row r="1841" spans="1:6" x14ac:dyDescent="0.3">
      <c r="A1841">
        <v>82</v>
      </c>
      <c r="B1841">
        <v>77.319999999999993</v>
      </c>
      <c r="C1841">
        <f t="shared" si="112"/>
        <v>6340.24</v>
      </c>
      <c r="D1841">
        <f t="shared" si="113"/>
        <v>6724</v>
      </c>
      <c r="E1841">
        <f t="shared" si="114"/>
        <v>5978.3823999999986</v>
      </c>
      <c r="F1841">
        <f t="shared" si="115"/>
        <v>6724</v>
      </c>
    </row>
    <row r="1842" spans="1:6" x14ac:dyDescent="0.3">
      <c r="A1842">
        <v>64</v>
      </c>
      <c r="B1842">
        <v>187.87</v>
      </c>
      <c r="C1842">
        <f t="shared" si="112"/>
        <v>12023.68</v>
      </c>
      <c r="D1842">
        <f t="shared" si="113"/>
        <v>4096</v>
      </c>
      <c r="E1842">
        <f t="shared" si="114"/>
        <v>35295.136900000005</v>
      </c>
      <c r="F1842">
        <f t="shared" si="115"/>
        <v>4096</v>
      </c>
    </row>
    <row r="1843" spans="1:6" x14ac:dyDescent="0.3">
      <c r="A1843">
        <v>12</v>
      </c>
      <c r="B1843">
        <v>213.87</v>
      </c>
      <c r="C1843">
        <f t="shared" si="112"/>
        <v>2566.44</v>
      </c>
      <c r="D1843">
        <f t="shared" si="113"/>
        <v>144</v>
      </c>
      <c r="E1843">
        <f t="shared" si="114"/>
        <v>45740.376900000003</v>
      </c>
      <c r="F1843">
        <f t="shared" si="115"/>
        <v>144</v>
      </c>
    </row>
    <row r="1844" spans="1:6" x14ac:dyDescent="0.3">
      <c r="A1844">
        <v>79</v>
      </c>
      <c r="B1844">
        <v>119.62</v>
      </c>
      <c r="C1844">
        <f t="shared" si="112"/>
        <v>9449.98</v>
      </c>
      <c r="D1844">
        <f t="shared" si="113"/>
        <v>6241</v>
      </c>
      <c r="E1844">
        <f t="shared" si="114"/>
        <v>14308.9444</v>
      </c>
      <c r="F1844">
        <f t="shared" si="115"/>
        <v>6241</v>
      </c>
    </row>
    <row r="1845" spans="1:6" x14ac:dyDescent="0.3">
      <c r="A1845">
        <v>77</v>
      </c>
      <c r="B1845">
        <v>222.85</v>
      </c>
      <c r="C1845">
        <f t="shared" si="112"/>
        <v>17159.45</v>
      </c>
      <c r="D1845">
        <f t="shared" si="113"/>
        <v>5929</v>
      </c>
      <c r="E1845">
        <f t="shared" si="114"/>
        <v>49662.122499999998</v>
      </c>
      <c r="F1845">
        <f t="shared" si="115"/>
        <v>5929</v>
      </c>
    </row>
    <row r="1846" spans="1:6" x14ac:dyDescent="0.3">
      <c r="A1846">
        <v>25</v>
      </c>
      <c r="B1846">
        <v>100.82</v>
      </c>
      <c r="C1846">
        <f t="shared" si="112"/>
        <v>2520.5</v>
      </c>
      <c r="D1846">
        <f t="shared" si="113"/>
        <v>625</v>
      </c>
      <c r="E1846">
        <f t="shared" si="114"/>
        <v>10164.672399999999</v>
      </c>
      <c r="F1846">
        <f t="shared" si="115"/>
        <v>625</v>
      </c>
    </row>
    <row r="1847" spans="1:6" x14ac:dyDescent="0.3">
      <c r="A1847">
        <v>26</v>
      </c>
      <c r="B1847">
        <v>136.1</v>
      </c>
      <c r="C1847">
        <f t="shared" si="112"/>
        <v>3538.6</v>
      </c>
      <c r="D1847">
        <f t="shared" si="113"/>
        <v>676</v>
      </c>
      <c r="E1847">
        <f t="shared" si="114"/>
        <v>18523.21</v>
      </c>
      <c r="F1847">
        <f t="shared" si="115"/>
        <v>676</v>
      </c>
    </row>
    <row r="1848" spans="1:6" x14ac:dyDescent="0.3">
      <c r="A1848">
        <v>14</v>
      </c>
      <c r="B1848">
        <v>149.41999999999999</v>
      </c>
      <c r="C1848">
        <f t="shared" si="112"/>
        <v>2091.8799999999997</v>
      </c>
      <c r="D1848">
        <f t="shared" si="113"/>
        <v>196</v>
      </c>
      <c r="E1848">
        <f t="shared" si="114"/>
        <v>22326.336399999997</v>
      </c>
      <c r="F1848">
        <f t="shared" si="115"/>
        <v>196</v>
      </c>
    </row>
    <row r="1849" spans="1:6" x14ac:dyDescent="0.3">
      <c r="A1849">
        <v>42</v>
      </c>
      <c r="B1849">
        <v>79.989999999999995</v>
      </c>
      <c r="C1849">
        <f t="shared" si="112"/>
        <v>3359.58</v>
      </c>
      <c r="D1849">
        <f t="shared" si="113"/>
        <v>1764</v>
      </c>
      <c r="E1849">
        <f t="shared" si="114"/>
        <v>6398.4000999999989</v>
      </c>
      <c r="F1849">
        <f t="shared" si="115"/>
        <v>1764</v>
      </c>
    </row>
    <row r="1850" spans="1:6" x14ac:dyDescent="0.3">
      <c r="A1850">
        <v>37</v>
      </c>
      <c r="B1850">
        <v>118.21</v>
      </c>
      <c r="C1850">
        <f t="shared" si="112"/>
        <v>4373.7699999999995</v>
      </c>
      <c r="D1850">
        <f t="shared" si="113"/>
        <v>1369</v>
      </c>
      <c r="E1850">
        <f t="shared" si="114"/>
        <v>13973.604099999999</v>
      </c>
      <c r="F1850">
        <f t="shared" si="115"/>
        <v>1369</v>
      </c>
    </row>
    <row r="1851" spans="1:6" x14ac:dyDescent="0.3">
      <c r="A1851">
        <v>8</v>
      </c>
      <c r="B1851">
        <v>56.3</v>
      </c>
      <c r="C1851">
        <f t="shared" si="112"/>
        <v>450.4</v>
      </c>
      <c r="D1851">
        <f t="shared" si="113"/>
        <v>64</v>
      </c>
      <c r="E1851">
        <f t="shared" si="114"/>
        <v>3169.6899999999996</v>
      </c>
      <c r="F1851">
        <f t="shared" si="115"/>
        <v>64</v>
      </c>
    </row>
    <row r="1852" spans="1:6" x14ac:dyDescent="0.3">
      <c r="A1852">
        <v>78</v>
      </c>
      <c r="B1852">
        <v>84.49</v>
      </c>
      <c r="C1852">
        <f t="shared" si="112"/>
        <v>6590.2199999999993</v>
      </c>
      <c r="D1852">
        <f t="shared" si="113"/>
        <v>6084</v>
      </c>
      <c r="E1852">
        <f t="shared" si="114"/>
        <v>7138.5600999999988</v>
      </c>
      <c r="F1852">
        <f t="shared" si="115"/>
        <v>6084</v>
      </c>
    </row>
    <row r="1853" spans="1:6" x14ac:dyDescent="0.3">
      <c r="A1853">
        <v>18</v>
      </c>
      <c r="B1853">
        <v>89.61</v>
      </c>
      <c r="C1853">
        <f t="shared" si="112"/>
        <v>1612.98</v>
      </c>
      <c r="D1853">
        <f t="shared" si="113"/>
        <v>324</v>
      </c>
      <c r="E1853">
        <f t="shared" si="114"/>
        <v>8029.9520999999995</v>
      </c>
      <c r="F1853">
        <f t="shared" si="115"/>
        <v>324</v>
      </c>
    </row>
    <row r="1854" spans="1:6" x14ac:dyDescent="0.3">
      <c r="A1854">
        <v>78</v>
      </c>
      <c r="B1854">
        <v>100.09</v>
      </c>
      <c r="C1854">
        <f t="shared" si="112"/>
        <v>7807.02</v>
      </c>
      <c r="D1854">
        <f t="shared" si="113"/>
        <v>6084</v>
      </c>
      <c r="E1854">
        <f t="shared" si="114"/>
        <v>10018.008100000001</v>
      </c>
      <c r="F1854">
        <f t="shared" si="115"/>
        <v>6084</v>
      </c>
    </row>
    <row r="1855" spans="1:6" x14ac:dyDescent="0.3">
      <c r="A1855">
        <v>55</v>
      </c>
      <c r="B1855">
        <v>198.36</v>
      </c>
      <c r="C1855">
        <f t="shared" si="112"/>
        <v>10909.800000000001</v>
      </c>
      <c r="D1855">
        <f t="shared" si="113"/>
        <v>3025</v>
      </c>
      <c r="E1855">
        <f t="shared" si="114"/>
        <v>39346.689600000005</v>
      </c>
      <c r="F1855">
        <f t="shared" si="115"/>
        <v>3025</v>
      </c>
    </row>
    <row r="1856" spans="1:6" x14ac:dyDescent="0.3">
      <c r="A1856">
        <v>68</v>
      </c>
      <c r="B1856">
        <v>93.61</v>
      </c>
      <c r="C1856">
        <f t="shared" si="112"/>
        <v>6365.48</v>
      </c>
      <c r="D1856">
        <f t="shared" si="113"/>
        <v>4624</v>
      </c>
      <c r="E1856">
        <f t="shared" si="114"/>
        <v>8762.8320999999996</v>
      </c>
      <c r="F1856">
        <f t="shared" si="115"/>
        <v>4624</v>
      </c>
    </row>
    <row r="1857" spans="1:6" x14ac:dyDescent="0.3">
      <c r="A1857">
        <v>47</v>
      </c>
      <c r="B1857">
        <v>75.430000000000007</v>
      </c>
      <c r="C1857">
        <f t="shared" si="112"/>
        <v>3545.2100000000005</v>
      </c>
      <c r="D1857">
        <f t="shared" si="113"/>
        <v>2209</v>
      </c>
      <c r="E1857">
        <f t="shared" si="114"/>
        <v>5689.6849000000011</v>
      </c>
      <c r="F1857">
        <f t="shared" si="115"/>
        <v>2209</v>
      </c>
    </row>
    <row r="1858" spans="1:6" x14ac:dyDescent="0.3">
      <c r="A1858">
        <v>47</v>
      </c>
      <c r="B1858">
        <v>100.31</v>
      </c>
      <c r="C1858">
        <f t="shared" si="112"/>
        <v>4714.57</v>
      </c>
      <c r="D1858">
        <f t="shared" si="113"/>
        <v>2209</v>
      </c>
      <c r="E1858">
        <f t="shared" si="114"/>
        <v>10062.096100000001</v>
      </c>
      <c r="F1858">
        <f t="shared" si="115"/>
        <v>2209</v>
      </c>
    </row>
    <row r="1859" spans="1:6" x14ac:dyDescent="0.3">
      <c r="A1859">
        <v>51</v>
      </c>
      <c r="B1859">
        <v>105.63</v>
      </c>
      <c r="C1859">
        <f t="shared" ref="C1859:C1922" si="116">A1859*B1859</f>
        <v>5387.13</v>
      </c>
      <c r="D1859">
        <f t="shared" ref="D1859:D1922" si="117">A1859*A1859</f>
        <v>2601</v>
      </c>
      <c r="E1859">
        <f t="shared" ref="E1859:E1922" si="118">B1859*B1859</f>
        <v>11157.696899999999</v>
      </c>
      <c r="F1859">
        <f t="shared" ref="F1859:F1922" si="119">A1859^2</f>
        <v>2601</v>
      </c>
    </row>
    <row r="1860" spans="1:6" x14ac:dyDescent="0.3">
      <c r="A1860">
        <v>43</v>
      </c>
      <c r="B1860">
        <v>82.84</v>
      </c>
      <c r="C1860">
        <f t="shared" si="116"/>
        <v>3562.1200000000003</v>
      </c>
      <c r="D1860">
        <f t="shared" si="117"/>
        <v>1849</v>
      </c>
      <c r="E1860">
        <f t="shared" si="118"/>
        <v>6862.4656000000004</v>
      </c>
      <c r="F1860">
        <f t="shared" si="119"/>
        <v>1849</v>
      </c>
    </row>
    <row r="1861" spans="1:6" x14ac:dyDescent="0.3">
      <c r="A1861">
        <v>78</v>
      </c>
      <c r="B1861">
        <v>58.88</v>
      </c>
      <c r="C1861">
        <f t="shared" si="116"/>
        <v>4592.6400000000003</v>
      </c>
      <c r="D1861">
        <f t="shared" si="117"/>
        <v>6084</v>
      </c>
      <c r="E1861">
        <f t="shared" si="118"/>
        <v>3466.8544000000002</v>
      </c>
      <c r="F1861">
        <f t="shared" si="119"/>
        <v>6084</v>
      </c>
    </row>
    <row r="1862" spans="1:6" x14ac:dyDescent="0.3">
      <c r="A1862">
        <v>63</v>
      </c>
      <c r="B1862">
        <v>92.27</v>
      </c>
      <c r="C1862">
        <f t="shared" si="116"/>
        <v>5813.0099999999993</v>
      </c>
      <c r="D1862">
        <f t="shared" si="117"/>
        <v>3969</v>
      </c>
      <c r="E1862">
        <f t="shared" si="118"/>
        <v>8513.7528999999995</v>
      </c>
      <c r="F1862">
        <f t="shared" si="119"/>
        <v>3969</v>
      </c>
    </row>
    <row r="1863" spans="1:6" x14ac:dyDescent="0.3">
      <c r="A1863">
        <v>45</v>
      </c>
      <c r="B1863">
        <v>115.23</v>
      </c>
      <c r="C1863">
        <f t="shared" si="116"/>
        <v>5185.3500000000004</v>
      </c>
      <c r="D1863">
        <f t="shared" si="117"/>
        <v>2025</v>
      </c>
      <c r="E1863">
        <f t="shared" si="118"/>
        <v>13277.9529</v>
      </c>
      <c r="F1863">
        <f t="shared" si="119"/>
        <v>2025</v>
      </c>
    </row>
    <row r="1864" spans="1:6" x14ac:dyDescent="0.3">
      <c r="A1864">
        <v>53</v>
      </c>
      <c r="B1864">
        <v>196.25</v>
      </c>
      <c r="C1864">
        <f t="shared" si="116"/>
        <v>10401.25</v>
      </c>
      <c r="D1864">
        <f t="shared" si="117"/>
        <v>2809</v>
      </c>
      <c r="E1864">
        <f t="shared" si="118"/>
        <v>38514.0625</v>
      </c>
      <c r="F1864">
        <f t="shared" si="119"/>
        <v>2809</v>
      </c>
    </row>
    <row r="1865" spans="1:6" x14ac:dyDescent="0.3">
      <c r="A1865">
        <v>12</v>
      </c>
      <c r="B1865">
        <v>85.97</v>
      </c>
      <c r="C1865">
        <f t="shared" si="116"/>
        <v>1031.6399999999999</v>
      </c>
      <c r="D1865">
        <f t="shared" si="117"/>
        <v>144</v>
      </c>
      <c r="E1865">
        <f t="shared" si="118"/>
        <v>7390.8409000000001</v>
      </c>
      <c r="F1865">
        <f t="shared" si="119"/>
        <v>144</v>
      </c>
    </row>
    <row r="1866" spans="1:6" x14ac:dyDescent="0.3">
      <c r="A1866">
        <v>56</v>
      </c>
      <c r="B1866">
        <v>114.33</v>
      </c>
      <c r="C1866">
        <f t="shared" si="116"/>
        <v>6402.48</v>
      </c>
      <c r="D1866">
        <f t="shared" si="117"/>
        <v>3136</v>
      </c>
      <c r="E1866">
        <f t="shared" si="118"/>
        <v>13071.348899999999</v>
      </c>
      <c r="F1866">
        <f t="shared" si="119"/>
        <v>3136</v>
      </c>
    </row>
    <row r="1867" spans="1:6" x14ac:dyDescent="0.3">
      <c r="A1867">
        <v>29</v>
      </c>
      <c r="B1867">
        <v>72.52</v>
      </c>
      <c r="C1867">
        <f t="shared" si="116"/>
        <v>2103.08</v>
      </c>
      <c r="D1867">
        <f t="shared" si="117"/>
        <v>841</v>
      </c>
      <c r="E1867">
        <f t="shared" si="118"/>
        <v>5259.1503999999995</v>
      </c>
      <c r="F1867">
        <f t="shared" si="119"/>
        <v>841</v>
      </c>
    </row>
    <row r="1868" spans="1:6" x14ac:dyDescent="0.3">
      <c r="A1868">
        <v>10</v>
      </c>
      <c r="B1868">
        <v>99.87</v>
      </c>
      <c r="C1868">
        <f t="shared" si="116"/>
        <v>998.7</v>
      </c>
      <c r="D1868">
        <f t="shared" si="117"/>
        <v>100</v>
      </c>
      <c r="E1868">
        <f t="shared" si="118"/>
        <v>9974.0169000000005</v>
      </c>
      <c r="F1868">
        <f t="shared" si="119"/>
        <v>100</v>
      </c>
    </row>
    <row r="1869" spans="1:6" x14ac:dyDescent="0.3">
      <c r="A1869">
        <v>55</v>
      </c>
      <c r="B1869">
        <v>63.47</v>
      </c>
      <c r="C1869">
        <f t="shared" si="116"/>
        <v>3490.85</v>
      </c>
      <c r="D1869">
        <f t="shared" si="117"/>
        <v>3025</v>
      </c>
      <c r="E1869">
        <f t="shared" si="118"/>
        <v>4028.4409000000001</v>
      </c>
      <c r="F1869">
        <f t="shared" si="119"/>
        <v>3025</v>
      </c>
    </row>
    <row r="1870" spans="1:6" x14ac:dyDescent="0.3">
      <c r="A1870">
        <v>49</v>
      </c>
      <c r="B1870">
        <v>90.58</v>
      </c>
      <c r="C1870">
        <f t="shared" si="116"/>
        <v>4438.42</v>
      </c>
      <c r="D1870">
        <f t="shared" si="117"/>
        <v>2401</v>
      </c>
      <c r="E1870">
        <f t="shared" si="118"/>
        <v>8204.7363999999998</v>
      </c>
      <c r="F1870">
        <f t="shared" si="119"/>
        <v>2401</v>
      </c>
    </row>
    <row r="1871" spans="1:6" x14ac:dyDescent="0.3">
      <c r="A1871">
        <v>23</v>
      </c>
      <c r="B1871">
        <v>92.26</v>
      </c>
      <c r="C1871">
        <f t="shared" si="116"/>
        <v>2121.98</v>
      </c>
      <c r="D1871">
        <f t="shared" si="117"/>
        <v>529</v>
      </c>
      <c r="E1871">
        <f t="shared" si="118"/>
        <v>8511.9076000000005</v>
      </c>
      <c r="F1871">
        <f t="shared" si="119"/>
        <v>529</v>
      </c>
    </row>
    <row r="1872" spans="1:6" x14ac:dyDescent="0.3">
      <c r="A1872">
        <v>53</v>
      </c>
      <c r="B1872">
        <v>113.74</v>
      </c>
      <c r="C1872">
        <f t="shared" si="116"/>
        <v>6028.2199999999993</v>
      </c>
      <c r="D1872">
        <f t="shared" si="117"/>
        <v>2809</v>
      </c>
      <c r="E1872">
        <f t="shared" si="118"/>
        <v>12936.7876</v>
      </c>
      <c r="F1872">
        <f t="shared" si="119"/>
        <v>2809</v>
      </c>
    </row>
    <row r="1873" spans="1:6" x14ac:dyDescent="0.3">
      <c r="A1873">
        <v>56</v>
      </c>
      <c r="B1873">
        <v>72.790000000000006</v>
      </c>
      <c r="C1873">
        <f t="shared" si="116"/>
        <v>4076.2400000000002</v>
      </c>
      <c r="D1873">
        <f t="shared" si="117"/>
        <v>3136</v>
      </c>
      <c r="E1873">
        <f t="shared" si="118"/>
        <v>5298.3841000000011</v>
      </c>
      <c r="F1873">
        <f t="shared" si="119"/>
        <v>3136</v>
      </c>
    </row>
    <row r="1874" spans="1:6" x14ac:dyDescent="0.3">
      <c r="A1874">
        <v>56</v>
      </c>
      <c r="B1874">
        <v>94.71</v>
      </c>
      <c r="C1874">
        <f t="shared" si="116"/>
        <v>5303.7599999999993</v>
      </c>
      <c r="D1874">
        <f t="shared" si="117"/>
        <v>3136</v>
      </c>
      <c r="E1874">
        <f t="shared" si="118"/>
        <v>8969.9840999999997</v>
      </c>
      <c r="F1874">
        <f t="shared" si="119"/>
        <v>3136</v>
      </c>
    </row>
    <row r="1875" spans="1:6" x14ac:dyDescent="0.3">
      <c r="A1875">
        <v>61</v>
      </c>
      <c r="B1875">
        <v>194.53</v>
      </c>
      <c r="C1875">
        <f t="shared" si="116"/>
        <v>11866.33</v>
      </c>
      <c r="D1875">
        <f t="shared" si="117"/>
        <v>3721</v>
      </c>
      <c r="E1875">
        <f t="shared" si="118"/>
        <v>37841.920899999997</v>
      </c>
      <c r="F1875">
        <f t="shared" si="119"/>
        <v>3721</v>
      </c>
    </row>
    <row r="1876" spans="1:6" x14ac:dyDescent="0.3">
      <c r="A1876">
        <v>45</v>
      </c>
      <c r="B1876">
        <v>72.650000000000006</v>
      </c>
      <c r="C1876">
        <f t="shared" si="116"/>
        <v>3269.2500000000005</v>
      </c>
      <c r="D1876">
        <f t="shared" si="117"/>
        <v>2025</v>
      </c>
      <c r="E1876">
        <f t="shared" si="118"/>
        <v>5278.0225000000009</v>
      </c>
      <c r="F1876">
        <f t="shared" si="119"/>
        <v>2025</v>
      </c>
    </row>
    <row r="1877" spans="1:6" x14ac:dyDescent="0.3">
      <c r="A1877">
        <v>80</v>
      </c>
      <c r="B1877">
        <v>86.68</v>
      </c>
      <c r="C1877">
        <f t="shared" si="116"/>
        <v>6934.4000000000005</v>
      </c>
      <c r="D1877">
        <f t="shared" si="117"/>
        <v>6400</v>
      </c>
      <c r="E1877">
        <f t="shared" si="118"/>
        <v>7513.4224000000013</v>
      </c>
      <c r="F1877">
        <f t="shared" si="119"/>
        <v>6400</v>
      </c>
    </row>
    <row r="1878" spans="1:6" x14ac:dyDescent="0.3">
      <c r="A1878">
        <v>47</v>
      </c>
      <c r="B1878">
        <v>140.38999999999999</v>
      </c>
      <c r="C1878">
        <f t="shared" si="116"/>
        <v>6598.329999999999</v>
      </c>
      <c r="D1878">
        <f t="shared" si="117"/>
        <v>2209</v>
      </c>
      <c r="E1878">
        <f t="shared" si="118"/>
        <v>19709.352099999996</v>
      </c>
      <c r="F1878">
        <f t="shared" si="119"/>
        <v>2209</v>
      </c>
    </row>
    <row r="1879" spans="1:6" x14ac:dyDescent="0.3">
      <c r="A1879">
        <v>3</v>
      </c>
      <c r="B1879">
        <v>77.87</v>
      </c>
      <c r="C1879">
        <f t="shared" si="116"/>
        <v>233.61</v>
      </c>
      <c r="D1879">
        <f t="shared" si="117"/>
        <v>9</v>
      </c>
      <c r="E1879">
        <f t="shared" si="118"/>
        <v>6063.7369000000008</v>
      </c>
      <c r="F1879">
        <f t="shared" si="119"/>
        <v>9</v>
      </c>
    </row>
    <row r="1880" spans="1:6" x14ac:dyDescent="0.3">
      <c r="A1880">
        <v>63</v>
      </c>
      <c r="B1880">
        <v>104.7</v>
      </c>
      <c r="C1880">
        <f t="shared" si="116"/>
        <v>6596.1</v>
      </c>
      <c r="D1880">
        <f t="shared" si="117"/>
        <v>3969</v>
      </c>
      <c r="E1880">
        <f t="shared" si="118"/>
        <v>10962.09</v>
      </c>
      <c r="F1880">
        <f t="shared" si="119"/>
        <v>3969</v>
      </c>
    </row>
    <row r="1881" spans="1:6" x14ac:dyDescent="0.3">
      <c r="A1881">
        <v>68</v>
      </c>
      <c r="B1881">
        <v>95.82</v>
      </c>
      <c r="C1881">
        <f t="shared" si="116"/>
        <v>6515.7599999999993</v>
      </c>
      <c r="D1881">
        <f t="shared" si="117"/>
        <v>4624</v>
      </c>
      <c r="E1881">
        <f t="shared" si="118"/>
        <v>9181.4723999999987</v>
      </c>
      <c r="F1881">
        <f t="shared" si="119"/>
        <v>4624</v>
      </c>
    </row>
    <row r="1882" spans="1:6" x14ac:dyDescent="0.3">
      <c r="A1882">
        <v>76</v>
      </c>
      <c r="B1882">
        <v>204.05</v>
      </c>
      <c r="C1882">
        <f t="shared" si="116"/>
        <v>15507.800000000001</v>
      </c>
      <c r="D1882">
        <f t="shared" si="117"/>
        <v>5776</v>
      </c>
      <c r="E1882">
        <f t="shared" si="118"/>
        <v>41636.402500000004</v>
      </c>
      <c r="F1882">
        <f t="shared" si="119"/>
        <v>5776</v>
      </c>
    </row>
    <row r="1883" spans="1:6" x14ac:dyDescent="0.3">
      <c r="A1883">
        <v>62</v>
      </c>
      <c r="B1883">
        <v>130.56</v>
      </c>
      <c r="C1883">
        <f t="shared" si="116"/>
        <v>8094.72</v>
      </c>
      <c r="D1883">
        <f t="shared" si="117"/>
        <v>3844</v>
      </c>
      <c r="E1883">
        <f t="shared" si="118"/>
        <v>17045.9136</v>
      </c>
      <c r="F1883">
        <f t="shared" si="119"/>
        <v>3844</v>
      </c>
    </row>
    <row r="1884" spans="1:6" x14ac:dyDescent="0.3">
      <c r="A1884">
        <v>30</v>
      </c>
      <c r="B1884">
        <v>67.78</v>
      </c>
      <c r="C1884">
        <f t="shared" si="116"/>
        <v>2033.4</v>
      </c>
      <c r="D1884">
        <f t="shared" si="117"/>
        <v>900</v>
      </c>
      <c r="E1884">
        <f t="shared" si="118"/>
        <v>4594.1284000000005</v>
      </c>
      <c r="F1884">
        <f t="shared" si="119"/>
        <v>900</v>
      </c>
    </row>
    <row r="1885" spans="1:6" x14ac:dyDescent="0.3">
      <c r="A1885">
        <v>44</v>
      </c>
      <c r="B1885">
        <v>105.29</v>
      </c>
      <c r="C1885">
        <f t="shared" si="116"/>
        <v>4632.76</v>
      </c>
      <c r="D1885">
        <f t="shared" si="117"/>
        <v>1936</v>
      </c>
      <c r="E1885">
        <f t="shared" si="118"/>
        <v>11085.984100000001</v>
      </c>
      <c r="F1885">
        <f t="shared" si="119"/>
        <v>1936</v>
      </c>
    </row>
    <row r="1886" spans="1:6" x14ac:dyDescent="0.3">
      <c r="A1886">
        <v>47</v>
      </c>
      <c r="B1886">
        <v>135.19</v>
      </c>
      <c r="C1886">
        <f t="shared" si="116"/>
        <v>6353.93</v>
      </c>
      <c r="D1886">
        <f t="shared" si="117"/>
        <v>2209</v>
      </c>
      <c r="E1886">
        <f t="shared" si="118"/>
        <v>18276.3361</v>
      </c>
      <c r="F1886">
        <f t="shared" si="119"/>
        <v>2209</v>
      </c>
    </row>
    <row r="1887" spans="1:6" x14ac:dyDescent="0.3">
      <c r="A1887">
        <v>25</v>
      </c>
      <c r="B1887">
        <v>116.12</v>
      </c>
      <c r="C1887">
        <f t="shared" si="116"/>
        <v>2903</v>
      </c>
      <c r="D1887">
        <f t="shared" si="117"/>
        <v>625</v>
      </c>
      <c r="E1887">
        <f t="shared" si="118"/>
        <v>13483.8544</v>
      </c>
      <c r="F1887">
        <f t="shared" si="119"/>
        <v>625</v>
      </c>
    </row>
    <row r="1888" spans="1:6" x14ac:dyDescent="0.3">
      <c r="A1888">
        <v>31</v>
      </c>
      <c r="B1888">
        <v>59.63</v>
      </c>
      <c r="C1888">
        <f t="shared" si="116"/>
        <v>1848.53</v>
      </c>
      <c r="D1888">
        <f t="shared" si="117"/>
        <v>961</v>
      </c>
      <c r="E1888">
        <f t="shared" si="118"/>
        <v>3555.7369000000003</v>
      </c>
      <c r="F1888">
        <f t="shared" si="119"/>
        <v>961</v>
      </c>
    </row>
    <row r="1889" spans="1:6" x14ac:dyDescent="0.3">
      <c r="A1889">
        <v>71</v>
      </c>
      <c r="B1889">
        <v>56.43</v>
      </c>
      <c r="C1889">
        <f t="shared" si="116"/>
        <v>4006.53</v>
      </c>
      <c r="D1889">
        <f t="shared" si="117"/>
        <v>5041</v>
      </c>
      <c r="E1889">
        <f t="shared" si="118"/>
        <v>3184.3449000000001</v>
      </c>
      <c r="F1889">
        <f t="shared" si="119"/>
        <v>5041</v>
      </c>
    </row>
    <row r="1890" spans="1:6" x14ac:dyDescent="0.3">
      <c r="A1890">
        <v>32</v>
      </c>
      <c r="B1890">
        <v>199.18</v>
      </c>
      <c r="C1890">
        <f t="shared" si="116"/>
        <v>6373.76</v>
      </c>
      <c r="D1890">
        <f t="shared" si="117"/>
        <v>1024</v>
      </c>
      <c r="E1890">
        <f t="shared" si="118"/>
        <v>39672.672400000003</v>
      </c>
      <c r="F1890">
        <f t="shared" si="119"/>
        <v>1024</v>
      </c>
    </row>
    <row r="1891" spans="1:6" x14ac:dyDescent="0.3">
      <c r="A1891">
        <v>72</v>
      </c>
      <c r="B1891">
        <v>209.26</v>
      </c>
      <c r="C1891">
        <f t="shared" si="116"/>
        <v>15066.72</v>
      </c>
      <c r="D1891">
        <f t="shared" si="117"/>
        <v>5184</v>
      </c>
      <c r="E1891">
        <f t="shared" si="118"/>
        <v>43789.747599999995</v>
      </c>
      <c r="F1891">
        <f t="shared" si="119"/>
        <v>5184</v>
      </c>
    </row>
    <row r="1892" spans="1:6" x14ac:dyDescent="0.3">
      <c r="A1892">
        <v>44</v>
      </c>
      <c r="B1892">
        <v>91.21</v>
      </c>
      <c r="C1892">
        <f t="shared" si="116"/>
        <v>4013.24</v>
      </c>
      <c r="D1892">
        <f t="shared" si="117"/>
        <v>1936</v>
      </c>
      <c r="E1892">
        <f t="shared" si="118"/>
        <v>8319.2640999999985</v>
      </c>
      <c r="F1892">
        <f t="shared" si="119"/>
        <v>1936</v>
      </c>
    </row>
    <row r="1893" spans="1:6" x14ac:dyDescent="0.3">
      <c r="A1893">
        <v>63</v>
      </c>
      <c r="B1893">
        <v>95.16</v>
      </c>
      <c r="C1893">
        <f t="shared" si="116"/>
        <v>5995.08</v>
      </c>
      <c r="D1893">
        <f t="shared" si="117"/>
        <v>3969</v>
      </c>
      <c r="E1893">
        <f t="shared" si="118"/>
        <v>9055.4255999999987</v>
      </c>
      <c r="F1893">
        <f t="shared" si="119"/>
        <v>3969</v>
      </c>
    </row>
    <row r="1894" spans="1:6" x14ac:dyDescent="0.3">
      <c r="A1894">
        <v>37</v>
      </c>
      <c r="B1894">
        <v>217.11</v>
      </c>
      <c r="C1894">
        <f t="shared" si="116"/>
        <v>8033.0700000000006</v>
      </c>
      <c r="D1894">
        <f t="shared" si="117"/>
        <v>1369</v>
      </c>
      <c r="E1894">
        <f t="shared" si="118"/>
        <v>47136.752100000005</v>
      </c>
      <c r="F1894">
        <f t="shared" si="119"/>
        <v>1369</v>
      </c>
    </row>
    <row r="1895" spans="1:6" x14ac:dyDescent="0.3">
      <c r="A1895">
        <v>54</v>
      </c>
      <c r="B1895">
        <v>222.46</v>
      </c>
      <c r="C1895">
        <f t="shared" si="116"/>
        <v>12012.84</v>
      </c>
      <c r="D1895">
        <f t="shared" si="117"/>
        <v>2916</v>
      </c>
      <c r="E1895">
        <f t="shared" si="118"/>
        <v>49488.4516</v>
      </c>
      <c r="F1895">
        <f t="shared" si="119"/>
        <v>2916</v>
      </c>
    </row>
    <row r="1896" spans="1:6" x14ac:dyDescent="0.3">
      <c r="A1896">
        <v>20</v>
      </c>
      <c r="B1896">
        <v>70.959999999999994</v>
      </c>
      <c r="C1896">
        <f t="shared" si="116"/>
        <v>1419.1999999999998</v>
      </c>
      <c r="D1896">
        <f t="shared" si="117"/>
        <v>400</v>
      </c>
      <c r="E1896">
        <f t="shared" si="118"/>
        <v>5035.3215999999993</v>
      </c>
      <c r="F1896">
        <f t="shared" si="119"/>
        <v>400</v>
      </c>
    </row>
    <row r="1897" spans="1:6" x14ac:dyDescent="0.3">
      <c r="A1897">
        <v>56</v>
      </c>
      <c r="B1897">
        <v>82.44</v>
      </c>
      <c r="C1897">
        <f t="shared" si="116"/>
        <v>4616.6399999999994</v>
      </c>
      <c r="D1897">
        <f t="shared" si="117"/>
        <v>3136</v>
      </c>
      <c r="E1897">
        <f t="shared" si="118"/>
        <v>6796.3535999999995</v>
      </c>
      <c r="F1897">
        <f t="shared" si="119"/>
        <v>3136</v>
      </c>
    </row>
    <row r="1898" spans="1:6" x14ac:dyDescent="0.3">
      <c r="A1898">
        <v>25</v>
      </c>
      <c r="B1898">
        <v>74.11</v>
      </c>
      <c r="C1898">
        <f t="shared" si="116"/>
        <v>1852.75</v>
      </c>
      <c r="D1898">
        <f t="shared" si="117"/>
        <v>625</v>
      </c>
      <c r="E1898">
        <f t="shared" si="118"/>
        <v>5492.2920999999997</v>
      </c>
      <c r="F1898">
        <f t="shared" si="119"/>
        <v>625</v>
      </c>
    </row>
    <row r="1899" spans="1:6" x14ac:dyDescent="0.3">
      <c r="A1899">
        <v>19</v>
      </c>
      <c r="B1899">
        <v>131.22999999999999</v>
      </c>
      <c r="C1899">
        <f t="shared" si="116"/>
        <v>2493.37</v>
      </c>
      <c r="D1899">
        <f t="shared" si="117"/>
        <v>361</v>
      </c>
      <c r="E1899">
        <f t="shared" si="118"/>
        <v>17221.312899999997</v>
      </c>
      <c r="F1899">
        <f t="shared" si="119"/>
        <v>361</v>
      </c>
    </row>
    <row r="1900" spans="1:6" x14ac:dyDescent="0.3">
      <c r="A1900">
        <v>62</v>
      </c>
      <c r="B1900">
        <v>187.52</v>
      </c>
      <c r="C1900">
        <f t="shared" si="116"/>
        <v>11626.24</v>
      </c>
      <c r="D1900">
        <f t="shared" si="117"/>
        <v>3844</v>
      </c>
      <c r="E1900">
        <f t="shared" si="118"/>
        <v>35163.750400000004</v>
      </c>
      <c r="F1900">
        <f t="shared" si="119"/>
        <v>3844</v>
      </c>
    </row>
    <row r="1901" spans="1:6" x14ac:dyDescent="0.3">
      <c r="A1901">
        <v>27</v>
      </c>
      <c r="B1901">
        <v>83.26</v>
      </c>
      <c r="C1901">
        <f t="shared" si="116"/>
        <v>2248.02</v>
      </c>
      <c r="D1901">
        <f t="shared" si="117"/>
        <v>729</v>
      </c>
      <c r="E1901">
        <f t="shared" si="118"/>
        <v>6932.2276000000011</v>
      </c>
      <c r="F1901">
        <f t="shared" si="119"/>
        <v>729</v>
      </c>
    </row>
    <row r="1902" spans="1:6" x14ac:dyDescent="0.3">
      <c r="A1902">
        <v>5</v>
      </c>
      <c r="B1902">
        <v>99.07</v>
      </c>
      <c r="C1902">
        <f t="shared" si="116"/>
        <v>495.34999999999997</v>
      </c>
      <c r="D1902">
        <f t="shared" si="117"/>
        <v>25</v>
      </c>
      <c r="E1902">
        <f t="shared" si="118"/>
        <v>9814.8648999999987</v>
      </c>
      <c r="F1902">
        <f t="shared" si="119"/>
        <v>25</v>
      </c>
    </row>
    <row r="1903" spans="1:6" x14ac:dyDescent="0.3">
      <c r="A1903">
        <v>20</v>
      </c>
      <c r="B1903">
        <v>76.63</v>
      </c>
      <c r="C1903">
        <f t="shared" si="116"/>
        <v>1532.6</v>
      </c>
      <c r="D1903">
        <f t="shared" si="117"/>
        <v>400</v>
      </c>
      <c r="E1903">
        <f t="shared" si="118"/>
        <v>5872.156899999999</v>
      </c>
      <c r="F1903">
        <f t="shared" si="119"/>
        <v>400</v>
      </c>
    </row>
    <row r="1904" spans="1:6" x14ac:dyDescent="0.3">
      <c r="A1904">
        <v>21</v>
      </c>
      <c r="B1904">
        <v>65.09</v>
      </c>
      <c r="C1904">
        <f t="shared" si="116"/>
        <v>1366.89</v>
      </c>
      <c r="D1904">
        <f t="shared" si="117"/>
        <v>441</v>
      </c>
      <c r="E1904">
        <f t="shared" si="118"/>
        <v>4236.7081000000007</v>
      </c>
      <c r="F1904">
        <f t="shared" si="119"/>
        <v>441</v>
      </c>
    </row>
    <row r="1905" spans="1:6" x14ac:dyDescent="0.3">
      <c r="A1905">
        <v>44</v>
      </c>
      <c r="B1905">
        <v>142.31</v>
      </c>
      <c r="C1905">
        <f t="shared" si="116"/>
        <v>6261.64</v>
      </c>
      <c r="D1905">
        <f t="shared" si="117"/>
        <v>1936</v>
      </c>
      <c r="E1905">
        <f t="shared" si="118"/>
        <v>20252.1361</v>
      </c>
      <c r="F1905">
        <f t="shared" si="119"/>
        <v>1936</v>
      </c>
    </row>
    <row r="1906" spans="1:6" x14ac:dyDescent="0.3">
      <c r="A1906">
        <v>39</v>
      </c>
      <c r="B1906">
        <v>80.989999999999995</v>
      </c>
      <c r="C1906">
        <f t="shared" si="116"/>
        <v>3158.6099999999997</v>
      </c>
      <c r="D1906">
        <f t="shared" si="117"/>
        <v>1521</v>
      </c>
      <c r="E1906">
        <f t="shared" si="118"/>
        <v>6559.3800999999994</v>
      </c>
      <c r="F1906">
        <f t="shared" si="119"/>
        <v>1521</v>
      </c>
    </row>
    <row r="1907" spans="1:6" x14ac:dyDescent="0.3">
      <c r="A1907">
        <v>38</v>
      </c>
      <c r="B1907">
        <v>237.74</v>
      </c>
      <c r="C1907">
        <f t="shared" si="116"/>
        <v>9034.1200000000008</v>
      </c>
      <c r="D1907">
        <f t="shared" si="117"/>
        <v>1444</v>
      </c>
      <c r="E1907">
        <f t="shared" si="118"/>
        <v>56520.307600000007</v>
      </c>
      <c r="F1907">
        <f t="shared" si="119"/>
        <v>1444</v>
      </c>
    </row>
    <row r="1908" spans="1:6" x14ac:dyDescent="0.3">
      <c r="A1908">
        <v>77</v>
      </c>
      <c r="B1908">
        <v>74.260000000000005</v>
      </c>
      <c r="C1908">
        <f t="shared" si="116"/>
        <v>5718.02</v>
      </c>
      <c r="D1908">
        <f t="shared" si="117"/>
        <v>5929</v>
      </c>
      <c r="E1908">
        <f t="shared" si="118"/>
        <v>5514.5476000000008</v>
      </c>
      <c r="F1908">
        <f t="shared" si="119"/>
        <v>5929</v>
      </c>
    </row>
    <row r="1909" spans="1:6" x14ac:dyDescent="0.3">
      <c r="A1909">
        <v>26</v>
      </c>
      <c r="B1909">
        <v>154.08000000000001</v>
      </c>
      <c r="C1909">
        <f t="shared" si="116"/>
        <v>4006.0800000000004</v>
      </c>
      <c r="D1909">
        <f t="shared" si="117"/>
        <v>676</v>
      </c>
      <c r="E1909">
        <f t="shared" si="118"/>
        <v>23740.646400000005</v>
      </c>
      <c r="F1909">
        <f t="shared" si="119"/>
        <v>676</v>
      </c>
    </row>
    <row r="1910" spans="1:6" x14ac:dyDescent="0.3">
      <c r="A1910">
        <v>51</v>
      </c>
      <c r="B1910">
        <v>78.290000000000006</v>
      </c>
      <c r="C1910">
        <f t="shared" si="116"/>
        <v>3992.7900000000004</v>
      </c>
      <c r="D1910">
        <f t="shared" si="117"/>
        <v>2601</v>
      </c>
      <c r="E1910">
        <f t="shared" si="118"/>
        <v>6129.3241000000007</v>
      </c>
      <c r="F1910">
        <f t="shared" si="119"/>
        <v>2601</v>
      </c>
    </row>
    <row r="1911" spans="1:6" x14ac:dyDescent="0.3">
      <c r="A1911">
        <v>39</v>
      </c>
      <c r="B1911">
        <v>164.67</v>
      </c>
      <c r="C1911">
        <f t="shared" si="116"/>
        <v>6422.1299999999992</v>
      </c>
      <c r="D1911">
        <f t="shared" si="117"/>
        <v>1521</v>
      </c>
      <c r="E1911">
        <f t="shared" si="118"/>
        <v>27116.208899999994</v>
      </c>
      <c r="F1911">
        <f t="shared" si="119"/>
        <v>1521</v>
      </c>
    </row>
    <row r="1912" spans="1:6" x14ac:dyDescent="0.3">
      <c r="A1912">
        <v>5</v>
      </c>
      <c r="B1912">
        <v>59.61</v>
      </c>
      <c r="C1912">
        <f t="shared" si="116"/>
        <v>298.05</v>
      </c>
      <c r="D1912">
        <f t="shared" si="117"/>
        <v>25</v>
      </c>
      <c r="E1912">
        <f t="shared" si="118"/>
        <v>3553.3521000000001</v>
      </c>
      <c r="F1912">
        <f t="shared" si="119"/>
        <v>25</v>
      </c>
    </row>
    <row r="1913" spans="1:6" x14ac:dyDescent="0.3">
      <c r="A1913">
        <v>59</v>
      </c>
      <c r="B1913">
        <v>67.75</v>
      </c>
      <c r="C1913">
        <f t="shared" si="116"/>
        <v>3997.25</v>
      </c>
      <c r="D1913">
        <f t="shared" si="117"/>
        <v>3481</v>
      </c>
      <c r="E1913">
        <f t="shared" si="118"/>
        <v>4590.0625</v>
      </c>
      <c r="F1913">
        <f t="shared" si="119"/>
        <v>3481</v>
      </c>
    </row>
    <row r="1914" spans="1:6" x14ac:dyDescent="0.3">
      <c r="A1914">
        <v>67</v>
      </c>
      <c r="B1914">
        <v>92.73</v>
      </c>
      <c r="C1914">
        <f t="shared" si="116"/>
        <v>6212.91</v>
      </c>
      <c r="D1914">
        <f t="shared" si="117"/>
        <v>4489</v>
      </c>
      <c r="E1914">
        <f t="shared" si="118"/>
        <v>8598.8528999999999</v>
      </c>
      <c r="F1914">
        <f t="shared" si="119"/>
        <v>4489</v>
      </c>
    </row>
    <row r="1915" spans="1:6" x14ac:dyDescent="0.3">
      <c r="A1915">
        <v>45</v>
      </c>
      <c r="B1915">
        <v>90.35</v>
      </c>
      <c r="C1915">
        <f t="shared" si="116"/>
        <v>4065.7499999999995</v>
      </c>
      <c r="D1915">
        <f t="shared" si="117"/>
        <v>2025</v>
      </c>
      <c r="E1915">
        <f t="shared" si="118"/>
        <v>8163.1224999999986</v>
      </c>
      <c r="F1915">
        <f t="shared" si="119"/>
        <v>2025</v>
      </c>
    </row>
    <row r="1916" spans="1:6" x14ac:dyDescent="0.3">
      <c r="A1916">
        <v>43</v>
      </c>
      <c r="B1916">
        <v>77.86</v>
      </c>
      <c r="C1916">
        <f t="shared" si="116"/>
        <v>3347.98</v>
      </c>
      <c r="D1916">
        <f t="shared" si="117"/>
        <v>1849</v>
      </c>
      <c r="E1916">
        <f t="shared" si="118"/>
        <v>6062.1795999999995</v>
      </c>
      <c r="F1916">
        <f t="shared" si="119"/>
        <v>1849</v>
      </c>
    </row>
    <row r="1917" spans="1:6" x14ac:dyDescent="0.3">
      <c r="A1917">
        <v>80</v>
      </c>
      <c r="B1917">
        <v>71.88</v>
      </c>
      <c r="C1917">
        <f t="shared" si="116"/>
        <v>5750.4</v>
      </c>
      <c r="D1917">
        <f t="shared" si="117"/>
        <v>6400</v>
      </c>
      <c r="E1917">
        <f t="shared" si="118"/>
        <v>5166.7343999999994</v>
      </c>
      <c r="F1917">
        <f t="shared" si="119"/>
        <v>6400</v>
      </c>
    </row>
    <row r="1918" spans="1:6" x14ac:dyDescent="0.3">
      <c r="A1918">
        <v>42</v>
      </c>
      <c r="B1918">
        <v>118.82</v>
      </c>
      <c r="C1918">
        <f t="shared" si="116"/>
        <v>4990.4399999999996</v>
      </c>
      <c r="D1918">
        <f t="shared" si="117"/>
        <v>1764</v>
      </c>
      <c r="E1918">
        <f t="shared" si="118"/>
        <v>14118.192399999998</v>
      </c>
      <c r="F1918">
        <f t="shared" si="119"/>
        <v>1764</v>
      </c>
    </row>
    <row r="1919" spans="1:6" x14ac:dyDescent="0.3">
      <c r="A1919">
        <v>8</v>
      </c>
      <c r="B1919">
        <v>67.33</v>
      </c>
      <c r="C1919">
        <f t="shared" si="116"/>
        <v>538.64</v>
      </c>
      <c r="D1919">
        <f t="shared" si="117"/>
        <v>64</v>
      </c>
      <c r="E1919">
        <f t="shared" si="118"/>
        <v>4533.3288999999995</v>
      </c>
      <c r="F1919">
        <f t="shared" si="119"/>
        <v>64</v>
      </c>
    </row>
    <row r="1920" spans="1:6" x14ac:dyDescent="0.3">
      <c r="A1920">
        <v>68</v>
      </c>
      <c r="B1920">
        <v>121.66</v>
      </c>
      <c r="C1920">
        <f t="shared" si="116"/>
        <v>8272.8799999999992</v>
      </c>
      <c r="D1920">
        <f t="shared" si="117"/>
        <v>4624</v>
      </c>
      <c r="E1920">
        <f t="shared" si="118"/>
        <v>14801.1556</v>
      </c>
      <c r="F1920">
        <f t="shared" si="119"/>
        <v>4624</v>
      </c>
    </row>
    <row r="1921" spans="1:6" x14ac:dyDescent="0.3">
      <c r="A1921">
        <v>5</v>
      </c>
      <c r="B1921">
        <v>111.92</v>
      </c>
      <c r="C1921">
        <f t="shared" si="116"/>
        <v>559.6</v>
      </c>
      <c r="D1921">
        <f t="shared" si="117"/>
        <v>25</v>
      </c>
      <c r="E1921">
        <f t="shared" si="118"/>
        <v>12526.0864</v>
      </c>
      <c r="F1921">
        <f t="shared" si="119"/>
        <v>25</v>
      </c>
    </row>
    <row r="1922" spans="1:6" x14ac:dyDescent="0.3">
      <c r="A1922">
        <v>57</v>
      </c>
      <c r="B1922">
        <v>92.82</v>
      </c>
      <c r="C1922">
        <f t="shared" si="116"/>
        <v>5290.74</v>
      </c>
      <c r="D1922">
        <f t="shared" si="117"/>
        <v>3249</v>
      </c>
      <c r="E1922">
        <f t="shared" si="118"/>
        <v>8615.5523999999987</v>
      </c>
      <c r="F1922">
        <f t="shared" si="119"/>
        <v>3249</v>
      </c>
    </row>
    <row r="1923" spans="1:6" x14ac:dyDescent="0.3">
      <c r="A1923">
        <v>44</v>
      </c>
      <c r="B1923">
        <v>95.46</v>
      </c>
      <c r="C1923">
        <f t="shared" ref="C1923:C1986" si="120">A1923*B1923</f>
        <v>4200.24</v>
      </c>
      <c r="D1923">
        <f t="shared" ref="D1923:D1986" si="121">A1923*A1923</f>
        <v>1936</v>
      </c>
      <c r="E1923">
        <f t="shared" ref="E1923:E1986" si="122">B1923*B1923</f>
        <v>9112.6115999999984</v>
      </c>
      <c r="F1923">
        <f t="shared" ref="F1923:F1986" si="123">A1923^2</f>
        <v>1936</v>
      </c>
    </row>
    <row r="1924" spans="1:6" x14ac:dyDescent="0.3">
      <c r="A1924">
        <v>16</v>
      </c>
      <c r="B1924">
        <v>59.99</v>
      </c>
      <c r="C1924">
        <f t="shared" si="120"/>
        <v>959.84</v>
      </c>
      <c r="D1924">
        <f t="shared" si="121"/>
        <v>256</v>
      </c>
      <c r="E1924">
        <f t="shared" si="122"/>
        <v>3598.8001000000004</v>
      </c>
      <c r="F1924">
        <f t="shared" si="123"/>
        <v>256</v>
      </c>
    </row>
    <row r="1925" spans="1:6" x14ac:dyDescent="0.3">
      <c r="A1925">
        <v>60</v>
      </c>
      <c r="B1925">
        <v>68.959999999999994</v>
      </c>
      <c r="C1925">
        <f t="shared" si="120"/>
        <v>4137.5999999999995</v>
      </c>
      <c r="D1925">
        <f t="shared" si="121"/>
        <v>3600</v>
      </c>
      <c r="E1925">
        <f t="shared" si="122"/>
        <v>4755.4815999999992</v>
      </c>
      <c r="F1925">
        <f t="shared" si="123"/>
        <v>3600</v>
      </c>
    </row>
    <row r="1926" spans="1:6" x14ac:dyDescent="0.3">
      <c r="A1926">
        <v>58</v>
      </c>
      <c r="B1926">
        <v>90.26</v>
      </c>
      <c r="C1926">
        <f t="shared" si="120"/>
        <v>5235.08</v>
      </c>
      <c r="D1926">
        <f t="shared" si="121"/>
        <v>3364</v>
      </c>
      <c r="E1926">
        <f t="shared" si="122"/>
        <v>8146.8676000000005</v>
      </c>
      <c r="F1926">
        <f t="shared" si="123"/>
        <v>3364</v>
      </c>
    </row>
    <row r="1927" spans="1:6" x14ac:dyDescent="0.3">
      <c r="A1927">
        <v>43</v>
      </c>
      <c r="B1927">
        <v>91.9</v>
      </c>
      <c r="C1927">
        <f t="shared" si="120"/>
        <v>3951.7000000000003</v>
      </c>
      <c r="D1927">
        <f t="shared" si="121"/>
        <v>1849</v>
      </c>
      <c r="E1927">
        <f t="shared" si="122"/>
        <v>8445.61</v>
      </c>
      <c r="F1927">
        <f t="shared" si="123"/>
        <v>1849</v>
      </c>
    </row>
    <row r="1928" spans="1:6" x14ac:dyDescent="0.3">
      <c r="A1928">
        <v>50</v>
      </c>
      <c r="B1928">
        <v>91.08</v>
      </c>
      <c r="C1928">
        <f t="shared" si="120"/>
        <v>4554</v>
      </c>
      <c r="D1928">
        <f t="shared" si="121"/>
        <v>2500</v>
      </c>
      <c r="E1928">
        <f t="shared" si="122"/>
        <v>8295.5663999999997</v>
      </c>
      <c r="F1928">
        <f t="shared" si="123"/>
        <v>2500</v>
      </c>
    </row>
    <row r="1929" spans="1:6" x14ac:dyDescent="0.3">
      <c r="A1929">
        <v>1.48</v>
      </c>
      <c r="B1929">
        <v>118.55</v>
      </c>
      <c r="C1929">
        <f t="shared" si="120"/>
        <v>175.45400000000001</v>
      </c>
      <c r="D1929">
        <f t="shared" si="121"/>
        <v>2.1903999999999999</v>
      </c>
      <c r="E1929">
        <f t="shared" si="122"/>
        <v>14054.102499999999</v>
      </c>
      <c r="F1929">
        <f t="shared" si="123"/>
        <v>2.1903999999999999</v>
      </c>
    </row>
    <row r="1930" spans="1:6" x14ac:dyDescent="0.3">
      <c r="A1930">
        <v>5</v>
      </c>
      <c r="B1930">
        <v>102.04</v>
      </c>
      <c r="C1930">
        <f t="shared" si="120"/>
        <v>510.20000000000005</v>
      </c>
      <c r="D1930">
        <f t="shared" si="121"/>
        <v>25</v>
      </c>
      <c r="E1930">
        <f t="shared" si="122"/>
        <v>10412.161600000001</v>
      </c>
      <c r="F1930">
        <f t="shared" si="123"/>
        <v>25</v>
      </c>
    </row>
    <row r="1931" spans="1:6" x14ac:dyDescent="0.3">
      <c r="A1931">
        <v>9</v>
      </c>
      <c r="B1931">
        <v>65.52</v>
      </c>
      <c r="C1931">
        <f t="shared" si="120"/>
        <v>589.67999999999995</v>
      </c>
      <c r="D1931">
        <f t="shared" si="121"/>
        <v>81</v>
      </c>
      <c r="E1931">
        <f t="shared" si="122"/>
        <v>4292.8703999999998</v>
      </c>
      <c r="F1931">
        <f t="shared" si="123"/>
        <v>81</v>
      </c>
    </row>
    <row r="1932" spans="1:6" x14ac:dyDescent="0.3">
      <c r="A1932">
        <v>67</v>
      </c>
      <c r="B1932">
        <v>82.09</v>
      </c>
      <c r="C1932">
        <f t="shared" si="120"/>
        <v>5500.0300000000007</v>
      </c>
      <c r="D1932">
        <f t="shared" si="121"/>
        <v>4489</v>
      </c>
      <c r="E1932">
        <f t="shared" si="122"/>
        <v>6738.7681000000002</v>
      </c>
      <c r="F1932">
        <f t="shared" si="123"/>
        <v>4489</v>
      </c>
    </row>
    <row r="1933" spans="1:6" x14ac:dyDescent="0.3">
      <c r="A1933">
        <v>21</v>
      </c>
      <c r="B1933">
        <v>149.9</v>
      </c>
      <c r="C1933">
        <f t="shared" si="120"/>
        <v>3147.9</v>
      </c>
      <c r="D1933">
        <f t="shared" si="121"/>
        <v>441</v>
      </c>
      <c r="E1933">
        <f t="shared" si="122"/>
        <v>22470.010000000002</v>
      </c>
      <c r="F1933">
        <f t="shared" si="123"/>
        <v>441</v>
      </c>
    </row>
    <row r="1934" spans="1:6" x14ac:dyDescent="0.3">
      <c r="A1934">
        <v>36</v>
      </c>
      <c r="B1934">
        <v>100.33</v>
      </c>
      <c r="C1934">
        <f t="shared" si="120"/>
        <v>3611.88</v>
      </c>
      <c r="D1934">
        <f t="shared" si="121"/>
        <v>1296</v>
      </c>
      <c r="E1934">
        <f t="shared" si="122"/>
        <v>10066.108899999999</v>
      </c>
      <c r="F1934">
        <f t="shared" si="123"/>
        <v>1296</v>
      </c>
    </row>
    <row r="1935" spans="1:6" x14ac:dyDescent="0.3">
      <c r="A1935">
        <v>70</v>
      </c>
      <c r="B1935">
        <v>91.25</v>
      </c>
      <c r="C1935">
        <f t="shared" si="120"/>
        <v>6387.5</v>
      </c>
      <c r="D1935">
        <f t="shared" si="121"/>
        <v>4900</v>
      </c>
      <c r="E1935">
        <f t="shared" si="122"/>
        <v>8326.5625</v>
      </c>
      <c r="F1935">
        <f t="shared" si="123"/>
        <v>4900</v>
      </c>
    </row>
    <row r="1936" spans="1:6" x14ac:dyDescent="0.3">
      <c r="A1936">
        <v>57</v>
      </c>
      <c r="B1936">
        <v>89.81</v>
      </c>
      <c r="C1936">
        <f t="shared" si="120"/>
        <v>5119.17</v>
      </c>
      <c r="D1936">
        <f t="shared" si="121"/>
        <v>3249</v>
      </c>
      <c r="E1936">
        <f t="shared" si="122"/>
        <v>8065.8361000000004</v>
      </c>
      <c r="F1936">
        <f t="shared" si="123"/>
        <v>3249</v>
      </c>
    </row>
    <row r="1937" spans="1:6" x14ac:dyDescent="0.3">
      <c r="A1937">
        <v>52</v>
      </c>
      <c r="B1937">
        <v>97.32</v>
      </c>
      <c r="C1937">
        <f t="shared" si="120"/>
        <v>5060.6399999999994</v>
      </c>
      <c r="D1937">
        <f t="shared" si="121"/>
        <v>2704</v>
      </c>
      <c r="E1937">
        <f t="shared" si="122"/>
        <v>9471.1823999999979</v>
      </c>
      <c r="F1937">
        <f t="shared" si="123"/>
        <v>2704</v>
      </c>
    </row>
    <row r="1938" spans="1:6" x14ac:dyDescent="0.3">
      <c r="A1938">
        <v>28</v>
      </c>
      <c r="B1938">
        <v>75.53</v>
      </c>
      <c r="C1938">
        <f t="shared" si="120"/>
        <v>2114.84</v>
      </c>
      <c r="D1938">
        <f t="shared" si="121"/>
        <v>784</v>
      </c>
      <c r="E1938">
        <f t="shared" si="122"/>
        <v>5704.7808999999997</v>
      </c>
      <c r="F1938">
        <f t="shared" si="123"/>
        <v>784</v>
      </c>
    </row>
    <row r="1939" spans="1:6" x14ac:dyDescent="0.3">
      <c r="A1939">
        <v>41</v>
      </c>
      <c r="B1939">
        <v>121.44</v>
      </c>
      <c r="C1939">
        <f t="shared" si="120"/>
        <v>4979.04</v>
      </c>
      <c r="D1939">
        <f t="shared" si="121"/>
        <v>1681</v>
      </c>
      <c r="E1939">
        <f t="shared" si="122"/>
        <v>14747.6736</v>
      </c>
      <c r="F1939">
        <f t="shared" si="123"/>
        <v>1681</v>
      </c>
    </row>
    <row r="1940" spans="1:6" x14ac:dyDescent="0.3">
      <c r="A1940">
        <v>81</v>
      </c>
      <c r="B1940">
        <v>83.52</v>
      </c>
      <c r="C1940">
        <f t="shared" si="120"/>
        <v>6765.12</v>
      </c>
      <c r="D1940">
        <f t="shared" si="121"/>
        <v>6561</v>
      </c>
      <c r="E1940">
        <f t="shared" si="122"/>
        <v>6975.5903999999991</v>
      </c>
      <c r="F1940">
        <f t="shared" si="123"/>
        <v>6561</v>
      </c>
    </row>
    <row r="1941" spans="1:6" x14ac:dyDescent="0.3">
      <c r="A1941">
        <v>33</v>
      </c>
      <c r="B1941">
        <v>57.92</v>
      </c>
      <c r="C1941">
        <f t="shared" si="120"/>
        <v>1911.3600000000001</v>
      </c>
      <c r="D1941">
        <f t="shared" si="121"/>
        <v>1089</v>
      </c>
      <c r="E1941">
        <f t="shared" si="122"/>
        <v>3354.7264</v>
      </c>
      <c r="F1941">
        <f t="shared" si="123"/>
        <v>1089</v>
      </c>
    </row>
    <row r="1942" spans="1:6" x14ac:dyDescent="0.3">
      <c r="A1942">
        <v>31</v>
      </c>
      <c r="B1942">
        <v>75.27</v>
      </c>
      <c r="C1942">
        <f t="shared" si="120"/>
        <v>2333.37</v>
      </c>
      <c r="D1942">
        <f t="shared" si="121"/>
        <v>961</v>
      </c>
      <c r="E1942">
        <f t="shared" si="122"/>
        <v>5665.5728999999992</v>
      </c>
      <c r="F1942">
        <f t="shared" si="123"/>
        <v>961</v>
      </c>
    </row>
    <row r="1943" spans="1:6" x14ac:dyDescent="0.3">
      <c r="A1943">
        <v>42</v>
      </c>
      <c r="B1943">
        <v>80.239999999999995</v>
      </c>
      <c r="C1943">
        <f t="shared" si="120"/>
        <v>3370.08</v>
      </c>
      <c r="D1943">
        <f t="shared" si="121"/>
        <v>1764</v>
      </c>
      <c r="E1943">
        <f t="shared" si="122"/>
        <v>6438.4575999999988</v>
      </c>
      <c r="F1943">
        <f t="shared" si="123"/>
        <v>1764</v>
      </c>
    </row>
    <row r="1944" spans="1:6" x14ac:dyDescent="0.3">
      <c r="A1944">
        <v>10</v>
      </c>
      <c r="B1944">
        <v>88.69</v>
      </c>
      <c r="C1944">
        <f t="shared" si="120"/>
        <v>886.9</v>
      </c>
      <c r="D1944">
        <f t="shared" si="121"/>
        <v>100</v>
      </c>
      <c r="E1944">
        <f t="shared" si="122"/>
        <v>7865.9160999999995</v>
      </c>
      <c r="F1944">
        <f t="shared" si="123"/>
        <v>100</v>
      </c>
    </row>
    <row r="1945" spans="1:6" x14ac:dyDescent="0.3">
      <c r="A1945">
        <v>34</v>
      </c>
      <c r="B1945">
        <v>69.09</v>
      </c>
      <c r="C1945">
        <f t="shared" si="120"/>
        <v>2349.06</v>
      </c>
      <c r="D1945">
        <f t="shared" si="121"/>
        <v>1156</v>
      </c>
      <c r="E1945">
        <f t="shared" si="122"/>
        <v>4773.4281000000001</v>
      </c>
      <c r="F1945">
        <f t="shared" si="123"/>
        <v>1156</v>
      </c>
    </row>
    <row r="1946" spans="1:6" x14ac:dyDescent="0.3">
      <c r="A1946">
        <v>70</v>
      </c>
      <c r="B1946">
        <v>62.67</v>
      </c>
      <c r="C1946">
        <f t="shared" si="120"/>
        <v>4386.9000000000005</v>
      </c>
      <c r="D1946">
        <f t="shared" si="121"/>
        <v>4900</v>
      </c>
      <c r="E1946">
        <f t="shared" si="122"/>
        <v>3927.5289000000002</v>
      </c>
      <c r="F1946">
        <f t="shared" si="123"/>
        <v>4900</v>
      </c>
    </row>
    <row r="1947" spans="1:6" x14ac:dyDescent="0.3">
      <c r="A1947">
        <v>33</v>
      </c>
      <c r="B1947">
        <v>98.74</v>
      </c>
      <c r="C1947">
        <f t="shared" si="120"/>
        <v>3258.4199999999996</v>
      </c>
      <c r="D1947">
        <f t="shared" si="121"/>
        <v>1089</v>
      </c>
      <c r="E1947">
        <f t="shared" si="122"/>
        <v>9749.5875999999989</v>
      </c>
      <c r="F1947">
        <f t="shared" si="123"/>
        <v>1089</v>
      </c>
    </row>
    <row r="1948" spans="1:6" x14ac:dyDescent="0.3">
      <c r="A1948">
        <v>58</v>
      </c>
      <c r="B1948">
        <v>56.51</v>
      </c>
      <c r="C1948">
        <f t="shared" si="120"/>
        <v>3277.58</v>
      </c>
      <c r="D1948">
        <f t="shared" si="121"/>
        <v>3364</v>
      </c>
      <c r="E1948">
        <f t="shared" si="122"/>
        <v>3193.3800999999999</v>
      </c>
      <c r="F1948">
        <f t="shared" si="123"/>
        <v>3364</v>
      </c>
    </row>
    <row r="1949" spans="1:6" x14ac:dyDescent="0.3">
      <c r="A1949">
        <v>25</v>
      </c>
      <c r="B1949">
        <v>65.95</v>
      </c>
      <c r="C1949">
        <f t="shared" si="120"/>
        <v>1648.75</v>
      </c>
      <c r="D1949">
        <f t="shared" si="121"/>
        <v>625</v>
      </c>
      <c r="E1949">
        <f t="shared" si="122"/>
        <v>4349.4025000000001</v>
      </c>
      <c r="F1949">
        <f t="shared" si="123"/>
        <v>625</v>
      </c>
    </row>
    <row r="1950" spans="1:6" x14ac:dyDescent="0.3">
      <c r="A1950">
        <v>1.4</v>
      </c>
      <c r="B1950">
        <v>129.07</v>
      </c>
      <c r="C1950">
        <f t="shared" si="120"/>
        <v>180.69799999999998</v>
      </c>
      <c r="D1950">
        <f t="shared" si="121"/>
        <v>1.9599999999999997</v>
      </c>
      <c r="E1950">
        <f t="shared" si="122"/>
        <v>16659.064899999998</v>
      </c>
      <c r="F1950">
        <f t="shared" si="123"/>
        <v>1.9599999999999997</v>
      </c>
    </row>
    <row r="1951" spans="1:6" x14ac:dyDescent="0.3">
      <c r="A1951">
        <v>47</v>
      </c>
      <c r="B1951">
        <v>62.47</v>
      </c>
      <c r="C1951">
        <f t="shared" si="120"/>
        <v>2936.09</v>
      </c>
      <c r="D1951">
        <f t="shared" si="121"/>
        <v>2209</v>
      </c>
      <c r="E1951">
        <f t="shared" si="122"/>
        <v>3902.5009</v>
      </c>
      <c r="F1951">
        <f t="shared" si="123"/>
        <v>2209</v>
      </c>
    </row>
    <row r="1952" spans="1:6" x14ac:dyDescent="0.3">
      <c r="A1952">
        <v>14</v>
      </c>
      <c r="B1952">
        <v>69.819999999999993</v>
      </c>
      <c r="C1952">
        <f t="shared" si="120"/>
        <v>977.4799999999999</v>
      </c>
      <c r="D1952">
        <f t="shared" si="121"/>
        <v>196</v>
      </c>
      <c r="E1952">
        <f t="shared" si="122"/>
        <v>4874.8323999999993</v>
      </c>
      <c r="F1952">
        <f t="shared" si="123"/>
        <v>196</v>
      </c>
    </row>
    <row r="1953" spans="1:6" x14ac:dyDescent="0.3">
      <c r="A1953">
        <v>82</v>
      </c>
      <c r="B1953">
        <v>99.68</v>
      </c>
      <c r="C1953">
        <f t="shared" si="120"/>
        <v>8173.76</v>
      </c>
      <c r="D1953">
        <f t="shared" si="121"/>
        <v>6724</v>
      </c>
      <c r="E1953">
        <f t="shared" si="122"/>
        <v>9936.1024000000016</v>
      </c>
      <c r="F1953">
        <f t="shared" si="123"/>
        <v>6724</v>
      </c>
    </row>
    <row r="1954" spans="1:6" x14ac:dyDescent="0.3">
      <c r="A1954">
        <v>52</v>
      </c>
      <c r="B1954">
        <v>223.35</v>
      </c>
      <c r="C1954">
        <f t="shared" si="120"/>
        <v>11614.199999999999</v>
      </c>
      <c r="D1954">
        <f t="shared" si="121"/>
        <v>2704</v>
      </c>
      <c r="E1954">
        <f t="shared" si="122"/>
        <v>49885.222499999996</v>
      </c>
      <c r="F1954">
        <f t="shared" si="123"/>
        <v>2704</v>
      </c>
    </row>
    <row r="1955" spans="1:6" x14ac:dyDescent="0.3">
      <c r="A1955">
        <v>72</v>
      </c>
      <c r="B1955">
        <v>74.36</v>
      </c>
      <c r="C1955">
        <f t="shared" si="120"/>
        <v>5353.92</v>
      </c>
      <c r="D1955">
        <f t="shared" si="121"/>
        <v>5184</v>
      </c>
      <c r="E1955">
        <f t="shared" si="122"/>
        <v>5529.4096</v>
      </c>
      <c r="F1955">
        <f t="shared" si="123"/>
        <v>5184</v>
      </c>
    </row>
    <row r="1956" spans="1:6" x14ac:dyDescent="0.3">
      <c r="A1956">
        <v>52</v>
      </c>
      <c r="B1956">
        <v>102.97</v>
      </c>
      <c r="C1956">
        <f t="shared" si="120"/>
        <v>5354.44</v>
      </c>
      <c r="D1956">
        <f t="shared" si="121"/>
        <v>2704</v>
      </c>
      <c r="E1956">
        <f t="shared" si="122"/>
        <v>10602.820900000001</v>
      </c>
      <c r="F1956">
        <f t="shared" si="123"/>
        <v>2704</v>
      </c>
    </row>
    <row r="1957" spans="1:6" x14ac:dyDescent="0.3">
      <c r="A1957">
        <v>61</v>
      </c>
      <c r="B1957">
        <v>153.38</v>
      </c>
      <c r="C1957">
        <f t="shared" si="120"/>
        <v>9356.18</v>
      </c>
      <c r="D1957">
        <f t="shared" si="121"/>
        <v>3721</v>
      </c>
      <c r="E1957">
        <f t="shared" si="122"/>
        <v>23525.4244</v>
      </c>
      <c r="F1957">
        <f t="shared" si="123"/>
        <v>3721</v>
      </c>
    </row>
    <row r="1958" spans="1:6" x14ac:dyDescent="0.3">
      <c r="A1958">
        <v>15</v>
      </c>
      <c r="B1958">
        <v>87.1</v>
      </c>
      <c r="C1958">
        <f t="shared" si="120"/>
        <v>1306.5</v>
      </c>
      <c r="D1958">
        <f t="shared" si="121"/>
        <v>225</v>
      </c>
      <c r="E1958">
        <f t="shared" si="122"/>
        <v>7586.4099999999989</v>
      </c>
      <c r="F1958">
        <f t="shared" si="123"/>
        <v>225</v>
      </c>
    </row>
    <row r="1959" spans="1:6" x14ac:dyDescent="0.3">
      <c r="A1959">
        <v>1.56</v>
      </c>
      <c r="B1959">
        <v>113.4</v>
      </c>
      <c r="C1959">
        <f t="shared" si="120"/>
        <v>176.90400000000002</v>
      </c>
      <c r="D1959">
        <f t="shared" si="121"/>
        <v>2.4336000000000002</v>
      </c>
      <c r="E1959">
        <f t="shared" si="122"/>
        <v>12859.560000000001</v>
      </c>
      <c r="F1959">
        <f t="shared" si="123"/>
        <v>2.4336000000000002</v>
      </c>
    </row>
    <row r="1960" spans="1:6" x14ac:dyDescent="0.3">
      <c r="A1960">
        <v>6</v>
      </c>
      <c r="B1960">
        <v>94.88</v>
      </c>
      <c r="C1960">
        <f t="shared" si="120"/>
        <v>569.28</v>
      </c>
      <c r="D1960">
        <f t="shared" si="121"/>
        <v>36</v>
      </c>
      <c r="E1960">
        <f t="shared" si="122"/>
        <v>9002.2143999999989</v>
      </c>
      <c r="F1960">
        <f t="shared" si="123"/>
        <v>36</v>
      </c>
    </row>
    <row r="1961" spans="1:6" x14ac:dyDescent="0.3">
      <c r="A1961">
        <v>3</v>
      </c>
      <c r="B1961">
        <v>82.73</v>
      </c>
      <c r="C1961">
        <f t="shared" si="120"/>
        <v>248.19</v>
      </c>
      <c r="D1961">
        <f t="shared" si="121"/>
        <v>9</v>
      </c>
      <c r="E1961">
        <f t="shared" si="122"/>
        <v>6844.2529000000004</v>
      </c>
      <c r="F1961">
        <f t="shared" si="123"/>
        <v>9</v>
      </c>
    </row>
    <row r="1962" spans="1:6" x14ac:dyDescent="0.3">
      <c r="A1962">
        <v>18</v>
      </c>
      <c r="B1962">
        <v>67.8</v>
      </c>
      <c r="C1962">
        <f t="shared" si="120"/>
        <v>1220.3999999999999</v>
      </c>
      <c r="D1962">
        <f t="shared" si="121"/>
        <v>324</v>
      </c>
      <c r="E1962">
        <f t="shared" si="122"/>
        <v>4596.8399999999992</v>
      </c>
      <c r="F1962">
        <f t="shared" si="123"/>
        <v>324</v>
      </c>
    </row>
    <row r="1963" spans="1:6" x14ac:dyDescent="0.3">
      <c r="A1963">
        <v>53</v>
      </c>
      <c r="B1963">
        <v>84.85</v>
      </c>
      <c r="C1963">
        <f t="shared" si="120"/>
        <v>4497.0499999999993</v>
      </c>
      <c r="D1963">
        <f t="shared" si="121"/>
        <v>2809</v>
      </c>
      <c r="E1963">
        <f t="shared" si="122"/>
        <v>7199.5224999999991</v>
      </c>
      <c r="F1963">
        <f t="shared" si="123"/>
        <v>2809</v>
      </c>
    </row>
    <row r="1964" spans="1:6" x14ac:dyDescent="0.3">
      <c r="A1964">
        <v>58</v>
      </c>
      <c r="B1964">
        <v>135.88999999999999</v>
      </c>
      <c r="C1964">
        <f t="shared" si="120"/>
        <v>7881.619999999999</v>
      </c>
      <c r="D1964">
        <f t="shared" si="121"/>
        <v>3364</v>
      </c>
      <c r="E1964">
        <f t="shared" si="122"/>
        <v>18466.092099999998</v>
      </c>
      <c r="F1964">
        <f t="shared" si="123"/>
        <v>3364</v>
      </c>
    </row>
    <row r="1965" spans="1:6" x14ac:dyDescent="0.3">
      <c r="A1965">
        <v>31</v>
      </c>
      <c r="B1965">
        <v>106.13</v>
      </c>
      <c r="C1965">
        <f t="shared" si="120"/>
        <v>3290.0299999999997</v>
      </c>
      <c r="D1965">
        <f t="shared" si="121"/>
        <v>961</v>
      </c>
      <c r="E1965">
        <f t="shared" si="122"/>
        <v>11263.576899999998</v>
      </c>
      <c r="F1965">
        <f t="shared" si="123"/>
        <v>961</v>
      </c>
    </row>
    <row r="1966" spans="1:6" x14ac:dyDescent="0.3">
      <c r="A1966">
        <v>29</v>
      </c>
      <c r="B1966">
        <v>74.33</v>
      </c>
      <c r="C1966">
        <f t="shared" si="120"/>
        <v>2155.5700000000002</v>
      </c>
      <c r="D1966">
        <f t="shared" si="121"/>
        <v>841</v>
      </c>
      <c r="E1966">
        <f t="shared" si="122"/>
        <v>5524.9488999999994</v>
      </c>
      <c r="F1966">
        <f t="shared" si="123"/>
        <v>841</v>
      </c>
    </row>
    <row r="1967" spans="1:6" x14ac:dyDescent="0.3">
      <c r="A1967">
        <v>5</v>
      </c>
      <c r="B1967">
        <v>109.4</v>
      </c>
      <c r="C1967">
        <f t="shared" si="120"/>
        <v>547</v>
      </c>
      <c r="D1967">
        <f t="shared" si="121"/>
        <v>25</v>
      </c>
      <c r="E1967">
        <f t="shared" si="122"/>
        <v>11968.36</v>
      </c>
      <c r="F1967">
        <f t="shared" si="123"/>
        <v>25</v>
      </c>
    </row>
    <row r="1968" spans="1:6" x14ac:dyDescent="0.3">
      <c r="A1968">
        <v>40</v>
      </c>
      <c r="B1968">
        <v>75.400000000000006</v>
      </c>
      <c r="C1968">
        <f t="shared" si="120"/>
        <v>3016</v>
      </c>
      <c r="D1968">
        <f t="shared" si="121"/>
        <v>1600</v>
      </c>
      <c r="E1968">
        <f t="shared" si="122"/>
        <v>5685.1600000000008</v>
      </c>
      <c r="F1968">
        <f t="shared" si="123"/>
        <v>1600</v>
      </c>
    </row>
    <row r="1969" spans="1:6" x14ac:dyDescent="0.3">
      <c r="A1969">
        <v>75</v>
      </c>
      <c r="B1969">
        <v>87.69</v>
      </c>
      <c r="C1969">
        <f t="shared" si="120"/>
        <v>6576.75</v>
      </c>
      <c r="D1969">
        <f t="shared" si="121"/>
        <v>5625</v>
      </c>
      <c r="E1969">
        <f t="shared" si="122"/>
        <v>7689.5360999999994</v>
      </c>
      <c r="F1969">
        <f t="shared" si="123"/>
        <v>5625</v>
      </c>
    </row>
    <row r="1970" spans="1:6" x14ac:dyDescent="0.3">
      <c r="A1970">
        <v>52</v>
      </c>
      <c r="B1970">
        <v>95.85</v>
      </c>
      <c r="C1970">
        <f t="shared" si="120"/>
        <v>4984.2</v>
      </c>
      <c r="D1970">
        <f t="shared" si="121"/>
        <v>2704</v>
      </c>
      <c r="E1970">
        <f t="shared" si="122"/>
        <v>9187.222499999998</v>
      </c>
      <c r="F1970">
        <f t="shared" si="123"/>
        <v>2704</v>
      </c>
    </row>
    <row r="1971" spans="1:6" x14ac:dyDescent="0.3">
      <c r="A1971">
        <v>39</v>
      </c>
      <c r="B1971">
        <v>90.36</v>
      </c>
      <c r="C1971">
        <f t="shared" si="120"/>
        <v>3524.04</v>
      </c>
      <c r="D1971">
        <f t="shared" si="121"/>
        <v>1521</v>
      </c>
      <c r="E1971">
        <f t="shared" si="122"/>
        <v>8164.9295999999995</v>
      </c>
      <c r="F1971">
        <f t="shared" si="123"/>
        <v>1521</v>
      </c>
    </row>
    <row r="1972" spans="1:6" x14ac:dyDescent="0.3">
      <c r="A1972">
        <v>40</v>
      </c>
      <c r="B1972">
        <v>63.45</v>
      </c>
      <c r="C1972">
        <f t="shared" si="120"/>
        <v>2538</v>
      </c>
      <c r="D1972">
        <f t="shared" si="121"/>
        <v>1600</v>
      </c>
      <c r="E1972">
        <f t="shared" si="122"/>
        <v>4025.9025000000001</v>
      </c>
      <c r="F1972">
        <f t="shared" si="123"/>
        <v>1600</v>
      </c>
    </row>
    <row r="1973" spans="1:6" x14ac:dyDescent="0.3">
      <c r="A1973">
        <v>78</v>
      </c>
      <c r="B1973">
        <v>201.07</v>
      </c>
      <c r="C1973">
        <f t="shared" si="120"/>
        <v>15683.46</v>
      </c>
      <c r="D1973">
        <f t="shared" si="121"/>
        <v>6084</v>
      </c>
      <c r="E1973">
        <f t="shared" si="122"/>
        <v>40429.144899999999</v>
      </c>
      <c r="F1973">
        <f t="shared" si="123"/>
        <v>6084</v>
      </c>
    </row>
    <row r="1974" spans="1:6" x14ac:dyDescent="0.3">
      <c r="A1974">
        <v>39</v>
      </c>
      <c r="B1974">
        <v>122.91</v>
      </c>
      <c r="C1974">
        <f t="shared" si="120"/>
        <v>4793.49</v>
      </c>
      <c r="D1974">
        <f t="shared" si="121"/>
        <v>1521</v>
      </c>
      <c r="E1974">
        <f t="shared" si="122"/>
        <v>15106.8681</v>
      </c>
      <c r="F1974">
        <f t="shared" si="123"/>
        <v>1521</v>
      </c>
    </row>
    <row r="1975" spans="1:6" x14ac:dyDescent="0.3">
      <c r="A1975">
        <v>17</v>
      </c>
      <c r="B1975">
        <v>55.41</v>
      </c>
      <c r="C1975">
        <f t="shared" si="120"/>
        <v>941.96999999999991</v>
      </c>
      <c r="D1975">
        <f t="shared" si="121"/>
        <v>289</v>
      </c>
      <c r="E1975">
        <f t="shared" si="122"/>
        <v>3070.2680999999998</v>
      </c>
      <c r="F1975">
        <f t="shared" si="123"/>
        <v>289</v>
      </c>
    </row>
    <row r="1976" spans="1:6" x14ac:dyDescent="0.3">
      <c r="A1976">
        <v>45</v>
      </c>
      <c r="B1976">
        <v>60.99</v>
      </c>
      <c r="C1976">
        <f t="shared" si="120"/>
        <v>2744.55</v>
      </c>
      <c r="D1976">
        <f t="shared" si="121"/>
        <v>2025</v>
      </c>
      <c r="E1976">
        <f t="shared" si="122"/>
        <v>3719.7801000000004</v>
      </c>
      <c r="F1976">
        <f t="shared" si="123"/>
        <v>2025</v>
      </c>
    </row>
    <row r="1977" spans="1:6" x14ac:dyDescent="0.3">
      <c r="A1977">
        <v>0.56000000000000005</v>
      </c>
      <c r="B1977">
        <v>111.77</v>
      </c>
      <c r="C1977">
        <f t="shared" si="120"/>
        <v>62.591200000000001</v>
      </c>
      <c r="D1977">
        <f t="shared" si="121"/>
        <v>0.31360000000000005</v>
      </c>
      <c r="E1977">
        <f t="shared" si="122"/>
        <v>12492.532899999998</v>
      </c>
      <c r="F1977">
        <f t="shared" si="123"/>
        <v>0.31360000000000005</v>
      </c>
    </row>
    <row r="1978" spans="1:6" x14ac:dyDescent="0.3">
      <c r="A1978">
        <v>13</v>
      </c>
      <c r="B1978">
        <v>77.63</v>
      </c>
      <c r="C1978">
        <f t="shared" si="120"/>
        <v>1009.1899999999999</v>
      </c>
      <c r="D1978">
        <f t="shared" si="121"/>
        <v>169</v>
      </c>
      <c r="E1978">
        <f t="shared" si="122"/>
        <v>6026.4168999999993</v>
      </c>
      <c r="F1978">
        <f t="shared" si="123"/>
        <v>169</v>
      </c>
    </row>
    <row r="1979" spans="1:6" x14ac:dyDescent="0.3">
      <c r="A1979">
        <v>26</v>
      </c>
      <c r="B1979">
        <v>70.61</v>
      </c>
      <c r="C1979">
        <f t="shared" si="120"/>
        <v>1835.86</v>
      </c>
      <c r="D1979">
        <f t="shared" si="121"/>
        <v>676</v>
      </c>
      <c r="E1979">
        <f t="shared" si="122"/>
        <v>4985.7721000000001</v>
      </c>
      <c r="F1979">
        <f t="shared" si="123"/>
        <v>676</v>
      </c>
    </row>
    <row r="1980" spans="1:6" x14ac:dyDescent="0.3">
      <c r="A1980">
        <v>42</v>
      </c>
      <c r="B1980">
        <v>124.34</v>
      </c>
      <c r="C1980">
        <f t="shared" si="120"/>
        <v>5222.28</v>
      </c>
      <c r="D1980">
        <f t="shared" si="121"/>
        <v>1764</v>
      </c>
      <c r="E1980">
        <f t="shared" si="122"/>
        <v>15460.435600000001</v>
      </c>
      <c r="F1980">
        <f t="shared" si="123"/>
        <v>1764</v>
      </c>
    </row>
    <row r="1981" spans="1:6" x14ac:dyDescent="0.3">
      <c r="A1981">
        <v>44</v>
      </c>
      <c r="B1981">
        <v>103.44</v>
      </c>
      <c r="C1981">
        <f t="shared" si="120"/>
        <v>4551.3599999999997</v>
      </c>
      <c r="D1981">
        <f t="shared" si="121"/>
        <v>1936</v>
      </c>
      <c r="E1981">
        <f t="shared" si="122"/>
        <v>10699.8336</v>
      </c>
      <c r="F1981">
        <f t="shared" si="123"/>
        <v>1936</v>
      </c>
    </row>
    <row r="1982" spans="1:6" x14ac:dyDescent="0.3">
      <c r="A1982">
        <v>3</v>
      </c>
      <c r="B1982">
        <v>124.5</v>
      </c>
      <c r="C1982">
        <f t="shared" si="120"/>
        <v>373.5</v>
      </c>
      <c r="D1982">
        <f t="shared" si="121"/>
        <v>9</v>
      </c>
      <c r="E1982">
        <f t="shared" si="122"/>
        <v>15500.25</v>
      </c>
      <c r="F1982">
        <f t="shared" si="123"/>
        <v>9</v>
      </c>
    </row>
    <row r="1983" spans="1:6" x14ac:dyDescent="0.3">
      <c r="A1983">
        <v>42</v>
      </c>
      <c r="B1983">
        <v>208.06</v>
      </c>
      <c r="C1983">
        <f t="shared" si="120"/>
        <v>8738.52</v>
      </c>
      <c r="D1983">
        <f t="shared" si="121"/>
        <v>1764</v>
      </c>
      <c r="E1983">
        <f t="shared" si="122"/>
        <v>43288.963600000003</v>
      </c>
      <c r="F1983">
        <f t="shared" si="123"/>
        <v>1764</v>
      </c>
    </row>
    <row r="1984" spans="1:6" x14ac:dyDescent="0.3">
      <c r="A1984">
        <v>25</v>
      </c>
      <c r="B1984">
        <v>75.5</v>
      </c>
      <c r="C1984">
        <f t="shared" si="120"/>
        <v>1887.5</v>
      </c>
      <c r="D1984">
        <f t="shared" si="121"/>
        <v>625</v>
      </c>
      <c r="E1984">
        <f t="shared" si="122"/>
        <v>5700.25</v>
      </c>
      <c r="F1984">
        <f t="shared" si="123"/>
        <v>625</v>
      </c>
    </row>
    <row r="1985" spans="1:6" x14ac:dyDescent="0.3">
      <c r="A1985">
        <v>41</v>
      </c>
      <c r="B1985">
        <v>98.85</v>
      </c>
      <c r="C1985">
        <f t="shared" si="120"/>
        <v>4052.85</v>
      </c>
      <c r="D1985">
        <f t="shared" si="121"/>
        <v>1681</v>
      </c>
      <c r="E1985">
        <f t="shared" si="122"/>
        <v>9771.3224999999984</v>
      </c>
      <c r="F1985">
        <f t="shared" si="123"/>
        <v>1681</v>
      </c>
    </row>
    <row r="1986" spans="1:6" x14ac:dyDescent="0.3">
      <c r="A1986">
        <v>51</v>
      </c>
      <c r="B1986">
        <v>96.06</v>
      </c>
      <c r="C1986">
        <f t="shared" si="120"/>
        <v>4899.0600000000004</v>
      </c>
      <c r="D1986">
        <f t="shared" si="121"/>
        <v>2601</v>
      </c>
      <c r="E1986">
        <f t="shared" si="122"/>
        <v>9227.5236000000004</v>
      </c>
      <c r="F1986">
        <f t="shared" si="123"/>
        <v>2601</v>
      </c>
    </row>
    <row r="1987" spans="1:6" x14ac:dyDescent="0.3">
      <c r="A1987">
        <v>20</v>
      </c>
      <c r="B1987">
        <v>93.74</v>
      </c>
      <c r="C1987">
        <f t="shared" ref="C1987:C2050" si="124">A1987*B1987</f>
        <v>1874.8</v>
      </c>
      <c r="D1987">
        <f t="shared" ref="D1987:D2050" si="125">A1987*A1987</f>
        <v>400</v>
      </c>
      <c r="E1987">
        <f t="shared" ref="E1987:E2050" si="126">B1987*B1987</f>
        <v>8787.1875999999993</v>
      </c>
      <c r="F1987">
        <f t="shared" ref="F1987:F2050" si="127">A1987^2</f>
        <v>400</v>
      </c>
    </row>
    <row r="1988" spans="1:6" x14ac:dyDescent="0.3">
      <c r="A1988">
        <v>25</v>
      </c>
      <c r="B1988">
        <v>65.599999999999994</v>
      </c>
      <c r="C1988">
        <f t="shared" si="124"/>
        <v>1639.9999999999998</v>
      </c>
      <c r="D1988">
        <f t="shared" si="125"/>
        <v>625</v>
      </c>
      <c r="E1988">
        <f t="shared" si="126"/>
        <v>4303.3599999999997</v>
      </c>
      <c r="F1988">
        <f t="shared" si="127"/>
        <v>625</v>
      </c>
    </row>
    <row r="1989" spans="1:6" x14ac:dyDescent="0.3">
      <c r="A1989">
        <v>18</v>
      </c>
      <c r="B1989">
        <v>113.24</v>
      </c>
      <c r="C1989">
        <f t="shared" si="124"/>
        <v>2038.32</v>
      </c>
      <c r="D1989">
        <f t="shared" si="125"/>
        <v>324</v>
      </c>
      <c r="E1989">
        <f t="shared" si="126"/>
        <v>12823.297599999998</v>
      </c>
      <c r="F1989">
        <f t="shared" si="127"/>
        <v>324</v>
      </c>
    </row>
    <row r="1990" spans="1:6" x14ac:dyDescent="0.3">
      <c r="A1990">
        <v>37</v>
      </c>
      <c r="B1990">
        <v>94.77</v>
      </c>
      <c r="C1990">
        <f t="shared" si="124"/>
        <v>3506.49</v>
      </c>
      <c r="D1990">
        <f t="shared" si="125"/>
        <v>1369</v>
      </c>
      <c r="E1990">
        <f t="shared" si="126"/>
        <v>8981.3528999999999</v>
      </c>
      <c r="F1990">
        <f t="shared" si="127"/>
        <v>1369</v>
      </c>
    </row>
    <row r="1991" spans="1:6" x14ac:dyDescent="0.3">
      <c r="A1991">
        <v>51</v>
      </c>
      <c r="B1991">
        <v>145.22</v>
      </c>
      <c r="C1991">
        <f t="shared" si="124"/>
        <v>7406.22</v>
      </c>
      <c r="D1991">
        <f t="shared" si="125"/>
        <v>2601</v>
      </c>
      <c r="E1991">
        <f t="shared" si="126"/>
        <v>21088.848399999999</v>
      </c>
      <c r="F1991">
        <f t="shared" si="127"/>
        <v>2601</v>
      </c>
    </row>
    <row r="1992" spans="1:6" x14ac:dyDescent="0.3">
      <c r="A1992">
        <v>2</v>
      </c>
      <c r="B1992">
        <v>112.92</v>
      </c>
      <c r="C1992">
        <f t="shared" si="124"/>
        <v>225.84</v>
      </c>
      <c r="D1992">
        <f t="shared" si="125"/>
        <v>4</v>
      </c>
      <c r="E1992">
        <f t="shared" si="126"/>
        <v>12750.9264</v>
      </c>
      <c r="F1992">
        <f t="shared" si="127"/>
        <v>4</v>
      </c>
    </row>
    <row r="1993" spans="1:6" x14ac:dyDescent="0.3">
      <c r="A1993">
        <v>38</v>
      </c>
      <c r="B1993">
        <v>84.79</v>
      </c>
      <c r="C1993">
        <f t="shared" si="124"/>
        <v>3222.0200000000004</v>
      </c>
      <c r="D1993">
        <f t="shared" si="125"/>
        <v>1444</v>
      </c>
      <c r="E1993">
        <f t="shared" si="126"/>
        <v>7189.3441000000012</v>
      </c>
      <c r="F1993">
        <f t="shared" si="127"/>
        <v>1444</v>
      </c>
    </row>
    <row r="1994" spans="1:6" x14ac:dyDescent="0.3">
      <c r="A1994">
        <v>64</v>
      </c>
      <c r="B1994">
        <v>103.28</v>
      </c>
      <c r="C1994">
        <f t="shared" si="124"/>
        <v>6609.92</v>
      </c>
      <c r="D1994">
        <f t="shared" si="125"/>
        <v>4096</v>
      </c>
      <c r="E1994">
        <f t="shared" si="126"/>
        <v>10666.758400000001</v>
      </c>
      <c r="F1994">
        <f t="shared" si="127"/>
        <v>4096</v>
      </c>
    </row>
    <row r="1995" spans="1:6" x14ac:dyDescent="0.3">
      <c r="A1995">
        <v>60</v>
      </c>
      <c r="B1995">
        <v>109</v>
      </c>
      <c r="C1995">
        <f t="shared" si="124"/>
        <v>6540</v>
      </c>
      <c r="D1995">
        <f t="shared" si="125"/>
        <v>3600</v>
      </c>
      <c r="E1995">
        <f t="shared" si="126"/>
        <v>11881</v>
      </c>
      <c r="F1995">
        <f t="shared" si="127"/>
        <v>3600</v>
      </c>
    </row>
    <row r="1996" spans="1:6" x14ac:dyDescent="0.3">
      <c r="A1996">
        <v>22</v>
      </c>
      <c r="B1996">
        <v>96.18</v>
      </c>
      <c r="C1996">
        <f t="shared" si="124"/>
        <v>2115.96</v>
      </c>
      <c r="D1996">
        <f t="shared" si="125"/>
        <v>484</v>
      </c>
      <c r="E1996">
        <f t="shared" si="126"/>
        <v>9250.5924000000014</v>
      </c>
      <c r="F1996">
        <f t="shared" si="127"/>
        <v>484</v>
      </c>
    </row>
    <row r="1997" spans="1:6" x14ac:dyDescent="0.3">
      <c r="A1997">
        <v>71</v>
      </c>
      <c r="B1997">
        <v>186.95</v>
      </c>
      <c r="C1997">
        <f t="shared" si="124"/>
        <v>13273.449999999999</v>
      </c>
      <c r="D1997">
        <f t="shared" si="125"/>
        <v>5041</v>
      </c>
      <c r="E1997">
        <f t="shared" si="126"/>
        <v>34950.302499999998</v>
      </c>
      <c r="F1997">
        <f t="shared" si="127"/>
        <v>5041</v>
      </c>
    </row>
    <row r="1998" spans="1:6" x14ac:dyDescent="0.3">
      <c r="A1998">
        <v>32</v>
      </c>
      <c r="B1998">
        <v>68.66</v>
      </c>
      <c r="C1998">
        <f t="shared" si="124"/>
        <v>2197.12</v>
      </c>
      <c r="D1998">
        <f t="shared" si="125"/>
        <v>1024</v>
      </c>
      <c r="E1998">
        <f t="shared" si="126"/>
        <v>4714.1955999999991</v>
      </c>
      <c r="F1998">
        <f t="shared" si="127"/>
        <v>1024</v>
      </c>
    </row>
    <row r="1999" spans="1:6" x14ac:dyDescent="0.3">
      <c r="A1999">
        <v>32</v>
      </c>
      <c r="B1999">
        <v>128.72</v>
      </c>
      <c r="C1999">
        <f t="shared" si="124"/>
        <v>4119.04</v>
      </c>
      <c r="D1999">
        <f t="shared" si="125"/>
        <v>1024</v>
      </c>
      <c r="E1999">
        <f t="shared" si="126"/>
        <v>16568.838400000001</v>
      </c>
      <c r="F1999">
        <f t="shared" si="127"/>
        <v>1024</v>
      </c>
    </row>
    <row r="2000" spans="1:6" x14ac:dyDescent="0.3">
      <c r="A2000">
        <v>63</v>
      </c>
      <c r="B2000">
        <v>85.04</v>
      </c>
      <c r="C2000">
        <f t="shared" si="124"/>
        <v>5357.52</v>
      </c>
      <c r="D2000">
        <f t="shared" si="125"/>
        <v>3969</v>
      </c>
      <c r="E2000">
        <f t="shared" si="126"/>
        <v>7231.8016000000007</v>
      </c>
      <c r="F2000">
        <f t="shared" si="127"/>
        <v>3969</v>
      </c>
    </row>
    <row r="2001" spans="1:6" x14ac:dyDescent="0.3">
      <c r="A2001">
        <v>0.24</v>
      </c>
      <c r="B2001">
        <v>146.97</v>
      </c>
      <c r="C2001">
        <f t="shared" si="124"/>
        <v>35.272799999999997</v>
      </c>
      <c r="D2001">
        <f t="shared" si="125"/>
        <v>5.7599999999999998E-2</v>
      </c>
      <c r="E2001">
        <f t="shared" si="126"/>
        <v>21600.180899999999</v>
      </c>
      <c r="F2001">
        <f t="shared" si="127"/>
        <v>5.7599999999999998E-2</v>
      </c>
    </row>
    <row r="2002" spans="1:6" x14ac:dyDescent="0.3">
      <c r="A2002">
        <v>54</v>
      </c>
      <c r="B2002">
        <v>65.69</v>
      </c>
      <c r="C2002">
        <f t="shared" si="124"/>
        <v>3547.2599999999998</v>
      </c>
      <c r="D2002">
        <f t="shared" si="125"/>
        <v>2916</v>
      </c>
      <c r="E2002">
        <f t="shared" si="126"/>
        <v>4315.1760999999997</v>
      </c>
      <c r="F2002">
        <f t="shared" si="127"/>
        <v>2916</v>
      </c>
    </row>
    <row r="2003" spans="1:6" x14ac:dyDescent="0.3">
      <c r="A2003">
        <v>25</v>
      </c>
      <c r="B2003">
        <v>97.52</v>
      </c>
      <c r="C2003">
        <f t="shared" si="124"/>
        <v>2438</v>
      </c>
      <c r="D2003">
        <f t="shared" si="125"/>
        <v>625</v>
      </c>
      <c r="E2003">
        <f t="shared" si="126"/>
        <v>9510.1503999999986</v>
      </c>
      <c r="F2003">
        <f t="shared" si="127"/>
        <v>625</v>
      </c>
    </row>
    <row r="2004" spans="1:6" x14ac:dyDescent="0.3">
      <c r="A2004">
        <v>80</v>
      </c>
      <c r="B2004">
        <v>90.43</v>
      </c>
      <c r="C2004">
        <f t="shared" si="124"/>
        <v>7234.4000000000005</v>
      </c>
      <c r="D2004">
        <f t="shared" si="125"/>
        <v>6400</v>
      </c>
      <c r="E2004">
        <f t="shared" si="126"/>
        <v>8177.5849000000017</v>
      </c>
      <c r="F2004">
        <f t="shared" si="127"/>
        <v>6400</v>
      </c>
    </row>
    <row r="2005" spans="1:6" x14ac:dyDescent="0.3">
      <c r="A2005">
        <v>31</v>
      </c>
      <c r="B2005">
        <v>81.709999999999994</v>
      </c>
      <c r="C2005">
        <f t="shared" si="124"/>
        <v>2533.0099999999998</v>
      </c>
      <c r="D2005">
        <f t="shared" si="125"/>
        <v>961</v>
      </c>
      <c r="E2005">
        <f t="shared" si="126"/>
        <v>6676.5240999999987</v>
      </c>
      <c r="F2005">
        <f t="shared" si="127"/>
        <v>961</v>
      </c>
    </row>
    <row r="2006" spans="1:6" x14ac:dyDescent="0.3">
      <c r="A2006">
        <v>53</v>
      </c>
      <c r="B2006">
        <v>198.24</v>
      </c>
      <c r="C2006">
        <f t="shared" si="124"/>
        <v>10506.720000000001</v>
      </c>
      <c r="D2006">
        <f t="shared" si="125"/>
        <v>2809</v>
      </c>
      <c r="E2006">
        <f t="shared" si="126"/>
        <v>39299.097600000001</v>
      </c>
      <c r="F2006">
        <f t="shared" si="127"/>
        <v>2809</v>
      </c>
    </row>
    <row r="2007" spans="1:6" x14ac:dyDescent="0.3">
      <c r="A2007">
        <v>35</v>
      </c>
      <c r="B2007">
        <v>90.51</v>
      </c>
      <c r="C2007">
        <f t="shared" si="124"/>
        <v>3167.8500000000004</v>
      </c>
      <c r="D2007">
        <f t="shared" si="125"/>
        <v>1225</v>
      </c>
      <c r="E2007">
        <f t="shared" si="126"/>
        <v>8192.0601000000006</v>
      </c>
      <c r="F2007">
        <f t="shared" si="127"/>
        <v>1225</v>
      </c>
    </row>
    <row r="2008" spans="1:6" x14ac:dyDescent="0.3">
      <c r="A2008">
        <v>31</v>
      </c>
      <c r="B2008">
        <v>97.78</v>
      </c>
      <c r="C2008">
        <f t="shared" si="124"/>
        <v>3031.18</v>
      </c>
      <c r="D2008">
        <f t="shared" si="125"/>
        <v>961</v>
      </c>
      <c r="E2008">
        <f t="shared" si="126"/>
        <v>9560.9284000000007</v>
      </c>
      <c r="F2008">
        <f t="shared" si="127"/>
        <v>961</v>
      </c>
    </row>
    <row r="2009" spans="1:6" x14ac:dyDescent="0.3">
      <c r="A2009">
        <v>60</v>
      </c>
      <c r="B2009">
        <v>80.739999999999995</v>
      </c>
      <c r="C2009">
        <f t="shared" si="124"/>
        <v>4844.3999999999996</v>
      </c>
      <c r="D2009">
        <f t="shared" si="125"/>
        <v>3600</v>
      </c>
      <c r="E2009">
        <f t="shared" si="126"/>
        <v>6518.9475999999995</v>
      </c>
      <c r="F2009">
        <f t="shared" si="127"/>
        <v>3600</v>
      </c>
    </row>
    <row r="2010" spans="1:6" x14ac:dyDescent="0.3">
      <c r="A2010">
        <v>0.56000000000000005</v>
      </c>
      <c r="B2010">
        <v>57.02</v>
      </c>
      <c r="C2010">
        <f t="shared" si="124"/>
        <v>31.931200000000004</v>
      </c>
      <c r="D2010">
        <f t="shared" si="125"/>
        <v>0.31360000000000005</v>
      </c>
      <c r="E2010">
        <f t="shared" si="126"/>
        <v>3251.2804000000006</v>
      </c>
      <c r="F2010">
        <f t="shared" si="127"/>
        <v>0.31360000000000005</v>
      </c>
    </row>
    <row r="2011" spans="1:6" x14ac:dyDescent="0.3">
      <c r="A2011">
        <v>21</v>
      </c>
      <c r="B2011">
        <v>93</v>
      </c>
      <c r="C2011">
        <f t="shared" si="124"/>
        <v>1953</v>
      </c>
      <c r="D2011">
        <f t="shared" si="125"/>
        <v>441</v>
      </c>
      <c r="E2011">
        <f t="shared" si="126"/>
        <v>8649</v>
      </c>
      <c r="F2011">
        <f t="shared" si="127"/>
        <v>441</v>
      </c>
    </row>
    <row r="2012" spans="1:6" x14ac:dyDescent="0.3">
      <c r="A2012">
        <v>78</v>
      </c>
      <c r="B2012">
        <v>95.37</v>
      </c>
      <c r="C2012">
        <f t="shared" si="124"/>
        <v>7438.8600000000006</v>
      </c>
      <c r="D2012">
        <f t="shared" si="125"/>
        <v>6084</v>
      </c>
      <c r="E2012">
        <f t="shared" si="126"/>
        <v>9095.4369000000006</v>
      </c>
      <c r="F2012">
        <f t="shared" si="127"/>
        <v>6084</v>
      </c>
    </row>
    <row r="2013" spans="1:6" x14ac:dyDescent="0.3">
      <c r="A2013">
        <v>59</v>
      </c>
      <c r="B2013">
        <v>96.25</v>
      </c>
      <c r="C2013">
        <f t="shared" si="124"/>
        <v>5678.75</v>
      </c>
      <c r="D2013">
        <f t="shared" si="125"/>
        <v>3481</v>
      </c>
      <c r="E2013">
        <f t="shared" si="126"/>
        <v>9264.0625</v>
      </c>
      <c r="F2013">
        <f t="shared" si="127"/>
        <v>3481</v>
      </c>
    </row>
    <row r="2014" spans="1:6" x14ac:dyDescent="0.3">
      <c r="A2014">
        <v>0.64</v>
      </c>
      <c r="B2014">
        <v>86.74</v>
      </c>
      <c r="C2014">
        <f t="shared" si="124"/>
        <v>55.513599999999997</v>
      </c>
      <c r="D2014">
        <f t="shared" si="125"/>
        <v>0.40960000000000002</v>
      </c>
      <c r="E2014">
        <f t="shared" si="126"/>
        <v>7523.8275999999987</v>
      </c>
      <c r="F2014">
        <f t="shared" si="127"/>
        <v>0.40960000000000002</v>
      </c>
    </row>
    <row r="2015" spans="1:6" x14ac:dyDescent="0.3">
      <c r="A2015">
        <v>10</v>
      </c>
      <c r="B2015">
        <v>63.08</v>
      </c>
      <c r="C2015">
        <f t="shared" si="124"/>
        <v>630.79999999999995</v>
      </c>
      <c r="D2015">
        <f t="shared" si="125"/>
        <v>100</v>
      </c>
      <c r="E2015">
        <f t="shared" si="126"/>
        <v>3979.0863999999997</v>
      </c>
      <c r="F2015">
        <f t="shared" si="127"/>
        <v>100</v>
      </c>
    </row>
    <row r="2016" spans="1:6" x14ac:dyDescent="0.3">
      <c r="A2016">
        <v>60</v>
      </c>
      <c r="B2016">
        <v>129.16</v>
      </c>
      <c r="C2016">
        <f t="shared" si="124"/>
        <v>7749.5999999999995</v>
      </c>
      <c r="D2016">
        <f t="shared" si="125"/>
        <v>3600</v>
      </c>
      <c r="E2016">
        <f t="shared" si="126"/>
        <v>16682.3056</v>
      </c>
      <c r="F2016">
        <f t="shared" si="127"/>
        <v>3600</v>
      </c>
    </row>
    <row r="2017" spans="1:6" x14ac:dyDescent="0.3">
      <c r="A2017">
        <v>11</v>
      </c>
      <c r="B2017">
        <v>99.79</v>
      </c>
      <c r="C2017">
        <f t="shared" si="124"/>
        <v>1097.69</v>
      </c>
      <c r="D2017">
        <f t="shared" si="125"/>
        <v>121</v>
      </c>
      <c r="E2017">
        <f t="shared" si="126"/>
        <v>9958.044100000001</v>
      </c>
      <c r="F2017">
        <f t="shared" si="127"/>
        <v>121</v>
      </c>
    </row>
    <row r="2018" spans="1:6" x14ac:dyDescent="0.3">
      <c r="A2018">
        <v>48</v>
      </c>
      <c r="B2018">
        <v>83.34</v>
      </c>
      <c r="C2018">
        <f t="shared" si="124"/>
        <v>4000.32</v>
      </c>
      <c r="D2018">
        <f t="shared" si="125"/>
        <v>2304</v>
      </c>
      <c r="E2018">
        <f t="shared" si="126"/>
        <v>6945.5556000000006</v>
      </c>
      <c r="F2018">
        <f t="shared" si="127"/>
        <v>2304</v>
      </c>
    </row>
    <row r="2019" spans="1:6" x14ac:dyDescent="0.3">
      <c r="A2019">
        <v>50</v>
      </c>
      <c r="B2019">
        <v>95.01</v>
      </c>
      <c r="C2019">
        <f t="shared" si="124"/>
        <v>4750.5</v>
      </c>
      <c r="D2019">
        <f t="shared" si="125"/>
        <v>2500</v>
      </c>
      <c r="E2019">
        <f t="shared" si="126"/>
        <v>9026.9001000000007</v>
      </c>
      <c r="F2019">
        <f t="shared" si="127"/>
        <v>2500</v>
      </c>
    </row>
    <row r="2020" spans="1:6" x14ac:dyDescent="0.3">
      <c r="A2020">
        <v>69</v>
      </c>
      <c r="B2020">
        <v>229.21</v>
      </c>
      <c r="C2020">
        <f t="shared" si="124"/>
        <v>15815.49</v>
      </c>
      <c r="D2020">
        <f t="shared" si="125"/>
        <v>4761</v>
      </c>
      <c r="E2020">
        <f t="shared" si="126"/>
        <v>52537.224100000007</v>
      </c>
      <c r="F2020">
        <f t="shared" si="127"/>
        <v>4761</v>
      </c>
    </row>
    <row r="2021" spans="1:6" x14ac:dyDescent="0.3">
      <c r="A2021">
        <v>20</v>
      </c>
      <c r="B2021">
        <v>80.08</v>
      </c>
      <c r="C2021">
        <f t="shared" si="124"/>
        <v>1601.6</v>
      </c>
      <c r="D2021">
        <f t="shared" si="125"/>
        <v>400</v>
      </c>
      <c r="E2021">
        <f t="shared" si="126"/>
        <v>6412.8063999999995</v>
      </c>
      <c r="F2021">
        <f t="shared" si="127"/>
        <v>400</v>
      </c>
    </row>
    <row r="2022" spans="1:6" x14ac:dyDescent="0.3">
      <c r="A2022">
        <v>22</v>
      </c>
      <c r="B2022">
        <v>62</v>
      </c>
      <c r="C2022">
        <f t="shared" si="124"/>
        <v>1364</v>
      </c>
      <c r="D2022">
        <f t="shared" si="125"/>
        <v>484</v>
      </c>
      <c r="E2022">
        <f t="shared" si="126"/>
        <v>3844</v>
      </c>
      <c r="F2022">
        <f t="shared" si="127"/>
        <v>484</v>
      </c>
    </row>
    <row r="2023" spans="1:6" x14ac:dyDescent="0.3">
      <c r="A2023">
        <v>55</v>
      </c>
      <c r="B2023">
        <v>118.69</v>
      </c>
      <c r="C2023">
        <f t="shared" si="124"/>
        <v>6527.95</v>
      </c>
      <c r="D2023">
        <f t="shared" si="125"/>
        <v>3025</v>
      </c>
      <c r="E2023">
        <f t="shared" si="126"/>
        <v>14087.3161</v>
      </c>
      <c r="F2023">
        <f t="shared" si="127"/>
        <v>3025</v>
      </c>
    </row>
    <row r="2024" spans="1:6" x14ac:dyDescent="0.3">
      <c r="A2024">
        <v>57</v>
      </c>
      <c r="B2024">
        <v>77.569999999999993</v>
      </c>
      <c r="C2024">
        <f t="shared" si="124"/>
        <v>4421.49</v>
      </c>
      <c r="D2024">
        <f t="shared" si="125"/>
        <v>3249</v>
      </c>
      <c r="E2024">
        <f t="shared" si="126"/>
        <v>6017.1048999999994</v>
      </c>
      <c r="F2024">
        <f t="shared" si="127"/>
        <v>3249</v>
      </c>
    </row>
    <row r="2025" spans="1:6" x14ac:dyDescent="0.3">
      <c r="A2025">
        <v>29</v>
      </c>
      <c r="B2025">
        <v>108.75</v>
      </c>
      <c r="C2025">
        <f t="shared" si="124"/>
        <v>3153.75</v>
      </c>
      <c r="D2025">
        <f t="shared" si="125"/>
        <v>841</v>
      </c>
      <c r="E2025">
        <f t="shared" si="126"/>
        <v>11826.5625</v>
      </c>
      <c r="F2025">
        <f t="shared" si="127"/>
        <v>841</v>
      </c>
    </row>
    <row r="2026" spans="1:6" x14ac:dyDescent="0.3">
      <c r="A2026">
        <v>32</v>
      </c>
      <c r="B2026">
        <v>108.23</v>
      </c>
      <c r="C2026">
        <f t="shared" si="124"/>
        <v>3463.36</v>
      </c>
      <c r="D2026">
        <f t="shared" si="125"/>
        <v>1024</v>
      </c>
      <c r="E2026">
        <f t="shared" si="126"/>
        <v>11713.732900000001</v>
      </c>
      <c r="F2026">
        <f t="shared" si="127"/>
        <v>1024</v>
      </c>
    </row>
    <row r="2027" spans="1:6" x14ac:dyDescent="0.3">
      <c r="A2027">
        <v>54</v>
      </c>
      <c r="B2027">
        <v>151.33000000000001</v>
      </c>
      <c r="C2027">
        <f t="shared" si="124"/>
        <v>8171.8200000000006</v>
      </c>
      <c r="D2027">
        <f t="shared" si="125"/>
        <v>2916</v>
      </c>
      <c r="E2027">
        <f t="shared" si="126"/>
        <v>22900.768900000003</v>
      </c>
      <c r="F2027">
        <f t="shared" si="127"/>
        <v>2916</v>
      </c>
    </row>
    <row r="2028" spans="1:6" x14ac:dyDescent="0.3">
      <c r="A2028">
        <v>37</v>
      </c>
      <c r="B2028">
        <v>82.43</v>
      </c>
      <c r="C2028">
        <f t="shared" si="124"/>
        <v>3049.9100000000003</v>
      </c>
      <c r="D2028">
        <f t="shared" si="125"/>
        <v>1369</v>
      </c>
      <c r="E2028">
        <f t="shared" si="126"/>
        <v>6794.7049000000015</v>
      </c>
      <c r="F2028">
        <f t="shared" si="127"/>
        <v>1369</v>
      </c>
    </row>
    <row r="2029" spans="1:6" x14ac:dyDescent="0.3">
      <c r="A2029">
        <v>58</v>
      </c>
      <c r="B2029">
        <v>107.17</v>
      </c>
      <c r="C2029">
        <f t="shared" si="124"/>
        <v>6215.86</v>
      </c>
      <c r="D2029">
        <f t="shared" si="125"/>
        <v>3364</v>
      </c>
      <c r="E2029">
        <f t="shared" si="126"/>
        <v>11485.4089</v>
      </c>
      <c r="F2029">
        <f t="shared" si="127"/>
        <v>3364</v>
      </c>
    </row>
    <row r="2030" spans="1:6" x14ac:dyDescent="0.3">
      <c r="A2030">
        <v>41</v>
      </c>
      <c r="B2030">
        <v>91.46</v>
      </c>
      <c r="C2030">
        <f t="shared" si="124"/>
        <v>3749.8599999999997</v>
      </c>
      <c r="D2030">
        <f t="shared" si="125"/>
        <v>1681</v>
      </c>
      <c r="E2030">
        <f t="shared" si="126"/>
        <v>8364.9315999999981</v>
      </c>
      <c r="F2030">
        <f t="shared" si="127"/>
        <v>1681</v>
      </c>
    </row>
    <row r="2031" spans="1:6" x14ac:dyDescent="0.3">
      <c r="A2031">
        <v>72</v>
      </c>
      <c r="B2031">
        <v>81.05</v>
      </c>
      <c r="C2031">
        <f t="shared" si="124"/>
        <v>5835.5999999999995</v>
      </c>
      <c r="D2031">
        <f t="shared" si="125"/>
        <v>5184</v>
      </c>
      <c r="E2031">
        <f t="shared" si="126"/>
        <v>6569.1025</v>
      </c>
      <c r="F2031">
        <f t="shared" si="127"/>
        <v>5184</v>
      </c>
    </row>
    <row r="2032" spans="1:6" x14ac:dyDescent="0.3">
      <c r="A2032">
        <v>0.48</v>
      </c>
      <c r="B2032">
        <v>73.02</v>
      </c>
      <c r="C2032">
        <f t="shared" si="124"/>
        <v>35.049599999999998</v>
      </c>
      <c r="D2032">
        <f t="shared" si="125"/>
        <v>0.23039999999999999</v>
      </c>
      <c r="E2032">
        <f t="shared" si="126"/>
        <v>5331.9203999999991</v>
      </c>
      <c r="F2032">
        <f t="shared" si="127"/>
        <v>0.23039999999999999</v>
      </c>
    </row>
    <row r="2033" spans="1:6" x14ac:dyDescent="0.3">
      <c r="A2033">
        <v>32</v>
      </c>
      <c r="B2033">
        <v>114.37</v>
      </c>
      <c r="C2033">
        <f t="shared" si="124"/>
        <v>3659.84</v>
      </c>
      <c r="D2033">
        <f t="shared" si="125"/>
        <v>1024</v>
      </c>
      <c r="E2033">
        <f t="shared" si="126"/>
        <v>13080.496900000002</v>
      </c>
      <c r="F2033">
        <f t="shared" si="127"/>
        <v>1024</v>
      </c>
    </row>
    <row r="2034" spans="1:6" x14ac:dyDescent="0.3">
      <c r="A2034">
        <v>54</v>
      </c>
      <c r="B2034">
        <v>100.29</v>
      </c>
      <c r="C2034">
        <f t="shared" si="124"/>
        <v>5415.6600000000008</v>
      </c>
      <c r="D2034">
        <f t="shared" si="125"/>
        <v>2916</v>
      </c>
      <c r="E2034">
        <f t="shared" si="126"/>
        <v>10058.084100000002</v>
      </c>
      <c r="F2034">
        <f t="shared" si="127"/>
        <v>2916</v>
      </c>
    </row>
    <row r="2035" spans="1:6" x14ac:dyDescent="0.3">
      <c r="A2035">
        <v>79</v>
      </c>
      <c r="B2035">
        <v>68.37</v>
      </c>
      <c r="C2035">
        <f t="shared" si="124"/>
        <v>5401.2300000000005</v>
      </c>
      <c r="D2035">
        <f t="shared" si="125"/>
        <v>6241</v>
      </c>
      <c r="E2035">
        <f t="shared" si="126"/>
        <v>4674.456900000001</v>
      </c>
      <c r="F2035">
        <f t="shared" si="127"/>
        <v>6241</v>
      </c>
    </row>
    <row r="2036" spans="1:6" x14ac:dyDescent="0.3">
      <c r="A2036">
        <v>56</v>
      </c>
      <c r="B2036">
        <v>87.95</v>
      </c>
      <c r="C2036">
        <f t="shared" si="124"/>
        <v>4925.2</v>
      </c>
      <c r="D2036">
        <f t="shared" si="125"/>
        <v>3136</v>
      </c>
      <c r="E2036">
        <f t="shared" si="126"/>
        <v>7735.2025000000003</v>
      </c>
      <c r="F2036">
        <f t="shared" si="127"/>
        <v>3136</v>
      </c>
    </row>
    <row r="2037" spans="1:6" x14ac:dyDescent="0.3">
      <c r="A2037">
        <v>45</v>
      </c>
      <c r="B2037">
        <v>73.27</v>
      </c>
      <c r="C2037">
        <f t="shared" si="124"/>
        <v>3297.1499999999996</v>
      </c>
      <c r="D2037">
        <f t="shared" si="125"/>
        <v>2025</v>
      </c>
      <c r="E2037">
        <f t="shared" si="126"/>
        <v>5368.4928999999993</v>
      </c>
      <c r="F2037">
        <f t="shared" si="127"/>
        <v>2025</v>
      </c>
    </row>
    <row r="2038" spans="1:6" x14ac:dyDescent="0.3">
      <c r="A2038">
        <v>6</v>
      </c>
      <c r="B2038">
        <v>131.43</v>
      </c>
      <c r="C2038">
        <f t="shared" si="124"/>
        <v>788.58</v>
      </c>
      <c r="D2038">
        <f t="shared" si="125"/>
        <v>36</v>
      </c>
      <c r="E2038">
        <f t="shared" si="126"/>
        <v>17273.8449</v>
      </c>
      <c r="F2038">
        <f t="shared" si="127"/>
        <v>36</v>
      </c>
    </row>
    <row r="2039" spans="1:6" x14ac:dyDescent="0.3">
      <c r="A2039">
        <v>45</v>
      </c>
      <c r="B2039">
        <v>107.29</v>
      </c>
      <c r="C2039">
        <f t="shared" si="124"/>
        <v>4828.05</v>
      </c>
      <c r="D2039">
        <f t="shared" si="125"/>
        <v>2025</v>
      </c>
      <c r="E2039">
        <f t="shared" si="126"/>
        <v>11511.144100000001</v>
      </c>
      <c r="F2039">
        <f t="shared" si="127"/>
        <v>2025</v>
      </c>
    </row>
    <row r="2040" spans="1:6" x14ac:dyDescent="0.3">
      <c r="A2040">
        <v>60</v>
      </c>
      <c r="B2040">
        <v>68.239999999999995</v>
      </c>
      <c r="C2040">
        <f t="shared" si="124"/>
        <v>4094.3999999999996</v>
      </c>
      <c r="D2040">
        <f t="shared" si="125"/>
        <v>3600</v>
      </c>
      <c r="E2040">
        <f t="shared" si="126"/>
        <v>4656.6975999999995</v>
      </c>
      <c r="F2040">
        <f t="shared" si="127"/>
        <v>3600</v>
      </c>
    </row>
    <row r="2041" spans="1:6" x14ac:dyDescent="0.3">
      <c r="A2041">
        <v>65</v>
      </c>
      <c r="B2041">
        <v>74.010000000000005</v>
      </c>
      <c r="C2041">
        <f t="shared" si="124"/>
        <v>4810.6500000000005</v>
      </c>
      <c r="D2041">
        <f t="shared" si="125"/>
        <v>4225</v>
      </c>
      <c r="E2041">
        <f t="shared" si="126"/>
        <v>5477.4801000000007</v>
      </c>
      <c r="F2041">
        <f t="shared" si="127"/>
        <v>4225</v>
      </c>
    </row>
    <row r="2042" spans="1:6" x14ac:dyDescent="0.3">
      <c r="A2042">
        <v>57</v>
      </c>
      <c r="B2042">
        <v>95.4</v>
      </c>
      <c r="C2042">
        <f t="shared" si="124"/>
        <v>5437.8</v>
      </c>
      <c r="D2042">
        <f t="shared" si="125"/>
        <v>3249</v>
      </c>
      <c r="E2042">
        <f t="shared" si="126"/>
        <v>9101.1600000000017</v>
      </c>
      <c r="F2042">
        <f t="shared" si="127"/>
        <v>3249</v>
      </c>
    </row>
    <row r="2043" spans="1:6" x14ac:dyDescent="0.3">
      <c r="A2043">
        <v>58</v>
      </c>
      <c r="B2043">
        <v>95.75</v>
      </c>
      <c r="C2043">
        <f t="shared" si="124"/>
        <v>5553.5</v>
      </c>
      <c r="D2043">
        <f t="shared" si="125"/>
        <v>3364</v>
      </c>
      <c r="E2043">
        <f t="shared" si="126"/>
        <v>9168.0625</v>
      </c>
      <c r="F2043">
        <f t="shared" si="127"/>
        <v>3364</v>
      </c>
    </row>
    <row r="2044" spans="1:6" x14ac:dyDescent="0.3">
      <c r="A2044">
        <v>8</v>
      </c>
      <c r="B2044">
        <v>104.51</v>
      </c>
      <c r="C2044">
        <f t="shared" si="124"/>
        <v>836.08</v>
      </c>
      <c r="D2044">
        <f t="shared" si="125"/>
        <v>64</v>
      </c>
      <c r="E2044">
        <f t="shared" si="126"/>
        <v>10922.340100000001</v>
      </c>
      <c r="F2044">
        <f t="shared" si="127"/>
        <v>64</v>
      </c>
    </row>
    <row r="2045" spans="1:6" x14ac:dyDescent="0.3">
      <c r="A2045">
        <v>18</v>
      </c>
      <c r="B2045">
        <v>108.87</v>
      </c>
      <c r="C2045">
        <f t="shared" si="124"/>
        <v>1959.66</v>
      </c>
      <c r="D2045">
        <f t="shared" si="125"/>
        <v>324</v>
      </c>
      <c r="E2045">
        <f t="shared" si="126"/>
        <v>11852.6769</v>
      </c>
      <c r="F2045">
        <f t="shared" si="127"/>
        <v>324</v>
      </c>
    </row>
    <row r="2046" spans="1:6" x14ac:dyDescent="0.3">
      <c r="A2046">
        <v>49</v>
      </c>
      <c r="B2046">
        <v>209.06</v>
      </c>
      <c r="C2046">
        <f t="shared" si="124"/>
        <v>10243.94</v>
      </c>
      <c r="D2046">
        <f t="shared" si="125"/>
        <v>2401</v>
      </c>
      <c r="E2046">
        <f t="shared" si="126"/>
        <v>43706.083599999998</v>
      </c>
      <c r="F2046">
        <f t="shared" si="127"/>
        <v>2401</v>
      </c>
    </row>
    <row r="2047" spans="1:6" x14ac:dyDescent="0.3">
      <c r="A2047">
        <v>2</v>
      </c>
      <c r="B2047">
        <v>86.57</v>
      </c>
      <c r="C2047">
        <f t="shared" si="124"/>
        <v>173.14</v>
      </c>
      <c r="D2047">
        <f t="shared" si="125"/>
        <v>4</v>
      </c>
      <c r="E2047">
        <f t="shared" si="126"/>
        <v>7494.3648999999987</v>
      </c>
      <c r="F2047">
        <f t="shared" si="127"/>
        <v>4</v>
      </c>
    </row>
    <row r="2048" spans="1:6" x14ac:dyDescent="0.3">
      <c r="A2048">
        <v>52</v>
      </c>
      <c r="B2048">
        <v>120.25</v>
      </c>
      <c r="C2048">
        <f t="shared" si="124"/>
        <v>6253</v>
      </c>
      <c r="D2048">
        <f t="shared" si="125"/>
        <v>2704</v>
      </c>
      <c r="E2048">
        <f t="shared" si="126"/>
        <v>14460.0625</v>
      </c>
      <c r="F2048">
        <f t="shared" si="127"/>
        <v>2704</v>
      </c>
    </row>
    <row r="2049" spans="1:6" x14ac:dyDescent="0.3">
      <c r="A2049">
        <v>63</v>
      </c>
      <c r="B2049">
        <v>85.51</v>
      </c>
      <c r="C2049">
        <f t="shared" si="124"/>
        <v>5387.13</v>
      </c>
      <c r="D2049">
        <f t="shared" si="125"/>
        <v>3969</v>
      </c>
      <c r="E2049">
        <f t="shared" si="126"/>
        <v>7311.9601000000011</v>
      </c>
      <c r="F2049">
        <f t="shared" si="127"/>
        <v>3969</v>
      </c>
    </row>
    <row r="2050" spans="1:6" x14ac:dyDescent="0.3">
      <c r="A2050">
        <v>57</v>
      </c>
      <c r="B2050">
        <v>84.18</v>
      </c>
      <c r="C2050">
        <f t="shared" si="124"/>
        <v>4798.26</v>
      </c>
      <c r="D2050">
        <f t="shared" si="125"/>
        <v>3249</v>
      </c>
      <c r="E2050">
        <f t="shared" si="126"/>
        <v>7086.2724000000007</v>
      </c>
      <c r="F2050">
        <f t="shared" si="127"/>
        <v>3249</v>
      </c>
    </row>
    <row r="2051" spans="1:6" x14ac:dyDescent="0.3">
      <c r="A2051">
        <v>50</v>
      </c>
      <c r="B2051">
        <v>82.37</v>
      </c>
      <c r="C2051">
        <f t="shared" ref="C2051:C2114" si="128">A2051*B2051</f>
        <v>4118.5</v>
      </c>
      <c r="D2051">
        <f t="shared" ref="D2051:D2114" si="129">A2051*A2051</f>
        <v>2500</v>
      </c>
      <c r="E2051">
        <f t="shared" ref="E2051:E2114" si="130">B2051*B2051</f>
        <v>6784.8169000000007</v>
      </c>
      <c r="F2051">
        <f t="shared" ref="F2051:F2114" si="131">A2051^2</f>
        <v>2500</v>
      </c>
    </row>
    <row r="2052" spans="1:6" x14ac:dyDescent="0.3">
      <c r="A2052">
        <v>12</v>
      </c>
      <c r="B2052">
        <v>96.15</v>
      </c>
      <c r="C2052">
        <f t="shared" si="128"/>
        <v>1153.8000000000002</v>
      </c>
      <c r="D2052">
        <f t="shared" si="129"/>
        <v>144</v>
      </c>
      <c r="E2052">
        <f t="shared" si="130"/>
        <v>9244.8225000000002</v>
      </c>
      <c r="F2052">
        <f t="shared" si="131"/>
        <v>144</v>
      </c>
    </row>
    <row r="2053" spans="1:6" x14ac:dyDescent="0.3">
      <c r="A2053">
        <v>35</v>
      </c>
      <c r="B2053">
        <v>74.55</v>
      </c>
      <c r="C2053">
        <f t="shared" si="128"/>
        <v>2609.25</v>
      </c>
      <c r="D2053">
        <f t="shared" si="129"/>
        <v>1225</v>
      </c>
      <c r="E2053">
        <f t="shared" si="130"/>
        <v>5557.7024999999994</v>
      </c>
      <c r="F2053">
        <f t="shared" si="131"/>
        <v>1225</v>
      </c>
    </row>
    <row r="2054" spans="1:6" x14ac:dyDescent="0.3">
      <c r="A2054">
        <v>35</v>
      </c>
      <c r="B2054">
        <v>114.45</v>
      </c>
      <c r="C2054">
        <f t="shared" si="128"/>
        <v>4005.75</v>
      </c>
      <c r="D2054">
        <f t="shared" si="129"/>
        <v>1225</v>
      </c>
      <c r="E2054">
        <f t="shared" si="130"/>
        <v>13098.8025</v>
      </c>
      <c r="F2054">
        <f t="shared" si="131"/>
        <v>1225</v>
      </c>
    </row>
    <row r="2055" spans="1:6" x14ac:dyDescent="0.3">
      <c r="A2055">
        <v>64</v>
      </c>
      <c r="B2055">
        <v>113.68</v>
      </c>
      <c r="C2055">
        <f t="shared" si="128"/>
        <v>7275.52</v>
      </c>
      <c r="D2055">
        <f t="shared" si="129"/>
        <v>4096</v>
      </c>
      <c r="E2055">
        <f t="shared" si="130"/>
        <v>12923.142400000002</v>
      </c>
      <c r="F2055">
        <f t="shared" si="131"/>
        <v>4096</v>
      </c>
    </row>
    <row r="2056" spans="1:6" x14ac:dyDescent="0.3">
      <c r="A2056">
        <v>42</v>
      </c>
      <c r="B2056">
        <v>107.91</v>
      </c>
      <c r="C2056">
        <f t="shared" si="128"/>
        <v>4532.22</v>
      </c>
      <c r="D2056">
        <f t="shared" si="129"/>
        <v>1764</v>
      </c>
      <c r="E2056">
        <f t="shared" si="130"/>
        <v>11644.568099999999</v>
      </c>
      <c r="F2056">
        <f t="shared" si="131"/>
        <v>1764</v>
      </c>
    </row>
    <row r="2057" spans="1:6" x14ac:dyDescent="0.3">
      <c r="A2057">
        <v>62</v>
      </c>
      <c r="B2057">
        <v>83.85</v>
      </c>
      <c r="C2057">
        <f t="shared" si="128"/>
        <v>5198.7</v>
      </c>
      <c r="D2057">
        <f t="shared" si="129"/>
        <v>3844</v>
      </c>
      <c r="E2057">
        <f t="shared" si="130"/>
        <v>7030.8224999999993</v>
      </c>
      <c r="F2057">
        <f t="shared" si="131"/>
        <v>3844</v>
      </c>
    </row>
    <row r="2058" spans="1:6" x14ac:dyDescent="0.3">
      <c r="A2058">
        <v>3</v>
      </c>
      <c r="B2058">
        <v>101.3</v>
      </c>
      <c r="C2058">
        <f t="shared" si="128"/>
        <v>303.89999999999998</v>
      </c>
      <c r="D2058">
        <f t="shared" si="129"/>
        <v>9</v>
      </c>
      <c r="E2058">
        <f t="shared" si="130"/>
        <v>10261.689999999999</v>
      </c>
      <c r="F2058">
        <f t="shared" si="131"/>
        <v>9</v>
      </c>
    </row>
    <row r="2059" spans="1:6" x14ac:dyDescent="0.3">
      <c r="A2059">
        <v>43</v>
      </c>
      <c r="B2059">
        <v>72.13</v>
      </c>
      <c r="C2059">
        <f t="shared" si="128"/>
        <v>3101.5899999999997</v>
      </c>
      <c r="D2059">
        <f t="shared" si="129"/>
        <v>1849</v>
      </c>
      <c r="E2059">
        <f t="shared" si="130"/>
        <v>5202.736899999999</v>
      </c>
      <c r="F2059">
        <f t="shared" si="131"/>
        <v>1849</v>
      </c>
    </row>
    <row r="2060" spans="1:6" x14ac:dyDescent="0.3">
      <c r="A2060">
        <v>52</v>
      </c>
      <c r="B2060">
        <v>94.98</v>
      </c>
      <c r="C2060">
        <f t="shared" si="128"/>
        <v>4938.96</v>
      </c>
      <c r="D2060">
        <f t="shared" si="129"/>
        <v>2704</v>
      </c>
      <c r="E2060">
        <f t="shared" si="130"/>
        <v>9021.2004000000015</v>
      </c>
      <c r="F2060">
        <f t="shared" si="131"/>
        <v>2704</v>
      </c>
    </row>
    <row r="2061" spans="1:6" x14ac:dyDescent="0.3">
      <c r="A2061">
        <v>64</v>
      </c>
      <c r="B2061">
        <v>228.42</v>
      </c>
      <c r="C2061">
        <f t="shared" si="128"/>
        <v>14618.88</v>
      </c>
      <c r="D2061">
        <f t="shared" si="129"/>
        <v>4096</v>
      </c>
      <c r="E2061">
        <f t="shared" si="130"/>
        <v>52175.696399999993</v>
      </c>
      <c r="F2061">
        <f t="shared" si="131"/>
        <v>4096</v>
      </c>
    </row>
    <row r="2062" spans="1:6" x14ac:dyDescent="0.3">
      <c r="A2062">
        <v>59</v>
      </c>
      <c r="B2062">
        <v>93.9</v>
      </c>
      <c r="C2062">
        <f t="shared" si="128"/>
        <v>5540.1</v>
      </c>
      <c r="D2062">
        <f t="shared" si="129"/>
        <v>3481</v>
      </c>
      <c r="E2062">
        <f t="shared" si="130"/>
        <v>8817.2100000000009</v>
      </c>
      <c r="F2062">
        <f t="shared" si="131"/>
        <v>3481</v>
      </c>
    </row>
    <row r="2063" spans="1:6" x14ac:dyDescent="0.3">
      <c r="A2063">
        <v>81</v>
      </c>
      <c r="B2063">
        <v>93.13</v>
      </c>
      <c r="C2063">
        <f t="shared" si="128"/>
        <v>7543.53</v>
      </c>
      <c r="D2063">
        <f t="shared" si="129"/>
        <v>6561</v>
      </c>
      <c r="E2063">
        <f t="shared" si="130"/>
        <v>8673.196899999999</v>
      </c>
      <c r="F2063">
        <f t="shared" si="131"/>
        <v>6561</v>
      </c>
    </row>
    <row r="2064" spans="1:6" x14ac:dyDescent="0.3">
      <c r="A2064">
        <v>15</v>
      </c>
      <c r="B2064">
        <v>121.6</v>
      </c>
      <c r="C2064">
        <f t="shared" si="128"/>
        <v>1824</v>
      </c>
      <c r="D2064">
        <f t="shared" si="129"/>
        <v>225</v>
      </c>
      <c r="E2064">
        <f t="shared" si="130"/>
        <v>14786.56</v>
      </c>
      <c r="F2064">
        <f t="shared" si="131"/>
        <v>225</v>
      </c>
    </row>
    <row r="2065" spans="1:6" x14ac:dyDescent="0.3">
      <c r="A2065">
        <v>50</v>
      </c>
      <c r="B2065">
        <v>84.4</v>
      </c>
      <c r="C2065">
        <f t="shared" si="128"/>
        <v>4220</v>
      </c>
      <c r="D2065">
        <f t="shared" si="129"/>
        <v>2500</v>
      </c>
      <c r="E2065">
        <f t="shared" si="130"/>
        <v>7123.3600000000006</v>
      </c>
      <c r="F2065">
        <f t="shared" si="131"/>
        <v>2500</v>
      </c>
    </row>
    <row r="2066" spans="1:6" x14ac:dyDescent="0.3">
      <c r="A2066">
        <v>73</v>
      </c>
      <c r="B2066">
        <v>82.13</v>
      </c>
      <c r="C2066">
        <f t="shared" si="128"/>
        <v>5995.49</v>
      </c>
      <c r="D2066">
        <f t="shared" si="129"/>
        <v>5329</v>
      </c>
      <c r="E2066">
        <f t="shared" si="130"/>
        <v>6745.3368999999993</v>
      </c>
      <c r="F2066">
        <f t="shared" si="131"/>
        <v>5329</v>
      </c>
    </row>
    <row r="2067" spans="1:6" x14ac:dyDescent="0.3">
      <c r="A2067">
        <v>19</v>
      </c>
      <c r="B2067">
        <v>73.33</v>
      </c>
      <c r="C2067">
        <f t="shared" si="128"/>
        <v>1393.27</v>
      </c>
      <c r="D2067">
        <f t="shared" si="129"/>
        <v>361</v>
      </c>
      <c r="E2067">
        <f t="shared" si="130"/>
        <v>5377.2888999999996</v>
      </c>
      <c r="F2067">
        <f t="shared" si="131"/>
        <v>361</v>
      </c>
    </row>
    <row r="2068" spans="1:6" x14ac:dyDescent="0.3">
      <c r="A2068">
        <v>30</v>
      </c>
      <c r="B2068">
        <v>75.88</v>
      </c>
      <c r="C2068">
        <f t="shared" si="128"/>
        <v>2276.3999999999996</v>
      </c>
      <c r="D2068">
        <f t="shared" si="129"/>
        <v>900</v>
      </c>
      <c r="E2068">
        <f t="shared" si="130"/>
        <v>5757.7743999999993</v>
      </c>
      <c r="F2068">
        <f t="shared" si="131"/>
        <v>900</v>
      </c>
    </row>
    <row r="2069" spans="1:6" x14ac:dyDescent="0.3">
      <c r="A2069">
        <v>40</v>
      </c>
      <c r="B2069">
        <v>212.97</v>
      </c>
      <c r="C2069">
        <f t="shared" si="128"/>
        <v>8518.7999999999993</v>
      </c>
      <c r="D2069">
        <f t="shared" si="129"/>
        <v>1600</v>
      </c>
      <c r="E2069">
        <f t="shared" si="130"/>
        <v>45356.2209</v>
      </c>
      <c r="F2069">
        <f t="shared" si="131"/>
        <v>1600</v>
      </c>
    </row>
    <row r="2070" spans="1:6" x14ac:dyDescent="0.3">
      <c r="A2070">
        <v>47</v>
      </c>
      <c r="B2070">
        <v>100.41</v>
      </c>
      <c r="C2070">
        <f t="shared" si="128"/>
        <v>4719.2699999999995</v>
      </c>
      <c r="D2070">
        <f t="shared" si="129"/>
        <v>2209</v>
      </c>
      <c r="E2070">
        <f t="shared" si="130"/>
        <v>10082.168099999999</v>
      </c>
      <c r="F2070">
        <f t="shared" si="131"/>
        <v>2209</v>
      </c>
    </row>
    <row r="2071" spans="1:6" x14ac:dyDescent="0.3">
      <c r="A2071">
        <v>66</v>
      </c>
      <c r="B2071">
        <v>202.05</v>
      </c>
      <c r="C2071">
        <f t="shared" si="128"/>
        <v>13335.300000000001</v>
      </c>
      <c r="D2071">
        <f t="shared" si="129"/>
        <v>4356</v>
      </c>
      <c r="E2071">
        <f t="shared" si="130"/>
        <v>40824.202500000007</v>
      </c>
      <c r="F2071">
        <f t="shared" si="131"/>
        <v>4356</v>
      </c>
    </row>
    <row r="2072" spans="1:6" x14ac:dyDescent="0.3">
      <c r="A2072">
        <v>47</v>
      </c>
      <c r="B2072">
        <v>71.42</v>
      </c>
      <c r="C2072">
        <f t="shared" si="128"/>
        <v>3356.7400000000002</v>
      </c>
      <c r="D2072">
        <f t="shared" si="129"/>
        <v>2209</v>
      </c>
      <c r="E2072">
        <f t="shared" si="130"/>
        <v>5100.8164000000006</v>
      </c>
      <c r="F2072">
        <f t="shared" si="131"/>
        <v>2209</v>
      </c>
    </row>
    <row r="2073" spans="1:6" x14ac:dyDescent="0.3">
      <c r="A2073">
        <v>41</v>
      </c>
      <c r="B2073">
        <v>107.5</v>
      </c>
      <c r="C2073">
        <f t="shared" si="128"/>
        <v>4407.5</v>
      </c>
      <c r="D2073">
        <f t="shared" si="129"/>
        <v>1681</v>
      </c>
      <c r="E2073">
        <f t="shared" si="130"/>
        <v>11556.25</v>
      </c>
      <c r="F2073">
        <f t="shared" si="131"/>
        <v>1681</v>
      </c>
    </row>
    <row r="2074" spans="1:6" x14ac:dyDescent="0.3">
      <c r="A2074">
        <v>63</v>
      </c>
      <c r="B2074">
        <v>55.57</v>
      </c>
      <c r="C2074">
        <f t="shared" si="128"/>
        <v>3500.91</v>
      </c>
      <c r="D2074">
        <f t="shared" si="129"/>
        <v>3969</v>
      </c>
      <c r="E2074">
        <f t="shared" si="130"/>
        <v>3088.0248999999999</v>
      </c>
      <c r="F2074">
        <f t="shared" si="131"/>
        <v>3969</v>
      </c>
    </row>
    <row r="2075" spans="1:6" x14ac:dyDescent="0.3">
      <c r="A2075">
        <v>12</v>
      </c>
      <c r="B2075">
        <v>58.14</v>
      </c>
      <c r="C2075">
        <f t="shared" si="128"/>
        <v>697.68000000000006</v>
      </c>
      <c r="D2075">
        <f t="shared" si="129"/>
        <v>144</v>
      </c>
      <c r="E2075">
        <f t="shared" si="130"/>
        <v>3380.2595999999999</v>
      </c>
      <c r="F2075">
        <f t="shared" si="131"/>
        <v>144</v>
      </c>
    </row>
    <row r="2076" spans="1:6" x14ac:dyDescent="0.3">
      <c r="A2076">
        <v>1.32</v>
      </c>
      <c r="B2076">
        <v>78.53</v>
      </c>
      <c r="C2076">
        <f t="shared" si="128"/>
        <v>103.65960000000001</v>
      </c>
      <c r="D2076">
        <f t="shared" si="129"/>
        <v>1.7424000000000002</v>
      </c>
      <c r="E2076">
        <f t="shared" si="130"/>
        <v>6166.9609</v>
      </c>
      <c r="F2076">
        <f t="shared" si="131"/>
        <v>1.7424000000000002</v>
      </c>
    </row>
    <row r="2077" spans="1:6" x14ac:dyDescent="0.3">
      <c r="A2077">
        <v>46</v>
      </c>
      <c r="B2077">
        <v>78.790000000000006</v>
      </c>
      <c r="C2077">
        <f t="shared" si="128"/>
        <v>3624.34</v>
      </c>
      <c r="D2077">
        <f t="shared" si="129"/>
        <v>2116</v>
      </c>
      <c r="E2077">
        <f t="shared" si="130"/>
        <v>6207.8641000000007</v>
      </c>
      <c r="F2077">
        <f t="shared" si="131"/>
        <v>2116</v>
      </c>
    </row>
    <row r="2078" spans="1:6" x14ac:dyDescent="0.3">
      <c r="A2078">
        <v>8</v>
      </c>
      <c r="B2078">
        <v>96.62</v>
      </c>
      <c r="C2078">
        <f t="shared" si="128"/>
        <v>772.96</v>
      </c>
      <c r="D2078">
        <f t="shared" si="129"/>
        <v>64</v>
      </c>
      <c r="E2078">
        <f t="shared" si="130"/>
        <v>9335.4244000000017</v>
      </c>
      <c r="F2078">
        <f t="shared" si="131"/>
        <v>64</v>
      </c>
    </row>
    <row r="2079" spans="1:6" x14ac:dyDescent="0.3">
      <c r="A2079">
        <v>74</v>
      </c>
      <c r="B2079">
        <v>65.28</v>
      </c>
      <c r="C2079">
        <f t="shared" si="128"/>
        <v>4830.72</v>
      </c>
      <c r="D2079">
        <f t="shared" si="129"/>
        <v>5476</v>
      </c>
      <c r="E2079">
        <f t="shared" si="130"/>
        <v>4261.4784</v>
      </c>
      <c r="F2079">
        <f t="shared" si="131"/>
        <v>5476</v>
      </c>
    </row>
    <row r="2080" spans="1:6" x14ac:dyDescent="0.3">
      <c r="A2080">
        <v>74</v>
      </c>
      <c r="B2080">
        <v>92.67</v>
      </c>
      <c r="C2080">
        <f t="shared" si="128"/>
        <v>6857.58</v>
      </c>
      <c r="D2080">
        <f t="shared" si="129"/>
        <v>5476</v>
      </c>
      <c r="E2080">
        <f t="shared" si="130"/>
        <v>8587.7289000000001</v>
      </c>
      <c r="F2080">
        <f t="shared" si="131"/>
        <v>5476</v>
      </c>
    </row>
    <row r="2081" spans="1:6" x14ac:dyDescent="0.3">
      <c r="A2081">
        <v>4</v>
      </c>
      <c r="B2081">
        <v>206.25</v>
      </c>
      <c r="C2081">
        <f t="shared" si="128"/>
        <v>825</v>
      </c>
      <c r="D2081">
        <f t="shared" si="129"/>
        <v>16</v>
      </c>
      <c r="E2081">
        <f t="shared" si="130"/>
        <v>42539.0625</v>
      </c>
      <c r="F2081">
        <f t="shared" si="131"/>
        <v>16</v>
      </c>
    </row>
    <row r="2082" spans="1:6" x14ac:dyDescent="0.3">
      <c r="A2082">
        <v>26</v>
      </c>
      <c r="B2082">
        <v>114.18</v>
      </c>
      <c r="C2082">
        <f t="shared" si="128"/>
        <v>2968.6800000000003</v>
      </c>
      <c r="D2082">
        <f t="shared" si="129"/>
        <v>676</v>
      </c>
      <c r="E2082">
        <f t="shared" si="130"/>
        <v>13037.072400000001</v>
      </c>
      <c r="F2082">
        <f t="shared" si="131"/>
        <v>676</v>
      </c>
    </row>
    <row r="2083" spans="1:6" x14ac:dyDescent="0.3">
      <c r="A2083">
        <v>63</v>
      </c>
      <c r="B2083">
        <v>231.69</v>
      </c>
      <c r="C2083">
        <f t="shared" si="128"/>
        <v>14596.47</v>
      </c>
      <c r="D2083">
        <f t="shared" si="129"/>
        <v>3969</v>
      </c>
      <c r="E2083">
        <f t="shared" si="130"/>
        <v>53680.256099999999</v>
      </c>
      <c r="F2083">
        <f t="shared" si="131"/>
        <v>3969</v>
      </c>
    </row>
    <row r="2084" spans="1:6" x14ac:dyDescent="0.3">
      <c r="A2084">
        <v>48</v>
      </c>
      <c r="B2084">
        <v>101.89</v>
      </c>
      <c r="C2084">
        <f t="shared" si="128"/>
        <v>4890.72</v>
      </c>
      <c r="D2084">
        <f t="shared" si="129"/>
        <v>2304</v>
      </c>
      <c r="E2084">
        <f t="shared" si="130"/>
        <v>10381.572099999999</v>
      </c>
      <c r="F2084">
        <f t="shared" si="131"/>
        <v>2304</v>
      </c>
    </row>
    <row r="2085" spans="1:6" x14ac:dyDescent="0.3">
      <c r="A2085">
        <v>24</v>
      </c>
      <c r="B2085">
        <v>107.22</v>
      </c>
      <c r="C2085">
        <f t="shared" si="128"/>
        <v>2573.2799999999997</v>
      </c>
      <c r="D2085">
        <f t="shared" si="129"/>
        <v>576</v>
      </c>
      <c r="E2085">
        <f t="shared" si="130"/>
        <v>11496.1284</v>
      </c>
      <c r="F2085">
        <f t="shared" si="131"/>
        <v>576</v>
      </c>
    </row>
    <row r="2086" spans="1:6" x14ac:dyDescent="0.3">
      <c r="A2086">
        <v>47</v>
      </c>
      <c r="B2086">
        <v>101.99</v>
      </c>
      <c r="C2086">
        <f t="shared" si="128"/>
        <v>4793.53</v>
      </c>
      <c r="D2086">
        <f t="shared" si="129"/>
        <v>2209</v>
      </c>
      <c r="E2086">
        <f t="shared" si="130"/>
        <v>10401.960099999998</v>
      </c>
      <c r="F2086">
        <f t="shared" si="131"/>
        <v>2209</v>
      </c>
    </row>
    <row r="2087" spans="1:6" x14ac:dyDescent="0.3">
      <c r="A2087">
        <v>70</v>
      </c>
      <c r="B2087">
        <v>72.56</v>
      </c>
      <c r="C2087">
        <f t="shared" si="128"/>
        <v>5079.2</v>
      </c>
      <c r="D2087">
        <f t="shared" si="129"/>
        <v>4900</v>
      </c>
      <c r="E2087">
        <f t="shared" si="130"/>
        <v>5264.9536000000007</v>
      </c>
      <c r="F2087">
        <f t="shared" si="131"/>
        <v>4900</v>
      </c>
    </row>
    <row r="2088" spans="1:6" x14ac:dyDescent="0.3">
      <c r="A2088">
        <v>41</v>
      </c>
      <c r="B2088">
        <v>94.47</v>
      </c>
      <c r="C2088">
        <f t="shared" si="128"/>
        <v>3873.27</v>
      </c>
      <c r="D2088">
        <f t="shared" si="129"/>
        <v>1681</v>
      </c>
      <c r="E2088">
        <f t="shared" si="130"/>
        <v>8924.580899999999</v>
      </c>
      <c r="F2088">
        <f t="shared" si="131"/>
        <v>1681</v>
      </c>
    </row>
    <row r="2089" spans="1:6" x14ac:dyDescent="0.3">
      <c r="A2089">
        <v>42</v>
      </c>
      <c r="B2089">
        <v>98.76</v>
      </c>
      <c r="C2089">
        <f t="shared" si="128"/>
        <v>4147.92</v>
      </c>
      <c r="D2089">
        <f t="shared" si="129"/>
        <v>1764</v>
      </c>
      <c r="E2089">
        <f t="shared" si="130"/>
        <v>9753.5376000000015</v>
      </c>
      <c r="F2089">
        <f t="shared" si="131"/>
        <v>1764</v>
      </c>
    </row>
    <row r="2090" spans="1:6" x14ac:dyDescent="0.3">
      <c r="A2090">
        <v>57</v>
      </c>
      <c r="B2090">
        <v>116.93</v>
      </c>
      <c r="C2090">
        <f t="shared" si="128"/>
        <v>6665.01</v>
      </c>
      <c r="D2090">
        <f t="shared" si="129"/>
        <v>3249</v>
      </c>
      <c r="E2090">
        <f t="shared" si="130"/>
        <v>13672.624900000001</v>
      </c>
      <c r="F2090">
        <f t="shared" si="131"/>
        <v>3249</v>
      </c>
    </row>
    <row r="2091" spans="1:6" x14ac:dyDescent="0.3">
      <c r="A2091">
        <v>51</v>
      </c>
      <c r="B2091">
        <v>219.96</v>
      </c>
      <c r="C2091">
        <f t="shared" si="128"/>
        <v>11217.960000000001</v>
      </c>
      <c r="D2091">
        <f t="shared" si="129"/>
        <v>2601</v>
      </c>
      <c r="E2091">
        <f t="shared" si="130"/>
        <v>48382.401600000005</v>
      </c>
      <c r="F2091">
        <f t="shared" si="131"/>
        <v>2601</v>
      </c>
    </row>
    <row r="2092" spans="1:6" x14ac:dyDescent="0.3">
      <c r="A2092">
        <v>15</v>
      </c>
      <c r="B2092">
        <v>75.77</v>
      </c>
      <c r="C2092">
        <f t="shared" si="128"/>
        <v>1136.55</v>
      </c>
      <c r="D2092">
        <f t="shared" si="129"/>
        <v>225</v>
      </c>
      <c r="E2092">
        <f t="shared" si="130"/>
        <v>5741.0928999999996</v>
      </c>
      <c r="F2092">
        <f t="shared" si="131"/>
        <v>225</v>
      </c>
    </row>
    <row r="2093" spans="1:6" x14ac:dyDescent="0.3">
      <c r="A2093">
        <v>11</v>
      </c>
      <c r="B2093">
        <v>124.35</v>
      </c>
      <c r="C2093">
        <f t="shared" si="128"/>
        <v>1367.85</v>
      </c>
      <c r="D2093">
        <f t="shared" si="129"/>
        <v>121</v>
      </c>
      <c r="E2093">
        <f t="shared" si="130"/>
        <v>15462.922499999999</v>
      </c>
      <c r="F2093">
        <f t="shared" si="131"/>
        <v>121</v>
      </c>
    </row>
    <row r="2094" spans="1:6" x14ac:dyDescent="0.3">
      <c r="A2094">
        <v>27</v>
      </c>
      <c r="B2094">
        <v>88.97</v>
      </c>
      <c r="C2094">
        <f t="shared" si="128"/>
        <v>2402.19</v>
      </c>
      <c r="D2094">
        <f t="shared" si="129"/>
        <v>729</v>
      </c>
      <c r="E2094">
        <f t="shared" si="130"/>
        <v>7915.6608999999999</v>
      </c>
      <c r="F2094">
        <f t="shared" si="131"/>
        <v>729</v>
      </c>
    </row>
    <row r="2095" spans="1:6" x14ac:dyDescent="0.3">
      <c r="A2095">
        <v>53</v>
      </c>
      <c r="B2095">
        <v>72.489999999999995</v>
      </c>
      <c r="C2095">
        <f t="shared" si="128"/>
        <v>3841.97</v>
      </c>
      <c r="D2095">
        <f t="shared" si="129"/>
        <v>2809</v>
      </c>
      <c r="E2095">
        <f t="shared" si="130"/>
        <v>5254.8000999999995</v>
      </c>
      <c r="F2095">
        <f t="shared" si="131"/>
        <v>2809</v>
      </c>
    </row>
    <row r="2096" spans="1:6" x14ac:dyDescent="0.3">
      <c r="A2096">
        <v>52</v>
      </c>
      <c r="B2096">
        <v>107.27</v>
      </c>
      <c r="C2096">
        <f t="shared" si="128"/>
        <v>5578.04</v>
      </c>
      <c r="D2096">
        <f t="shared" si="129"/>
        <v>2704</v>
      </c>
      <c r="E2096">
        <f t="shared" si="130"/>
        <v>11506.8529</v>
      </c>
      <c r="F2096">
        <f t="shared" si="131"/>
        <v>2704</v>
      </c>
    </row>
    <row r="2097" spans="1:6" x14ac:dyDescent="0.3">
      <c r="A2097">
        <v>68</v>
      </c>
      <c r="B2097">
        <v>97.96</v>
      </c>
      <c r="C2097">
        <f t="shared" si="128"/>
        <v>6661.28</v>
      </c>
      <c r="D2097">
        <f t="shared" si="129"/>
        <v>4624</v>
      </c>
      <c r="E2097">
        <f t="shared" si="130"/>
        <v>9596.1615999999995</v>
      </c>
      <c r="F2097">
        <f t="shared" si="131"/>
        <v>4624</v>
      </c>
    </row>
    <row r="2098" spans="1:6" x14ac:dyDescent="0.3">
      <c r="A2098">
        <v>65</v>
      </c>
      <c r="B2098">
        <v>197.69</v>
      </c>
      <c r="C2098">
        <f t="shared" si="128"/>
        <v>12849.85</v>
      </c>
      <c r="D2098">
        <f t="shared" si="129"/>
        <v>4225</v>
      </c>
      <c r="E2098">
        <f t="shared" si="130"/>
        <v>39081.3361</v>
      </c>
      <c r="F2098">
        <f t="shared" si="131"/>
        <v>4225</v>
      </c>
    </row>
    <row r="2099" spans="1:6" x14ac:dyDescent="0.3">
      <c r="A2099">
        <v>23</v>
      </c>
      <c r="B2099">
        <v>112.3</v>
      </c>
      <c r="C2099">
        <f t="shared" si="128"/>
        <v>2582.9</v>
      </c>
      <c r="D2099">
        <f t="shared" si="129"/>
        <v>529</v>
      </c>
      <c r="E2099">
        <f t="shared" si="130"/>
        <v>12611.289999999999</v>
      </c>
      <c r="F2099">
        <f t="shared" si="131"/>
        <v>529</v>
      </c>
    </row>
    <row r="2100" spans="1:6" x14ac:dyDescent="0.3">
      <c r="A2100">
        <v>43</v>
      </c>
      <c r="B2100">
        <v>75.77</v>
      </c>
      <c r="C2100">
        <f t="shared" si="128"/>
        <v>3258.1099999999997</v>
      </c>
      <c r="D2100">
        <f t="shared" si="129"/>
        <v>1849</v>
      </c>
      <c r="E2100">
        <f t="shared" si="130"/>
        <v>5741.0928999999996</v>
      </c>
      <c r="F2100">
        <f t="shared" si="131"/>
        <v>1849</v>
      </c>
    </row>
    <row r="2101" spans="1:6" x14ac:dyDescent="0.3">
      <c r="A2101">
        <v>55</v>
      </c>
      <c r="B2101">
        <v>76.510000000000005</v>
      </c>
      <c r="C2101">
        <f t="shared" si="128"/>
        <v>4208.05</v>
      </c>
      <c r="D2101">
        <f t="shared" si="129"/>
        <v>3025</v>
      </c>
      <c r="E2101">
        <f t="shared" si="130"/>
        <v>5853.7801000000009</v>
      </c>
      <c r="F2101">
        <f t="shared" si="131"/>
        <v>3025</v>
      </c>
    </row>
    <row r="2102" spans="1:6" x14ac:dyDescent="0.3">
      <c r="A2102">
        <v>52</v>
      </c>
      <c r="B2102">
        <v>93.14</v>
      </c>
      <c r="C2102">
        <f t="shared" si="128"/>
        <v>4843.28</v>
      </c>
      <c r="D2102">
        <f t="shared" si="129"/>
        <v>2704</v>
      </c>
      <c r="E2102">
        <f t="shared" si="130"/>
        <v>8675.0596000000005</v>
      </c>
      <c r="F2102">
        <f t="shared" si="131"/>
        <v>2704</v>
      </c>
    </row>
    <row r="2103" spans="1:6" x14ac:dyDescent="0.3">
      <c r="A2103">
        <v>21</v>
      </c>
      <c r="B2103">
        <v>80.84</v>
      </c>
      <c r="C2103">
        <f t="shared" si="128"/>
        <v>1697.64</v>
      </c>
      <c r="D2103">
        <f t="shared" si="129"/>
        <v>441</v>
      </c>
      <c r="E2103">
        <f t="shared" si="130"/>
        <v>6535.1056000000008</v>
      </c>
      <c r="F2103">
        <f t="shared" si="131"/>
        <v>441</v>
      </c>
    </row>
    <row r="2104" spans="1:6" x14ac:dyDescent="0.3">
      <c r="A2104">
        <v>78</v>
      </c>
      <c r="B2104">
        <v>199.88</v>
      </c>
      <c r="C2104">
        <f t="shared" si="128"/>
        <v>15590.64</v>
      </c>
      <c r="D2104">
        <f t="shared" si="129"/>
        <v>6084</v>
      </c>
      <c r="E2104">
        <f t="shared" si="130"/>
        <v>39952.0144</v>
      </c>
      <c r="F2104">
        <f t="shared" si="131"/>
        <v>6084</v>
      </c>
    </row>
    <row r="2105" spans="1:6" x14ac:dyDescent="0.3">
      <c r="A2105">
        <v>35</v>
      </c>
      <c r="B2105">
        <v>77.48</v>
      </c>
      <c r="C2105">
        <f t="shared" si="128"/>
        <v>2711.8</v>
      </c>
      <c r="D2105">
        <f t="shared" si="129"/>
        <v>1225</v>
      </c>
      <c r="E2105">
        <f t="shared" si="130"/>
        <v>6003.1504000000004</v>
      </c>
      <c r="F2105">
        <f t="shared" si="131"/>
        <v>1225</v>
      </c>
    </row>
    <row r="2106" spans="1:6" x14ac:dyDescent="0.3">
      <c r="A2106">
        <v>49</v>
      </c>
      <c r="B2106">
        <v>65.34</v>
      </c>
      <c r="C2106">
        <f t="shared" si="128"/>
        <v>3201.6600000000003</v>
      </c>
      <c r="D2106">
        <f t="shared" si="129"/>
        <v>2401</v>
      </c>
      <c r="E2106">
        <f t="shared" si="130"/>
        <v>4269.3156000000008</v>
      </c>
      <c r="F2106">
        <f t="shared" si="131"/>
        <v>2401</v>
      </c>
    </row>
    <row r="2107" spans="1:6" x14ac:dyDescent="0.3">
      <c r="A2107">
        <v>50</v>
      </c>
      <c r="B2107">
        <v>81.96</v>
      </c>
      <c r="C2107">
        <f t="shared" si="128"/>
        <v>4098</v>
      </c>
      <c r="D2107">
        <f t="shared" si="129"/>
        <v>2500</v>
      </c>
      <c r="E2107">
        <f t="shared" si="130"/>
        <v>6717.4415999999992</v>
      </c>
      <c r="F2107">
        <f t="shared" si="131"/>
        <v>2500</v>
      </c>
    </row>
    <row r="2108" spans="1:6" x14ac:dyDescent="0.3">
      <c r="A2108">
        <v>27</v>
      </c>
      <c r="B2108">
        <v>98.71</v>
      </c>
      <c r="C2108">
        <f t="shared" si="128"/>
        <v>2665.1699999999996</v>
      </c>
      <c r="D2108">
        <f t="shared" si="129"/>
        <v>729</v>
      </c>
      <c r="E2108">
        <f t="shared" si="130"/>
        <v>9743.6640999999981</v>
      </c>
      <c r="F2108">
        <f t="shared" si="131"/>
        <v>729</v>
      </c>
    </row>
    <row r="2109" spans="1:6" x14ac:dyDescent="0.3">
      <c r="A2109">
        <v>52</v>
      </c>
      <c r="B2109">
        <v>170.22</v>
      </c>
      <c r="C2109">
        <f t="shared" si="128"/>
        <v>8851.44</v>
      </c>
      <c r="D2109">
        <f t="shared" si="129"/>
        <v>2704</v>
      </c>
      <c r="E2109">
        <f t="shared" si="130"/>
        <v>28974.848399999999</v>
      </c>
      <c r="F2109">
        <f t="shared" si="131"/>
        <v>2704</v>
      </c>
    </row>
    <row r="2110" spans="1:6" x14ac:dyDescent="0.3">
      <c r="A2110">
        <v>22</v>
      </c>
      <c r="B2110">
        <v>73.5</v>
      </c>
      <c r="C2110">
        <f t="shared" si="128"/>
        <v>1617</v>
      </c>
      <c r="D2110">
        <f t="shared" si="129"/>
        <v>484</v>
      </c>
      <c r="E2110">
        <f t="shared" si="130"/>
        <v>5402.25</v>
      </c>
      <c r="F2110">
        <f t="shared" si="131"/>
        <v>484</v>
      </c>
    </row>
    <row r="2111" spans="1:6" x14ac:dyDescent="0.3">
      <c r="A2111">
        <v>19</v>
      </c>
      <c r="B2111">
        <v>72.39</v>
      </c>
      <c r="C2111">
        <f t="shared" si="128"/>
        <v>1375.41</v>
      </c>
      <c r="D2111">
        <f t="shared" si="129"/>
        <v>361</v>
      </c>
      <c r="E2111">
        <f t="shared" si="130"/>
        <v>5240.3121000000001</v>
      </c>
      <c r="F2111">
        <f t="shared" si="131"/>
        <v>361</v>
      </c>
    </row>
    <row r="2112" spans="1:6" x14ac:dyDescent="0.3">
      <c r="A2112">
        <v>77</v>
      </c>
      <c r="B2112">
        <v>102.96</v>
      </c>
      <c r="C2112">
        <f t="shared" si="128"/>
        <v>7927.9199999999992</v>
      </c>
      <c r="D2112">
        <f t="shared" si="129"/>
        <v>5929</v>
      </c>
      <c r="E2112">
        <f t="shared" si="130"/>
        <v>10600.761599999998</v>
      </c>
      <c r="F2112">
        <f t="shared" si="131"/>
        <v>5929</v>
      </c>
    </row>
    <row r="2113" spans="1:6" x14ac:dyDescent="0.3">
      <c r="A2113">
        <v>57</v>
      </c>
      <c r="B2113">
        <v>80.72</v>
      </c>
      <c r="C2113">
        <f t="shared" si="128"/>
        <v>4601.04</v>
      </c>
      <c r="D2113">
        <f t="shared" si="129"/>
        <v>3249</v>
      </c>
      <c r="E2113">
        <f t="shared" si="130"/>
        <v>6515.7183999999997</v>
      </c>
      <c r="F2113">
        <f t="shared" si="131"/>
        <v>3249</v>
      </c>
    </row>
    <row r="2114" spans="1:6" x14ac:dyDescent="0.3">
      <c r="A2114">
        <v>13</v>
      </c>
      <c r="B2114">
        <v>74.19</v>
      </c>
      <c r="C2114">
        <f t="shared" si="128"/>
        <v>964.47</v>
      </c>
      <c r="D2114">
        <f t="shared" si="129"/>
        <v>169</v>
      </c>
      <c r="E2114">
        <f t="shared" si="130"/>
        <v>5504.1560999999992</v>
      </c>
      <c r="F2114">
        <f t="shared" si="131"/>
        <v>169</v>
      </c>
    </row>
    <row r="2115" spans="1:6" x14ac:dyDescent="0.3">
      <c r="A2115">
        <v>14</v>
      </c>
      <c r="B2115">
        <v>77.12</v>
      </c>
      <c r="C2115">
        <f t="shared" ref="C2115:C2178" si="132">A2115*B2115</f>
        <v>1079.68</v>
      </c>
      <c r="D2115">
        <f t="shared" ref="D2115:D2178" si="133">A2115*A2115</f>
        <v>196</v>
      </c>
      <c r="E2115">
        <f t="shared" ref="E2115:E2178" si="134">B2115*B2115</f>
        <v>5947.4944000000005</v>
      </c>
      <c r="F2115">
        <f t="shared" ref="F2115:F2178" si="135">A2115^2</f>
        <v>196</v>
      </c>
    </row>
    <row r="2116" spans="1:6" x14ac:dyDescent="0.3">
      <c r="A2116">
        <v>29</v>
      </c>
      <c r="B2116">
        <v>81.2</v>
      </c>
      <c r="C2116">
        <f t="shared" si="132"/>
        <v>2354.8000000000002</v>
      </c>
      <c r="D2116">
        <f t="shared" si="133"/>
        <v>841</v>
      </c>
      <c r="E2116">
        <f t="shared" si="134"/>
        <v>6593.4400000000005</v>
      </c>
      <c r="F2116">
        <f t="shared" si="135"/>
        <v>841</v>
      </c>
    </row>
    <row r="2117" spans="1:6" x14ac:dyDescent="0.3">
      <c r="A2117">
        <v>49</v>
      </c>
      <c r="B2117">
        <v>114.76</v>
      </c>
      <c r="C2117">
        <f t="shared" si="132"/>
        <v>5623.2400000000007</v>
      </c>
      <c r="D2117">
        <f t="shared" si="133"/>
        <v>2401</v>
      </c>
      <c r="E2117">
        <f t="shared" si="134"/>
        <v>13169.857600000001</v>
      </c>
      <c r="F2117">
        <f t="shared" si="135"/>
        <v>2401</v>
      </c>
    </row>
    <row r="2118" spans="1:6" x14ac:dyDescent="0.3">
      <c r="A2118">
        <v>1.24</v>
      </c>
      <c r="B2118">
        <v>109.97</v>
      </c>
      <c r="C2118">
        <f t="shared" si="132"/>
        <v>136.36279999999999</v>
      </c>
      <c r="D2118">
        <f t="shared" si="133"/>
        <v>1.5376000000000001</v>
      </c>
      <c r="E2118">
        <f t="shared" si="134"/>
        <v>12093.400900000001</v>
      </c>
      <c r="F2118">
        <f t="shared" si="135"/>
        <v>1.5376000000000001</v>
      </c>
    </row>
    <row r="2119" spans="1:6" x14ac:dyDescent="0.3">
      <c r="A2119">
        <v>21</v>
      </c>
      <c r="B2119">
        <v>92.87</v>
      </c>
      <c r="C2119">
        <f t="shared" si="132"/>
        <v>1950.27</v>
      </c>
      <c r="D2119">
        <f t="shared" si="133"/>
        <v>441</v>
      </c>
      <c r="E2119">
        <f t="shared" si="134"/>
        <v>8624.8369000000002</v>
      </c>
      <c r="F2119">
        <f t="shared" si="135"/>
        <v>441</v>
      </c>
    </row>
    <row r="2120" spans="1:6" x14ac:dyDescent="0.3">
      <c r="A2120">
        <v>36</v>
      </c>
      <c r="B2120">
        <v>113.05</v>
      </c>
      <c r="C2120">
        <f t="shared" si="132"/>
        <v>4069.7999999999997</v>
      </c>
      <c r="D2120">
        <f t="shared" si="133"/>
        <v>1296</v>
      </c>
      <c r="E2120">
        <f t="shared" si="134"/>
        <v>12780.3025</v>
      </c>
      <c r="F2120">
        <f t="shared" si="135"/>
        <v>1296</v>
      </c>
    </row>
    <row r="2121" spans="1:6" x14ac:dyDescent="0.3">
      <c r="A2121">
        <v>42</v>
      </c>
      <c r="B2121">
        <v>68.239999999999995</v>
      </c>
      <c r="C2121">
        <f t="shared" si="132"/>
        <v>2866.08</v>
      </c>
      <c r="D2121">
        <f t="shared" si="133"/>
        <v>1764</v>
      </c>
      <c r="E2121">
        <f t="shared" si="134"/>
        <v>4656.6975999999995</v>
      </c>
      <c r="F2121">
        <f t="shared" si="135"/>
        <v>1764</v>
      </c>
    </row>
    <row r="2122" spans="1:6" x14ac:dyDescent="0.3">
      <c r="A2122">
        <v>56</v>
      </c>
      <c r="B2122">
        <v>74.349999999999994</v>
      </c>
      <c r="C2122">
        <f t="shared" si="132"/>
        <v>4163.5999999999995</v>
      </c>
      <c r="D2122">
        <f t="shared" si="133"/>
        <v>3136</v>
      </c>
      <c r="E2122">
        <f t="shared" si="134"/>
        <v>5527.9224999999988</v>
      </c>
      <c r="F2122">
        <f t="shared" si="135"/>
        <v>3136</v>
      </c>
    </row>
    <row r="2123" spans="1:6" x14ac:dyDescent="0.3">
      <c r="A2123">
        <v>46</v>
      </c>
      <c r="B2123">
        <v>91.08</v>
      </c>
      <c r="C2123">
        <f t="shared" si="132"/>
        <v>4189.68</v>
      </c>
      <c r="D2123">
        <f t="shared" si="133"/>
        <v>2116</v>
      </c>
      <c r="E2123">
        <f t="shared" si="134"/>
        <v>8295.5663999999997</v>
      </c>
      <c r="F2123">
        <f t="shared" si="135"/>
        <v>2116</v>
      </c>
    </row>
    <row r="2124" spans="1:6" x14ac:dyDescent="0.3">
      <c r="A2124">
        <v>79</v>
      </c>
      <c r="B2124">
        <v>88.83</v>
      </c>
      <c r="C2124">
        <f t="shared" si="132"/>
        <v>7017.57</v>
      </c>
      <c r="D2124">
        <f t="shared" si="133"/>
        <v>6241</v>
      </c>
      <c r="E2124">
        <f t="shared" si="134"/>
        <v>7890.7689</v>
      </c>
      <c r="F2124">
        <f t="shared" si="135"/>
        <v>6241</v>
      </c>
    </row>
    <row r="2125" spans="1:6" x14ac:dyDescent="0.3">
      <c r="A2125">
        <v>25</v>
      </c>
      <c r="B2125">
        <v>134.33000000000001</v>
      </c>
      <c r="C2125">
        <f t="shared" si="132"/>
        <v>3358.2500000000005</v>
      </c>
      <c r="D2125">
        <f t="shared" si="133"/>
        <v>625</v>
      </c>
      <c r="E2125">
        <f t="shared" si="134"/>
        <v>18044.548900000002</v>
      </c>
      <c r="F2125">
        <f t="shared" si="135"/>
        <v>625</v>
      </c>
    </row>
    <row r="2126" spans="1:6" x14ac:dyDescent="0.3">
      <c r="A2126">
        <v>67</v>
      </c>
      <c r="B2126">
        <v>208.78</v>
      </c>
      <c r="C2126">
        <f t="shared" si="132"/>
        <v>13988.26</v>
      </c>
      <c r="D2126">
        <f t="shared" si="133"/>
        <v>4489</v>
      </c>
      <c r="E2126">
        <f t="shared" si="134"/>
        <v>43589.088400000001</v>
      </c>
      <c r="F2126">
        <f t="shared" si="135"/>
        <v>4489</v>
      </c>
    </row>
    <row r="2127" spans="1:6" x14ac:dyDescent="0.3">
      <c r="A2127">
        <v>37</v>
      </c>
      <c r="B2127">
        <v>66.17</v>
      </c>
      <c r="C2127">
        <f t="shared" si="132"/>
        <v>2448.29</v>
      </c>
      <c r="D2127">
        <f t="shared" si="133"/>
        <v>1369</v>
      </c>
      <c r="E2127">
        <f t="shared" si="134"/>
        <v>4378.4688999999998</v>
      </c>
      <c r="F2127">
        <f t="shared" si="135"/>
        <v>1369</v>
      </c>
    </row>
    <row r="2128" spans="1:6" x14ac:dyDescent="0.3">
      <c r="A2128">
        <v>44</v>
      </c>
      <c r="B2128">
        <v>222.29</v>
      </c>
      <c r="C2128">
        <f t="shared" si="132"/>
        <v>9780.76</v>
      </c>
      <c r="D2128">
        <f t="shared" si="133"/>
        <v>1936</v>
      </c>
      <c r="E2128">
        <f t="shared" si="134"/>
        <v>49412.844099999995</v>
      </c>
      <c r="F2128">
        <f t="shared" si="135"/>
        <v>1936</v>
      </c>
    </row>
    <row r="2129" spans="1:6" x14ac:dyDescent="0.3">
      <c r="A2129">
        <v>36</v>
      </c>
      <c r="B2129">
        <v>114.16</v>
      </c>
      <c r="C2129">
        <f t="shared" si="132"/>
        <v>4109.76</v>
      </c>
      <c r="D2129">
        <f t="shared" si="133"/>
        <v>1296</v>
      </c>
      <c r="E2129">
        <f t="shared" si="134"/>
        <v>13032.505599999999</v>
      </c>
      <c r="F2129">
        <f t="shared" si="135"/>
        <v>1296</v>
      </c>
    </row>
    <row r="2130" spans="1:6" x14ac:dyDescent="0.3">
      <c r="A2130">
        <v>17</v>
      </c>
      <c r="B2130">
        <v>61.67</v>
      </c>
      <c r="C2130">
        <f t="shared" si="132"/>
        <v>1048.3900000000001</v>
      </c>
      <c r="D2130">
        <f t="shared" si="133"/>
        <v>289</v>
      </c>
      <c r="E2130">
        <f t="shared" si="134"/>
        <v>3803.1889000000001</v>
      </c>
      <c r="F2130">
        <f t="shared" si="135"/>
        <v>289</v>
      </c>
    </row>
    <row r="2131" spans="1:6" x14ac:dyDescent="0.3">
      <c r="A2131">
        <v>50</v>
      </c>
      <c r="B2131">
        <v>220.36</v>
      </c>
      <c r="C2131">
        <f t="shared" si="132"/>
        <v>11018</v>
      </c>
      <c r="D2131">
        <f t="shared" si="133"/>
        <v>2500</v>
      </c>
      <c r="E2131">
        <f t="shared" si="134"/>
        <v>48558.529600000009</v>
      </c>
      <c r="F2131">
        <f t="shared" si="135"/>
        <v>2500</v>
      </c>
    </row>
    <row r="2132" spans="1:6" x14ac:dyDescent="0.3">
      <c r="A2132">
        <v>53</v>
      </c>
      <c r="B2132">
        <v>76.03</v>
      </c>
      <c r="C2132">
        <f t="shared" si="132"/>
        <v>4029.59</v>
      </c>
      <c r="D2132">
        <f t="shared" si="133"/>
        <v>2809</v>
      </c>
      <c r="E2132">
        <f t="shared" si="134"/>
        <v>5780.5609000000004</v>
      </c>
      <c r="F2132">
        <f t="shared" si="135"/>
        <v>2809</v>
      </c>
    </row>
    <row r="2133" spans="1:6" x14ac:dyDescent="0.3">
      <c r="A2133">
        <v>39</v>
      </c>
      <c r="B2133">
        <v>73.06</v>
      </c>
      <c r="C2133">
        <f t="shared" si="132"/>
        <v>2849.34</v>
      </c>
      <c r="D2133">
        <f t="shared" si="133"/>
        <v>1521</v>
      </c>
      <c r="E2133">
        <f t="shared" si="134"/>
        <v>5337.7636000000002</v>
      </c>
      <c r="F2133">
        <f t="shared" si="135"/>
        <v>1521</v>
      </c>
    </row>
    <row r="2134" spans="1:6" x14ac:dyDescent="0.3">
      <c r="A2134">
        <v>71</v>
      </c>
      <c r="B2134">
        <v>187.88</v>
      </c>
      <c r="C2134">
        <f t="shared" si="132"/>
        <v>13339.48</v>
      </c>
      <c r="D2134">
        <f t="shared" si="133"/>
        <v>5041</v>
      </c>
      <c r="E2134">
        <f t="shared" si="134"/>
        <v>35298.894399999997</v>
      </c>
      <c r="F2134">
        <f t="shared" si="135"/>
        <v>5041</v>
      </c>
    </row>
    <row r="2135" spans="1:6" x14ac:dyDescent="0.3">
      <c r="A2135">
        <v>18</v>
      </c>
      <c r="B2135">
        <v>79.89</v>
      </c>
      <c r="C2135">
        <f t="shared" si="132"/>
        <v>1438.02</v>
      </c>
      <c r="D2135">
        <f t="shared" si="133"/>
        <v>324</v>
      </c>
      <c r="E2135">
        <f t="shared" si="134"/>
        <v>6382.4121000000005</v>
      </c>
      <c r="F2135">
        <f t="shared" si="135"/>
        <v>324</v>
      </c>
    </row>
    <row r="2136" spans="1:6" x14ac:dyDescent="0.3">
      <c r="A2136">
        <v>55</v>
      </c>
      <c r="B2136">
        <v>79.02</v>
      </c>
      <c r="C2136">
        <f t="shared" si="132"/>
        <v>4346.0999999999995</v>
      </c>
      <c r="D2136">
        <f t="shared" si="133"/>
        <v>3025</v>
      </c>
      <c r="E2136">
        <f t="shared" si="134"/>
        <v>6244.1603999999998</v>
      </c>
      <c r="F2136">
        <f t="shared" si="135"/>
        <v>3025</v>
      </c>
    </row>
    <row r="2137" spans="1:6" x14ac:dyDescent="0.3">
      <c r="A2137">
        <v>52</v>
      </c>
      <c r="B2137">
        <v>191.66</v>
      </c>
      <c r="C2137">
        <f t="shared" si="132"/>
        <v>9966.32</v>
      </c>
      <c r="D2137">
        <f t="shared" si="133"/>
        <v>2704</v>
      </c>
      <c r="E2137">
        <f t="shared" si="134"/>
        <v>36733.5556</v>
      </c>
      <c r="F2137">
        <f t="shared" si="135"/>
        <v>2704</v>
      </c>
    </row>
    <row r="2138" spans="1:6" x14ac:dyDescent="0.3">
      <c r="A2138">
        <v>27</v>
      </c>
      <c r="B2138">
        <v>76.739999999999995</v>
      </c>
      <c r="C2138">
        <f t="shared" si="132"/>
        <v>2071.98</v>
      </c>
      <c r="D2138">
        <f t="shared" si="133"/>
        <v>729</v>
      </c>
      <c r="E2138">
        <f t="shared" si="134"/>
        <v>5889.0275999999994</v>
      </c>
      <c r="F2138">
        <f t="shared" si="135"/>
        <v>729</v>
      </c>
    </row>
    <row r="2139" spans="1:6" x14ac:dyDescent="0.3">
      <c r="A2139">
        <v>24</v>
      </c>
      <c r="B2139">
        <v>72.290000000000006</v>
      </c>
      <c r="C2139">
        <f t="shared" si="132"/>
        <v>1734.96</v>
      </c>
      <c r="D2139">
        <f t="shared" si="133"/>
        <v>576</v>
      </c>
      <c r="E2139">
        <f t="shared" si="134"/>
        <v>5225.8441000000012</v>
      </c>
      <c r="F2139">
        <f t="shared" si="135"/>
        <v>576</v>
      </c>
    </row>
    <row r="2140" spans="1:6" x14ac:dyDescent="0.3">
      <c r="A2140">
        <v>72</v>
      </c>
      <c r="B2140">
        <v>92.59</v>
      </c>
      <c r="C2140">
        <f t="shared" si="132"/>
        <v>6666.4800000000005</v>
      </c>
      <c r="D2140">
        <f t="shared" si="133"/>
        <v>5184</v>
      </c>
      <c r="E2140">
        <f t="shared" si="134"/>
        <v>8572.9081000000006</v>
      </c>
      <c r="F2140">
        <f t="shared" si="135"/>
        <v>5184</v>
      </c>
    </row>
    <row r="2141" spans="1:6" x14ac:dyDescent="0.3">
      <c r="A2141">
        <v>41</v>
      </c>
      <c r="B2141">
        <v>80.42</v>
      </c>
      <c r="C2141">
        <f t="shared" si="132"/>
        <v>3297.2200000000003</v>
      </c>
      <c r="D2141">
        <f t="shared" si="133"/>
        <v>1681</v>
      </c>
      <c r="E2141">
        <f t="shared" si="134"/>
        <v>6467.3764000000001</v>
      </c>
      <c r="F2141">
        <f t="shared" si="135"/>
        <v>1681</v>
      </c>
    </row>
    <row r="2142" spans="1:6" x14ac:dyDescent="0.3">
      <c r="A2142">
        <v>29</v>
      </c>
      <c r="B2142">
        <v>62.47</v>
      </c>
      <c r="C2142">
        <f t="shared" si="132"/>
        <v>1811.6299999999999</v>
      </c>
      <c r="D2142">
        <f t="shared" si="133"/>
        <v>841</v>
      </c>
      <c r="E2142">
        <f t="shared" si="134"/>
        <v>3902.5009</v>
      </c>
      <c r="F2142">
        <f t="shared" si="135"/>
        <v>841</v>
      </c>
    </row>
    <row r="2143" spans="1:6" x14ac:dyDescent="0.3">
      <c r="A2143">
        <v>26</v>
      </c>
      <c r="B2143">
        <v>63.94</v>
      </c>
      <c r="C2143">
        <f t="shared" si="132"/>
        <v>1662.44</v>
      </c>
      <c r="D2143">
        <f t="shared" si="133"/>
        <v>676</v>
      </c>
      <c r="E2143">
        <f t="shared" si="134"/>
        <v>4088.3235999999997</v>
      </c>
      <c r="F2143">
        <f t="shared" si="135"/>
        <v>676</v>
      </c>
    </row>
    <row r="2144" spans="1:6" x14ac:dyDescent="0.3">
      <c r="A2144">
        <v>23</v>
      </c>
      <c r="B2144">
        <v>77.73</v>
      </c>
      <c r="C2144">
        <f t="shared" si="132"/>
        <v>1787.7900000000002</v>
      </c>
      <c r="D2144">
        <f t="shared" si="133"/>
        <v>529</v>
      </c>
      <c r="E2144">
        <f t="shared" si="134"/>
        <v>6041.9529000000002</v>
      </c>
      <c r="F2144">
        <f t="shared" si="135"/>
        <v>529</v>
      </c>
    </row>
    <row r="2145" spans="1:6" x14ac:dyDescent="0.3">
      <c r="A2145">
        <v>43</v>
      </c>
      <c r="B2145">
        <v>115.79</v>
      </c>
      <c r="C2145">
        <f t="shared" si="132"/>
        <v>4978.97</v>
      </c>
      <c r="D2145">
        <f t="shared" si="133"/>
        <v>1849</v>
      </c>
      <c r="E2145">
        <f t="shared" si="134"/>
        <v>13407.324100000002</v>
      </c>
      <c r="F2145">
        <f t="shared" si="135"/>
        <v>1849</v>
      </c>
    </row>
    <row r="2146" spans="1:6" x14ac:dyDescent="0.3">
      <c r="A2146">
        <v>43</v>
      </c>
      <c r="B2146">
        <v>96.3</v>
      </c>
      <c r="C2146">
        <f t="shared" si="132"/>
        <v>4140.8999999999996</v>
      </c>
      <c r="D2146">
        <f t="shared" si="133"/>
        <v>1849</v>
      </c>
      <c r="E2146">
        <f t="shared" si="134"/>
        <v>9273.6899999999987</v>
      </c>
      <c r="F2146">
        <f t="shared" si="135"/>
        <v>1849</v>
      </c>
    </row>
    <row r="2147" spans="1:6" x14ac:dyDescent="0.3">
      <c r="A2147">
        <v>49</v>
      </c>
      <c r="B2147">
        <v>107.46</v>
      </c>
      <c r="C2147">
        <f t="shared" si="132"/>
        <v>5265.54</v>
      </c>
      <c r="D2147">
        <f t="shared" si="133"/>
        <v>2401</v>
      </c>
      <c r="E2147">
        <f t="shared" si="134"/>
        <v>11547.651599999999</v>
      </c>
      <c r="F2147">
        <f t="shared" si="135"/>
        <v>2401</v>
      </c>
    </row>
    <row r="2148" spans="1:6" x14ac:dyDescent="0.3">
      <c r="A2148">
        <v>13</v>
      </c>
      <c r="B2148">
        <v>108.33</v>
      </c>
      <c r="C2148">
        <f t="shared" si="132"/>
        <v>1408.29</v>
      </c>
      <c r="D2148">
        <f t="shared" si="133"/>
        <v>169</v>
      </c>
      <c r="E2148">
        <f t="shared" si="134"/>
        <v>11735.3889</v>
      </c>
      <c r="F2148">
        <f t="shared" si="135"/>
        <v>169</v>
      </c>
    </row>
    <row r="2149" spans="1:6" x14ac:dyDescent="0.3">
      <c r="A2149">
        <v>26</v>
      </c>
      <c r="B2149">
        <v>89.37</v>
      </c>
      <c r="C2149">
        <f t="shared" si="132"/>
        <v>2323.62</v>
      </c>
      <c r="D2149">
        <f t="shared" si="133"/>
        <v>676</v>
      </c>
      <c r="E2149">
        <f t="shared" si="134"/>
        <v>7986.996900000001</v>
      </c>
      <c r="F2149">
        <f t="shared" si="135"/>
        <v>676</v>
      </c>
    </row>
    <row r="2150" spans="1:6" x14ac:dyDescent="0.3">
      <c r="A2150">
        <v>10</v>
      </c>
      <c r="B2150">
        <v>93.64</v>
      </c>
      <c r="C2150">
        <f t="shared" si="132"/>
        <v>936.4</v>
      </c>
      <c r="D2150">
        <f t="shared" si="133"/>
        <v>100</v>
      </c>
      <c r="E2150">
        <f t="shared" si="134"/>
        <v>8768.4495999999999</v>
      </c>
      <c r="F2150">
        <f t="shared" si="135"/>
        <v>100</v>
      </c>
    </row>
    <row r="2151" spans="1:6" x14ac:dyDescent="0.3">
      <c r="A2151">
        <v>39</v>
      </c>
      <c r="B2151">
        <v>217.75</v>
      </c>
      <c r="C2151">
        <f t="shared" si="132"/>
        <v>8492.25</v>
      </c>
      <c r="D2151">
        <f t="shared" si="133"/>
        <v>1521</v>
      </c>
      <c r="E2151">
        <f t="shared" si="134"/>
        <v>47415.0625</v>
      </c>
      <c r="F2151">
        <f t="shared" si="135"/>
        <v>1521</v>
      </c>
    </row>
    <row r="2152" spans="1:6" x14ac:dyDescent="0.3">
      <c r="A2152">
        <v>41</v>
      </c>
      <c r="B2152">
        <v>83.44</v>
      </c>
      <c r="C2152">
        <f t="shared" si="132"/>
        <v>3421.04</v>
      </c>
      <c r="D2152">
        <f t="shared" si="133"/>
        <v>1681</v>
      </c>
      <c r="E2152">
        <f t="shared" si="134"/>
        <v>6962.2335999999996</v>
      </c>
      <c r="F2152">
        <f t="shared" si="135"/>
        <v>1681</v>
      </c>
    </row>
    <row r="2153" spans="1:6" x14ac:dyDescent="0.3">
      <c r="A2153">
        <v>25</v>
      </c>
      <c r="B2153">
        <v>93.88</v>
      </c>
      <c r="C2153">
        <f t="shared" si="132"/>
        <v>2347</v>
      </c>
      <c r="D2153">
        <f t="shared" si="133"/>
        <v>625</v>
      </c>
      <c r="E2153">
        <f t="shared" si="134"/>
        <v>8813.4543999999987</v>
      </c>
      <c r="F2153">
        <f t="shared" si="135"/>
        <v>625</v>
      </c>
    </row>
    <row r="2154" spans="1:6" x14ac:dyDescent="0.3">
      <c r="A2154">
        <v>10</v>
      </c>
      <c r="B2154">
        <v>55.34</v>
      </c>
      <c r="C2154">
        <f t="shared" si="132"/>
        <v>553.40000000000009</v>
      </c>
      <c r="D2154">
        <f t="shared" si="133"/>
        <v>100</v>
      </c>
      <c r="E2154">
        <f t="shared" si="134"/>
        <v>3062.5156000000002</v>
      </c>
      <c r="F2154">
        <f t="shared" si="135"/>
        <v>100</v>
      </c>
    </row>
    <row r="2155" spans="1:6" x14ac:dyDescent="0.3">
      <c r="A2155">
        <v>54</v>
      </c>
      <c r="B2155">
        <v>102.61</v>
      </c>
      <c r="C2155">
        <f t="shared" si="132"/>
        <v>5540.94</v>
      </c>
      <c r="D2155">
        <f t="shared" si="133"/>
        <v>2916</v>
      </c>
      <c r="E2155">
        <f t="shared" si="134"/>
        <v>10528.812099999999</v>
      </c>
      <c r="F2155">
        <f t="shared" si="135"/>
        <v>2916</v>
      </c>
    </row>
    <row r="2156" spans="1:6" x14ac:dyDescent="0.3">
      <c r="A2156">
        <v>7</v>
      </c>
      <c r="B2156">
        <v>62.08</v>
      </c>
      <c r="C2156">
        <f t="shared" si="132"/>
        <v>434.56</v>
      </c>
      <c r="D2156">
        <f t="shared" si="133"/>
        <v>49</v>
      </c>
      <c r="E2156">
        <f t="shared" si="134"/>
        <v>3853.9263999999998</v>
      </c>
      <c r="F2156">
        <f t="shared" si="135"/>
        <v>49</v>
      </c>
    </row>
    <row r="2157" spans="1:6" x14ac:dyDescent="0.3">
      <c r="A2157">
        <v>53</v>
      </c>
      <c r="B2157">
        <v>81.760000000000005</v>
      </c>
      <c r="C2157">
        <f t="shared" si="132"/>
        <v>4333.2800000000007</v>
      </c>
      <c r="D2157">
        <f t="shared" si="133"/>
        <v>2809</v>
      </c>
      <c r="E2157">
        <f t="shared" si="134"/>
        <v>6684.6976000000004</v>
      </c>
      <c r="F2157">
        <f t="shared" si="135"/>
        <v>2809</v>
      </c>
    </row>
    <row r="2158" spans="1:6" x14ac:dyDescent="0.3">
      <c r="A2158">
        <v>55</v>
      </c>
      <c r="B2158">
        <v>59.2</v>
      </c>
      <c r="C2158">
        <f t="shared" si="132"/>
        <v>3256</v>
      </c>
      <c r="D2158">
        <f t="shared" si="133"/>
        <v>3025</v>
      </c>
      <c r="E2158">
        <f t="shared" si="134"/>
        <v>3504.6400000000003</v>
      </c>
      <c r="F2158">
        <f t="shared" si="135"/>
        <v>3025</v>
      </c>
    </row>
    <row r="2159" spans="1:6" x14ac:dyDescent="0.3">
      <c r="A2159">
        <v>6</v>
      </c>
      <c r="B2159">
        <v>55.61</v>
      </c>
      <c r="C2159">
        <f t="shared" si="132"/>
        <v>333.65999999999997</v>
      </c>
      <c r="D2159">
        <f t="shared" si="133"/>
        <v>36</v>
      </c>
      <c r="E2159">
        <f t="shared" si="134"/>
        <v>3092.4721</v>
      </c>
      <c r="F2159">
        <f t="shared" si="135"/>
        <v>36</v>
      </c>
    </row>
    <row r="2160" spans="1:6" x14ac:dyDescent="0.3">
      <c r="A2160">
        <v>72</v>
      </c>
      <c r="B2160">
        <v>226.88</v>
      </c>
      <c r="C2160">
        <f t="shared" si="132"/>
        <v>16335.36</v>
      </c>
      <c r="D2160">
        <f t="shared" si="133"/>
        <v>5184</v>
      </c>
      <c r="E2160">
        <f t="shared" si="134"/>
        <v>51474.534399999997</v>
      </c>
      <c r="F2160">
        <f t="shared" si="135"/>
        <v>5184</v>
      </c>
    </row>
    <row r="2161" spans="1:6" x14ac:dyDescent="0.3">
      <c r="A2161">
        <v>42</v>
      </c>
      <c r="B2161">
        <v>65.66</v>
      </c>
      <c r="C2161">
        <f t="shared" si="132"/>
        <v>2757.72</v>
      </c>
      <c r="D2161">
        <f t="shared" si="133"/>
        <v>1764</v>
      </c>
      <c r="E2161">
        <f t="shared" si="134"/>
        <v>4311.2356</v>
      </c>
      <c r="F2161">
        <f t="shared" si="135"/>
        <v>1764</v>
      </c>
    </row>
    <row r="2162" spans="1:6" x14ac:dyDescent="0.3">
      <c r="A2162">
        <v>50</v>
      </c>
      <c r="B2162">
        <v>58.7</v>
      </c>
      <c r="C2162">
        <f t="shared" si="132"/>
        <v>2935</v>
      </c>
      <c r="D2162">
        <f t="shared" si="133"/>
        <v>2500</v>
      </c>
      <c r="E2162">
        <f t="shared" si="134"/>
        <v>3445.6900000000005</v>
      </c>
      <c r="F2162">
        <f t="shared" si="135"/>
        <v>2500</v>
      </c>
    </row>
    <row r="2163" spans="1:6" x14ac:dyDescent="0.3">
      <c r="A2163">
        <v>55</v>
      </c>
      <c r="B2163">
        <v>186.4</v>
      </c>
      <c r="C2163">
        <f t="shared" si="132"/>
        <v>10252</v>
      </c>
      <c r="D2163">
        <f t="shared" si="133"/>
        <v>3025</v>
      </c>
      <c r="E2163">
        <f t="shared" si="134"/>
        <v>34744.959999999999</v>
      </c>
      <c r="F2163">
        <f t="shared" si="135"/>
        <v>3025</v>
      </c>
    </row>
    <row r="2164" spans="1:6" x14ac:dyDescent="0.3">
      <c r="A2164">
        <v>47</v>
      </c>
      <c r="B2164">
        <v>122.32</v>
      </c>
      <c r="C2164">
        <f t="shared" si="132"/>
        <v>5749.04</v>
      </c>
      <c r="D2164">
        <f t="shared" si="133"/>
        <v>2209</v>
      </c>
      <c r="E2164">
        <f t="shared" si="134"/>
        <v>14962.182399999998</v>
      </c>
      <c r="F2164">
        <f t="shared" si="135"/>
        <v>2209</v>
      </c>
    </row>
    <row r="2165" spans="1:6" x14ac:dyDescent="0.3">
      <c r="A2165">
        <v>3</v>
      </c>
      <c r="B2165">
        <v>59.05</v>
      </c>
      <c r="C2165">
        <f t="shared" si="132"/>
        <v>177.14999999999998</v>
      </c>
      <c r="D2165">
        <f t="shared" si="133"/>
        <v>9</v>
      </c>
      <c r="E2165">
        <f t="shared" si="134"/>
        <v>3486.9024999999997</v>
      </c>
      <c r="F2165">
        <f t="shared" si="135"/>
        <v>9</v>
      </c>
    </row>
    <row r="2166" spans="1:6" x14ac:dyDescent="0.3">
      <c r="A2166">
        <v>49</v>
      </c>
      <c r="B2166">
        <v>149.13</v>
      </c>
      <c r="C2166">
        <f t="shared" si="132"/>
        <v>7307.37</v>
      </c>
      <c r="D2166">
        <f t="shared" si="133"/>
        <v>2401</v>
      </c>
      <c r="E2166">
        <f t="shared" si="134"/>
        <v>22239.7569</v>
      </c>
      <c r="F2166">
        <f t="shared" si="135"/>
        <v>2401</v>
      </c>
    </row>
    <row r="2167" spans="1:6" x14ac:dyDescent="0.3">
      <c r="A2167">
        <v>12</v>
      </c>
      <c r="B2167">
        <v>82.39</v>
      </c>
      <c r="C2167">
        <f t="shared" si="132"/>
        <v>988.68000000000006</v>
      </c>
      <c r="D2167">
        <f t="shared" si="133"/>
        <v>144</v>
      </c>
      <c r="E2167">
        <f t="shared" si="134"/>
        <v>6788.1121000000003</v>
      </c>
      <c r="F2167">
        <f t="shared" si="135"/>
        <v>144</v>
      </c>
    </row>
    <row r="2168" spans="1:6" x14ac:dyDescent="0.3">
      <c r="A2168">
        <v>28</v>
      </c>
      <c r="B2168">
        <v>169.49</v>
      </c>
      <c r="C2168">
        <f t="shared" si="132"/>
        <v>4745.72</v>
      </c>
      <c r="D2168">
        <f t="shared" si="133"/>
        <v>784</v>
      </c>
      <c r="E2168">
        <f t="shared" si="134"/>
        <v>28726.860100000002</v>
      </c>
      <c r="F2168">
        <f t="shared" si="135"/>
        <v>784</v>
      </c>
    </row>
    <row r="2169" spans="1:6" x14ac:dyDescent="0.3">
      <c r="A2169">
        <v>40</v>
      </c>
      <c r="B2169">
        <v>80.25</v>
      </c>
      <c r="C2169">
        <f t="shared" si="132"/>
        <v>3210</v>
      </c>
      <c r="D2169">
        <f t="shared" si="133"/>
        <v>1600</v>
      </c>
      <c r="E2169">
        <f t="shared" si="134"/>
        <v>6440.0625</v>
      </c>
      <c r="F2169">
        <f t="shared" si="135"/>
        <v>1600</v>
      </c>
    </row>
    <row r="2170" spans="1:6" x14ac:dyDescent="0.3">
      <c r="A2170">
        <v>55</v>
      </c>
      <c r="B2170">
        <v>203.81</v>
      </c>
      <c r="C2170">
        <f t="shared" si="132"/>
        <v>11209.55</v>
      </c>
      <c r="D2170">
        <f t="shared" si="133"/>
        <v>3025</v>
      </c>
      <c r="E2170">
        <f t="shared" si="134"/>
        <v>41538.516100000001</v>
      </c>
      <c r="F2170">
        <f t="shared" si="135"/>
        <v>3025</v>
      </c>
    </row>
    <row r="2171" spans="1:6" x14ac:dyDescent="0.3">
      <c r="A2171">
        <v>9</v>
      </c>
      <c r="B2171">
        <v>170.76</v>
      </c>
      <c r="C2171">
        <f t="shared" si="132"/>
        <v>1536.84</v>
      </c>
      <c r="D2171">
        <f t="shared" si="133"/>
        <v>81</v>
      </c>
      <c r="E2171">
        <f t="shared" si="134"/>
        <v>29158.977599999998</v>
      </c>
      <c r="F2171">
        <f t="shared" si="135"/>
        <v>81</v>
      </c>
    </row>
    <row r="2172" spans="1:6" x14ac:dyDescent="0.3">
      <c r="A2172">
        <v>77</v>
      </c>
      <c r="B2172">
        <v>80.849999999999994</v>
      </c>
      <c r="C2172">
        <f t="shared" si="132"/>
        <v>6225.45</v>
      </c>
      <c r="D2172">
        <f t="shared" si="133"/>
        <v>5929</v>
      </c>
      <c r="E2172">
        <f t="shared" si="134"/>
        <v>6536.7224999999989</v>
      </c>
      <c r="F2172">
        <f t="shared" si="135"/>
        <v>5929</v>
      </c>
    </row>
    <row r="2173" spans="1:6" x14ac:dyDescent="0.3">
      <c r="A2173">
        <v>18</v>
      </c>
      <c r="B2173">
        <v>120.58</v>
      </c>
      <c r="C2173">
        <f t="shared" si="132"/>
        <v>2170.44</v>
      </c>
      <c r="D2173">
        <f t="shared" si="133"/>
        <v>324</v>
      </c>
      <c r="E2173">
        <f t="shared" si="134"/>
        <v>14539.536399999999</v>
      </c>
      <c r="F2173">
        <f t="shared" si="135"/>
        <v>324</v>
      </c>
    </row>
    <row r="2174" spans="1:6" x14ac:dyDescent="0.3">
      <c r="A2174">
        <v>73</v>
      </c>
      <c r="B2174">
        <v>86.57</v>
      </c>
      <c r="C2174">
        <f t="shared" si="132"/>
        <v>6319.61</v>
      </c>
      <c r="D2174">
        <f t="shared" si="133"/>
        <v>5329</v>
      </c>
      <c r="E2174">
        <f t="shared" si="134"/>
        <v>7494.3648999999987</v>
      </c>
      <c r="F2174">
        <f t="shared" si="135"/>
        <v>5329</v>
      </c>
    </row>
    <row r="2175" spans="1:6" x14ac:dyDescent="0.3">
      <c r="A2175">
        <v>67</v>
      </c>
      <c r="B2175">
        <v>90.01</v>
      </c>
      <c r="C2175">
        <f t="shared" si="132"/>
        <v>6030.67</v>
      </c>
      <c r="D2175">
        <f t="shared" si="133"/>
        <v>4489</v>
      </c>
      <c r="E2175">
        <f t="shared" si="134"/>
        <v>8101.8001000000013</v>
      </c>
      <c r="F2175">
        <f t="shared" si="135"/>
        <v>4489</v>
      </c>
    </row>
    <row r="2176" spans="1:6" x14ac:dyDescent="0.3">
      <c r="A2176">
        <v>58</v>
      </c>
      <c r="B2176">
        <v>68.84</v>
      </c>
      <c r="C2176">
        <f t="shared" si="132"/>
        <v>3992.7200000000003</v>
      </c>
      <c r="D2176">
        <f t="shared" si="133"/>
        <v>3364</v>
      </c>
      <c r="E2176">
        <f t="shared" si="134"/>
        <v>4738.9456000000009</v>
      </c>
      <c r="F2176">
        <f t="shared" si="135"/>
        <v>3364</v>
      </c>
    </row>
    <row r="2177" spans="1:6" x14ac:dyDescent="0.3">
      <c r="A2177">
        <v>2</v>
      </c>
      <c r="B2177">
        <v>155.13999999999999</v>
      </c>
      <c r="C2177">
        <f t="shared" si="132"/>
        <v>310.27999999999997</v>
      </c>
      <c r="D2177">
        <f t="shared" si="133"/>
        <v>4</v>
      </c>
      <c r="E2177">
        <f t="shared" si="134"/>
        <v>24068.419599999997</v>
      </c>
      <c r="F2177">
        <f t="shared" si="135"/>
        <v>4</v>
      </c>
    </row>
    <row r="2178" spans="1:6" x14ac:dyDescent="0.3">
      <c r="A2178">
        <v>38</v>
      </c>
      <c r="B2178">
        <v>158.47999999999999</v>
      </c>
      <c r="C2178">
        <f t="shared" si="132"/>
        <v>6022.24</v>
      </c>
      <c r="D2178">
        <f t="shared" si="133"/>
        <v>1444</v>
      </c>
      <c r="E2178">
        <f t="shared" si="134"/>
        <v>25115.910399999997</v>
      </c>
      <c r="F2178">
        <f t="shared" si="135"/>
        <v>1444</v>
      </c>
    </row>
    <row r="2179" spans="1:6" x14ac:dyDescent="0.3">
      <c r="A2179">
        <v>5</v>
      </c>
      <c r="B2179">
        <v>92.56</v>
      </c>
      <c r="C2179">
        <f t="shared" ref="C2179:C2242" si="136">A2179*B2179</f>
        <v>462.8</v>
      </c>
      <c r="D2179">
        <f t="shared" ref="D2179:D2242" si="137">A2179*A2179</f>
        <v>25</v>
      </c>
      <c r="E2179">
        <f t="shared" ref="E2179:E2242" si="138">B2179*B2179</f>
        <v>8567.3536000000004</v>
      </c>
      <c r="F2179">
        <f t="shared" ref="F2179:F2242" si="139">A2179^2</f>
        <v>25</v>
      </c>
    </row>
    <row r="2180" spans="1:6" x14ac:dyDescent="0.3">
      <c r="A2180">
        <v>34</v>
      </c>
      <c r="B2180">
        <v>90.15</v>
      </c>
      <c r="C2180">
        <f t="shared" si="136"/>
        <v>3065.1000000000004</v>
      </c>
      <c r="D2180">
        <f t="shared" si="137"/>
        <v>1156</v>
      </c>
      <c r="E2180">
        <f t="shared" si="138"/>
        <v>8127.0225000000009</v>
      </c>
      <c r="F2180">
        <f t="shared" si="139"/>
        <v>1156</v>
      </c>
    </row>
    <row r="2181" spans="1:6" x14ac:dyDescent="0.3">
      <c r="A2181">
        <v>78</v>
      </c>
      <c r="B2181">
        <v>80.09</v>
      </c>
      <c r="C2181">
        <f t="shared" si="136"/>
        <v>6247.02</v>
      </c>
      <c r="D2181">
        <f t="shared" si="137"/>
        <v>6084</v>
      </c>
      <c r="E2181">
        <f t="shared" si="138"/>
        <v>6414.4081000000006</v>
      </c>
      <c r="F2181">
        <f t="shared" si="139"/>
        <v>6084</v>
      </c>
    </row>
    <row r="2182" spans="1:6" x14ac:dyDescent="0.3">
      <c r="A2182">
        <v>57</v>
      </c>
      <c r="B2182">
        <v>189.44</v>
      </c>
      <c r="C2182">
        <f t="shared" si="136"/>
        <v>10798.08</v>
      </c>
      <c r="D2182">
        <f t="shared" si="137"/>
        <v>3249</v>
      </c>
      <c r="E2182">
        <f t="shared" si="138"/>
        <v>35887.513599999998</v>
      </c>
      <c r="F2182">
        <f t="shared" si="139"/>
        <v>3249</v>
      </c>
    </row>
    <row r="2183" spans="1:6" x14ac:dyDescent="0.3">
      <c r="A2183">
        <v>17</v>
      </c>
      <c r="B2183">
        <v>70.03</v>
      </c>
      <c r="C2183">
        <f t="shared" si="136"/>
        <v>1190.51</v>
      </c>
      <c r="D2183">
        <f t="shared" si="137"/>
        <v>289</v>
      </c>
      <c r="E2183">
        <f t="shared" si="138"/>
        <v>4904.2008999999998</v>
      </c>
      <c r="F2183">
        <f t="shared" si="139"/>
        <v>289</v>
      </c>
    </row>
    <row r="2184" spans="1:6" x14ac:dyDescent="0.3">
      <c r="A2184">
        <v>71</v>
      </c>
      <c r="B2184">
        <v>249.29</v>
      </c>
      <c r="C2184">
        <f t="shared" si="136"/>
        <v>17699.59</v>
      </c>
      <c r="D2184">
        <f t="shared" si="137"/>
        <v>5041</v>
      </c>
      <c r="E2184">
        <f t="shared" si="138"/>
        <v>62145.504099999998</v>
      </c>
      <c r="F2184">
        <f t="shared" si="139"/>
        <v>5041</v>
      </c>
    </row>
    <row r="2185" spans="1:6" x14ac:dyDescent="0.3">
      <c r="A2185">
        <v>19</v>
      </c>
      <c r="B2185">
        <v>72.52</v>
      </c>
      <c r="C2185">
        <f t="shared" si="136"/>
        <v>1377.8799999999999</v>
      </c>
      <c r="D2185">
        <f t="shared" si="137"/>
        <v>361</v>
      </c>
      <c r="E2185">
        <f t="shared" si="138"/>
        <v>5259.1503999999995</v>
      </c>
      <c r="F2185">
        <f t="shared" si="139"/>
        <v>361</v>
      </c>
    </row>
    <row r="2186" spans="1:6" x14ac:dyDescent="0.3">
      <c r="A2186">
        <v>56</v>
      </c>
      <c r="B2186">
        <v>96.93</v>
      </c>
      <c r="C2186">
        <f t="shared" si="136"/>
        <v>5428.08</v>
      </c>
      <c r="D2186">
        <f t="shared" si="137"/>
        <v>3136</v>
      </c>
      <c r="E2186">
        <f t="shared" si="138"/>
        <v>9395.4249000000018</v>
      </c>
      <c r="F2186">
        <f t="shared" si="139"/>
        <v>3136</v>
      </c>
    </row>
    <row r="2187" spans="1:6" x14ac:dyDescent="0.3">
      <c r="A2187">
        <v>64</v>
      </c>
      <c r="B2187">
        <v>211.35</v>
      </c>
      <c r="C2187">
        <f t="shared" si="136"/>
        <v>13526.4</v>
      </c>
      <c r="D2187">
        <f t="shared" si="137"/>
        <v>4096</v>
      </c>
      <c r="E2187">
        <f t="shared" si="138"/>
        <v>44668.822499999995</v>
      </c>
      <c r="F2187">
        <f t="shared" si="139"/>
        <v>4096</v>
      </c>
    </row>
    <row r="2188" spans="1:6" x14ac:dyDescent="0.3">
      <c r="A2188">
        <v>13</v>
      </c>
      <c r="B2188">
        <v>85.87</v>
      </c>
      <c r="C2188">
        <f t="shared" si="136"/>
        <v>1116.31</v>
      </c>
      <c r="D2188">
        <f t="shared" si="137"/>
        <v>169</v>
      </c>
      <c r="E2188">
        <f t="shared" si="138"/>
        <v>7373.6569000000009</v>
      </c>
      <c r="F2188">
        <f t="shared" si="139"/>
        <v>169</v>
      </c>
    </row>
    <row r="2189" spans="1:6" x14ac:dyDescent="0.3">
      <c r="A2189">
        <v>40</v>
      </c>
      <c r="B2189">
        <v>60.96</v>
      </c>
      <c r="C2189">
        <f t="shared" si="136"/>
        <v>2438.4</v>
      </c>
      <c r="D2189">
        <f t="shared" si="137"/>
        <v>1600</v>
      </c>
      <c r="E2189">
        <f t="shared" si="138"/>
        <v>3716.1215999999999</v>
      </c>
      <c r="F2189">
        <f t="shared" si="139"/>
        <v>1600</v>
      </c>
    </row>
    <row r="2190" spans="1:6" x14ac:dyDescent="0.3">
      <c r="A2190">
        <v>80</v>
      </c>
      <c r="B2190">
        <v>120.09</v>
      </c>
      <c r="C2190">
        <f t="shared" si="136"/>
        <v>9607.2000000000007</v>
      </c>
      <c r="D2190">
        <f t="shared" si="137"/>
        <v>6400</v>
      </c>
      <c r="E2190">
        <f t="shared" si="138"/>
        <v>14421.608100000001</v>
      </c>
      <c r="F2190">
        <f t="shared" si="139"/>
        <v>6400</v>
      </c>
    </row>
    <row r="2191" spans="1:6" x14ac:dyDescent="0.3">
      <c r="A2191">
        <v>62</v>
      </c>
      <c r="B2191">
        <v>92.13</v>
      </c>
      <c r="C2191">
        <f t="shared" si="136"/>
        <v>5712.0599999999995</v>
      </c>
      <c r="D2191">
        <f t="shared" si="137"/>
        <v>3844</v>
      </c>
      <c r="E2191">
        <f t="shared" si="138"/>
        <v>8487.9368999999988</v>
      </c>
      <c r="F2191">
        <f t="shared" si="139"/>
        <v>3844</v>
      </c>
    </row>
    <row r="2192" spans="1:6" x14ac:dyDescent="0.3">
      <c r="A2192">
        <v>79</v>
      </c>
      <c r="B2192">
        <v>83.07</v>
      </c>
      <c r="C2192">
        <f t="shared" si="136"/>
        <v>6562.53</v>
      </c>
      <c r="D2192">
        <f t="shared" si="137"/>
        <v>6241</v>
      </c>
      <c r="E2192">
        <f t="shared" si="138"/>
        <v>6900.6248999999989</v>
      </c>
      <c r="F2192">
        <f t="shared" si="139"/>
        <v>6241</v>
      </c>
    </row>
    <row r="2193" spans="1:6" x14ac:dyDescent="0.3">
      <c r="A2193">
        <v>9</v>
      </c>
      <c r="B2193">
        <v>77.67</v>
      </c>
      <c r="C2193">
        <f t="shared" si="136"/>
        <v>699.03</v>
      </c>
      <c r="D2193">
        <f t="shared" si="137"/>
        <v>81</v>
      </c>
      <c r="E2193">
        <f t="shared" si="138"/>
        <v>6032.6289000000006</v>
      </c>
      <c r="F2193">
        <f t="shared" si="139"/>
        <v>81</v>
      </c>
    </row>
    <row r="2194" spans="1:6" x14ac:dyDescent="0.3">
      <c r="A2194">
        <v>77</v>
      </c>
      <c r="B2194">
        <v>109.51</v>
      </c>
      <c r="C2194">
        <f t="shared" si="136"/>
        <v>8432.27</v>
      </c>
      <c r="D2194">
        <f t="shared" si="137"/>
        <v>5929</v>
      </c>
      <c r="E2194">
        <f t="shared" si="138"/>
        <v>11992.440100000002</v>
      </c>
      <c r="F2194">
        <f t="shared" si="139"/>
        <v>5929</v>
      </c>
    </row>
    <row r="2195" spans="1:6" x14ac:dyDescent="0.3">
      <c r="A2195">
        <v>26</v>
      </c>
      <c r="B2195">
        <v>97.24</v>
      </c>
      <c r="C2195">
        <f t="shared" si="136"/>
        <v>2528.2399999999998</v>
      </c>
      <c r="D2195">
        <f t="shared" si="137"/>
        <v>676</v>
      </c>
      <c r="E2195">
        <f t="shared" si="138"/>
        <v>9455.6175999999996</v>
      </c>
      <c r="F2195">
        <f t="shared" si="139"/>
        <v>676</v>
      </c>
    </row>
    <row r="2196" spans="1:6" x14ac:dyDescent="0.3">
      <c r="A2196">
        <v>1.72</v>
      </c>
      <c r="B2196">
        <v>127.29</v>
      </c>
      <c r="C2196">
        <f t="shared" si="136"/>
        <v>218.93880000000001</v>
      </c>
      <c r="D2196">
        <f t="shared" si="137"/>
        <v>2.9583999999999997</v>
      </c>
      <c r="E2196">
        <f t="shared" si="138"/>
        <v>16202.744100000002</v>
      </c>
      <c r="F2196">
        <f t="shared" si="139"/>
        <v>2.9583999999999997</v>
      </c>
    </row>
    <row r="2197" spans="1:6" x14ac:dyDescent="0.3">
      <c r="A2197">
        <v>16</v>
      </c>
      <c r="B2197">
        <v>134.80000000000001</v>
      </c>
      <c r="C2197">
        <f t="shared" si="136"/>
        <v>2156.8000000000002</v>
      </c>
      <c r="D2197">
        <f t="shared" si="137"/>
        <v>256</v>
      </c>
      <c r="E2197">
        <f t="shared" si="138"/>
        <v>18171.040000000005</v>
      </c>
      <c r="F2197">
        <f t="shared" si="139"/>
        <v>256</v>
      </c>
    </row>
    <row r="2198" spans="1:6" x14ac:dyDescent="0.3">
      <c r="A2198">
        <v>40</v>
      </c>
      <c r="B2198">
        <v>74.650000000000006</v>
      </c>
      <c r="C2198">
        <f t="shared" si="136"/>
        <v>2986</v>
      </c>
      <c r="D2198">
        <f t="shared" si="137"/>
        <v>1600</v>
      </c>
      <c r="E2198">
        <f t="shared" si="138"/>
        <v>5572.6225000000004</v>
      </c>
      <c r="F2198">
        <f t="shared" si="139"/>
        <v>1600</v>
      </c>
    </row>
    <row r="2199" spans="1:6" x14ac:dyDescent="0.3">
      <c r="A2199">
        <v>46</v>
      </c>
      <c r="B2199">
        <v>85.84</v>
      </c>
      <c r="C2199">
        <f t="shared" si="136"/>
        <v>3948.6400000000003</v>
      </c>
      <c r="D2199">
        <f t="shared" si="137"/>
        <v>2116</v>
      </c>
      <c r="E2199">
        <f t="shared" si="138"/>
        <v>7368.5056000000004</v>
      </c>
      <c r="F2199">
        <f t="shared" si="139"/>
        <v>2116</v>
      </c>
    </row>
    <row r="2200" spans="1:6" x14ac:dyDescent="0.3">
      <c r="A2200">
        <v>45</v>
      </c>
      <c r="B2200">
        <v>90.43</v>
      </c>
      <c r="C2200">
        <f t="shared" si="136"/>
        <v>4069.3500000000004</v>
      </c>
      <c r="D2200">
        <f t="shared" si="137"/>
        <v>2025</v>
      </c>
      <c r="E2200">
        <f t="shared" si="138"/>
        <v>8177.5849000000017</v>
      </c>
      <c r="F2200">
        <f t="shared" si="139"/>
        <v>2025</v>
      </c>
    </row>
    <row r="2201" spans="1:6" x14ac:dyDescent="0.3">
      <c r="A2201">
        <v>59</v>
      </c>
      <c r="B2201">
        <v>74.349999999999994</v>
      </c>
      <c r="C2201">
        <f t="shared" si="136"/>
        <v>4386.6499999999996</v>
      </c>
      <c r="D2201">
        <f t="shared" si="137"/>
        <v>3481</v>
      </c>
      <c r="E2201">
        <f t="shared" si="138"/>
        <v>5527.9224999999988</v>
      </c>
      <c r="F2201">
        <f t="shared" si="139"/>
        <v>3481</v>
      </c>
    </row>
    <row r="2202" spans="1:6" x14ac:dyDescent="0.3">
      <c r="A2202">
        <v>31</v>
      </c>
      <c r="B2202">
        <v>206.59</v>
      </c>
      <c r="C2202">
        <f t="shared" si="136"/>
        <v>6404.29</v>
      </c>
      <c r="D2202">
        <f t="shared" si="137"/>
        <v>961</v>
      </c>
      <c r="E2202">
        <f t="shared" si="138"/>
        <v>42679.428100000005</v>
      </c>
      <c r="F2202">
        <f t="shared" si="139"/>
        <v>961</v>
      </c>
    </row>
    <row r="2203" spans="1:6" x14ac:dyDescent="0.3">
      <c r="A2203">
        <v>69</v>
      </c>
      <c r="B2203">
        <v>196.33</v>
      </c>
      <c r="C2203">
        <f t="shared" si="136"/>
        <v>13546.77</v>
      </c>
      <c r="D2203">
        <f t="shared" si="137"/>
        <v>4761</v>
      </c>
      <c r="E2203">
        <f t="shared" si="138"/>
        <v>38545.468900000007</v>
      </c>
      <c r="F2203">
        <f t="shared" si="139"/>
        <v>4761</v>
      </c>
    </row>
    <row r="2204" spans="1:6" x14ac:dyDescent="0.3">
      <c r="A2204">
        <v>73</v>
      </c>
      <c r="B2204">
        <v>70.23</v>
      </c>
      <c r="C2204">
        <f t="shared" si="136"/>
        <v>5126.79</v>
      </c>
      <c r="D2204">
        <f t="shared" si="137"/>
        <v>5329</v>
      </c>
      <c r="E2204">
        <f t="shared" si="138"/>
        <v>4932.2529000000004</v>
      </c>
      <c r="F2204">
        <f t="shared" si="139"/>
        <v>5329</v>
      </c>
    </row>
    <row r="2205" spans="1:6" x14ac:dyDescent="0.3">
      <c r="A2205">
        <v>56</v>
      </c>
      <c r="B2205">
        <v>242.94</v>
      </c>
      <c r="C2205">
        <f t="shared" si="136"/>
        <v>13604.64</v>
      </c>
      <c r="D2205">
        <f t="shared" si="137"/>
        <v>3136</v>
      </c>
      <c r="E2205">
        <f t="shared" si="138"/>
        <v>59019.8436</v>
      </c>
      <c r="F2205">
        <f t="shared" si="139"/>
        <v>3136</v>
      </c>
    </row>
    <row r="2206" spans="1:6" x14ac:dyDescent="0.3">
      <c r="A2206">
        <v>80</v>
      </c>
      <c r="B2206">
        <v>103.06</v>
      </c>
      <c r="C2206">
        <f t="shared" si="136"/>
        <v>8244.7999999999993</v>
      </c>
      <c r="D2206">
        <f t="shared" si="137"/>
        <v>6400</v>
      </c>
      <c r="E2206">
        <f t="shared" si="138"/>
        <v>10621.363600000001</v>
      </c>
      <c r="F2206">
        <f t="shared" si="139"/>
        <v>6400</v>
      </c>
    </row>
    <row r="2207" spans="1:6" x14ac:dyDescent="0.3">
      <c r="A2207">
        <v>60</v>
      </c>
      <c r="B2207">
        <v>80.86</v>
      </c>
      <c r="C2207">
        <f t="shared" si="136"/>
        <v>4851.6000000000004</v>
      </c>
      <c r="D2207">
        <f t="shared" si="137"/>
        <v>3600</v>
      </c>
      <c r="E2207">
        <f t="shared" si="138"/>
        <v>6538.3396000000002</v>
      </c>
      <c r="F2207">
        <f t="shared" si="139"/>
        <v>3600</v>
      </c>
    </row>
    <row r="2208" spans="1:6" x14ac:dyDescent="0.3">
      <c r="A2208">
        <v>40</v>
      </c>
      <c r="B2208">
        <v>114.32</v>
      </c>
      <c r="C2208">
        <f t="shared" si="136"/>
        <v>4572.7999999999993</v>
      </c>
      <c r="D2208">
        <f t="shared" si="137"/>
        <v>1600</v>
      </c>
      <c r="E2208">
        <f t="shared" si="138"/>
        <v>13069.062399999999</v>
      </c>
      <c r="F2208">
        <f t="shared" si="139"/>
        <v>1600</v>
      </c>
    </row>
    <row r="2209" spans="1:6" x14ac:dyDescent="0.3">
      <c r="A2209">
        <v>30</v>
      </c>
      <c r="B2209">
        <v>83.91</v>
      </c>
      <c r="C2209">
        <f t="shared" si="136"/>
        <v>2517.2999999999997</v>
      </c>
      <c r="D2209">
        <f t="shared" si="137"/>
        <v>900</v>
      </c>
      <c r="E2209">
        <f t="shared" si="138"/>
        <v>7040.8880999999992</v>
      </c>
      <c r="F2209">
        <f t="shared" si="139"/>
        <v>900</v>
      </c>
    </row>
    <row r="2210" spans="1:6" x14ac:dyDescent="0.3">
      <c r="A2210">
        <v>66</v>
      </c>
      <c r="B2210">
        <v>152.02000000000001</v>
      </c>
      <c r="C2210">
        <f t="shared" si="136"/>
        <v>10033.320000000002</v>
      </c>
      <c r="D2210">
        <f t="shared" si="137"/>
        <v>4356</v>
      </c>
      <c r="E2210">
        <f t="shared" si="138"/>
        <v>23110.080400000003</v>
      </c>
      <c r="F2210">
        <f t="shared" si="139"/>
        <v>4356</v>
      </c>
    </row>
    <row r="2211" spans="1:6" x14ac:dyDescent="0.3">
      <c r="A2211">
        <v>78</v>
      </c>
      <c r="B2211">
        <v>75.19</v>
      </c>
      <c r="C2211">
        <f t="shared" si="136"/>
        <v>5864.82</v>
      </c>
      <c r="D2211">
        <f t="shared" si="137"/>
        <v>6084</v>
      </c>
      <c r="E2211">
        <f t="shared" si="138"/>
        <v>5653.5360999999994</v>
      </c>
      <c r="F2211">
        <f t="shared" si="139"/>
        <v>6084</v>
      </c>
    </row>
    <row r="2212" spans="1:6" x14ac:dyDescent="0.3">
      <c r="A2212">
        <v>37</v>
      </c>
      <c r="B2212">
        <v>60.61</v>
      </c>
      <c r="C2212">
        <f t="shared" si="136"/>
        <v>2242.5700000000002</v>
      </c>
      <c r="D2212">
        <f t="shared" si="137"/>
        <v>1369</v>
      </c>
      <c r="E2212">
        <f t="shared" si="138"/>
        <v>3673.5720999999999</v>
      </c>
      <c r="F2212">
        <f t="shared" si="139"/>
        <v>1369</v>
      </c>
    </row>
    <row r="2213" spans="1:6" x14ac:dyDescent="0.3">
      <c r="A2213">
        <v>41</v>
      </c>
      <c r="B2213">
        <v>89.14</v>
      </c>
      <c r="C2213">
        <f t="shared" si="136"/>
        <v>3654.7400000000002</v>
      </c>
      <c r="D2213">
        <f t="shared" si="137"/>
        <v>1681</v>
      </c>
      <c r="E2213">
        <f t="shared" si="138"/>
        <v>7945.9395999999997</v>
      </c>
      <c r="F2213">
        <f t="shared" si="139"/>
        <v>1681</v>
      </c>
    </row>
    <row r="2214" spans="1:6" x14ac:dyDescent="0.3">
      <c r="A2214">
        <v>34</v>
      </c>
      <c r="B2214">
        <v>97.23</v>
      </c>
      <c r="C2214">
        <f t="shared" si="136"/>
        <v>3305.82</v>
      </c>
      <c r="D2214">
        <f t="shared" si="137"/>
        <v>1156</v>
      </c>
      <c r="E2214">
        <f t="shared" si="138"/>
        <v>9453.6729000000014</v>
      </c>
      <c r="F2214">
        <f t="shared" si="139"/>
        <v>1156</v>
      </c>
    </row>
    <row r="2215" spans="1:6" x14ac:dyDescent="0.3">
      <c r="A2215">
        <v>18</v>
      </c>
      <c r="B2215">
        <v>135.19</v>
      </c>
      <c r="C2215">
        <f t="shared" si="136"/>
        <v>2433.42</v>
      </c>
      <c r="D2215">
        <f t="shared" si="137"/>
        <v>324</v>
      </c>
      <c r="E2215">
        <f t="shared" si="138"/>
        <v>18276.3361</v>
      </c>
      <c r="F2215">
        <f t="shared" si="139"/>
        <v>324</v>
      </c>
    </row>
    <row r="2216" spans="1:6" x14ac:dyDescent="0.3">
      <c r="A2216">
        <v>69</v>
      </c>
      <c r="B2216">
        <v>78.48</v>
      </c>
      <c r="C2216">
        <f t="shared" si="136"/>
        <v>5415.12</v>
      </c>
      <c r="D2216">
        <f t="shared" si="137"/>
        <v>4761</v>
      </c>
      <c r="E2216">
        <f t="shared" si="138"/>
        <v>6159.1104000000005</v>
      </c>
      <c r="F2216">
        <f t="shared" si="139"/>
        <v>4761</v>
      </c>
    </row>
    <row r="2217" spans="1:6" x14ac:dyDescent="0.3">
      <c r="A2217">
        <v>67</v>
      </c>
      <c r="B2217">
        <v>97.24</v>
      </c>
      <c r="C2217">
        <f t="shared" si="136"/>
        <v>6515.08</v>
      </c>
      <c r="D2217">
        <f t="shared" si="137"/>
        <v>4489</v>
      </c>
      <c r="E2217">
        <f t="shared" si="138"/>
        <v>9455.6175999999996</v>
      </c>
      <c r="F2217">
        <f t="shared" si="139"/>
        <v>4489</v>
      </c>
    </row>
    <row r="2218" spans="1:6" x14ac:dyDescent="0.3">
      <c r="A2218">
        <v>28</v>
      </c>
      <c r="B2218">
        <v>75.92</v>
      </c>
      <c r="C2218">
        <f t="shared" si="136"/>
        <v>2125.7600000000002</v>
      </c>
      <c r="D2218">
        <f t="shared" si="137"/>
        <v>784</v>
      </c>
      <c r="E2218">
        <f t="shared" si="138"/>
        <v>5763.8464000000004</v>
      </c>
      <c r="F2218">
        <f t="shared" si="139"/>
        <v>784</v>
      </c>
    </row>
    <row r="2219" spans="1:6" x14ac:dyDescent="0.3">
      <c r="A2219">
        <v>3</v>
      </c>
      <c r="B2219">
        <v>93.3</v>
      </c>
      <c r="C2219">
        <f t="shared" si="136"/>
        <v>279.89999999999998</v>
      </c>
      <c r="D2219">
        <f t="shared" si="137"/>
        <v>9</v>
      </c>
      <c r="E2219">
        <f t="shared" si="138"/>
        <v>8704.89</v>
      </c>
      <c r="F2219">
        <f t="shared" si="139"/>
        <v>9</v>
      </c>
    </row>
    <row r="2220" spans="1:6" x14ac:dyDescent="0.3">
      <c r="A2220">
        <v>57</v>
      </c>
      <c r="B2220">
        <v>97.39</v>
      </c>
      <c r="C2220">
        <f t="shared" si="136"/>
        <v>5551.2300000000005</v>
      </c>
      <c r="D2220">
        <f t="shared" si="137"/>
        <v>3249</v>
      </c>
      <c r="E2220">
        <f t="shared" si="138"/>
        <v>9484.812100000001</v>
      </c>
      <c r="F2220">
        <f t="shared" si="139"/>
        <v>3249</v>
      </c>
    </row>
    <row r="2221" spans="1:6" x14ac:dyDescent="0.3">
      <c r="A2221">
        <v>34</v>
      </c>
      <c r="B2221">
        <v>134.61000000000001</v>
      </c>
      <c r="C2221">
        <f t="shared" si="136"/>
        <v>4576.7400000000007</v>
      </c>
      <c r="D2221">
        <f t="shared" si="137"/>
        <v>1156</v>
      </c>
      <c r="E2221">
        <f t="shared" si="138"/>
        <v>18119.852100000004</v>
      </c>
      <c r="F2221">
        <f t="shared" si="139"/>
        <v>1156</v>
      </c>
    </row>
    <row r="2222" spans="1:6" x14ac:dyDescent="0.3">
      <c r="A2222">
        <v>50</v>
      </c>
      <c r="B2222">
        <v>104.02</v>
      </c>
      <c r="C2222">
        <f t="shared" si="136"/>
        <v>5201</v>
      </c>
      <c r="D2222">
        <f t="shared" si="137"/>
        <v>2500</v>
      </c>
      <c r="E2222">
        <f t="shared" si="138"/>
        <v>10820.160399999999</v>
      </c>
      <c r="F2222">
        <f t="shared" si="139"/>
        <v>2500</v>
      </c>
    </row>
    <row r="2223" spans="1:6" x14ac:dyDescent="0.3">
      <c r="A2223">
        <v>55</v>
      </c>
      <c r="B2223">
        <v>56.9</v>
      </c>
      <c r="C2223">
        <f t="shared" si="136"/>
        <v>3129.5</v>
      </c>
      <c r="D2223">
        <f t="shared" si="137"/>
        <v>3025</v>
      </c>
      <c r="E2223">
        <f t="shared" si="138"/>
        <v>3237.6099999999997</v>
      </c>
      <c r="F2223">
        <f t="shared" si="139"/>
        <v>3025</v>
      </c>
    </row>
    <row r="2224" spans="1:6" x14ac:dyDescent="0.3">
      <c r="A2224">
        <v>2</v>
      </c>
      <c r="B2224">
        <v>112.66</v>
      </c>
      <c r="C2224">
        <f t="shared" si="136"/>
        <v>225.32</v>
      </c>
      <c r="D2224">
        <f t="shared" si="137"/>
        <v>4</v>
      </c>
      <c r="E2224">
        <f t="shared" si="138"/>
        <v>12692.275599999999</v>
      </c>
      <c r="F2224">
        <f t="shared" si="139"/>
        <v>4</v>
      </c>
    </row>
    <row r="2225" spans="1:6" x14ac:dyDescent="0.3">
      <c r="A2225">
        <v>27</v>
      </c>
      <c r="B2225">
        <v>226.75</v>
      </c>
      <c r="C2225">
        <f t="shared" si="136"/>
        <v>6122.25</v>
      </c>
      <c r="D2225">
        <f t="shared" si="137"/>
        <v>729</v>
      </c>
      <c r="E2225">
        <f t="shared" si="138"/>
        <v>51415.5625</v>
      </c>
      <c r="F2225">
        <f t="shared" si="139"/>
        <v>729</v>
      </c>
    </row>
    <row r="2226" spans="1:6" x14ac:dyDescent="0.3">
      <c r="A2226">
        <v>57</v>
      </c>
      <c r="B2226">
        <v>76.28</v>
      </c>
      <c r="C2226">
        <f t="shared" si="136"/>
        <v>4347.96</v>
      </c>
      <c r="D2226">
        <f t="shared" si="137"/>
        <v>3249</v>
      </c>
      <c r="E2226">
        <f t="shared" si="138"/>
        <v>5818.6383999999998</v>
      </c>
      <c r="F2226">
        <f t="shared" si="139"/>
        <v>3249</v>
      </c>
    </row>
    <row r="2227" spans="1:6" x14ac:dyDescent="0.3">
      <c r="A2227">
        <v>73</v>
      </c>
      <c r="B2227">
        <v>90.01</v>
      </c>
      <c r="C2227">
        <f t="shared" si="136"/>
        <v>6570.7300000000005</v>
      </c>
      <c r="D2227">
        <f t="shared" si="137"/>
        <v>5329</v>
      </c>
      <c r="E2227">
        <f t="shared" si="138"/>
        <v>8101.8001000000013</v>
      </c>
      <c r="F2227">
        <f t="shared" si="139"/>
        <v>5329</v>
      </c>
    </row>
    <row r="2228" spans="1:6" x14ac:dyDescent="0.3">
      <c r="A2228">
        <v>52</v>
      </c>
      <c r="B2228">
        <v>107.84</v>
      </c>
      <c r="C2228">
        <f t="shared" si="136"/>
        <v>5607.68</v>
      </c>
      <c r="D2228">
        <f t="shared" si="137"/>
        <v>2704</v>
      </c>
      <c r="E2228">
        <f t="shared" si="138"/>
        <v>11629.465600000001</v>
      </c>
      <c r="F2228">
        <f t="shared" si="139"/>
        <v>2704</v>
      </c>
    </row>
    <row r="2229" spans="1:6" x14ac:dyDescent="0.3">
      <c r="A2229">
        <v>65</v>
      </c>
      <c r="B2229">
        <v>71.06</v>
      </c>
      <c r="C2229">
        <f t="shared" si="136"/>
        <v>4618.9000000000005</v>
      </c>
      <c r="D2229">
        <f t="shared" si="137"/>
        <v>4225</v>
      </c>
      <c r="E2229">
        <f t="shared" si="138"/>
        <v>5049.5236000000004</v>
      </c>
      <c r="F2229">
        <f t="shared" si="139"/>
        <v>4225</v>
      </c>
    </row>
    <row r="2230" spans="1:6" x14ac:dyDescent="0.3">
      <c r="A2230">
        <v>48</v>
      </c>
      <c r="B2230">
        <v>185</v>
      </c>
      <c r="C2230">
        <f t="shared" si="136"/>
        <v>8880</v>
      </c>
      <c r="D2230">
        <f t="shared" si="137"/>
        <v>2304</v>
      </c>
      <c r="E2230">
        <f t="shared" si="138"/>
        <v>34225</v>
      </c>
      <c r="F2230">
        <f t="shared" si="139"/>
        <v>2304</v>
      </c>
    </row>
    <row r="2231" spans="1:6" x14ac:dyDescent="0.3">
      <c r="A2231">
        <v>54</v>
      </c>
      <c r="B2231">
        <v>104.42</v>
      </c>
      <c r="C2231">
        <f t="shared" si="136"/>
        <v>5638.68</v>
      </c>
      <c r="D2231">
        <f t="shared" si="137"/>
        <v>2916</v>
      </c>
      <c r="E2231">
        <f t="shared" si="138"/>
        <v>10903.536400000001</v>
      </c>
      <c r="F2231">
        <f t="shared" si="139"/>
        <v>2916</v>
      </c>
    </row>
    <row r="2232" spans="1:6" x14ac:dyDescent="0.3">
      <c r="A2232">
        <v>8</v>
      </c>
      <c r="B2232">
        <v>89.57</v>
      </c>
      <c r="C2232">
        <f t="shared" si="136"/>
        <v>716.56</v>
      </c>
      <c r="D2232">
        <f t="shared" si="137"/>
        <v>64</v>
      </c>
      <c r="E2232">
        <f t="shared" si="138"/>
        <v>8022.7848999999987</v>
      </c>
      <c r="F2232">
        <f t="shared" si="139"/>
        <v>64</v>
      </c>
    </row>
    <row r="2233" spans="1:6" x14ac:dyDescent="0.3">
      <c r="A2233">
        <v>45</v>
      </c>
      <c r="B2233">
        <v>136.19999999999999</v>
      </c>
      <c r="C2233">
        <f t="shared" si="136"/>
        <v>6128.9999999999991</v>
      </c>
      <c r="D2233">
        <f t="shared" si="137"/>
        <v>2025</v>
      </c>
      <c r="E2233">
        <f t="shared" si="138"/>
        <v>18550.439999999999</v>
      </c>
      <c r="F2233">
        <f t="shared" si="139"/>
        <v>2025</v>
      </c>
    </row>
    <row r="2234" spans="1:6" x14ac:dyDescent="0.3">
      <c r="A2234">
        <v>48</v>
      </c>
      <c r="B2234">
        <v>128.22999999999999</v>
      </c>
      <c r="C2234">
        <f t="shared" si="136"/>
        <v>6155.0399999999991</v>
      </c>
      <c r="D2234">
        <f t="shared" si="137"/>
        <v>2304</v>
      </c>
      <c r="E2234">
        <f t="shared" si="138"/>
        <v>16442.932899999996</v>
      </c>
      <c r="F2234">
        <f t="shared" si="139"/>
        <v>2304</v>
      </c>
    </row>
    <row r="2235" spans="1:6" x14ac:dyDescent="0.3">
      <c r="A2235">
        <v>77</v>
      </c>
      <c r="B2235">
        <v>104.23</v>
      </c>
      <c r="C2235">
        <f t="shared" si="136"/>
        <v>8025.71</v>
      </c>
      <c r="D2235">
        <f t="shared" si="137"/>
        <v>5929</v>
      </c>
      <c r="E2235">
        <f t="shared" si="138"/>
        <v>10863.892900000001</v>
      </c>
      <c r="F2235">
        <f t="shared" si="139"/>
        <v>5929</v>
      </c>
    </row>
    <row r="2236" spans="1:6" x14ac:dyDescent="0.3">
      <c r="A2236">
        <v>34</v>
      </c>
      <c r="B2236">
        <v>133.82</v>
      </c>
      <c r="C2236">
        <f t="shared" si="136"/>
        <v>4549.88</v>
      </c>
      <c r="D2236">
        <f t="shared" si="137"/>
        <v>1156</v>
      </c>
      <c r="E2236">
        <f t="shared" si="138"/>
        <v>17907.792399999998</v>
      </c>
      <c r="F2236">
        <f t="shared" si="139"/>
        <v>1156</v>
      </c>
    </row>
    <row r="2237" spans="1:6" x14ac:dyDescent="0.3">
      <c r="A2237">
        <v>33</v>
      </c>
      <c r="B2237">
        <v>80.819999999999993</v>
      </c>
      <c r="C2237">
        <f t="shared" si="136"/>
        <v>2667.06</v>
      </c>
      <c r="D2237">
        <f t="shared" si="137"/>
        <v>1089</v>
      </c>
      <c r="E2237">
        <f t="shared" si="138"/>
        <v>6531.8723999999993</v>
      </c>
      <c r="F2237">
        <f t="shared" si="139"/>
        <v>1089</v>
      </c>
    </row>
    <row r="2238" spans="1:6" x14ac:dyDescent="0.3">
      <c r="A2238">
        <v>39</v>
      </c>
      <c r="B2238">
        <v>102.35</v>
      </c>
      <c r="C2238">
        <f t="shared" si="136"/>
        <v>3991.6499999999996</v>
      </c>
      <c r="D2238">
        <f t="shared" si="137"/>
        <v>1521</v>
      </c>
      <c r="E2238">
        <f t="shared" si="138"/>
        <v>10475.522499999999</v>
      </c>
      <c r="F2238">
        <f t="shared" si="139"/>
        <v>1521</v>
      </c>
    </row>
    <row r="2239" spans="1:6" x14ac:dyDescent="0.3">
      <c r="A2239">
        <v>39</v>
      </c>
      <c r="B2239">
        <v>88.48</v>
      </c>
      <c r="C2239">
        <f t="shared" si="136"/>
        <v>3450.7200000000003</v>
      </c>
      <c r="D2239">
        <f t="shared" si="137"/>
        <v>1521</v>
      </c>
      <c r="E2239">
        <f t="shared" si="138"/>
        <v>7828.7104000000008</v>
      </c>
      <c r="F2239">
        <f t="shared" si="139"/>
        <v>1521</v>
      </c>
    </row>
    <row r="2240" spans="1:6" x14ac:dyDescent="0.3">
      <c r="A2240">
        <v>40</v>
      </c>
      <c r="B2240">
        <v>88.81</v>
      </c>
      <c r="C2240">
        <f t="shared" si="136"/>
        <v>3552.4</v>
      </c>
      <c r="D2240">
        <f t="shared" si="137"/>
        <v>1600</v>
      </c>
      <c r="E2240">
        <f t="shared" si="138"/>
        <v>7887.2161000000006</v>
      </c>
      <c r="F2240">
        <f t="shared" si="139"/>
        <v>1600</v>
      </c>
    </row>
    <row r="2241" spans="1:6" x14ac:dyDescent="0.3">
      <c r="A2241">
        <v>46</v>
      </c>
      <c r="B2241">
        <v>75.09</v>
      </c>
      <c r="C2241">
        <f t="shared" si="136"/>
        <v>3454.1400000000003</v>
      </c>
      <c r="D2241">
        <f t="shared" si="137"/>
        <v>2116</v>
      </c>
      <c r="E2241">
        <f t="shared" si="138"/>
        <v>5638.5081000000009</v>
      </c>
      <c r="F2241">
        <f t="shared" si="139"/>
        <v>2116</v>
      </c>
    </row>
    <row r="2242" spans="1:6" x14ac:dyDescent="0.3">
      <c r="A2242">
        <v>1</v>
      </c>
      <c r="B2242">
        <v>199.83</v>
      </c>
      <c r="C2242">
        <f t="shared" si="136"/>
        <v>199.83</v>
      </c>
      <c r="D2242">
        <f t="shared" si="137"/>
        <v>1</v>
      </c>
      <c r="E2242">
        <f t="shared" si="138"/>
        <v>39932.028900000005</v>
      </c>
      <c r="F2242">
        <f t="shared" si="139"/>
        <v>1</v>
      </c>
    </row>
    <row r="2243" spans="1:6" x14ac:dyDescent="0.3">
      <c r="A2243">
        <v>5</v>
      </c>
      <c r="B2243">
        <v>73.69</v>
      </c>
      <c r="C2243">
        <f t="shared" ref="C2243:C2306" si="140">A2243*B2243</f>
        <v>368.45</v>
      </c>
      <c r="D2243">
        <f t="shared" ref="D2243:D2306" si="141">A2243*A2243</f>
        <v>25</v>
      </c>
      <c r="E2243">
        <f t="shared" ref="E2243:E2306" si="142">B2243*B2243</f>
        <v>5430.2160999999996</v>
      </c>
      <c r="F2243">
        <f t="shared" ref="F2243:F2306" si="143">A2243^2</f>
        <v>25</v>
      </c>
    </row>
    <row r="2244" spans="1:6" x14ac:dyDescent="0.3">
      <c r="A2244">
        <v>14</v>
      </c>
      <c r="B2244">
        <v>111.27</v>
      </c>
      <c r="C2244">
        <f t="shared" si="140"/>
        <v>1557.78</v>
      </c>
      <c r="D2244">
        <f t="shared" si="141"/>
        <v>196</v>
      </c>
      <c r="E2244">
        <f t="shared" si="142"/>
        <v>12381.0129</v>
      </c>
      <c r="F2244">
        <f t="shared" si="143"/>
        <v>196</v>
      </c>
    </row>
    <row r="2245" spans="1:6" x14ac:dyDescent="0.3">
      <c r="A2245">
        <v>49</v>
      </c>
      <c r="B2245">
        <v>68.44</v>
      </c>
      <c r="C2245">
        <f t="shared" si="140"/>
        <v>3353.56</v>
      </c>
      <c r="D2245">
        <f t="shared" si="141"/>
        <v>2401</v>
      </c>
      <c r="E2245">
        <f t="shared" si="142"/>
        <v>4684.0335999999998</v>
      </c>
      <c r="F2245">
        <f t="shared" si="143"/>
        <v>2401</v>
      </c>
    </row>
    <row r="2246" spans="1:6" x14ac:dyDescent="0.3">
      <c r="A2246">
        <v>45</v>
      </c>
      <c r="B2246">
        <v>65.36</v>
      </c>
      <c r="C2246">
        <f t="shared" si="140"/>
        <v>2941.2</v>
      </c>
      <c r="D2246">
        <f t="shared" si="141"/>
        <v>2025</v>
      </c>
      <c r="E2246">
        <f t="shared" si="142"/>
        <v>4271.9295999999995</v>
      </c>
      <c r="F2246">
        <f t="shared" si="143"/>
        <v>2025</v>
      </c>
    </row>
    <row r="2247" spans="1:6" x14ac:dyDescent="0.3">
      <c r="A2247">
        <v>13</v>
      </c>
      <c r="B2247">
        <v>94.12</v>
      </c>
      <c r="C2247">
        <f t="shared" si="140"/>
        <v>1223.56</v>
      </c>
      <c r="D2247">
        <f t="shared" si="141"/>
        <v>169</v>
      </c>
      <c r="E2247">
        <f t="shared" si="142"/>
        <v>8858.5744000000013</v>
      </c>
      <c r="F2247">
        <f t="shared" si="143"/>
        <v>169</v>
      </c>
    </row>
    <row r="2248" spans="1:6" x14ac:dyDescent="0.3">
      <c r="A2248">
        <v>76</v>
      </c>
      <c r="B2248">
        <v>96.24</v>
      </c>
      <c r="C2248">
        <f t="shared" si="140"/>
        <v>7314.24</v>
      </c>
      <c r="D2248">
        <f t="shared" si="141"/>
        <v>5776</v>
      </c>
      <c r="E2248">
        <f t="shared" si="142"/>
        <v>9262.1375999999982</v>
      </c>
      <c r="F2248">
        <f t="shared" si="143"/>
        <v>5776</v>
      </c>
    </row>
    <row r="2249" spans="1:6" x14ac:dyDescent="0.3">
      <c r="A2249">
        <v>14</v>
      </c>
      <c r="B2249">
        <v>91.25</v>
      </c>
      <c r="C2249">
        <f t="shared" si="140"/>
        <v>1277.5</v>
      </c>
      <c r="D2249">
        <f t="shared" si="141"/>
        <v>196</v>
      </c>
      <c r="E2249">
        <f t="shared" si="142"/>
        <v>8326.5625</v>
      </c>
      <c r="F2249">
        <f t="shared" si="143"/>
        <v>196</v>
      </c>
    </row>
    <row r="2250" spans="1:6" x14ac:dyDescent="0.3">
      <c r="A2250">
        <v>20</v>
      </c>
      <c r="B2250">
        <v>77.290000000000006</v>
      </c>
      <c r="C2250">
        <f t="shared" si="140"/>
        <v>1545.8000000000002</v>
      </c>
      <c r="D2250">
        <f t="shared" si="141"/>
        <v>400</v>
      </c>
      <c r="E2250">
        <f t="shared" si="142"/>
        <v>5973.7441000000008</v>
      </c>
      <c r="F2250">
        <f t="shared" si="143"/>
        <v>400</v>
      </c>
    </row>
    <row r="2251" spans="1:6" x14ac:dyDescent="0.3">
      <c r="A2251">
        <v>9</v>
      </c>
      <c r="B2251">
        <v>125.09</v>
      </c>
      <c r="C2251">
        <f t="shared" si="140"/>
        <v>1125.81</v>
      </c>
      <c r="D2251">
        <f t="shared" si="141"/>
        <v>81</v>
      </c>
      <c r="E2251">
        <f t="shared" si="142"/>
        <v>15647.508100000001</v>
      </c>
      <c r="F2251">
        <f t="shared" si="143"/>
        <v>81</v>
      </c>
    </row>
    <row r="2252" spans="1:6" x14ac:dyDescent="0.3">
      <c r="A2252">
        <v>78</v>
      </c>
      <c r="B2252">
        <v>107.18</v>
      </c>
      <c r="C2252">
        <f t="shared" si="140"/>
        <v>8360.0400000000009</v>
      </c>
      <c r="D2252">
        <f t="shared" si="141"/>
        <v>6084</v>
      </c>
      <c r="E2252">
        <f t="shared" si="142"/>
        <v>11487.552400000002</v>
      </c>
      <c r="F2252">
        <f t="shared" si="143"/>
        <v>6084</v>
      </c>
    </row>
    <row r="2253" spans="1:6" x14ac:dyDescent="0.3">
      <c r="A2253">
        <v>49</v>
      </c>
      <c r="B2253">
        <v>130.07</v>
      </c>
      <c r="C2253">
        <f t="shared" si="140"/>
        <v>6373.4299999999994</v>
      </c>
      <c r="D2253">
        <f t="shared" si="141"/>
        <v>2401</v>
      </c>
      <c r="E2253">
        <f t="shared" si="142"/>
        <v>16918.204899999997</v>
      </c>
      <c r="F2253">
        <f t="shared" si="143"/>
        <v>2401</v>
      </c>
    </row>
    <row r="2254" spans="1:6" x14ac:dyDescent="0.3">
      <c r="A2254">
        <v>55</v>
      </c>
      <c r="B2254">
        <v>57.3</v>
      </c>
      <c r="C2254">
        <f t="shared" si="140"/>
        <v>3151.5</v>
      </c>
      <c r="D2254">
        <f t="shared" si="141"/>
        <v>3025</v>
      </c>
      <c r="E2254">
        <f t="shared" si="142"/>
        <v>3283.2899999999995</v>
      </c>
      <c r="F2254">
        <f t="shared" si="143"/>
        <v>3025</v>
      </c>
    </row>
    <row r="2255" spans="1:6" x14ac:dyDescent="0.3">
      <c r="A2255">
        <v>43</v>
      </c>
      <c r="B2255">
        <v>101.35</v>
      </c>
      <c r="C2255">
        <f t="shared" si="140"/>
        <v>4358.05</v>
      </c>
      <c r="D2255">
        <f t="shared" si="141"/>
        <v>1849</v>
      </c>
      <c r="E2255">
        <f t="shared" si="142"/>
        <v>10271.822499999998</v>
      </c>
      <c r="F2255">
        <f t="shared" si="143"/>
        <v>1849</v>
      </c>
    </row>
    <row r="2256" spans="1:6" x14ac:dyDescent="0.3">
      <c r="A2256">
        <v>16</v>
      </c>
      <c r="B2256">
        <v>94.03</v>
      </c>
      <c r="C2256">
        <f t="shared" si="140"/>
        <v>1504.48</v>
      </c>
      <c r="D2256">
        <f t="shared" si="141"/>
        <v>256</v>
      </c>
      <c r="E2256">
        <f t="shared" si="142"/>
        <v>8841.6409000000003</v>
      </c>
      <c r="F2256">
        <f t="shared" si="143"/>
        <v>256</v>
      </c>
    </row>
    <row r="2257" spans="1:6" x14ac:dyDescent="0.3">
      <c r="A2257">
        <v>58</v>
      </c>
      <c r="B2257">
        <v>227.81</v>
      </c>
      <c r="C2257">
        <f t="shared" si="140"/>
        <v>13212.98</v>
      </c>
      <c r="D2257">
        <f t="shared" si="141"/>
        <v>3364</v>
      </c>
      <c r="E2257">
        <f t="shared" si="142"/>
        <v>51897.396099999998</v>
      </c>
      <c r="F2257">
        <f t="shared" si="143"/>
        <v>3364</v>
      </c>
    </row>
    <row r="2258" spans="1:6" x14ac:dyDescent="0.3">
      <c r="A2258">
        <v>67</v>
      </c>
      <c r="B2258">
        <v>66.67</v>
      </c>
      <c r="C2258">
        <f t="shared" si="140"/>
        <v>4466.8900000000003</v>
      </c>
      <c r="D2258">
        <f t="shared" si="141"/>
        <v>4489</v>
      </c>
      <c r="E2258">
        <f t="shared" si="142"/>
        <v>4444.8888999999999</v>
      </c>
      <c r="F2258">
        <f t="shared" si="143"/>
        <v>4489</v>
      </c>
    </row>
    <row r="2259" spans="1:6" x14ac:dyDescent="0.3">
      <c r="A2259">
        <v>71</v>
      </c>
      <c r="B2259">
        <v>240.81</v>
      </c>
      <c r="C2259">
        <f t="shared" si="140"/>
        <v>17097.509999999998</v>
      </c>
      <c r="D2259">
        <f t="shared" si="141"/>
        <v>5041</v>
      </c>
      <c r="E2259">
        <f t="shared" si="142"/>
        <v>57989.456100000003</v>
      </c>
      <c r="F2259">
        <f t="shared" si="143"/>
        <v>5041</v>
      </c>
    </row>
    <row r="2260" spans="1:6" x14ac:dyDescent="0.3">
      <c r="A2260">
        <v>8</v>
      </c>
      <c r="B2260">
        <v>88.02</v>
      </c>
      <c r="C2260">
        <f t="shared" si="140"/>
        <v>704.16</v>
      </c>
      <c r="D2260">
        <f t="shared" si="141"/>
        <v>64</v>
      </c>
      <c r="E2260">
        <f t="shared" si="142"/>
        <v>7747.5203999999994</v>
      </c>
      <c r="F2260">
        <f t="shared" si="143"/>
        <v>64</v>
      </c>
    </row>
    <row r="2261" spans="1:6" x14ac:dyDescent="0.3">
      <c r="A2261">
        <v>18</v>
      </c>
      <c r="B2261">
        <v>152.87</v>
      </c>
      <c r="C2261">
        <f t="shared" si="140"/>
        <v>2751.66</v>
      </c>
      <c r="D2261">
        <f t="shared" si="141"/>
        <v>324</v>
      </c>
      <c r="E2261">
        <f t="shared" si="142"/>
        <v>23369.2369</v>
      </c>
      <c r="F2261">
        <f t="shared" si="143"/>
        <v>324</v>
      </c>
    </row>
    <row r="2262" spans="1:6" x14ac:dyDescent="0.3">
      <c r="A2262">
        <v>47</v>
      </c>
      <c r="B2262">
        <v>96.04</v>
      </c>
      <c r="C2262">
        <f t="shared" si="140"/>
        <v>4513.88</v>
      </c>
      <c r="D2262">
        <f t="shared" si="141"/>
        <v>2209</v>
      </c>
      <c r="E2262">
        <f t="shared" si="142"/>
        <v>9223.6816000000017</v>
      </c>
      <c r="F2262">
        <f t="shared" si="143"/>
        <v>2209</v>
      </c>
    </row>
    <row r="2263" spans="1:6" x14ac:dyDescent="0.3">
      <c r="A2263">
        <v>59</v>
      </c>
      <c r="B2263">
        <v>60.35</v>
      </c>
      <c r="C2263">
        <f t="shared" si="140"/>
        <v>3560.65</v>
      </c>
      <c r="D2263">
        <f t="shared" si="141"/>
        <v>3481</v>
      </c>
      <c r="E2263">
        <f t="shared" si="142"/>
        <v>3642.1224999999999</v>
      </c>
      <c r="F2263">
        <f t="shared" si="143"/>
        <v>3481</v>
      </c>
    </row>
    <row r="2264" spans="1:6" x14ac:dyDescent="0.3">
      <c r="A2264">
        <v>28</v>
      </c>
      <c r="B2264">
        <v>118.66</v>
      </c>
      <c r="C2264">
        <f t="shared" si="140"/>
        <v>3322.48</v>
      </c>
      <c r="D2264">
        <f t="shared" si="141"/>
        <v>784</v>
      </c>
      <c r="E2264">
        <f t="shared" si="142"/>
        <v>14080.195599999999</v>
      </c>
      <c r="F2264">
        <f t="shared" si="143"/>
        <v>784</v>
      </c>
    </row>
    <row r="2265" spans="1:6" x14ac:dyDescent="0.3">
      <c r="A2265">
        <v>20</v>
      </c>
      <c r="B2265">
        <v>89.03</v>
      </c>
      <c r="C2265">
        <f t="shared" si="140"/>
        <v>1780.6</v>
      </c>
      <c r="D2265">
        <f t="shared" si="141"/>
        <v>400</v>
      </c>
      <c r="E2265">
        <f t="shared" si="142"/>
        <v>7926.3409000000001</v>
      </c>
      <c r="F2265">
        <f t="shared" si="143"/>
        <v>400</v>
      </c>
    </row>
    <row r="2266" spans="1:6" x14ac:dyDescent="0.3">
      <c r="A2266">
        <v>67</v>
      </c>
      <c r="B2266">
        <v>58.51</v>
      </c>
      <c r="C2266">
        <f t="shared" si="140"/>
        <v>3920.17</v>
      </c>
      <c r="D2266">
        <f t="shared" si="141"/>
        <v>4489</v>
      </c>
      <c r="E2266">
        <f t="shared" si="142"/>
        <v>3423.4200999999998</v>
      </c>
      <c r="F2266">
        <f t="shared" si="143"/>
        <v>4489</v>
      </c>
    </row>
    <row r="2267" spans="1:6" x14ac:dyDescent="0.3">
      <c r="A2267">
        <v>71</v>
      </c>
      <c r="B2267">
        <v>96.04</v>
      </c>
      <c r="C2267">
        <f t="shared" si="140"/>
        <v>6818.84</v>
      </c>
      <c r="D2267">
        <f t="shared" si="141"/>
        <v>5041</v>
      </c>
      <c r="E2267">
        <f t="shared" si="142"/>
        <v>9223.6816000000017</v>
      </c>
      <c r="F2267">
        <f t="shared" si="143"/>
        <v>5041</v>
      </c>
    </row>
    <row r="2268" spans="1:6" x14ac:dyDescent="0.3">
      <c r="A2268">
        <v>56</v>
      </c>
      <c r="B2268">
        <v>110.92</v>
      </c>
      <c r="C2268">
        <f t="shared" si="140"/>
        <v>6211.52</v>
      </c>
      <c r="D2268">
        <f t="shared" si="141"/>
        <v>3136</v>
      </c>
      <c r="E2268">
        <f t="shared" si="142"/>
        <v>12303.2464</v>
      </c>
      <c r="F2268">
        <f t="shared" si="143"/>
        <v>3136</v>
      </c>
    </row>
    <row r="2269" spans="1:6" x14ac:dyDescent="0.3">
      <c r="A2269">
        <v>44</v>
      </c>
      <c r="B2269">
        <v>92.72</v>
      </c>
      <c r="C2269">
        <f t="shared" si="140"/>
        <v>4079.68</v>
      </c>
      <c r="D2269">
        <f t="shared" si="141"/>
        <v>1936</v>
      </c>
      <c r="E2269">
        <f t="shared" si="142"/>
        <v>8596.9984000000004</v>
      </c>
      <c r="F2269">
        <f t="shared" si="143"/>
        <v>1936</v>
      </c>
    </row>
    <row r="2270" spans="1:6" x14ac:dyDescent="0.3">
      <c r="A2270">
        <v>6</v>
      </c>
      <c r="B2270">
        <v>108.23</v>
      </c>
      <c r="C2270">
        <f t="shared" si="140"/>
        <v>649.38</v>
      </c>
      <c r="D2270">
        <f t="shared" si="141"/>
        <v>36</v>
      </c>
      <c r="E2270">
        <f t="shared" si="142"/>
        <v>11713.732900000001</v>
      </c>
      <c r="F2270">
        <f t="shared" si="143"/>
        <v>36</v>
      </c>
    </row>
    <row r="2271" spans="1:6" x14ac:dyDescent="0.3">
      <c r="A2271">
        <v>78</v>
      </c>
      <c r="B2271">
        <v>56.34</v>
      </c>
      <c r="C2271">
        <f t="shared" si="140"/>
        <v>4394.5200000000004</v>
      </c>
      <c r="D2271">
        <f t="shared" si="141"/>
        <v>6084</v>
      </c>
      <c r="E2271">
        <f t="shared" si="142"/>
        <v>3174.1956000000005</v>
      </c>
      <c r="F2271">
        <f t="shared" si="143"/>
        <v>6084</v>
      </c>
    </row>
    <row r="2272" spans="1:6" x14ac:dyDescent="0.3">
      <c r="A2272">
        <v>32</v>
      </c>
      <c r="B2272">
        <v>61.83</v>
      </c>
      <c r="C2272">
        <f t="shared" si="140"/>
        <v>1978.56</v>
      </c>
      <c r="D2272">
        <f t="shared" si="141"/>
        <v>1024</v>
      </c>
      <c r="E2272">
        <f t="shared" si="142"/>
        <v>3822.9488999999999</v>
      </c>
      <c r="F2272">
        <f t="shared" si="143"/>
        <v>1024</v>
      </c>
    </row>
    <row r="2273" spans="1:6" x14ac:dyDescent="0.3">
      <c r="A2273">
        <v>40</v>
      </c>
      <c r="B2273">
        <v>131.99</v>
      </c>
      <c r="C2273">
        <f t="shared" si="140"/>
        <v>5279.6</v>
      </c>
      <c r="D2273">
        <f t="shared" si="141"/>
        <v>1600</v>
      </c>
      <c r="E2273">
        <f t="shared" si="142"/>
        <v>17421.360100000002</v>
      </c>
      <c r="F2273">
        <f t="shared" si="143"/>
        <v>1600</v>
      </c>
    </row>
    <row r="2274" spans="1:6" x14ac:dyDescent="0.3">
      <c r="A2274">
        <v>63</v>
      </c>
      <c r="B2274">
        <v>136.81</v>
      </c>
      <c r="C2274">
        <f t="shared" si="140"/>
        <v>8619.0300000000007</v>
      </c>
      <c r="D2274">
        <f t="shared" si="141"/>
        <v>3969</v>
      </c>
      <c r="E2274">
        <f t="shared" si="142"/>
        <v>18716.9761</v>
      </c>
      <c r="F2274">
        <f t="shared" si="143"/>
        <v>3969</v>
      </c>
    </row>
    <row r="2275" spans="1:6" x14ac:dyDescent="0.3">
      <c r="A2275">
        <v>51</v>
      </c>
      <c r="B2275">
        <v>239.28</v>
      </c>
      <c r="C2275">
        <f t="shared" si="140"/>
        <v>12203.28</v>
      </c>
      <c r="D2275">
        <f t="shared" si="141"/>
        <v>2601</v>
      </c>
      <c r="E2275">
        <f t="shared" si="142"/>
        <v>57254.918400000002</v>
      </c>
      <c r="F2275">
        <f t="shared" si="143"/>
        <v>2601</v>
      </c>
    </row>
    <row r="2276" spans="1:6" x14ac:dyDescent="0.3">
      <c r="A2276">
        <v>22</v>
      </c>
      <c r="B2276">
        <v>131.30000000000001</v>
      </c>
      <c r="C2276">
        <f t="shared" si="140"/>
        <v>2888.6000000000004</v>
      </c>
      <c r="D2276">
        <f t="shared" si="141"/>
        <v>484</v>
      </c>
      <c r="E2276">
        <f t="shared" si="142"/>
        <v>17239.690000000002</v>
      </c>
      <c r="F2276">
        <f t="shared" si="143"/>
        <v>484</v>
      </c>
    </row>
    <row r="2277" spans="1:6" x14ac:dyDescent="0.3">
      <c r="A2277">
        <v>82</v>
      </c>
      <c r="B2277">
        <v>117.75</v>
      </c>
      <c r="C2277">
        <f t="shared" si="140"/>
        <v>9655.5</v>
      </c>
      <c r="D2277">
        <f t="shared" si="141"/>
        <v>6724</v>
      </c>
      <c r="E2277">
        <f t="shared" si="142"/>
        <v>13865.0625</v>
      </c>
      <c r="F2277">
        <f t="shared" si="143"/>
        <v>6724</v>
      </c>
    </row>
    <row r="2278" spans="1:6" x14ac:dyDescent="0.3">
      <c r="A2278">
        <v>17</v>
      </c>
      <c r="B2278">
        <v>78.459999999999994</v>
      </c>
      <c r="C2278">
        <f t="shared" si="140"/>
        <v>1333.82</v>
      </c>
      <c r="D2278">
        <f t="shared" si="141"/>
        <v>289</v>
      </c>
      <c r="E2278">
        <f t="shared" si="142"/>
        <v>6155.9715999999989</v>
      </c>
      <c r="F2278">
        <f t="shared" si="143"/>
        <v>289</v>
      </c>
    </row>
    <row r="2279" spans="1:6" x14ac:dyDescent="0.3">
      <c r="A2279">
        <v>34</v>
      </c>
      <c r="B2279">
        <v>83.53</v>
      </c>
      <c r="C2279">
        <f t="shared" si="140"/>
        <v>2840.02</v>
      </c>
      <c r="D2279">
        <f t="shared" si="141"/>
        <v>1156</v>
      </c>
      <c r="E2279">
        <f t="shared" si="142"/>
        <v>6977.2609000000002</v>
      </c>
      <c r="F2279">
        <f t="shared" si="143"/>
        <v>1156</v>
      </c>
    </row>
    <row r="2280" spans="1:6" x14ac:dyDescent="0.3">
      <c r="A2280">
        <v>42</v>
      </c>
      <c r="B2280">
        <v>145.5</v>
      </c>
      <c r="C2280">
        <f t="shared" si="140"/>
        <v>6111</v>
      </c>
      <c r="D2280">
        <f t="shared" si="141"/>
        <v>1764</v>
      </c>
      <c r="E2280">
        <f t="shared" si="142"/>
        <v>21170.25</v>
      </c>
      <c r="F2280">
        <f t="shared" si="143"/>
        <v>1764</v>
      </c>
    </row>
    <row r="2281" spans="1:6" x14ac:dyDescent="0.3">
      <c r="A2281">
        <v>32</v>
      </c>
      <c r="B2281">
        <v>88.33</v>
      </c>
      <c r="C2281">
        <f t="shared" si="140"/>
        <v>2826.56</v>
      </c>
      <c r="D2281">
        <f t="shared" si="141"/>
        <v>1024</v>
      </c>
      <c r="E2281">
        <f t="shared" si="142"/>
        <v>7802.1889000000001</v>
      </c>
      <c r="F2281">
        <f t="shared" si="143"/>
        <v>1024</v>
      </c>
    </row>
    <row r="2282" spans="1:6" x14ac:dyDescent="0.3">
      <c r="A2282">
        <v>73</v>
      </c>
      <c r="B2282">
        <v>101.25</v>
      </c>
      <c r="C2282">
        <f t="shared" si="140"/>
        <v>7391.25</v>
      </c>
      <c r="D2282">
        <f t="shared" si="141"/>
        <v>5329</v>
      </c>
      <c r="E2282">
        <f t="shared" si="142"/>
        <v>10251.5625</v>
      </c>
      <c r="F2282">
        <f t="shared" si="143"/>
        <v>5329</v>
      </c>
    </row>
    <row r="2283" spans="1:6" x14ac:dyDescent="0.3">
      <c r="A2283">
        <v>47</v>
      </c>
      <c r="B2283">
        <v>131.43</v>
      </c>
      <c r="C2283">
        <f t="shared" si="140"/>
        <v>6177.21</v>
      </c>
      <c r="D2283">
        <f t="shared" si="141"/>
        <v>2209</v>
      </c>
      <c r="E2283">
        <f t="shared" si="142"/>
        <v>17273.8449</v>
      </c>
      <c r="F2283">
        <f t="shared" si="143"/>
        <v>2209</v>
      </c>
    </row>
    <row r="2284" spans="1:6" x14ac:dyDescent="0.3">
      <c r="A2284">
        <v>34</v>
      </c>
      <c r="B2284">
        <v>231.5</v>
      </c>
      <c r="C2284">
        <f t="shared" si="140"/>
        <v>7871</v>
      </c>
      <c r="D2284">
        <f t="shared" si="141"/>
        <v>1156</v>
      </c>
      <c r="E2284">
        <f t="shared" si="142"/>
        <v>53592.25</v>
      </c>
      <c r="F2284">
        <f t="shared" si="143"/>
        <v>1156</v>
      </c>
    </row>
    <row r="2285" spans="1:6" x14ac:dyDescent="0.3">
      <c r="A2285">
        <v>64</v>
      </c>
      <c r="B2285">
        <v>82.89</v>
      </c>
      <c r="C2285">
        <f t="shared" si="140"/>
        <v>5304.96</v>
      </c>
      <c r="D2285">
        <f t="shared" si="141"/>
        <v>4096</v>
      </c>
      <c r="E2285">
        <f t="shared" si="142"/>
        <v>6870.7520999999997</v>
      </c>
      <c r="F2285">
        <f t="shared" si="143"/>
        <v>4096</v>
      </c>
    </row>
    <row r="2286" spans="1:6" x14ac:dyDescent="0.3">
      <c r="A2286">
        <v>52</v>
      </c>
      <c r="B2286">
        <v>192.37</v>
      </c>
      <c r="C2286">
        <f t="shared" si="140"/>
        <v>10003.24</v>
      </c>
      <c r="D2286">
        <f t="shared" si="141"/>
        <v>2704</v>
      </c>
      <c r="E2286">
        <f t="shared" si="142"/>
        <v>37006.216899999999</v>
      </c>
      <c r="F2286">
        <f t="shared" si="143"/>
        <v>2704</v>
      </c>
    </row>
    <row r="2287" spans="1:6" x14ac:dyDescent="0.3">
      <c r="A2287">
        <v>49</v>
      </c>
      <c r="B2287">
        <v>79.64</v>
      </c>
      <c r="C2287">
        <f t="shared" si="140"/>
        <v>3902.36</v>
      </c>
      <c r="D2287">
        <f t="shared" si="141"/>
        <v>2401</v>
      </c>
      <c r="E2287">
        <f t="shared" si="142"/>
        <v>6342.5295999999998</v>
      </c>
      <c r="F2287">
        <f t="shared" si="143"/>
        <v>2401</v>
      </c>
    </row>
    <row r="2288" spans="1:6" x14ac:dyDescent="0.3">
      <c r="A2288">
        <v>55</v>
      </c>
      <c r="B2288">
        <v>82.88</v>
      </c>
      <c r="C2288">
        <f t="shared" si="140"/>
        <v>4558.3999999999996</v>
      </c>
      <c r="D2288">
        <f t="shared" si="141"/>
        <v>3025</v>
      </c>
      <c r="E2288">
        <f t="shared" si="142"/>
        <v>6869.094399999999</v>
      </c>
      <c r="F2288">
        <f t="shared" si="143"/>
        <v>3025</v>
      </c>
    </row>
    <row r="2289" spans="1:6" x14ac:dyDescent="0.3">
      <c r="A2289">
        <v>64</v>
      </c>
      <c r="B2289">
        <v>99.4</v>
      </c>
      <c r="C2289">
        <f t="shared" si="140"/>
        <v>6361.6</v>
      </c>
      <c r="D2289">
        <f t="shared" si="141"/>
        <v>4096</v>
      </c>
      <c r="E2289">
        <f t="shared" si="142"/>
        <v>9880.36</v>
      </c>
      <c r="F2289">
        <f t="shared" si="143"/>
        <v>4096</v>
      </c>
    </row>
    <row r="2290" spans="1:6" x14ac:dyDescent="0.3">
      <c r="A2290">
        <v>23</v>
      </c>
      <c r="B2290">
        <v>77.75</v>
      </c>
      <c r="C2290">
        <f t="shared" si="140"/>
        <v>1788.25</v>
      </c>
      <c r="D2290">
        <f t="shared" si="141"/>
        <v>529</v>
      </c>
      <c r="E2290">
        <f t="shared" si="142"/>
        <v>6045.0625</v>
      </c>
      <c r="F2290">
        <f t="shared" si="143"/>
        <v>529</v>
      </c>
    </row>
    <row r="2291" spans="1:6" x14ac:dyDescent="0.3">
      <c r="A2291">
        <v>18</v>
      </c>
      <c r="B2291">
        <v>75.03</v>
      </c>
      <c r="C2291">
        <f t="shared" si="140"/>
        <v>1350.54</v>
      </c>
      <c r="D2291">
        <f t="shared" si="141"/>
        <v>324</v>
      </c>
      <c r="E2291">
        <f t="shared" si="142"/>
        <v>5629.5009</v>
      </c>
      <c r="F2291">
        <f t="shared" si="143"/>
        <v>324</v>
      </c>
    </row>
    <row r="2292" spans="1:6" x14ac:dyDescent="0.3">
      <c r="A2292">
        <v>65</v>
      </c>
      <c r="B2292">
        <v>220.47</v>
      </c>
      <c r="C2292">
        <f t="shared" si="140"/>
        <v>14330.55</v>
      </c>
      <c r="D2292">
        <f t="shared" si="141"/>
        <v>4225</v>
      </c>
      <c r="E2292">
        <f t="shared" si="142"/>
        <v>48607.020899999996</v>
      </c>
      <c r="F2292">
        <f t="shared" si="143"/>
        <v>4225</v>
      </c>
    </row>
    <row r="2293" spans="1:6" x14ac:dyDescent="0.3">
      <c r="A2293">
        <v>12</v>
      </c>
      <c r="B2293">
        <v>196.91</v>
      </c>
      <c r="C2293">
        <f t="shared" si="140"/>
        <v>2362.92</v>
      </c>
      <c r="D2293">
        <f t="shared" si="141"/>
        <v>144</v>
      </c>
      <c r="E2293">
        <f t="shared" si="142"/>
        <v>38773.5481</v>
      </c>
      <c r="F2293">
        <f t="shared" si="143"/>
        <v>144</v>
      </c>
    </row>
    <row r="2294" spans="1:6" x14ac:dyDescent="0.3">
      <c r="A2294">
        <v>61</v>
      </c>
      <c r="B2294">
        <v>180.8</v>
      </c>
      <c r="C2294">
        <f t="shared" si="140"/>
        <v>11028.800000000001</v>
      </c>
      <c r="D2294">
        <f t="shared" si="141"/>
        <v>3721</v>
      </c>
      <c r="E2294">
        <f t="shared" si="142"/>
        <v>32688.640000000003</v>
      </c>
      <c r="F2294">
        <f t="shared" si="143"/>
        <v>3721</v>
      </c>
    </row>
    <row r="2295" spans="1:6" x14ac:dyDescent="0.3">
      <c r="A2295">
        <v>66</v>
      </c>
      <c r="B2295">
        <v>247.48</v>
      </c>
      <c r="C2295">
        <f t="shared" si="140"/>
        <v>16333.679999999998</v>
      </c>
      <c r="D2295">
        <f t="shared" si="141"/>
        <v>4356</v>
      </c>
      <c r="E2295">
        <f t="shared" si="142"/>
        <v>61246.350399999996</v>
      </c>
      <c r="F2295">
        <f t="shared" si="143"/>
        <v>4356</v>
      </c>
    </row>
    <row r="2296" spans="1:6" x14ac:dyDescent="0.3">
      <c r="A2296">
        <v>59</v>
      </c>
      <c r="B2296">
        <v>216</v>
      </c>
      <c r="C2296">
        <f t="shared" si="140"/>
        <v>12744</v>
      </c>
      <c r="D2296">
        <f t="shared" si="141"/>
        <v>3481</v>
      </c>
      <c r="E2296">
        <f t="shared" si="142"/>
        <v>46656</v>
      </c>
      <c r="F2296">
        <f t="shared" si="143"/>
        <v>3481</v>
      </c>
    </row>
    <row r="2297" spans="1:6" x14ac:dyDescent="0.3">
      <c r="A2297">
        <v>47</v>
      </c>
      <c r="B2297">
        <v>75.64</v>
      </c>
      <c r="C2297">
        <f t="shared" si="140"/>
        <v>3555.08</v>
      </c>
      <c r="D2297">
        <f t="shared" si="141"/>
        <v>2209</v>
      </c>
      <c r="E2297">
        <f t="shared" si="142"/>
        <v>5721.4096</v>
      </c>
      <c r="F2297">
        <f t="shared" si="143"/>
        <v>2209</v>
      </c>
    </row>
    <row r="2298" spans="1:6" x14ac:dyDescent="0.3">
      <c r="A2298">
        <v>47</v>
      </c>
      <c r="B2298">
        <v>95.07</v>
      </c>
      <c r="C2298">
        <f t="shared" si="140"/>
        <v>4468.29</v>
      </c>
      <c r="D2298">
        <f t="shared" si="141"/>
        <v>2209</v>
      </c>
      <c r="E2298">
        <f t="shared" si="142"/>
        <v>9038.3048999999992</v>
      </c>
      <c r="F2298">
        <f t="shared" si="143"/>
        <v>2209</v>
      </c>
    </row>
    <row r="2299" spans="1:6" x14ac:dyDescent="0.3">
      <c r="A2299">
        <v>71</v>
      </c>
      <c r="B2299">
        <v>129.97</v>
      </c>
      <c r="C2299">
        <f t="shared" si="140"/>
        <v>9227.8700000000008</v>
      </c>
      <c r="D2299">
        <f t="shared" si="141"/>
        <v>5041</v>
      </c>
      <c r="E2299">
        <f t="shared" si="142"/>
        <v>16892.2009</v>
      </c>
      <c r="F2299">
        <f t="shared" si="143"/>
        <v>5041</v>
      </c>
    </row>
    <row r="2300" spans="1:6" x14ac:dyDescent="0.3">
      <c r="A2300">
        <v>62</v>
      </c>
      <c r="B2300">
        <v>124.26</v>
      </c>
      <c r="C2300">
        <f t="shared" si="140"/>
        <v>7704.12</v>
      </c>
      <c r="D2300">
        <f t="shared" si="141"/>
        <v>3844</v>
      </c>
      <c r="E2300">
        <f t="shared" si="142"/>
        <v>15440.547600000002</v>
      </c>
      <c r="F2300">
        <f t="shared" si="143"/>
        <v>3844</v>
      </c>
    </row>
    <row r="2301" spans="1:6" x14ac:dyDescent="0.3">
      <c r="A2301">
        <v>28</v>
      </c>
      <c r="B2301">
        <v>87.92</v>
      </c>
      <c r="C2301">
        <f t="shared" si="140"/>
        <v>2461.7600000000002</v>
      </c>
      <c r="D2301">
        <f t="shared" si="141"/>
        <v>784</v>
      </c>
      <c r="E2301">
        <f t="shared" si="142"/>
        <v>7729.9264000000003</v>
      </c>
      <c r="F2301">
        <f t="shared" si="143"/>
        <v>784</v>
      </c>
    </row>
    <row r="2302" spans="1:6" x14ac:dyDescent="0.3">
      <c r="A2302">
        <v>7</v>
      </c>
      <c r="B2302">
        <v>85.15</v>
      </c>
      <c r="C2302">
        <f t="shared" si="140"/>
        <v>596.05000000000007</v>
      </c>
      <c r="D2302">
        <f t="shared" si="141"/>
        <v>49</v>
      </c>
      <c r="E2302">
        <f t="shared" si="142"/>
        <v>7250.5225000000009</v>
      </c>
      <c r="F2302">
        <f t="shared" si="143"/>
        <v>49</v>
      </c>
    </row>
    <row r="2303" spans="1:6" x14ac:dyDescent="0.3">
      <c r="A2303">
        <v>68</v>
      </c>
      <c r="B2303">
        <v>95.36</v>
      </c>
      <c r="C2303">
        <f t="shared" si="140"/>
        <v>6484.48</v>
      </c>
      <c r="D2303">
        <f t="shared" si="141"/>
        <v>4624</v>
      </c>
      <c r="E2303">
        <f t="shared" si="142"/>
        <v>9093.5295999999998</v>
      </c>
      <c r="F2303">
        <f t="shared" si="143"/>
        <v>4624</v>
      </c>
    </row>
    <row r="2304" spans="1:6" x14ac:dyDescent="0.3">
      <c r="A2304">
        <v>37</v>
      </c>
      <c r="B2304">
        <v>87.16</v>
      </c>
      <c r="C2304">
        <f t="shared" si="140"/>
        <v>3224.92</v>
      </c>
      <c r="D2304">
        <f t="shared" si="141"/>
        <v>1369</v>
      </c>
      <c r="E2304">
        <f t="shared" si="142"/>
        <v>7596.8655999999992</v>
      </c>
      <c r="F2304">
        <f t="shared" si="143"/>
        <v>1369</v>
      </c>
    </row>
    <row r="2305" spans="1:6" x14ac:dyDescent="0.3">
      <c r="A2305">
        <v>75</v>
      </c>
      <c r="B2305">
        <v>219.39</v>
      </c>
      <c r="C2305">
        <f t="shared" si="140"/>
        <v>16454.25</v>
      </c>
      <c r="D2305">
        <f t="shared" si="141"/>
        <v>5625</v>
      </c>
      <c r="E2305">
        <f t="shared" si="142"/>
        <v>48131.972099999992</v>
      </c>
      <c r="F2305">
        <f t="shared" si="143"/>
        <v>5625</v>
      </c>
    </row>
    <row r="2306" spans="1:6" x14ac:dyDescent="0.3">
      <c r="A2306">
        <v>5</v>
      </c>
      <c r="B2306">
        <v>71.92</v>
      </c>
      <c r="C2306">
        <f t="shared" si="140"/>
        <v>359.6</v>
      </c>
      <c r="D2306">
        <f t="shared" si="141"/>
        <v>25</v>
      </c>
      <c r="E2306">
        <f t="shared" si="142"/>
        <v>5172.4864000000007</v>
      </c>
      <c r="F2306">
        <f t="shared" si="143"/>
        <v>25</v>
      </c>
    </row>
    <row r="2307" spans="1:6" x14ac:dyDescent="0.3">
      <c r="A2307">
        <v>1.08</v>
      </c>
      <c r="B2307">
        <v>167.66</v>
      </c>
      <c r="C2307">
        <f t="shared" ref="C2307:C2370" si="144">A2307*B2307</f>
        <v>181.0728</v>
      </c>
      <c r="D2307">
        <f t="shared" ref="D2307:D2370" si="145">A2307*A2307</f>
        <v>1.1664000000000001</v>
      </c>
      <c r="E2307">
        <f t="shared" ref="E2307:E2370" si="146">B2307*B2307</f>
        <v>28109.875599999999</v>
      </c>
      <c r="F2307">
        <f t="shared" ref="F2307:F2370" si="147">A2307^2</f>
        <v>1.1664000000000001</v>
      </c>
    </row>
    <row r="2308" spans="1:6" x14ac:dyDescent="0.3">
      <c r="A2308">
        <v>34</v>
      </c>
      <c r="B2308">
        <v>87.21</v>
      </c>
      <c r="C2308">
        <f t="shared" si="144"/>
        <v>2965.14</v>
      </c>
      <c r="D2308">
        <f t="shared" si="145"/>
        <v>1156</v>
      </c>
      <c r="E2308">
        <f t="shared" si="146"/>
        <v>7605.5840999999991</v>
      </c>
      <c r="F2308">
        <f t="shared" si="147"/>
        <v>1156</v>
      </c>
    </row>
    <row r="2309" spans="1:6" x14ac:dyDescent="0.3">
      <c r="A2309">
        <v>49</v>
      </c>
      <c r="B2309">
        <v>220.47</v>
      </c>
      <c r="C2309">
        <f t="shared" si="144"/>
        <v>10803.03</v>
      </c>
      <c r="D2309">
        <f t="shared" si="145"/>
        <v>2401</v>
      </c>
      <c r="E2309">
        <f t="shared" si="146"/>
        <v>48607.020899999996</v>
      </c>
      <c r="F2309">
        <f t="shared" si="147"/>
        <v>2401</v>
      </c>
    </row>
    <row r="2310" spans="1:6" x14ac:dyDescent="0.3">
      <c r="A2310">
        <v>8</v>
      </c>
      <c r="B2310">
        <v>80.47</v>
      </c>
      <c r="C2310">
        <f t="shared" si="144"/>
        <v>643.76</v>
      </c>
      <c r="D2310">
        <f t="shared" si="145"/>
        <v>64</v>
      </c>
      <c r="E2310">
        <f t="shared" si="146"/>
        <v>6475.4209000000001</v>
      </c>
      <c r="F2310">
        <f t="shared" si="147"/>
        <v>64</v>
      </c>
    </row>
    <row r="2311" spans="1:6" x14ac:dyDescent="0.3">
      <c r="A2311">
        <v>50</v>
      </c>
      <c r="B2311">
        <v>89.95</v>
      </c>
      <c r="C2311">
        <f t="shared" si="144"/>
        <v>4497.5</v>
      </c>
      <c r="D2311">
        <f t="shared" si="145"/>
        <v>2500</v>
      </c>
      <c r="E2311">
        <f t="shared" si="146"/>
        <v>8091.0025000000005</v>
      </c>
      <c r="F2311">
        <f t="shared" si="147"/>
        <v>2500</v>
      </c>
    </row>
    <row r="2312" spans="1:6" x14ac:dyDescent="0.3">
      <c r="A2312">
        <v>2</v>
      </c>
      <c r="B2312">
        <v>111.32</v>
      </c>
      <c r="C2312">
        <f t="shared" si="144"/>
        <v>222.64</v>
      </c>
      <c r="D2312">
        <f t="shared" si="145"/>
        <v>4</v>
      </c>
      <c r="E2312">
        <f t="shared" si="146"/>
        <v>12392.142399999999</v>
      </c>
      <c r="F2312">
        <f t="shared" si="147"/>
        <v>4</v>
      </c>
    </row>
    <row r="2313" spans="1:6" x14ac:dyDescent="0.3">
      <c r="A2313">
        <v>1.1599999999999999</v>
      </c>
      <c r="B2313">
        <v>65.010000000000005</v>
      </c>
      <c r="C2313">
        <f t="shared" si="144"/>
        <v>75.411600000000007</v>
      </c>
      <c r="D2313">
        <f t="shared" si="145"/>
        <v>1.3455999999999999</v>
      </c>
      <c r="E2313">
        <f t="shared" si="146"/>
        <v>4226.3001000000004</v>
      </c>
      <c r="F2313">
        <f t="shared" si="147"/>
        <v>1.3455999999999999</v>
      </c>
    </row>
    <row r="2314" spans="1:6" x14ac:dyDescent="0.3">
      <c r="A2314">
        <v>76</v>
      </c>
      <c r="B2314">
        <v>110.07</v>
      </c>
      <c r="C2314">
        <f t="shared" si="144"/>
        <v>8365.32</v>
      </c>
      <c r="D2314">
        <f t="shared" si="145"/>
        <v>5776</v>
      </c>
      <c r="E2314">
        <f t="shared" si="146"/>
        <v>12115.404899999998</v>
      </c>
      <c r="F2314">
        <f t="shared" si="147"/>
        <v>5776</v>
      </c>
    </row>
    <row r="2315" spans="1:6" x14ac:dyDescent="0.3">
      <c r="A2315">
        <v>18</v>
      </c>
      <c r="B2315">
        <v>60.56</v>
      </c>
      <c r="C2315">
        <f t="shared" si="144"/>
        <v>1090.08</v>
      </c>
      <c r="D2315">
        <f t="shared" si="145"/>
        <v>324</v>
      </c>
      <c r="E2315">
        <f t="shared" si="146"/>
        <v>3667.5136000000002</v>
      </c>
      <c r="F2315">
        <f t="shared" si="147"/>
        <v>324</v>
      </c>
    </row>
    <row r="2316" spans="1:6" x14ac:dyDescent="0.3">
      <c r="A2316">
        <v>82</v>
      </c>
      <c r="B2316">
        <v>89.83</v>
      </c>
      <c r="C2316">
        <f t="shared" si="144"/>
        <v>7366.0599999999995</v>
      </c>
      <c r="D2316">
        <f t="shared" si="145"/>
        <v>6724</v>
      </c>
      <c r="E2316">
        <f t="shared" si="146"/>
        <v>8069.4288999999999</v>
      </c>
      <c r="F2316">
        <f t="shared" si="147"/>
        <v>6724</v>
      </c>
    </row>
    <row r="2317" spans="1:6" x14ac:dyDescent="0.3">
      <c r="A2317">
        <v>67</v>
      </c>
      <c r="B2317">
        <v>90.35</v>
      </c>
      <c r="C2317">
        <f t="shared" si="144"/>
        <v>6053.45</v>
      </c>
      <c r="D2317">
        <f t="shared" si="145"/>
        <v>4489</v>
      </c>
      <c r="E2317">
        <f t="shared" si="146"/>
        <v>8163.1224999999986</v>
      </c>
      <c r="F2317">
        <f t="shared" si="147"/>
        <v>4489</v>
      </c>
    </row>
    <row r="2318" spans="1:6" x14ac:dyDescent="0.3">
      <c r="A2318">
        <v>27</v>
      </c>
      <c r="B2318">
        <v>71.5</v>
      </c>
      <c r="C2318">
        <f t="shared" si="144"/>
        <v>1930.5</v>
      </c>
      <c r="D2318">
        <f t="shared" si="145"/>
        <v>729</v>
      </c>
      <c r="E2318">
        <f t="shared" si="146"/>
        <v>5112.25</v>
      </c>
      <c r="F2318">
        <f t="shared" si="147"/>
        <v>729</v>
      </c>
    </row>
    <row r="2319" spans="1:6" x14ac:dyDescent="0.3">
      <c r="A2319">
        <v>57</v>
      </c>
      <c r="B2319">
        <v>71.709999999999994</v>
      </c>
      <c r="C2319">
        <f t="shared" si="144"/>
        <v>4087.47</v>
      </c>
      <c r="D2319">
        <f t="shared" si="145"/>
        <v>3249</v>
      </c>
      <c r="E2319">
        <f t="shared" si="146"/>
        <v>5142.3240999999989</v>
      </c>
      <c r="F2319">
        <f t="shared" si="147"/>
        <v>3249</v>
      </c>
    </row>
    <row r="2320" spans="1:6" x14ac:dyDescent="0.3">
      <c r="A2320">
        <v>51</v>
      </c>
      <c r="B2320">
        <v>173.96</v>
      </c>
      <c r="C2320">
        <f t="shared" si="144"/>
        <v>8871.9600000000009</v>
      </c>
      <c r="D2320">
        <f t="shared" si="145"/>
        <v>2601</v>
      </c>
      <c r="E2320">
        <f t="shared" si="146"/>
        <v>30262.081600000001</v>
      </c>
      <c r="F2320">
        <f t="shared" si="147"/>
        <v>2601</v>
      </c>
    </row>
    <row r="2321" spans="1:6" x14ac:dyDescent="0.3">
      <c r="A2321">
        <v>68</v>
      </c>
      <c r="B2321">
        <v>96.06</v>
      </c>
      <c r="C2321">
        <f t="shared" si="144"/>
        <v>6532.08</v>
      </c>
      <c r="D2321">
        <f t="shared" si="145"/>
        <v>4624</v>
      </c>
      <c r="E2321">
        <f t="shared" si="146"/>
        <v>9227.5236000000004</v>
      </c>
      <c r="F2321">
        <f t="shared" si="147"/>
        <v>4624</v>
      </c>
    </row>
    <row r="2322" spans="1:6" x14ac:dyDescent="0.3">
      <c r="A2322">
        <v>56</v>
      </c>
      <c r="B2322">
        <v>113.2</v>
      </c>
      <c r="C2322">
        <f t="shared" si="144"/>
        <v>6339.2</v>
      </c>
      <c r="D2322">
        <f t="shared" si="145"/>
        <v>3136</v>
      </c>
      <c r="E2322">
        <f t="shared" si="146"/>
        <v>12814.24</v>
      </c>
      <c r="F2322">
        <f t="shared" si="147"/>
        <v>3136</v>
      </c>
    </row>
    <row r="2323" spans="1:6" x14ac:dyDescent="0.3">
      <c r="A2323">
        <v>77</v>
      </c>
      <c r="B2323">
        <v>106.03</v>
      </c>
      <c r="C2323">
        <f t="shared" si="144"/>
        <v>8164.31</v>
      </c>
      <c r="D2323">
        <f t="shared" si="145"/>
        <v>5929</v>
      </c>
      <c r="E2323">
        <f t="shared" si="146"/>
        <v>11242.3609</v>
      </c>
      <c r="F2323">
        <f t="shared" si="147"/>
        <v>5929</v>
      </c>
    </row>
    <row r="2324" spans="1:6" x14ac:dyDescent="0.3">
      <c r="A2324">
        <v>52</v>
      </c>
      <c r="B2324">
        <v>111.38</v>
      </c>
      <c r="C2324">
        <f t="shared" si="144"/>
        <v>5791.76</v>
      </c>
      <c r="D2324">
        <f t="shared" si="145"/>
        <v>2704</v>
      </c>
      <c r="E2324">
        <f t="shared" si="146"/>
        <v>12405.5044</v>
      </c>
      <c r="F2324">
        <f t="shared" si="147"/>
        <v>2704</v>
      </c>
    </row>
    <row r="2325" spans="1:6" x14ac:dyDescent="0.3">
      <c r="A2325">
        <v>18</v>
      </c>
      <c r="B2325">
        <v>73.290000000000006</v>
      </c>
      <c r="C2325">
        <f t="shared" si="144"/>
        <v>1319.22</v>
      </c>
      <c r="D2325">
        <f t="shared" si="145"/>
        <v>324</v>
      </c>
      <c r="E2325">
        <f t="shared" si="146"/>
        <v>5371.4241000000011</v>
      </c>
      <c r="F2325">
        <f t="shared" si="147"/>
        <v>324</v>
      </c>
    </row>
    <row r="2326" spans="1:6" x14ac:dyDescent="0.3">
      <c r="A2326">
        <v>63</v>
      </c>
      <c r="B2326">
        <v>65.709999999999994</v>
      </c>
      <c r="C2326">
        <f t="shared" si="144"/>
        <v>4139.7299999999996</v>
      </c>
      <c r="D2326">
        <f t="shared" si="145"/>
        <v>3969</v>
      </c>
      <c r="E2326">
        <f t="shared" si="146"/>
        <v>4317.8040999999994</v>
      </c>
      <c r="F2326">
        <f t="shared" si="147"/>
        <v>3969</v>
      </c>
    </row>
    <row r="2327" spans="1:6" x14ac:dyDescent="0.3">
      <c r="A2327">
        <v>31</v>
      </c>
      <c r="B2327">
        <v>60.41</v>
      </c>
      <c r="C2327">
        <f t="shared" si="144"/>
        <v>1872.7099999999998</v>
      </c>
      <c r="D2327">
        <f t="shared" si="145"/>
        <v>961</v>
      </c>
      <c r="E2327">
        <f t="shared" si="146"/>
        <v>3649.3680999999997</v>
      </c>
      <c r="F2327">
        <f t="shared" si="147"/>
        <v>961</v>
      </c>
    </row>
    <row r="2328" spans="1:6" x14ac:dyDescent="0.3">
      <c r="A2328">
        <v>37</v>
      </c>
      <c r="B2328">
        <v>89.11</v>
      </c>
      <c r="C2328">
        <f t="shared" si="144"/>
        <v>3297.07</v>
      </c>
      <c r="D2328">
        <f t="shared" si="145"/>
        <v>1369</v>
      </c>
      <c r="E2328">
        <f t="shared" si="146"/>
        <v>7940.5920999999998</v>
      </c>
      <c r="F2328">
        <f t="shared" si="147"/>
        <v>1369</v>
      </c>
    </row>
    <row r="2329" spans="1:6" x14ac:dyDescent="0.3">
      <c r="A2329">
        <v>64</v>
      </c>
      <c r="B2329">
        <v>63.32</v>
      </c>
      <c r="C2329">
        <f t="shared" si="144"/>
        <v>4052.48</v>
      </c>
      <c r="D2329">
        <f t="shared" si="145"/>
        <v>4096</v>
      </c>
      <c r="E2329">
        <f t="shared" si="146"/>
        <v>4009.4223999999999</v>
      </c>
      <c r="F2329">
        <f t="shared" si="147"/>
        <v>4096</v>
      </c>
    </row>
    <row r="2330" spans="1:6" x14ac:dyDescent="0.3">
      <c r="A2330">
        <v>47</v>
      </c>
      <c r="B2330">
        <v>85.68</v>
      </c>
      <c r="C2330">
        <f t="shared" si="144"/>
        <v>4026.9600000000005</v>
      </c>
      <c r="D2330">
        <f t="shared" si="145"/>
        <v>2209</v>
      </c>
      <c r="E2330">
        <f t="shared" si="146"/>
        <v>7341.0624000000016</v>
      </c>
      <c r="F2330">
        <f t="shared" si="147"/>
        <v>2209</v>
      </c>
    </row>
    <row r="2331" spans="1:6" x14ac:dyDescent="0.3">
      <c r="A2331">
        <v>1.8</v>
      </c>
      <c r="B2331">
        <v>162.93</v>
      </c>
      <c r="C2331">
        <f t="shared" si="144"/>
        <v>293.274</v>
      </c>
      <c r="D2331">
        <f t="shared" si="145"/>
        <v>3.24</v>
      </c>
      <c r="E2331">
        <f t="shared" si="146"/>
        <v>26546.184900000004</v>
      </c>
      <c r="F2331">
        <f t="shared" si="147"/>
        <v>3.24</v>
      </c>
    </row>
    <row r="2332" spans="1:6" x14ac:dyDescent="0.3">
      <c r="A2332">
        <v>42</v>
      </c>
      <c r="B2332">
        <v>89.22</v>
      </c>
      <c r="C2332">
        <f t="shared" si="144"/>
        <v>3747.24</v>
      </c>
      <c r="D2332">
        <f t="shared" si="145"/>
        <v>1764</v>
      </c>
      <c r="E2332">
        <f t="shared" si="146"/>
        <v>7960.2083999999995</v>
      </c>
      <c r="F2332">
        <f t="shared" si="147"/>
        <v>1764</v>
      </c>
    </row>
    <row r="2333" spans="1:6" x14ac:dyDescent="0.3">
      <c r="A2333">
        <v>37</v>
      </c>
      <c r="B2333">
        <v>91.68</v>
      </c>
      <c r="C2333">
        <f t="shared" si="144"/>
        <v>3392.1600000000003</v>
      </c>
      <c r="D2333">
        <f t="shared" si="145"/>
        <v>1369</v>
      </c>
      <c r="E2333">
        <f t="shared" si="146"/>
        <v>8405.2224000000006</v>
      </c>
      <c r="F2333">
        <f t="shared" si="147"/>
        <v>1369</v>
      </c>
    </row>
    <row r="2334" spans="1:6" x14ac:dyDescent="0.3">
      <c r="A2334">
        <v>69</v>
      </c>
      <c r="B2334">
        <v>198.33</v>
      </c>
      <c r="C2334">
        <f t="shared" si="144"/>
        <v>13684.77</v>
      </c>
      <c r="D2334">
        <f t="shared" si="145"/>
        <v>4761</v>
      </c>
      <c r="E2334">
        <f t="shared" si="146"/>
        <v>39334.788900000007</v>
      </c>
      <c r="F2334">
        <f t="shared" si="147"/>
        <v>4761</v>
      </c>
    </row>
    <row r="2335" spans="1:6" x14ac:dyDescent="0.3">
      <c r="A2335">
        <v>13</v>
      </c>
      <c r="B2335">
        <v>85.81</v>
      </c>
      <c r="C2335">
        <f t="shared" si="144"/>
        <v>1115.53</v>
      </c>
      <c r="D2335">
        <f t="shared" si="145"/>
        <v>169</v>
      </c>
      <c r="E2335">
        <f t="shared" si="146"/>
        <v>7363.3561</v>
      </c>
      <c r="F2335">
        <f t="shared" si="147"/>
        <v>169</v>
      </c>
    </row>
    <row r="2336" spans="1:6" x14ac:dyDescent="0.3">
      <c r="A2336">
        <v>73</v>
      </c>
      <c r="B2336">
        <v>79.59</v>
      </c>
      <c r="C2336">
        <f t="shared" si="144"/>
        <v>5810.0700000000006</v>
      </c>
      <c r="D2336">
        <f t="shared" si="145"/>
        <v>5329</v>
      </c>
      <c r="E2336">
        <f t="shared" si="146"/>
        <v>6334.5681000000004</v>
      </c>
      <c r="F2336">
        <f t="shared" si="147"/>
        <v>5329</v>
      </c>
    </row>
    <row r="2337" spans="1:6" x14ac:dyDescent="0.3">
      <c r="A2337">
        <v>48</v>
      </c>
      <c r="B2337">
        <v>106.74</v>
      </c>
      <c r="C2337">
        <f t="shared" si="144"/>
        <v>5123.5199999999995</v>
      </c>
      <c r="D2337">
        <f t="shared" si="145"/>
        <v>2304</v>
      </c>
      <c r="E2337">
        <f t="shared" si="146"/>
        <v>11393.427599999999</v>
      </c>
      <c r="F2337">
        <f t="shared" si="147"/>
        <v>2304</v>
      </c>
    </row>
    <row r="2338" spans="1:6" x14ac:dyDescent="0.3">
      <c r="A2338">
        <v>78</v>
      </c>
      <c r="B2338">
        <v>191.33</v>
      </c>
      <c r="C2338">
        <f t="shared" si="144"/>
        <v>14923.740000000002</v>
      </c>
      <c r="D2338">
        <f t="shared" si="145"/>
        <v>6084</v>
      </c>
      <c r="E2338">
        <f t="shared" si="146"/>
        <v>36607.168900000004</v>
      </c>
      <c r="F2338">
        <f t="shared" si="147"/>
        <v>6084</v>
      </c>
    </row>
    <row r="2339" spans="1:6" x14ac:dyDescent="0.3">
      <c r="A2339">
        <v>21</v>
      </c>
      <c r="B2339">
        <v>59.52</v>
      </c>
      <c r="C2339">
        <f t="shared" si="144"/>
        <v>1249.92</v>
      </c>
      <c r="D2339">
        <f t="shared" si="145"/>
        <v>441</v>
      </c>
      <c r="E2339">
        <f t="shared" si="146"/>
        <v>3542.6304000000005</v>
      </c>
      <c r="F2339">
        <f t="shared" si="147"/>
        <v>441</v>
      </c>
    </row>
    <row r="2340" spans="1:6" x14ac:dyDescent="0.3">
      <c r="A2340">
        <v>54</v>
      </c>
      <c r="B2340">
        <v>206.52</v>
      </c>
      <c r="C2340">
        <f t="shared" si="144"/>
        <v>11152.08</v>
      </c>
      <c r="D2340">
        <f t="shared" si="145"/>
        <v>2916</v>
      </c>
      <c r="E2340">
        <f t="shared" si="146"/>
        <v>42650.510400000006</v>
      </c>
      <c r="F2340">
        <f t="shared" si="147"/>
        <v>2916</v>
      </c>
    </row>
    <row r="2341" spans="1:6" x14ac:dyDescent="0.3">
      <c r="A2341">
        <v>43</v>
      </c>
      <c r="B2341">
        <v>80.069999999999993</v>
      </c>
      <c r="C2341">
        <f t="shared" si="144"/>
        <v>3443.0099999999998</v>
      </c>
      <c r="D2341">
        <f t="shared" si="145"/>
        <v>1849</v>
      </c>
      <c r="E2341">
        <f t="shared" si="146"/>
        <v>6411.2048999999988</v>
      </c>
      <c r="F2341">
        <f t="shared" si="147"/>
        <v>1849</v>
      </c>
    </row>
    <row r="2342" spans="1:6" x14ac:dyDescent="0.3">
      <c r="A2342">
        <v>19</v>
      </c>
      <c r="B2342">
        <v>64.92</v>
      </c>
      <c r="C2342">
        <f t="shared" si="144"/>
        <v>1233.48</v>
      </c>
      <c r="D2342">
        <f t="shared" si="145"/>
        <v>361</v>
      </c>
      <c r="E2342">
        <f t="shared" si="146"/>
        <v>4214.6064000000006</v>
      </c>
      <c r="F2342">
        <f t="shared" si="147"/>
        <v>361</v>
      </c>
    </row>
    <row r="2343" spans="1:6" x14ac:dyDescent="0.3">
      <c r="A2343">
        <v>82</v>
      </c>
      <c r="B2343">
        <v>80</v>
      </c>
      <c r="C2343">
        <f t="shared" si="144"/>
        <v>6560</v>
      </c>
      <c r="D2343">
        <f t="shared" si="145"/>
        <v>6724</v>
      </c>
      <c r="E2343">
        <f t="shared" si="146"/>
        <v>6400</v>
      </c>
      <c r="F2343">
        <f t="shared" si="147"/>
        <v>6724</v>
      </c>
    </row>
    <row r="2344" spans="1:6" x14ac:dyDescent="0.3">
      <c r="A2344">
        <v>80</v>
      </c>
      <c r="B2344">
        <v>75.06</v>
      </c>
      <c r="C2344">
        <f t="shared" si="144"/>
        <v>6004.8</v>
      </c>
      <c r="D2344">
        <f t="shared" si="145"/>
        <v>6400</v>
      </c>
      <c r="E2344">
        <f t="shared" si="146"/>
        <v>5634.0036</v>
      </c>
      <c r="F2344">
        <f t="shared" si="147"/>
        <v>6400</v>
      </c>
    </row>
    <row r="2345" spans="1:6" x14ac:dyDescent="0.3">
      <c r="A2345">
        <v>69</v>
      </c>
      <c r="B2345">
        <v>112.2</v>
      </c>
      <c r="C2345">
        <f t="shared" si="144"/>
        <v>7741.8</v>
      </c>
      <c r="D2345">
        <f t="shared" si="145"/>
        <v>4761</v>
      </c>
      <c r="E2345">
        <f t="shared" si="146"/>
        <v>12588.84</v>
      </c>
      <c r="F2345">
        <f t="shared" si="147"/>
        <v>4761</v>
      </c>
    </row>
    <row r="2346" spans="1:6" x14ac:dyDescent="0.3">
      <c r="A2346">
        <v>21</v>
      </c>
      <c r="B2346">
        <v>91.18</v>
      </c>
      <c r="C2346">
        <f t="shared" si="144"/>
        <v>1914.7800000000002</v>
      </c>
      <c r="D2346">
        <f t="shared" si="145"/>
        <v>441</v>
      </c>
      <c r="E2346">
        <f t="shared" si="146"/>
        <v>8313.7924000000021</v>
      </c>
      <c r="F2346">
        <f t="shared" si="147"/>
        <v>441</v>
      </c>
    </row>
    <row r="2347" spans="1:6" x14ac:dyDescent="0.3">
      <c r="A2347">
        <v>46</v>
      </c>
      <c r="B2347">
        <v>85.81</v>
      </c>
      <c r="C2347">
        <f t="shared" si="144"/>
        <v>3947.26</v>
      </c>
      <c r="D2347">
        <f t="shared" si="145"/>
        <v>2116</v>
      </c>
      <c r="E2347">
        <f t="shared" si="146"/>
        <v>7363.3561</v>
      </c>
      <c r="F2347">
        <f t="shared" si="147"/>
        <v>2116</v>
      </c>
    </row>
    <row r="2348" spans="1:6" x14ac:dyDescent="0.3">
      <c r="A2348">
        <v>14</v>
      </c>
      <c r="B2348">
        <v>148.37</v>
      </c>
      <c r="C2348">
        <f t="shared" si="144"/>
        <v>2077.1800000000003</v>
      </c>
      <c r="D2348">
        <f t="shared" si="145"/>
        <v>196</v>
      </c>
      <c r="E2348">
        <f t="shared" si="146"/>
        <v>22013.656900000002</v>
      </c>
      <c r="F2348">
        <f t="shared" si="147"/>
        <v>196</v>
      </c>
    </row>
    <row r="2349" spans="1:6" x14ac:dyDescent="0.3">
      <c r="A2349">
        <v>6</v>
      </c>
      <c r="B2349">
        <v>64.55</v>
      </c>
      <c r="C2349">
        <f t="shared" si="144"/>
        <v>387.29999999999995</v>
      </c>
      <c r="D2349">
        <f t="shared" si="145"/>
        <v>36</v>
      </c>
      <c r="E2349">
        <f t="shared" si="146"/>
        <v>4166.7024999999994</v>
      </c>
      <c r="F2349">
        <f t="shared" si="147"/>
        <v>36</v>
      </c>
    </row>
    <row r="2350" spans="1:6" x14ac:dyDescent="0.3">
      <c r="A2350">
        <v>3</v>
      </c>
      <c r="B2350">
        <v>97.31</v>
      </c>
      <c r="C2350">
        <f t="shared" si="144"/>
        <v>291.93</v>
      </c>
      <c r="D2350">
        <f t="shared" si="145"/>
        <v>9</v>
      </c>
      <c r="E2350">
        <f t="shared" si="146"/>
        <v>9469.2361000000001</v>
      </c>
      <c r="F2350">
        <f t="shared" si="147"/>
        <v>9</v>
      </c>
    </row>
    <row r="2351" spans="1:6" x14ac:dyDescent="0.3">
      <c r="A2351">
        <v>47</v>
      </c>
      <c r="B2351">
        <v>111.15</v>
      </c>
      <c r="C2351">
        <f t="shared" si="144"/>
        <v>5224.05</v>
      </c>
      <c r="D2351">
        <f t="shared" si="145"/>
        <v>2209</v>
      </c>
      <c r="E2351">
        <f t="shared" si="146"/>
        <v>12354.322500000002</v>
      </c>
      <c r="F2351">
        <f t="shared" si="147"/>
        <v>2209</v>
      </c>
    </row>
    <row r="2352" spans="1:6" x14ac:dyDescent="0.3">
      <c r="A2352">
        <v>34</v>
      </c>
      <c r="B2352">
        <v>80.97</v>
      </c>
      <c r="C2352">
        <f t="shared" si="144"/>
        <v>2752.98</v>
      </c>
      <c r="D2352">
        <f t="shared" si="145"/>
        <v>1156</v>
      </c>
      <c r="E2352">
        <f t="shared" si="146"/>
        <v>6556.1408999999994</v>
      </c>
      <c r="F2352">
        <f t="shared" si="147"/>
        <v>1156</v>
      </c>
    </row>
    <row r="2353" spans="1:6" x14ac:dyDescent="0.3">
      <c r="A2353">
        <v>41</v>
      </c>
      <c r="B2353">
        <v>89.88</v>
      </c>
      <c r="C2353">
        <f t="shared" si="144"/>
        <v>3685.08</v>
      </c>
      <c r="D2353">
        <f t="shared" si="145"/>
        <v>1681</v>
      </c>
      <c r="E2353">
        <f t="shared" si="146"/>
        <v>8078.4143999999987</v>
      </c>
      <c r="F2353">
        <f t="shared" si="147"/>
        <v>1681</v>
      </c>
    </row>
    <row r="2354" spans="1:6" x14ac:dyDescent="0.3">
      <c r="A2354">
        <v>67</v>
      </c>
      <c r="B2354">
        <v>62.66</v>
      </c>
      <c r="C2354">
        <f t="shared" si="144"/>
        <v>4198.2199999999993</v>
      </c>
      <c r="D2354">
        <f t="shared" si="145"/>
        <v>4489</v>
      </c>
      <c r="E2354">
        <f t="shared" si="146"/>
        <v>3926.2755999999995</v>
      </c>
      <c r="F2354">
        <f t="shared" si="147"/>
        <v>4489</v>
      </c>
    </row>
    <row r="2355" spans="1:6" x14ac:dyDescent="0.3">
      <c r="A2355">
        <v>5</v>
      </c>
      <c r="B2355">
        <v>122.25</v>
      </c>
      <c r="C2355">
        <f t="shared" si="144"/>
        <v>611.25</v>
      </c>
      <c r="D2355">
        <f t="shared" si="145"/>
        <v>25</v>
      </c>
      <c r="E2355">
        <f t="shared" si="146"/>
        <v>14945.0625</v>
      </c>
      <c r="F2355">
        <f t="shared" si="147"/>
        <v>25</v>
      </c>
    </row>
    <row r="2356" spans="1:6" x14ac:dyDescent="0.3">
      <c r="A2356">
        <v>20</v>
      </c>
      <c r="B2356">
        <v>87.08</v>
      </c>
      <c r="C2356">
        <f t="shared" si="144"/>
        <v>1741.6</v>
      </c>
      <c r="D2356">
        <f t="shared" si="145"/>
        <v>400</v>
      </c>
      <c r="E2356">
        <f t="shared" si="146"/>
        <v>7582.9263999999994</v>
      </c>
      <c r="F2356">
        <f t="shared" si="147"/>
        <v>400</v>
      </c>
    </row>
    <row r="2357" spans="1:6" x14ac:dyDescent="0.3">
      <c r="A2357">
        <v>63</v>
      </c>
      <c r="B2357">
        <v>85</v>
      </c>
      <c r="C2357">
        <f t="shared" si="144"/>
        <v>5355</v>
      </c>
      <c r="D2357">
        <f t="shared" si="145"/>
        <v>3969</v>
      </c>
      <c r="E2357">
        <f t="shared" si="146"/>
        <v>7225</v>
      </c>
      <c r="F2357">
        <f t="shared" si="147"/>
        <v>3969</v>
      </c>
    </row>
    <row r="2358" spans="1:6" x14ac:dyDescent="0.3">
      <c r="A2358">
        <v>73</v>
      </c>
      <c r="B2358">
        <v>100.49</v>
      </c>
      <c r="C2358">
        <f t="shared" si="144"/>
        <v>7335.7699999999995</v>
      </c>
      <c r="D2358">
        <f t="shared" si="145"/>
        <v>5329</v>
      </c>
      <c r="E2358">
        <f t="shared" si="146"/>
        <v>10098.240099999999</v>
      </c>
      <c r="F2358">
        <f t="shared" si="147"/>
        <v>5329</v>
      </c>
    </row>
    <row r="2359" spans="1:6" x14ac:dyDescent="0.3">
      <c r="A2359">
        <v>62</v>
      </c>
      <c r="B2359">
        <v>145.37</v>
      </c>
      <c r="C2359">
        <f t="shared" si="144"/>
        <v>9012.94</v>
      </c>
      <c r="D2359">
        <f t="shared" si="145"/>
        <v>3844</v>
      </c>
      <c r="E2359">
        <f t="shared" si="146"/>
        <v>21132.436900000001</v>
      </c>
      <c r="F2359">
        <f t="shared" si="147"/>
        <v>3844</v>
      </c>
    </row>
    <row r="2360" spans="1:6" x14ac:dyDescent="0.3">
      <c r="A2360">
        <v>0.88</v>
      </c>
      <c r="B2360">
        <v>112.19</v>
      </c>
      <c r="C2360">
        <f t="shared" si="144"/>
        <v>98.727199999999996</v>
      </c>
      <c r="D2360">
        <f t="shared" si="145"/>
        <v>0.77439999999999998</v>
      </c>
      <c r="E2360">
        <f t="shared" si="146"/>
        <v>12586.596099999999</v>
      </c>
      <c r="F2360">
        <f t="shared" si="147"/>
        <v>0.77439999999999998</v>
      </c>
    </row>
    <row r="2361" spans="1:6" x14ac:dyDescent="0.3">
      <c r="A2361">
        <v>50</v>
      </c>
      <c r="B2361">
        <v>79.73</v>
      </c>
      <c r="C2361">
        <f t="shared" si="144"/>
        <v>3986.5</v>
      </c>
      <c r="D2361">
        <f t="shared" si="145"/>
        <v>2500</v>
      </c>
      <c r="E2361">
        <f t="shared" si="146"/>
        <v>6356.8729000000003</v>
      </c>
      <c r="F2361">
        <f t="shared" si="147"/>
        <v>2500</v>
      </c>
    </row>
    <row r="2362" spans="1:6" x14ac:dyDescent="0.3">
      <c r="A2362">
        <v>71</v>
      </c>
      <c r="B2362">
        <v>101.13</v>
      </c>
      <c r="C2362">
        <f t="shared" si="144"/>
        <v>7180.23</v>
      </c>
      <c r="D2362">
        <f t="shared" si="145"/>
        <v>5041</v>
      </c>
      <c r="E2362">
        <f t="shared" si="146"/>
        <v>10227.276899999999</v>
      </c>
      <c r="F2362">
        <f t="shared" si="147"/>
        <v>5041</v>
      </c>
    </row>
    <row r="2363" spans="1:6" x14ac:dyDescent="0.3">
      <c r="A2363">
        <v>30</v>
      </c>
      <c r="B2363">
        <v>101.98</v>
      </c>
      <c r="C2363">
        <f t="shared" si="144"/>
        <v>3059.4</v>
      </c>
      <c r="D2363">
        <f t="shared" si="145"/>
        <v>900</v>
      </c>
      <c r="E2363">
        <f t="shared" si="146"/>
        <v>10399.920400000001</v>
      </c>
      <c r="F2363">
        <f t="shared" si="147"/>
        <v>900</v>
      </c>
    </row>
    <row r="2364" spans="1:6" x14ac:dyDescent="0.3">
      <c r="A2364">
        <v>80</v>
      </c>
      <c r="B2364">
        <v>98.39</v>
      </c>
      <c r="C2364">
        <f t="shared" si="144"/>
        <v>7871.2</v>
      </c>
      <c r="D2364">
        <f t="shared" si="145"/>
        <v>6400</v>
      </c>
      <c r="E2364">
        <f t="shared" si="146"/>
        <v>9680.5920999999998</v>
      </c>
      <c r="F2364">
        <f t="shared" si="147"/>
        <v>6400</v>
      </c>
    </row>
    <row r="2365" spans="1:6" x14ac:dyDescent="0.3">
      <c r="A2365">
        <v>64</v>
      </c>
      <c r="B2365">
        <v>128.04</v>
      </c>
      <c r="C2365">
        <f t="shared" si="144"/>
        <v>8194.56</v>
      </c>
      <c r="D2365">
        <f t="shared" si="145"/>
        <v>4096</v>
      </c>
      <c r="E2365">
        <f t="shared" si="146"/>
        <v>16394.241599999998</v>
      </c>
      <c r="F2365">
        <f t="shared" si="147"/>
        <v>4096</v>
      </c>
    </row>
    <row r="2366" spans="1:6" x14ac:dyDescent="0.3">
      <c r="A2366">
        <v>7</v>
      </c>
      <c r="B2366">
        <v>98.12</v>
      </c>
      <c r="C2366">
        <f t="shared" si="144"/>
        <v>686.84</v>
      </c>
      <c r="D2366">
        <f t="shared" si="145"/>
        <v>49</v>
      </c>
      <c r="E2366">
        <f t="shared" si="146"/>
        <v>9627.5344000000005</v>
      </c>
      <c r="F2366">
        <f t="shared" si="147"/>
        <v>49</v>
      </c>
    </row>
    <row r="2367" spans="1:6" x14ac:dyDescent="0.3">
      <c r="A2367">
        <v>36</v>
      </c>
      <c r="B2367">
        <v>216.96</v>
      </c>
      <c r="C2367">
        <f t="shared" si="144"/>
        <v>7810.56</v>
      </c>
      <c r="D2367">
        <f t="shared" si="145"/>
        <v>1296</v>
      </c>
      <c r="E2367">
        <f t="shared" si="146"/>
        <v>47071.641600000003</v>
      </c>
      <c r="F2367">
        <f t="shared" si="147"/>
        <v>1296</v>
      </c>
    </row>
    <row r="2368" spans="1:6" x14ac:dyDescent="0.3">
      <c r="A2368">
        <v>79</v>
      </c>
      <c r="B2368">
        <v>94.92</v>
      </c>
      <c r="C2368">
        <f t="shared" si="144"/>
        <v>7498.68</v>
      </c>
      <c r="D2368">
        <f t="shared" si="145"/>
        <v>6241</v>
      </c>
      <c r="E2368">
        <f t="shared" si="146"/>
        <v>9009.8063999999995</v>
      </c>
      <c r="F2368">
        <f t="shared" si="147"/>
        <v>6241</v>
      </c>
    </row>
    <row r="2369" spans="1:6" x14ac:dyDescent="0.3">
      <c r="A2369">
        <v>35</v>
      </c>
      <c r="B2369">
        <v>83.27</v>
      </c>
      <c r="C2369">
        <f t="shared" si="144"/>
        <v>2914.45</v>
      </c>
      <c r="D2369">
        <f t="shared" si="145"/>
        <v>1225</v>
      </c>
      <c r="E2369">
        <f t="shared" si="146"/>
        <v>6933.8928999999989</v>
      </c>
      <c r="F2369">
        <f t="shared" si="147"/>
        <v>1225</v>
      </c>
    </row>
    <row r="2370" spans="1:6" x14ac:dyDescent="0.3">
      <c r="A2370">
        <v>28</v>
      </c>
      <c r="B2370">
        <v>96.86</v>
      </c>
      <c r="C2370">
        <f t="shared" si="144"/>
        <v>2712.08</v>
      </c>
      <c r="D2370">
        <f t="shared" si="145"/>
        <v>784</v>
      </c>
      <c r="E2370">
        <f t="shared" si="146"/>
        <v>9381.8595999999998</v>
      </c>
      <c r="F2370">
        <f t="shared" si="147"/>
        <v>784</v>
      </c>
    </row>
    <row r="2371" spans="1:6" x14ac:dyDescent="0.3">
      <c r="A2371">
        <v>72</v>
      </c>
      <c r="B2371">
        <v>99.73</v>
      </c>
      <c r="C2371">
        <f t="shared" ref="C2371:C2434" si="148">A2371*B2371</f>
        <v>7180.56</v>
      </c>
      <c r="D2371">
        <f t="shared" ref="D2371:D2434" si="149">A2371*A2371</f>
        <v>5184</v>
      </c>
      <c r="E2371">
        <f t="shared" ref="E2371:E2434" si="150">B2371*B2371</f>
        <v>9946.072900000001</v>
      </c>
      <c r="F2371">
        <f t="shared" ref="F2371:F2434" si="151">A2371^2</f>
        <v>5184</v>
      </c>
    </row>
    <row r="2372" spans="1:6" x14ac:dyDescent="0.3">
      <c r="A2372">
        <v>12</v>
      </c>
      <c r="B2372">
        <v>91.71</v>
      </c>
      <c r="C2372">
        <f t="shared" si="148"/>
        <v>1100.52</v>
      </c>
      <c r="D2372">
        <f t="shared" si="149"/>
        <v>144</v>
      </c>
      <c r="E2372">
        <f t="shared" si="150"/>
        <v>8410.7240999999995</v>
      </c>
      <c r="F2372">
        <f t="shared" si="151"/>
        <v>144</v>
      </c>
    </row>
    <row r="2373" spans="1:6" x14ac:dyDescent="0.3">
      <c r="A2373">
        <v>25</v>
      </c>
      <c r="B2373">
        <v>65.77</v>
      </c>
      <c r="C2373">
        <f t="shared" si="148"/>
        <v>1644.25</v>
      </c>
      <c r="D2373">
        <f t="shared" si="149"/>
        <v>625</v>
      </c>
      <c r="E2373">
        <f t="shared" si="150"/>
        <v>4325.6928999999991</v>
      </c>
      <c r="F2373">
        <f t="shared" si="151"/>
        <v>625</v>
      </c>
    </row>
    <row r="2374" spans="1:6" x14ac:dyDescent="0.3">
      <c r="A2374">
        <v>27</v>
      </c>
      <c r="B2374">
        <v>161.57</v>
      </c>
      <c r="C2374">
        <f t="shared" si="148"/>
        <v>4362.3899999999994</v>
      </c>
      <c r="D2374">
        <f t="shared" si="149"/>
        <v>729</v>
      </c>
      <c r="E2374">
        <f t="shared" si="150"/>
        <v>26104.864899999997</v>
      </c>
      <c r="F2374">
        <f t="shared" si="151"/>
        <v>729</v>
      </c>
    </row>
    <row r="2375" spans="1:6" x14ac:dyDescent="0.3">
      <c r="A2375">
        <v>62</v>
      </c>
      <c r="B2375">
        <v>74.319999999999993</v>
      </c>
      <c r="C2375">
        <f t="shared" si="148"/>
        <v>4607.8399999999992</v>
      </c>
      <c r="D2375">
        <f t="shared" si="149"/>
        <v>3844</v>
      </c>
      <c r="E2375">
        <f t="shared" si="150"/>
        <v>5523.4623999999994</v>
      </c>
      <c r="F2375">
        <f t="shared" si="151"/>
        <v>3844</v>
      </c>
    </row>
    <row r="2376" spans="1:6" x14ac:dyDescent="0.3">
      <c r="A2376">
        <v>58</v>
      </c>
      <c r="B2376">
        <v>170.93</v>
      </c>
      <c r="C2376">
        <f t="shared" si="148"/>
        <v>9913.94</v>
      </c>
      <c r="D2376">
        <f t="shared" si="149"/>
        <v>3364</v>
      </c>
      <c r="E2376">
        <f t="shared" si="150"/>
        <v>29217.064900000001</v>
      </c>
      <c r="F2376">
        <f t="shared" si="151"/>
        <v>3364</v>
      </c>
    </row>
    <row r="2377" spans="1:6" x14ac:dyDescent="0.3">
      <c r="A2377">
        <v>30</v>
      </c>
      <c r="B2377">
        <v>74.430000000000007</v>
      </c>
      <c r="C2377">
        <f t="shared" si="148"/>
        <v>2232.9</v>
      </c>
      <c r="D2377">
        <f t="shared" si="149"/>
        <v>900</v>
      </c>
      <c r="E2377">
        <f t="shared" si="150"/>
        <v>5539.8249000000014</v>
      </c>
      <c r="F2377">
        <f t="shared" si="151"/>
        <v>900</v>
      </c>
    </row>
    <row r="2378" spans="1:6" x14ac:dyDescent="0.3">
      <c r="A2378">
        <v>56</v>
      </c>
      <c r="B2378">
        <v>86.36</v>
      </c>
      <c r="C2378">
        <f t="shared" si="148"/>
        <v>4836.16</v>
      </c>
      <c r="D2378">
        <f t="shared" si="149"/>
        <v>3136</v>
      </c>
      <c r="E2378">
        <f t="shared" si="150"/>
        <v>7458.0496000000003</v>
      </c>
      <c r="F2378">
        <f t="shared" si="151"/>
        <v>3136</v>
      </c>
    </row>
    <row r="2379" spans="1:6" x14ac:dyDescent="0.3">
      <c r="A2379">
        <v>28</v>
      </c>
      <c r="B2379">
        <v>97.06</v>
      </c>
      <c r="C2379">
        <f t="shared" si="148"/>
        <v>2717.6800000000003</v>
      </c>
      <c r="D2379">
        <f t="shared" si="149"/>
        <v>784</v>
      </c>
      <c r="E2379">
        <f t="shared" si="150"/>
        <v>9420.6436000000012</v>
      </c>
      <c r="F2379">
        <f t="shared" si="151"/>
        <v>784</v>
      </c>
    </row>
    <row r="2380" spans="1:6" x14ac:dyDescent="0.3">
      <c r="A2380">
        <v>47</v>
      </c>
      <c r="B2380">
        <v>110.38</v>
      </c>
      <c r="C2380">
        <f t="shared" si="148"/>
        <v>5187.8599999999997</v>
      </c>
      <c r="D2380">
        <f t="shared" si="149"/>
        <v>2209</v>
      </c>
      <c r="E2380">
        <f t="shared" si="150"/>
        <v>12183.7444</v>
      </c>
      <c r="F2380">
        <f t="shared" si="151"/>
        <v>2209</v>
      </c>
    </row>
    <row r="2381" spans="1:6" x14ac:dyDescent="0.3">
      <c r="A2381">
        <v>16</v>
      </c>
      <c r="B2381">
        <v>79.03</v>
      </c>
      <c r="C2381">
        <f t="shared" si="148"/>
        <v>1264.48</v>
      </c>
      <c r="D2381">
        <f t="shared" si="149"/>
        <v>256</v>
      </c>
      <c r="E2381">
        <f t="shared" si="150"/>
        <v>6245.7408999999998</v>
      </c>
      <c r="F2381">
        <f t="shared" si="151"/>
        <v>256</v>
      </c>
    </row>
    <row r="2382" spans="1:6" x14ac:dyDescent="0.3">
      <c r="A2382">
        <v>29</v>
      </c>
      <c r="B2382">
        <v>62.48</v>
      </c>
      <c r="C2382">
        <f t="shared" si="148"/>
        <v>1811.9199999999998</v>
      </c>
      <c r="D2382">
        <f t="shared" si="149"/>
        <v>841</v>
      </c>
      <c r="E2382">
        <f t="shared" si="150"/>
        <v>3903.7503999999994</v>
      </c>
      <c r="F2382">
        <f t="shared" si="151"/>
        <v>841</v>
      </c>
    </row>
    <row r="2383" spans="1:6" x14ac:dyDescent="0.3">
      <c r="A2383">
        <v>26</v>
      </c>
      <c r="B2383">
        <v>55.62</v>
      </c>
      <c r="C2383">
        <f t="shared" si="148"/>
        <v>1446.12</v>
      </c>
      <c r="D2383">
        <f t="shared" si="149"/>
        <v>676</v>
      </c>
      <c r="E2383">
        <f t="shared" si="150"/>
        <v>3093.5843999999997</v>
      </c>
      <c r="F2383">
        <f t="shared" si="151"/>
        <v>676</v>
      </c>
    </row>
    <row r="2384" spans="1:6" x14ac:dyDescent="0.3">
      <c r="A2384">
        <v>26</v>
      </c>
      <c r="B2384">
        <v>84.9</v>
      </c>
      <c r="C2384">
        <f t="shared" si="148"/>
        <v>2207.4</v>
      </c>
      <c r="D2384">
        <f t="shared" si="149"/>
        <v>676</v>
      </c>
      <c r="E2384">
        <f t="shared" si="150"/>
        <v>7208.0100000000011</v>
      </c>
      <c r="F2384">
        <f t="shared" si="151"/>
        <v>676</v>
      </c>
    </row>
    <row r="2385" spans="1:6" x14ac:dyDescent="0.3">
      <c r="A2385">
        <v>55</v>
      </c>
      <c r="B2385">
        <v>232.81</v>
      </c>
      <c r="C2385">
        <f t="shared" si="148"/>
        <v>12804.55</v>
      </c>
      <c r="D2385">
        <f t="shared" si="149"/>
        <v>3025</v>
      </c>
      <c r="E2385">
        <f t="shared" si="150"/>
        <v>54200.496100000004</v>
      </c>
      <c r="F2385">
        <f t="shared" si="151"/>
        <v>3025</v>
      </c>
    </row>
    <row r="2386" spans="1:6" x14ac:dyDescent="0.3">
      <c r="A2386">
        <v>29</v>
      </c>
      <c r="B2386">
        <v>86.55</v>
      </c>
      <c r="C2386">
        <f t="shared" si="148"/>
        <v>2509.9499999999998</v>
      </c>
      <c r="D2386">
        <f t="shared" si="149"/>
        <v>841</v>
      </c>
      <c r="E2386">
        <f t="shared" si="150"/>
        <v>7490.9024999999992</v>
      </c>
      <c r="F2386">
        <f t="shared" si="151"/>
        <v>841</v>
      </c>
    </row>
    <row r="2387" spans="1:6" x14ac:dyDescent="0.3">
      <c r="A2387">
        <v>29</v>
      </c>
      <c r="B2387">
        <v>118.61</v>
      </c>
      <c r="C2387">
        <f t="shared" si="148"/>
        <v>3439.69</v>
      </c>
      <c r="D2387">
        <f t="shared" si="149"/>
        <v>841</v>
      </c>
      <c r="E2387">
        <f t="shared" si="150"/>
        <v>14068.3321</v>
      </c>
      <c r="F2387">
        <f t="shared" si="151"/>
        <v>841</v>
      </c>
    </row>
    <row r="2388" spans="1:6" x14ac:dyDescent="0.3">
      <c r="A2388">
        <v>33</v>
      </c>
      <c r="B2388">
        <v>80.209999999999994</v>
      </c>
      <c r="C2388">
        <f t="shared" si="148"/>
        <v>2646.93</v>
      </c>
      <c r="D2388">
        <f t="shared" si="149"/>
        <v>1089</v>
      </c>
      <c r="E2388">
        <f t="shared" si="150"/>
        <v>6433.6440999999986</v>
      </c>
      <c r="F2388">
        <f t="shared" si="151"/>
        <v>1089</v>
      </c>
    </row>
    <row r="2389" spans="1:6" x14ac:dyDescent="0.3">
      <c r="A2389">
        <v>19</v>
      </c>
      <c r="B2389">
        <v>65.959999999999994</v>
      </c>
      <c r="C2389">
        <f t="shared" si="148"/>
        <v>1253.2399999999998</v>
      </c>
      <c r="D2389">
        <f t="shared" si="149"/>
        <v>361</v>
      </c>
      <c r="E2389">
        <f t="shared" si="150"/>
        <v>4350.7215999999989</v>
      </c>
      <c r="F2389">
        <f t="shared" si="151"/>
        <v>361</v>
      </c>
    </row>
    <row r="2390" spans="1:6" x14ac:dyDescent="0.3">
      <c r="A2390">
        <v>10</v>
      </c>
      <c r="B2390">
        <v>61.34</v>
      </c>
      <c r="C2390">
        <f t="shared" si="148"/>
        <v>613.40000000000009</v>
      </c>
      <c r="D2390">
        <f t="shared" si="149"/>
        <v>100</v>
      </c>
      <c r="E2390">
        <f t="shared" si="150"/>
        <v>3762.5956000000006</v>
      </c>
      <c r="F2390">
        <f t="shared" si="151"/>
        <v>100</v>
      </c>
    </row>
    <row r="2391" spans="1:6" x14ac:dyDescent="0.3">
      <c r="A2391">
        <v>3</v>
      </c>
      <c r="B2391">
        <v>116.6</v>
      </c>
      <c r="C2391">
        <f t="shared" si="148"/>
        <v>349.79999999999995</v>
      </c>
      <c r="D2391">
        <f t="shared" si="149"/>
        <v>9</v>
      </c>
      <c r="E2391">
        <f t="shared" si="150"/>
        <v>13595.56</v>
      </c>
      <c r="F2391">
        <f t="shared" si="151"/>
        <v>9</v>
      </c>
    </row>
    <row r="2392" spans="1:6" x14ac:dyDescent="0.3">
      <c r="A2392">
        <v>60</v>
      </c>
      <c r="B2392">
        <v>85.13</v>
      </c>
      <c r="C2392">
        <f t="shared" si="148"/>
        <v>5107.7999999999993</v>
      </c>
      <c r="D2392">
        <f t="shared" si="149"/>
        <v>3600</v>
      </c>
      <c r="E2392">
        <f t="shared" si="150"/>
        <v>7247.1168999999991</v>
      </c>
      <c r="F2392">
        <f t="shared" si="151"/>
        <v>3600</v>
      </c>
    </row>
    <row r="2393" spans="1:6" x14ac:dyDescent="0.3">
      <c r="A2393">
        <v>16</v>
      </c>
      <c r="B2393">
        <v>86.32</v>
      </c>
      <c r="C2393">
        <f t="shared" si="148"/>
        <v>1381.12</v>
      </c>
      <c r="D2393">
        <f t="shared" si="149"/>
        <v>256</v>
      </c>
      <c r="E2393">
        <f t="shared" si="150"/>
        <v>7451.1423999999988</v>
      </c>
      <c r="F2393">
        <f t="shared" si="151"/>
        <v>256</v>
      </c>
    </row>
    <row r="2394" spans="1:6" x14ac:dyDescent="0.3">
      <c r="A2394">
        <v>35</v>
      </c>
      <c r="B2394">
        <v>69.22</v>
      </c>
      <c r="C2394">
        <f t="shared" si="148"/>
        <v>2422.6999999999998</v>
      </c>
      <c r="D2394">
        <f t="shared" si="149"/>
        <v>1225</v>
      </c>
      <c r="E2394">
        <f t="shared" si="150"/>
        <v>4791.4084000000003</v>
      </c>
      <c r="F2394">
        <f t="shared" si="151"/>
        <v>1225</v>
      </c>
    </row>
    <row r="2395" spans="1:6" x14ac:dyDescent="0.3">
      <c r="A2395">
        <v>41</v>
      </c>
      <c r="B2395">
        <v>140.93</v>
      </c>
      <c r="C2395">
        <f t="shared" si="148"/>
        <v>5778.13</v>
      </c>
      <c r="D2395">
        <f t="shared" si="149"/>
        <v>1681</v>
      </c>
      <c r="E2395">
        <f t="shared" si="150"/>
        <v>19861.264900000002</v>
      </c>
      <c r="F2395">
        <f t="shared" si="151"/>
        <v>1681</v>
      </c>
    </row>
    <row r="2396" spans="1:6" x14ac:dyDescent="0.3">
      <c r="A2396">
        <v>19</v>
      </c>
      <c r="B2396">
        <v>83.43</v>
      </c>
      <c r="C2396">
        <f t="shared" si="148"/>
        <v>1585.17</v>
      </c>
      <c r="D2396">
        <f t="shared" si="149"/>
        <v>361</v>
      </c>
      <c r="E2396">
        <f t="shared" si="150"/>
        <v>6960.5649000000012</v>
      </c>
      <c r="F2396">
        <f t="shared" si="151"/>
        <v>361</v>
      </c>
    </row>
    <row r="2397" spans="1:6" x14ac:dyDescent="0.3">
      <c r="A2397">
        <v>79</v>
      </c>
      <c r="B2397">
        <v>207.95</v>
      </c>
      <c r="C2397">
        <f t="shared" si="148"/>
        <v>16428.05</v>
      </c>
      <c r="D2397">
        <f t="shared" si="149"/>
        <v>6241</v>
      </c>
      <c r="E2397">
        <f t="shared" si="150"/>
        <v>43243.202499999992</v>
      </c>
      <c r="F2397">
        <f t="shared" si="151"/>
        <v>6241</v>
      </c>
    </row>
    <row r="2398" spans="1:6" x14ac:dyDescent="0.3">
      <c r="A2398">
        <v>41</v>
      </c>
      <c r="B2398">
        <v>134.29</v>
      </c>
      <c r="C2398">
        <f t="shared" si="148"/>
        <v>5505.8899999999994</v>
      </c>
      <c r="D2398">
        <f t="shared" si="149"/>
        <v>1681</v>
      </c>
      <c r="E2398">
        <f t="shared" si="150"/>
        <v>18033.804099999998</v>
      </c>
      <c r="F2398">
        <f t="shared" si="151"/>
        <v>1681</v>
      </c>
    </row>
    <row r="2399" spans="1:6" x14ac:dyDescent="0.3">
      <c r="A2399">
        <v>1.64</v>
      </c>
      <c r="B2399">
        <v>115.12</v>
      </c>
      <c r="C2399">
        <f t="shared" si="148"/>
        <v>188.79679999999999</v>
      </c>
      <c r="D2399">
        <f t="shared" si="149"/>
        <v>2.6895999999999995</v>
      </c>
      <c r="E2399">
        <f t="shared" si="150"/>
        <v>13252.6144</v>
      </c>
      <c r="F2399">
        <f t="shared" si="151"/>
        <v>2.6895999999999995</v>
      </c>
    </row>
    <row r="2400" spans="1:6" x14ac:dyDescent="0.3">
      <c r="A2400">
        <v>51</v>
      </c>
      <c r="B2400">
        <v>86.25</v>
      </c>
      <c r="C2400">
        <f t="shared" si="148"/>
        <v>4398.75</v>
      </c>
      <c r="D2400">
        <f t="shared" si="149"/>
        <v>2601</v>
      </c>
      <c r="E2400">
        <f t="shared" si="150"/>
        <v>7439.0625</v>
      </c>
      <c r="F2400">
        <f t="shared" si="151"/>
        <v>2601</v>
      </c>
    </row>
    <row r="2401" spans="1:6" x14ac:dyDescent="0.3">
      <c r="A2401">
        <v>33</v>
      </c>
      <c r="B2401">
        <v>112.94</v>
      </c>
      <c r="C2401">
        <f t="shared" si="148"/>
        <v>3727.02</v>
      </c>
      <c r="D2401">
        <f t="shared" si="149"/>
        <v>1089</v>
      </c>
      <c r="E2401">
        <f t="shared" si="150"/>
        <v>12755.443599999999</v>
      </c>
      <c r="F2401">
        <f t="shared" si="151"/>
        <v>1089</v>
      </c>
    </row>
    <row r="2402" spans="1:6" x14ac:dyDescent="0.3">
      <c r="A2402">
        <v>33</v>
      </c>
      <c r="B2402">
        <v>73.540000000000006</v>
      </c>
      <c r="C2402">
        <f t="shared" si="148"/>
        <v>2426.8200000000002</v>
      </c>
      <c r="D2402">
        <f t="shared" si="149"/>
        <v>1089</v>
      </c>
      <c r="E2402">
        <f t="shared" si="150"/>
        <v>5408.1316000000006</v>
      </c>
      <c r="F2402">
        <f t="shared" si="151"/>
        <v>1089</v>
      </c>
    </row>
    <row r="2403" spans="1:6" x14ac:dyDescent="0.3">
      <c r="A2403">
        <v>48</v>
      </c>
      <c r="B2403">
        <v>80.86</v>
      </c>
      <c r="C2403">
        <f t="shared" si="148"/>
        <v>3881.2799999999997</v>
      </c>
      <c r="D2403">
        <f t="shared" si="149"/>
        <v>2304</v>
      </c>
      <c r="E2403">
        <f t="shared" si="150"/>
        <v>6538.3396000000002</v>
      </c>
      <c r="F2403">
        <f t="shared" si="151"/>
        <v>2304</v>
      </c>
    </row>
    <row r="2404" spans="1:6" x14ac:dyDescent="0.3">
      <c r="A2404">
        <v>45</v>
      </c>
      <c r="B2404">
        <v>83.91</v>
      </c>
      <c r="C2404">
        <f t="shared" si="148"/>
        <v>3775.95</v>
      </c>
      <c r="D2404">
        <f t="shared" si="149"/>
        <v>2025</v>
      </c>
      <c r="E2404">
        <f t="shared" si="150"/>
        <v>7040.8880999999992</v>
      </c>
      <c r="F2404">
        <f t="shared" si="151"/>
        <v>2025</v>
      </c>
    </row>
    <row r="2405" spans="1:6" x14ac:dyDescent="0.3">
      <c r="A2405">
        <v>61</v>
      </c>
      <c r="B2405">
        <v>69.91</v>
      </c>
      <c r="C2405">
        <f t="shared" si="148"/>
        <v>4264.51</v>
      </c>
      <c r="D2405">
        <f t="shared" si="149"/>
        <v>3721</v>
      </c>
      <c r="E2405">
        <f t="shared" si="150"/>
        <v>4887.4080999999996</v>
      </c>
      <c r="F2405">
        <f t="shared" si="151"/>
        <v>3721</v>
      </c>
    </row>
    <row r="2406" spans="1:6" x14ac:dyDescent="0.3">
      <c r="A2406">
        <v>31</v>
      </c>
      <c r="B2406">
        <v>95.62</v>
      </c>
      <c r="C2406">
        <f t="shared" si="148"/>
        <v>2964.2200000000003</v>
      </c>
      <c r="D2406">
        <f t="shared" si="149"/>
        <v>961</v>
      </c>
      <c r="E2406">
        <f t="shared" si="150"/>
        <v>9143.1844000000001</v>
      </c>
      <c r="F2406">
        <f t="shared" si="151"/>
        <v>961</v>
      </c>
    </row>
    <row r="2407" spans="1:6" x14ac:dyDescent="0.3">
      <c r="A2407">
        <v>60</v>
      </c>
      <c r="B2407">
        <v>63.95</v>
      </c>
      <c r="C2407">
        <f t="shared" si="148"/>
        <v>3837</v>
      </c>
      <c r="D2407">
        <f t="shared" si="149"/>
        <v>3600</v>
      </c>
      <c r="E2407">
        <f t="shared" si="150"/>
        <v>4089.6025000000004</v>
      </c>
      <c r="F2407">
        <f t="shared" si="151"/>
        <v>3600</v>
      </c>
    </row>
    <row r="2408" spans="1:6" x14ac:dyDescent="0.3">
      <c r="A2408">
        <v>51</v>
      </c>
      <c r="B2408">
        <v>122.5</v>
      </c>
      <c r="C2408">
        <f t="shared" si="148"/>
        <v>6247.5</v>
      </c>
      <c r="D2408">
        <f t="shared" si="149"/>
        <v>2601</v>
      </c>
      <c r="E2408">
        <f t="shared" si="150"/>
        <v>15006.25</v>
      </c>
      <c r="F2408">
        <f t="shared" si="151"/>
        <v>2601</v>
      </c>
    </row>
    <row r="2409" spans="1:6" x14ac:dyDescent="0.3">
      <c r="A2409">
        <v>53</v>
      </c>
      <c r="B2409">
        <v>86</v>
      </c>
      <c r="C2409">
        <f t="shared" si="148"/>
        <v>4558</v>
      </c>
      <c r="D2409">
        <f t="shared" si="149"/>
        <v>2809</v>
      </c>
      <c r="E2409">
        <f t="shared" si="150"/>
        <v>7396</v>
      </c>
      <c r="F2409">
        <f t="shared" si="151"/>
        <v>2809</v>
      </c>
    </row>
    <row r="2410" spans="1:6" x14ac:dyDescent="0.3">
      <c r="A2410">
        <v>52</v>
      </c>
      <c r="B2410">
        <v>120.27</v>
      </c>
      <c r="C2410">
        <f t="shared" si="148"/>
        <v>6254.04</v>
      </c>
      <c r="D2410">
        <f t="shared" si="149"/>
        <v>2704</v>
      </c>
      <c r="E2410">
        <f t="shared" si="150"/>
        <v>14464.872899999998</v>
      </c>
      <c r="F2410">
        <f t="shared" si="151"/>
        <v>2704</v>
      </c>
    </row>
    <row r="2411" spans="1:6" x14ac:dyDescent="0.3">
      <c r="A2411">
        <v>42</v>
      </c>
      <c r="B2411">
        <v>56.71</v>
      </c>
      <c r="C2411">
        <f t="shared" si="148"/>
        <v>2381.8200000000002</v>
      </c>
      <c r="D2411">
        <f t="shared" si="149"/>
        <v>1764</v>
      </c>
      <c r="E2411">
        <f t="shared" si="150"/>
        <v>3216.0241000000001</v>
      </c>
      <c r="F2411">
        <f t="shared" si="151"/>
        <v>1764</v>
      </c>
    </row>
    <row r="2412" spans="1:6" x14ac:dyDescent="0.3">
      <c r="A2412">
        <v>56</v>
      </c>
      <c r="B2412">
        <v>131.63</v>
      </c>
      <c r="C2412">
        <f t="shared" si="148"/>
        <v>7371.28</v>
      </c>
      <c r="D2412">
        <f t="shared" si="149"/>
        <v>3136</v>
      </c>
      <c r="E2412">
        <f t="shared" si="150"/>
        <v>17326.456899999997</v>
      </c>
      <c r="F2412">
        <f t="shared" si="151"/>
        <v>3136</v>
      </c>
    </row>
    <row r="2413" spans="1:6" x14ac:dyDescent="0.3">
      <c r="A2413">
        <v>14</v>
      </c>
      <c r="B2413">
        <v>79.36</v>
      </c>
      <c r="C2413">
        <f t="shared" si="148"/>
        <v>1111.04</v>
      </c>
      <c r="D2413">
        <f t="shared" si="149"/>
        <v>196</v>
      </c>
      <c r="E2413">
        <f t="shared" si="150"/>
        <v>6298.0096000000003</v>
      </c>
      <c r="F2413">
        <f t="shared" si="151"/>
        <v>196</v>
      </c>
    </row>
    <row r="2414" spans="1:6" x14ac:dyDescent="0.3">
      <c r="A2414">
        <v>40</v>
      </c>
      <c r="B2414">
        <v>120.77</v>
      </c>
      <c r="C2414">
        <f t="shared" si="148"/>
        <v>4830.8</v>
      </c>
      <c r="D2414">
        <f t="shared" si="149"/>
        <v>1600</v>
      </c>
      <c r="E2414">
        <f t="shared" si="150"/>
        <v>14585.392899999999</v>
      </c>
      <c r="F2414">
        <f t="shared" si="151"/>
        <v>1600</v>
      </c>
    </row>
    <row r="2415" spans="1:6" x14ac:dyDescent="0.3">
      <c r="A2415">
        <v>58</v>
      </c>
      <c r="B2415">
        <v>100.42</v>
      </c>
      <c r="C2415">
        <f t="shared" si="148"/>
        <v>5824.36</v>
      </c>
      <c r="D2415">
        <f t="shared" si="149"/>
        <v>3364</v>
      </c>
      <c r="E2415">
        <f t="shared" si="150"/>
        <v>10084.1764</v>
      </c>
      <c r="F2415">
        <f t="shared" si="151"/>
        <v>3364</v>
      </c>
    </row>
    <row r="2416" spans="1:6" x14ac:dyDescent="0.3">
      <c r="A2416">
        <v>52</v>
      </c>
      <c r="B2416">
        <v>155.86000000000001</v>
      </c>
      <c r="C2416">
        <f t="shared" si="148"/>
        <v>8104.7200000000012</v>
      </c>
      <c r="D2416">
        <f t="shared" si="149"/>
        <v>2704</v>
      </c>
      <c r="E2416">
        <f t="shared" si="150"/>
        <v>24292.339600000003</v>
      </c>
      <c r="F2416">
        <f t="shared" si="151"/>
        <v>2704</v>
      </c>
    </row>
    <row r="2417" spans="1:6" x14ac:dyDescent="0.3">
      <c r="A2417">
        <v>30</v>
      </c>
      <c r="B2417">
        <v>66.010000000000005</v>
      </c>
      <c r="C2417">
        <f t="shared" si="148"/>
        <v>1980.3000000000002</v>
      </c>
      <c r="D2417">
        <f t="shared" si="149"/>
        <v>900</v>
      </c>
      <c r="E2417">
        <f t="shared" si="150"/>
        <v>4357.3201000000008</v>
      </c>
      <c r="F2417">
        <f t="shared" si="151"/>
        <v>900</v>
      </c>
    </row>
    <row r="2418" spans="1:6" x14ac:dyDescent="0.3">
      <c r="A2418">
        <v>47</v>
      </c>
      <c r="B2418">
        <v>86.99</v>
      </c>
      <c r="C2418">
        <f t="shared" si="148"/>
        <v>4088.5299999999997</v>
      </c>
      <c r="D2418">
        <f t="shared" si="149"/>
        <v>2209</v>
      </c>
      <c r="E2418">
        <f t="shared" si="150"/>
        <v>7567.2600999999995</v>
      </c>
      <c r="F2418">
        <f t="shared" si="151"/>
        <v>2209</v>
      </c>
    </row>
    <row r="2419" spans="1:6" x14ac:dyDescent="0.3">
      <c r="A2419">
        <v>34</v>
      </c>
      <c r="B2419">
        <v>90.55</v>
      </c>
      <c r="C2419">
        <f t="shared" si="148"/>
        <v>3078.7</v>
      </c>
      <c r="D2419">
        <f t="shared" si="149"/>
        <v>1156</v>
      </c>
      <c r="E2419">
        <f t="shared" si="150"/>
        <v>8199.3024999999998</v>
      </c>
      <c r="F2419">
        <f t="shared" si="151"/>
        <v>1156</v>
      </c>
    </row>
    <row r="2420" spans="1:6" x14ac:dyDescent="0.3">
      <c r="A2420">
        <v>82</v>
      </c>
      <c r="B2420">
        <v>229.58</v>
      </c>
      <c r="C2420">
        <f t="shared" si="148"/>
        <v>18825.560000000001</v>
      </c>
      <c r="D2420">
        <f t="shared" si="149"/>
        <v>6724</v>
      </c>
      <c r="E2420">
        <f t="shared" si="150"/>
        <v>52706.976400000007</v>
      </c>
      <c r="F2420">
        <f t="shared" si="151"/>
        <v>6724</v>
      </c>
    </row>
    <row r="2421" spans="1:6" x14ac:dyDescent="0.3">
      <c r="A2421">
        <v>31</v>
      </c>
      <c r="B2421">
        <v>60.06</v>
      </c>
      <c r="C2421">
        <f t="shared" si="148"/>
        <v>1861.8600000000001</v>
      </c>
      <c r="D2421">
        <f t="shared" si="149"/>
        <v>961</v>
      </c>
      <c r="E2421">
        <f t="shared" si="150"/>
        <v>3607.2036000000003</v>
      </c>
      <c r="F2421">
        <f t="shared" si="151"/>
        <v>961</v>
      </c>
    </row>
    <row r="2422" spans="1:6" x14ac:dyDescent="0.3">
      <c r="A2422">
        <v>58</v>
      </c>
      <c r="B2422">
        <v>65.66</v>
      </c>
      <c r="C2422">
        <f t="shared" si="148"/>
        <v>3808.2799999999997</v>
      </c>
      <c r="D2422">
        <f t="shared" si="149"/>
        <v>3364</v>
      </c>
      <c r="E2422">
        <f t="shared" si="150"/>
        <v>4311.2356</v>
      </c>
      <c r="F2422">
        <f t="shared" si="151"/>
        <v>3364</v>
      </c>
    </row>
    <row r="2423" spans="1:6" x14ac:dyDescent="0.3">
      <c r="A2423">
        <v>47</v>
      </c>
      <c r="B2423">
        <v>104.7</v>
      </c>
      <c r="C2423">
        <f t="shared" si="148"/>
        <v>4920.9000000000005</v>
      </c>
      <c r="D2423">
        <f t="shared" si="149"/>
        <v>2209</v>
      </c>
      <c r="E2423">
        <f t="shared" si="150"/>
        <v>10962.09</v>
      </c>
      <c r="F2423">
        <f t="shared" si="151"/>
        <v>2209</v>
      </c>
    </row>
    <row r="2424" spans="1:6" x14ac:dyDescent="0.3">
      <c r="A2424">
        <v>65</v>
      </c>
      <c r="B2424">
        <v>113.86</v>
      </c>
      <c r="C2424">
        <f t="shared" si="148"/>
        <v>7400.9</v>
      </c>
      <c r="D2424">
        <f t="shared" si="149"/>
        <v>4225</v>
      </c>
      <c r="E2424">
        <f t="shared" si="150"/>
        <v>12964.0996</v>
      </c>
      <c r="F2424">
        <f t="shared" si="151"/>
        <v>4225</v>
      </c>
    </row>
    <row r="2425" spans="1:6" x14ac:dyDescent="0.3">
      <c r="A2425">
        <v>13</v>
      </c>
      <c r="B2425">
        <v>99.49</v>
      </c>
      <c r="C2425">
        <f t="shared" si="148"/>
        <v>1293.3699999999999</v>
      </c>
      <c r="D2425">
        <f t="shared" si="149"/>
        <v>169</v>
      </c>
      <c r="E2425">
        <f t="shared" si="150"/>
        <v>9898.2600999999995</v>
      </c>
      <c r="F2425">
        <f t="shared" si="151"/>
        <v>169</v>
      </c>
    </row>
    <row r="2426" spans="1:6" x14ac:dyDescent="0.3">
      <c r="A2426">
        <v>37</v>
      </c>
      <c r="B2426">
        <v>165.99</v>
      </c>
      <c r="C2426">
        <f t="shared" si="148"/>
        <v>6141.63</v>
      </c>
      <c r="D2426">
        <f t="shared" si="149"/>
        <v>1369</v>
      </c>
      <c r="E2426">
        <f t="shared" si="150"/>
        <v>27552.680100000001</v>
      </c>
      <c r="F2426">
        <f t="shared" si="151"/>
        <v>1369</v>
      </c>
    </row>
    <row r="2427" spans="1:6" x14ac:dyDescent="0.3">
      <c r="A2427">
        <v>9</v>
      </c>
      <c r="B2427">
        <v>114.99</v>
      </c>
      <c r="C2427">
        <f t="shared" si="148"/>
        <v>1034.9099999999999</v>
      </c>
      <c r="D2427">
        <f t="shared" si="149"/>
        <v>81</v>
      </c>
      <c r="E2427">
        <f t="shared" si="150"/>
        <v>13222.700099999998</v>
      </c>
      <c r="F2427">
        <f t="shared" si="151"/>
        <v>81</v>
      </c>
    </row>
    <row r="2428" spans="1:6" x14ac:dyDescent="0.3">
      <c r="A2428">
        <v>7</v>
      </c>
      <c r="B2428">
        <v>79.58</v>
      </c>
      <c r="C2428">
        <f t="shared" si="148"/>
        <v>557.05999999999995</v>
      </c>
      <c r="D2428">
        <f t="shared" si="149"/>
        <v>49</v>
      </c>
      <c r="E2428">
        <f t="shared" si="150"/>
        <v>6332.9763999999996</v>
      </c>
      <c r="F2428">
        <f t="shared" si="151"/>
        <v>49</v>
      </c>
    </row>
    <row r="2429" spans="1:6" x14ac:dyDescent="0.3">
      <c r="A2429">
        <v>37</v>
      </c>
      <c r="B2429">
        <v>77.37</v>
      </c>
      <c r="C2429">
        <f t="shared" si="148"/>
        <v>2862.69</v>
      </c>
      <c r="D2429">
        <f t="shared" si="149"/>
        <v>1369</v>
      </c>
      <c r="E2429">
        <f t="shared" si="150"/>
        <v>5986.1169000000009</v>
      </c>
      <c r="F2429">
        <f t="shared" si="151"/>
        <v>1369</v>
      </c>
    </row>
    <row r="2430" spans="1:6" x14ac:dyDescent="0.3">
      <c r="A2430">
        <v>62</v>
      </c>
      <c r="B2430">
        <v>93.55</v>
      </c>
      <c r="C2430">
        <f t="shared" si="148"/>
        <v>5800.0999999999995</v>
      </c>
      <c r="D2430">
        <f t="shared" si="149"/>
        <v>3844</v>
      </c>
      <c r="E2430">
        <f t="shared" si="150"/>
        <v>8751.6024999999991</v>
      </c>
      <c r="F2430">
        <f t="shared" si="151"/>
        <v>3844</v>
      </c>
    </row>
    <row r="2431" spans="1:6" x14ac:dyDescent="0.3">
      <c r="A2431">
        <v>14</v>
      </c>
      <c r="B2431">
        <v>187.22</v>
      </c>
      <c r="C2431">
        <f t="shared" si="148"/>
        <v>2621.08</v>
      </c>
      <c r="D2431">
        <f t="shared" si="149"/>
        <v>196</v>
      </c>
      <c r="E2431">
        <f t="shared" si="150"/>
        <v>35051.328399999999</v>
      </c>
      <c r="F2431">
        <f t="shared" si="151"/>
        <v>196</v>
      </c>
    </row>
    <row r="2432" spans="1:6" x14ac:dyDescent="0.3">
      <c r="A2432">
        <v>77</v>
      </c>
      <c r="B2432">
        <v>167.59</v>
      </c>
      <c r="C2432">
        <f t="shared" si="148"/>
        <v>12904.43</v>
      </c>
      <c r="D2432">
        <f t="shared" si="149"/>
        <v>5929</v>
      </c>
      <c r="E2432">
        <f t="shared" si="150"/>
        <v>28086.408100000001</v>
      </c>
      <c r="F2432">
        <f t="shared" si="151"/>
        <v>5929</v>
      </c>
    </row>
    <row r="2433" spans="1:6" x14ac:dyDescent="0.3">
      <c r="A2433">
        <v>36</v>
      </c>
      <c r="B2433">
        <v>98.03</v>
      </c>
      <c r="C2433">
        <f t="shared" si="148"/>
        <v>3529.08</v>
      </c>
      <c r="D2433">
        <f t="shared" si="149"/>
        <v>1296</v>
      </c>
      <c r="E2433">
        <f t="shared" si="150"/>
        <v>9609.8809000000001</v>
      </c>
      <c r="F2433">
        <f t="shared" si="151"/>
        <v>1296</v>
      </c>
    </row>
    <row r="2434" spans="1:6" x14ac:dyDescent="0.3">
      <c r="A2434">
        <v>3</v>
      </c>
      <c r="B2434">
        <v>88.79</v>
      </c>
      <c r="C2434">
        <f t="shared" si="148"/>
        <v>266.37</v>
      </c>
      <c r="D2434">
        <f t="shared" si="149"/>
        <v>9</v>
      </c>
      <c r="E2434">
        <f t="shared" si="150"/>
        <v>7883.6641000000009</v>
      </c>
      <c r="F2434">
        <f t="shared" si="151"/>
        <v>9</v>
      </c>
    </row>
    <row r="2435" spans="1:6" x14ac:dyDescent="0.3">
      <c r="A2435">
        <v>78</v>
      </c>
      <c r="B2435">
        <v>92.9</v>
      </c>
      <c r="C2435">
        <f t="shared" ref="C2435:C2498" si="152">A2435*B2435</f>
        <v>7246.2000000000007</v>
      </c>
      <c r="D2435">
        <f t="shared" ref="D2435:D2498" si="153">A2435*A2435</f>
        <v>6084</v>
      </c>
      <c r="E2435">
        <f t="shared" ref="E2435:E2498" si="154">B2435*B2435</f>
        <v>8630.4100000000017</v>
      </c>
      <c r="F2435">
        <f t="shared" ref="F2435:F2498" si="155">A2435^2</f>
        <v>6084</v>
      </c>
    </row>
    <row r="2436" spans="1:6" x14ac:dyDescent="0.3">
      <c r="A2436">
        <v>49</v>
      </c>
      <c r="B2436">
        <v>117.34</v>
      </c>
      <c r="C2436">
        <f t="shared" si="152"/>
        <v>5749.66</v>
      </c>
      <c r="D2436">
        <f t="shared" si="153"/>
        <v>2401</v>
      </c>
      <c r="E2436">
        <f t="shared" si="154"/>
        <v>13768.6756</v>
      </c>
      <c r="F2436">
        <f t="shared" si="155"/>
        <v>2401</v>
      </c>
    </row>
    <row r="2437" spans="1:6" x14ac:dyDescent="0.3">
      <c r="A2437">
        <v>44</v>
      </c>
      <c r="B2437">
        <v>80.75</v>
      </c>
      <c r="C2437">
        <f t="shared" si="152"/>
        <v>3553</v>
      </c>
      <c r="D2437">
        <f t="shared" si="153"/>
        <v>1936</v>
      </c>
      <c r="E2437">
        <f t="shared" si="154"/>
        <v>6520.5625</v>
      </c>
      <c r="F2437">
        <f t="shared" si="155"/>
        <v>1936</v>
      </c>
    </row>
    <row r="2438" spans="1:6" x14ac:dyDescent="0.3">
      <c r="A2438">
        <v>10</v>
      </c>
      <c r="B2438">
        <v>77.510000000000005</v>
      </c>
      <c r="C2438">
        <f t="shared" si="152"/>
        <v>775.1</v>
      </c>
      <c r="D2438">
        <f t="shared" si="153"/>
        <v>100</v>
      </c>
      <c r="E2438">
        <f t="shared" si="154"/>
        <v>6007.8001000000004</v>
      </c>
      <c r="F2438">
        <f t="shared" si="155"/>
        <v>100</v>
      </c>
    </row>
    <row r="2439" spans="1:6" x14ac:dyDescent="0.3">
      <c r="A2439">
        <v>8</v>
      </c>
      <c r="B2439">
        <v>105.63</v>
      </c>
      <c r="C2439">
        <f t="shared" si="152"/>
        <v>845.04</v>
      </c>
      <c r="D2439">
        <f t="shared" si="153"/>
        <v>64</v>
      </c>
      <c r="E2439">
        <f t="shared" si="154"/>
        <v>11157.696899999999</v>
      </c>
      <c r="F2439">
        <f t="shared" si="155"/>
        <v>64</v>
      </c>
    </row>
    <row r="2440" spans="1:6" x14ac:dyDescent="0.3">
      <c r="A2440">
        <v>60</v>
      </c>
      <c r="B2440">
        <v>114.34</v>
      </c>
      <c r="C2440">
        <f t="shared" si="152"/>
        <v>6860.4000000000005</v>
      </c>
      <c r="D2440">
        <f t="shared" si="153"/>
        <v>3600</v>
      </c>
      <c r="E2440">
        <f t="shared" si="154"/>
        <v>13073.635600000001</v>
      </c>
      <c r="F2440">
        <f t="shared" si="155"/>
        <v>3600</v>
      </c>
    </row>
    <row r="2441" spans="1:6" x14ac:dyDescent="0.3">
      <c r="A2441">
        <v>56</v>
      </c>
      <c r="B2441">
        <v>227.04</v>
      </c>
      <c r="C2441">
        <f t="shared" si="152"/>
        <v>12714.24</v>
      </c>
      <c r="D2441">
        <f t="shared" si="153"/>
        <v>3136</v>
      </c>
      <c r="E2441">
        <f t="shared" si="154"/>
        <v>51547.161599999999</v>
      </c>
      <c r="F2441">
        <f t="shared" si="155"/>
        <v>3136</v>
      </c>
    </row>
    <row r="2442" spans="1:6" x14ac:dyDescent="0.3">
      <c r="A2442">
        <v>73</v>
      </c>
      <c r="B2442">
        <v>87.56</v>
      </c>
      <c r="C2442">
        <f t="shared" si="152"/>
        <v>6391.88</v>
      </c>
      <c r="D2442">
        <f t="shared" si="153"/>
        <v>5329</v>
      </c>
      <c r="E2442">
        <f t="shared" si="154"/>
        <v>7666.7536</v>
      </c>
      <c r="F2442">
        <f t="shared" si="155"/>
        <v>5329</v>
      </c>
    </row>
    <row r="2443" spans="1:6" x14ac:dyDescent="0.3">
      <c r="A2443">
        <v>65</v>
      </c>
      <c r="B2443">
        <v>84.47</v>
      </c>
      <c r="C2443">
        <f t="shared" si="152"/>
        <v>5490.55</v>
      </c>
      <c r="D2443">
        <f t="shared" si="153"/>
        <v>4225</v>
      </c>
      <c r="E2443">
        <f t="shared" si="154"/>
        <v>7135.1808999999994</v>
      </c>
      <c r="F2443">
        <f t="shared" si="155"/>
        <v>4225</v>
      </c>
    </row>
    <row r="2444" spans="1:6" x14ac:dyDescent="0.3">
      <c r="A2444">
        <v>34</v>
      </c>
      <c r="B2444">
        <v>96.26</v>
      </c>
      <c r="C2444">
        <f t="shared" si="152"/>
        <v>3272.84</v>
      </c>
      <c r="D2444">
        <f t="shared" si="153"/>
        <v>1156</v>
      </c>
      <c r="E2444">
        <f t="shared" si="154"/>
        <v>9265.9876000000004</v>
      </c>
      <c r="F2444">
        <f t="shared" si="155"/>
        <v>1156</v>
      </c>
    </row>
    <row r="2445" spans="1:6" x14ac:dyDescent="0.3">
      <c r="A2445">
        <v>13</v>
      </c>
      <c r="B2445">
        <v>116.64</v>
      </c>
      <c r="C2445">
        <f t="shared" si="152"/>
        <v>1516.32</v>
      </c>
      <c r="D2445">
        <f t="shared" si="153"/>
        <v>169</v>
      </c>
      <c r="E2445">
        <f t="shared" si="154"/>
        <v>13604.8896</v>
      </c>
      <c r="F2445">
        <f t="shared" si="155"/>
        <v>169</v>
      </c>
    </row>
    <row r="2446" spans="1:6" x14ac:dyDescent="0.3">
      <c r="A2446">
        <v>80</v>
      </c>
      <c r="B2446">
        <v>79.569999999999993</v>
      </c>
      <c r="C2446">
        <f t="shared" si="152"/>
        <v>6365.5999999999995</v>
      </c>
      <c r="D2446">
        <f t="shared" si="153"/>
        <v>6400</v>
      </c>
      <c r="E2446">
        <f t="shared" si="154"/>
        <v>6331.3848999999991</v>
      </c>
      <c r="F2446">
        <f t="shared" si="155"/>
        <v>6400</v>
      </c>
    </row>
    <row r="2447" spans="1:6" x14ac:dyDescent="0.3">
      <c r="A2447">
        <v>46</v>
      </c>
      <c r="B2447">
        <v>78.44</v>
      </c>
      <c r="C2447">
        <f t="shared" si="152"/>
        <v>3608.24</v>
      </c>
      <c r="D2447">
        <f t="shared" si="153"/>
        <v>2116</v>
      </c>
      <c r="E2447">
        <f t="shared" si="154"/>
        <v>6152.8335999999999</v>
      </c>
      <c r="F2447">
        <f t="shared" si="155"/>
        <v>2116</v>
      </c>
    </row>
    <row r="2448" spans="1:6" x14ac:dyDescent="0.3">
      <c r="A2448">
        <v>80</v>
      </c>
      <c r="B2448">
        <v>64.150000000000006</v>
      </c>
      <c r="C2448">
        <f t="shared" si="152"/>
        <v>5132</v>
      </c>
      <c r="D2448">
        <f t="shared" si="153"/>
        <v>6400</v>
      </c>
      <c r="E2448">
        <f t="shared" si="154"/>
        <v>4115.2225000000008</v>
      </c>
      <c r="F2448">
        <f t="shared" si="155"/>
        <v>6400</v>
      </c>
    </row>
    <row r="2449" spans="1:6" x14ac:dyDescent="0.3">
      <c r="A2449">
        <v>65</v>
      </c>
      <c r="B2449">
        <v>74.5</v>
      </c>
      <c r="C2449">
        <f t="shared" si="152"/>
        <v>4842.5</v>
      </c>
      <c r="D2449">
        <f t="shared" si="153"/>
        <v>4225</v>
      </c>
      <c r="E2449">
        <f t="shared" si="154"/>
        <v>5550.25</v>
      </c>
      <c r="F2449">
        <f t="shared" si="155"/>
        <v>4225</v>
      </c>
    </row>
    <row r="2450" spans="1:6" x14ac:dyDescent="0.3">
      <c r="A2450">
        <v>24</v>
      </c>
      <c r="B2450">
        <v>70.319999999999993</v>
      </c>
      <c r="C2450">
        <f t="shared" si="152"/>
        <v>1687.6799999999998</v>
      </c>
      <c r="D2450">
        <f t="shared" si="153"/>
        <v>576</v>
      </c>
      <c r="E2450">
        <f t="shared" si="154"/>
        <v>4944.902399999999</v>
      </c>
      <c r="F2450">
        <f t="shared" si="155"/>
        <v>576</v>
      </c>
    </row>
    <row r="2451" spans="1:6" x14ac:dyDescent="0.3">
      <c r="A2451">
        <v>33</v>
      </c>
      <c r="B2451">
        <v>84.48</v>
      </c>
      <c r="C2451">
        <f t="shared" si="152"/>
        <v>2787.84</v>
      </c>
      <c r="D2451">
        <f t="shared" si="153"/>
        <v>1089</v>
      </c>
      <c r="E2451">
        <f t="shared" si="154"/>
        <v>7136.8704000000007</v>
      </c>
      <c r="F2451">
        <f t="shared" si="155"/>
        <v>1089</v>
      </c>
    </row>
    <row r="2452" spans="1:6" x14ac:dyDescent="0.3">
      <c r="A2452">
        <v>11</v>
      </c>
      <c r="B2452">
        <v>144.08000000000001</v>
      </c>
      <c r="C2452">
        <f t="shared" si="152"/>
        <v>1584.88</v>
      </c>
      <c r="D2452">
        <f t="shared" si="153"/>
        <v>121</v>
      </c>
      <c r="E2452">
        <f t="shared" si="154"/>
        <v>20759.046400000003</v>
      </c>
      <c r="F2452">
        <f t="shared" si="155"/>
        <v>121</v>
      </c>
    </row>
    <row r="2453" spans="1:6" x14ac:dyDescent="0.3">
      <c r="A2453">
        <v>57</v>
      </c>
      <c r="B2453">
        <v>78.14</v>
      </c>
      <c r="C2453">
        <f t="shared" si="152"/>
        <v>4453.9800000000005</v>
      </c>
      <c r="D2453">
        <f t="shared" si="153"/>
        <v>3249</v>
      </c>
      <c r="E2453">
        <f t="shared" si="154"/>
        <v>6105.8595999999998</v>
      </c>
      <c r="F2453">
        <f t="shared" si="155"/>
        <v>3249</v>
      </c>
    </row>
    <row r="2454" spans="1:6" x14ac:dyDescent="0.3">
      <c r="A2454">
        <v>19</v>
      </c>
      <c r="B2454">
        <v>133.58000000000001</v>
      </c>
      <c r="C2454">
        <f t="shared" si="152"/>
        <v>2538.0200000000004</v>
      </c>
      <c r="D2454">
        <f t="shared" si="153"/>
        <v>361</v>
      </c>
      <c r="E2454">
        <f t="shared" si="154"/>
        <v>17843.616400000003</v>
      </c>
      <c r="F2454">
        <f t="shared" si="155"/>
        <v>361</v>
      </c>
    </row>
    <row r="2455" spans="1:6" x14ac:dyDescent="0.3">
      <c r="A2455">
        <v>82</v>
      </c>
      <c r="B2455">
        <v>214.42</v>
      </c>
      <c r="C2455">
        <f t="shared" si="152"/>
        <v>17582.439999999999</v>
      </c>
      <c r="D2455">
        <f t="shared" si="153"/>
        <v>6724</v>
      </c>
      <c r="E2455">
        <f t="shared" si="154"/>
        <v>45975.936399999991</v>
      </c>
      <c r="F2455">
        <f t="shared" si="155"/>
        <v>6724</v>
      </c>
    </row>
    <row r="2456" spans="1:6" x14ac:dyDescent="0.3">
      <c r="A2456">
        <v>39</v>
      </c>
      <c r="B2456">
        <v>80.63</v>
      </c>
      <c r="C2456">
        <f t="shared" si="152"/>
        <v>3144.5699999999997</v>
      </c>
      <c r="D2456">
        <f t="shared" si="153"/>
        <v>1521</v>
      </c>
      <c r="E2456">
        <f t="shared" si="154"/>
        <v>6501.196899999999</v>
      </c>
      <c r="F2456">
        <f t="shared" si="155"/>
        <v>1521</v>
      </c>
    </row>
    <row r="2457" spans="1:6" x14ac:dyDescent="0.3">
      <c r="A2457">
        <v>14</v>
      </c>
      <c r="B2457">
        <v>233.71</v>
      </c>
      <c r="C2457">
        <f t="shared" si="152"/>
        <v>3271.94</v>
      </c>
      <c r="D2457">
        <f t="shared" si="153"/>
        <v>196</v>
      </c>
      <c r="E2457">
        <f t="shared" si="154"/>
        <v>54620.364100000006</v>
      </c>
      <c r="F2457">
        <f t="shared" si="155"/>
        <v>196</v>
      </c>
    </row>
    <row r="2458" spans="1:6" x14ac:dyDescent="0.3">
      <c r="A2458">
        <v>60</v>
      </c>
      <c r="B2458">
        <v>96</v>
      </c>
      <c r="C2458">
        <f t="shared" si="152"/>
        <v>5760</v>
      </c>
      <c r="D2458">
        <f t="shared" si="153"/>
        <v>3600</v>
      </c>
      <c r="E2458">
        <f t="shared" si="154"/>
        <v>9216</v>
      </c>
      <c r="F2458">
        <f t="shared" si="155"/>
        <v>3600</v>
      </c>
    </row>
    <row r="2459" spans="1:6" x14ac:dyDescent="0.3">
      <c r="A2459">
        <v>3</v>
      </c>
      <c r="B2459">
        <v>74.52</v>
      </c>
      <c r="C2459">
        <f t="shared" si="152"/>
        <v>223.56</v>
      </c>
      <c r="D2459">
        <f t="shared" si="153"/>
        <v>9</v>
      </c>
      <c r="E2459">
        <f t="shared" si="154"/>
        <v>5553.2303999999995</v>
      </c>
      <c r="F2459">
        <f t="shared" si="155"/>
        <v>9</v>
      </c>
    </row>
    <row r="2460" spans="1:6" x14ac:dyDescent="0.3">
      <c r="A2460">
        <v>57</v>
      </c>
      <c r="B2460">
        <v>131.4</v>
      </c>
      <c r="C2460">
        <f t="shared" si="152"/>
        <v>7489.8</v>
      </c>
      <c r="D2460">
        <f t="shared" si="153"/>
        <v>3249</v>
      </c>
      <c r="E2460">
        <f t="shared" si="154"/>
        <v>17265.960000000003</v>
      </c>
      <c r="F2460">
        <f t="shared" si="155"/>
        <v>3249</v>
      </c>
    </row>
    <row r="2461" spans="1:6" x14ac:dyDescent="0.3">
      <c r="A2461">
        <v>79</v>
      </c>
      <c r="B2461">
        <v>216.4</v>
      </c>
      <c r="C2461">
        <f t="shared" si="152"/>
        <v>17095.600000000002</v>
      </c>
      <c r="D2461">
        <f t="shared" si="153"/>
        <v>6241</v>
      </c>
      <c r="E2461">
        <f t="shared" si="154"/>
        <v>46828.959999999999</v>
      </c>
      <c r="F2461">
        <f t="shared" si="155"/>
        <v>6241</v>
      </c>
    </row>
    <row r="2462" spans="1:6" x14ac:dyDescent="0.3">
      <c r="A2462">
        <v>65</v>
      </c>
      <c r="B2462">
        <v>108.8</v>
      </c>
      <c r="C2462">
        <f t="shared" si="152"/>
        <v>7072</v>
      </c>
      <c r="D2462">
        <f t="shared" si="153"/>
        <v>4225</v>
      </c>
      <c r="E2462">
        <f t="shared" si="154"/>
        <v>11837.439999999999</v>
      </c>
      <c r="F2462">
        <f t="shared" si="155"/>
        <v>4225</v>
      </c>
    </row>
    <row r="2463" spans="1:6" x14ac:dyDescent="0.3">
      <c r="A2463">
        <v>67</v>
      </c>
      <c r="B2463">
        <v>97.06</v>
      </c>
      <c r="C2463">
        <f t="shared" si="152"/>
        <v>6503.02</v>
      </c>
      <c r="D2463">
        <f t="shared" si="153"/>
        <v>4489</v>
      </c>
      <c r="E2463">
        <f t="shared" si="154"/>
        <v>9420.6436000000012</v>
      </c>
      <c r="F2463">
        <f t="shared" si="155"/>
        <v>4489</v>
      </c>
    </row>
    <row r="2464" spans="1:6" x14ac:dyDescent="0.3">
      <c r="A2464">
        <v>60</v>
      </c>
      <c r="B2464">
        <v>266.58999999999997</v>
      </c>
      <c r="C2464">
        <f t="shared" si="152"/>
        <v>15995.399999999998</v>
      </c>
      <c r="D2464">
        <f t="shared" si="153"/>
        <v>3600</v>
      </c>
      <c r="E2464">
        <f t="shared" si="154"/>
        <v>71070.228099999993</v>
      </c>
      <c r="F2464">
        <f t="shared" si="155"/>
        <v>3600</v>
      </c>
    </row>
    <row r="2465" spans="1:6" x14ac:dyDescent="0.3">
      <c r="A2465">
        <v>36</v>
      </c>
      <c r="B2465">
        <v>55.58</v>
      </c>
      <c r="C2465">
        <f t="shared" si="152"/>
        <v>2000.8799999999999</v>
      </c>
      <c r="D2465">
        <f t="shared" si="153"/>
        <v>1296</v>
      </c>
      <c r="E2465">
        <f t="shared" si="154"/>
        <v>3089.1363999999999</v>
      </c>
      <c r="F2465">
        <f t="shared" si="155"/>
        <v>1296</v>
      </c>
    </row>
    <row r="2466" spans="1:6" x14ac:dyDescent="0.3">
      <c r="A2466">
        <v>36</v>
      </c>
      <c r="B2466">
        <v>65.87</v>
      </c>
      <c r="C2466">
        <f t="shared" si="152"/>
        <v>2371.3200000000002</v>
      </c>
      <c r="D2466">
        <f t="shared" si="153"/>
        <v>1296</v>
      </c>
      <c r="E2466">
        <f t="shared" si="154"/>
        <v>4338.8569000000007</v>
      </c>
      <c r="F2466">
        <f t="shared" si="155"/>
        <v>1296</v>
      </c>
    </row>
    <row r="2467" spans="1:6" x14ac:dyDescent="0.3">
      <c r="A2467">
        <v>26</v>
      </c>
      <c r="B2467">
        <v>89.28</v>
      </c>
      <c r="C2467">
        <f t="shared" si="152"/>
        <v>2321.2800000000002</v>
      </c>
      <c r="D2467">
        <f t="shared" si="153"/>
        <v>676</v>
      </c>
      <c r="E2467">
        <f t="shared" si="154"/>
        <v>7970.9184000000005</v>
      </c>
      <c r="F2467">
        <f t="shared" si="155"/>
        <v>676</v>
      </c>
    </row>
    <row r="2468" spans="1:6" x14ac:dyDescent="0.3">
      <c r="A2468">
        <v>71</v>
      </c>
      <c r="B2468">
        <v>56.12</v>
      </c>
      <c r="C2468">
        <f t="shared" si="152"/>
        <v>3984.52</v>
      </c>
      <c r="D2468">
        <f t="shared" si="153"/>
        <v>5041</v>
      </c>
      <c r="E2468">
        <f t="shared" si="154"/>
        <v>3149.4543999999996</v>
      </c>
      <c r="F2468">
        <f t="shared" si="155"/>
        <v>5041</v>
      </c>
    </row>
    <row r="2469" spans="1:6" x14ac:dyDescent="0.3">
      <c r="A2469">
        <v>78</v>
      </c>
      <c r="B2469">
        <v>74.7</v>
      </c>
      <c r="C2469">
        <f t="shared" si="152"/>
        <v>5826.6</v>
      </c>
      <c r="D2469">
        <f t="shared" si="153"/>
        <v>6084</v>
      </c>
      <c r="E2469">
        <f t="shared" si="154"/>
        <v>5580.09</v>
      </c>
      <c r="F2469">
        <f t="shared" si="155"/>
        <v>6084</v>
      </c>
    </row>
    <row r="2470" spans="1:6" x14ac:dyDescent="0.3">
      <c r="A2470">
        <v>77</v>
      </c>
      <c r="B2470">
        <v>83.06</v>
      </c>
      <c r="C2470">
        <f t="shared" si="152"/>
        <v>6395.62</v>
      </c>
      <c r="D2470">
        <f t="shared" si="153"/>
        <v>5929</v>
      </c>
      <c r="E2470">
        <f t="shared" si="154"/>
        <v>6898.9636</v>
      </c>
      <c r="F2470">
        <f t="shared" si="155"/>
        <v>5929</v>
      </c>
    </row>
    <row r="2471" spans="1:6" x14ac:dyDescent="0.3">
      <c r="A2471">
        <v>74</v>
      </c>
      <c r="B2471">
        <v>227.94</v>
      </c>
      <c r="C2471">
        <f t="shared" si="152"/>
        <v>16867.560000000001</v>
      </c>
      <c r="D2471">
        <f t="shared" si="153"/>
        <v>5476</v>
      </c>
      <c r="E2471">
        <f t="shared" si="154"/>
        <v>51956.643599999996</v>
      </c>
      <c r="F2471">
        <f t="shared" si="155"/>
        <v>5476</v>
      </c>
    </row>
    <row r="2472" spans="1:6" x14ac:dyDescent="0.3">
      <c r="A2472">
        <v>50</v>
      </c>
      <c r="B2472">
        <v>84.88</v>
      </c>
      <c r="C2472">
        <f t="shared" si="152"/>
        <v>4244</v>
      </c>
      <c r="D2472">
        <f t="shared" si="153"/>
        <v>2500</v>
      </c>
      <c r="E2472">
        <f t="shared" si="154"/>
        <v>7204.6143999999995</v>
      </c>
      <c r="F2472">
        <f t="shared" si="155"/>
        <v>2500</v>
      </c>
    </row>
    <row r="2473" spans="1:6" x14ac:dyDescent="0.3">
      <c r="A2473">
        <v>9</v>
      </c>
      <c r="B2473">
        <v>64.2</v>
      </c>
      <c r="C2473">
        <f t="shared" si="152"/>
        <v>577.80000000000007</v>
      </c>
      <c r="D2473">
        <f t="shared" si="153"/>
        <v>81</v>
      </c>
      <c r="E2473">
        <f t="shared" si="154"/>
        <v>4121.6400000000003</v>
      </c>
      <c r="F2473">
        <f t="shared" si="155"/>
        <v>81</v>
      </c>
    </row>
    <row r="2474" spans="1:6" x14ac:dyDescent="0.3">
      <c r="A2474">
        <v>1.64</v>
      </c>
      <c r="B2474">
        <v>137.22</v>
      </c>
      <c r="C2474">
        <f t="shared" si="152"/>
        <v>225.04079999999999</v>
      </c>
      <c r="D2474">
        <f t="shared" si="153"/>
        <v>2.6895999999999995</v>
      </c>
      <c r="E2474">
        <f t="shared" si="154"/>
        <v>18829.328399999999</v>
      </c>
      <c r="F2474">
        <f t="shared" si="155"/>
        <v>2.6895999999999995</v>
      </c>
    </row>
    <row r="2475" spans="1:6" x14ac:dyDescent="0.3">
      <c r="A2475">
        <v>54</v>
      </c>
      <c r="B2475">
        <v>81.44</v>
      </c>
      <c r="C2475">
        <f t="shared" si="152"/>
        <v>4397.76</v>
      </c>
      <c r="D2475">
        <f t="shared" si="153"/>
        <v>2916</v>
      </c>
      <c r="E2475">
        <f t="shared" si="154"/>
        <v>6632.4735999999994</v>
      </c>
      <c r="F2475">
        <f t="shared" si="155"/>
        <v>2916</v>
      </c>
    </row>
    <row r="2476" spans="1:6" x14ac:dyDescent="0.3">
      <c r="A2476">
        <v>8</v>
      </c>
      <c r="B2476">
        <v>90.26</v>
      </c>
      <c r="C2476">
        <f t="shared" si="152"/>
        <v>722.08</v>
      </c>
      <c r="D2476">
        <f t="shared" si="153"/>
        <v>64</v>
      </c>
      <c r="E2476">
        <f t="shared" si="154"/>
        <v>8146.8676000000005</v>
      </c>
      <c r="F2476">
        <f t="shared" si="155"/>
        <v>64</v>
      </c>
    </row>
    <row r="2477" spans="1:6" x14ac:dyDescent="0.3">
      <c r="A2477">
        <v>36</v>
      </c>
      <c r="B2477">
        <v>68.48</v>
      </c>
      <c r="C2477">
        <f t="shared" si="152"/>
        <v>2465.2800000000002</v>
      </c>
      <c r="D2477">
        <f t="shared" si="153"/>
        <v>1296</v>
      </c>
      <c r="E2477">
        <f t="shared" si="154"/>
        <v>4689.5104000000001</v>
      </c>
      <c r="F2477">
        <f t="shared" si="155"/>
        <v>1296</v>
      </c>
    </row>
    <row r="2478" spans="1:6" x14ac:dyDescent="0.3">
      <c r="A2478">
        <v>38</v>
      </c>
      <c r="B2478">
        <v>100.02</v>
      </c>
      <c r="C2478">
        <f t="shared" si="152"/>
        <v>3800.7599999999998</v>
      </c>
      <c r="D2478">
        <f t="shared" si="153"/>
        <v>1444</v>
      </c>
      <c r="E2478">
        <f t="shared" si="154"/>
        <v>10004.000399999999</v>
      </c>
      <c r="F2478">
        <f t="shared" si="155"/>
        <v>1444</v>
      </c>
    </row>
    <row r="2479" spans="1:6" x14ac:dyDescent="0.3">
      <c r="A2479">
        <v>34</v>
      </c>
      <c r="B2479">
        <v>100.61</v>
      </c>
      <c r="C2479">
        <f t="shared" si="152"/>
        <v>3420.74</v>
      </c>
      <c r="D2479">
        <f t="shared" si="153"/>
        <v>1156</v>
      </c>
      <c r="E2479">
        <f t="shared" si="154"/>
        <v>10122.372100000001</v>
      </c>
      <c r="F2479">
        <f t="shared" si="155"/>
        <v>1156</v>
      </c>
    </row>
    <row r="2480" spans="1:6" x14ac:dyDescent="0.3">
      <c r="A2480">
        <v>7</v>
      </c>
      <c r="B2480">
        <v>156.82</v>
      </c>
      <c r="C2480">
        <f t="shared" si="152"/>
        <v>1097.74</v>
      </c>
      <c r="D2480">
        <f t="shared" si="153"/>
        <v>49</v>
      </c>
      <c r="E2480">
        <f t="shared" si="154"/>
        <v>24592.5124</v>
      </c>
      <c r="F2480">
        <f t="shared" si="155"/>
        <v>49</v>
      </c>
    </row>
    <row r="2481" spans="1:6" x14ac:dyDescent="0.3">
      <c r="A2481">
        <v>5</v>
      </c>
      <c r="B2481">
        <v>81.66</v>
      </c>
      <c r="C2481">
        <f t="shared" si="152"/>
        <v>408.29999999999995</v>
      </c>
      <c r="D2481">
        <f t="shared" si="153"/>
        <v>25</v>
      </c>
      <c r="E2481">
        <f t="shared" si="154"/>
        <v>6668.3555999999999</v>
      </c>
      <c r="F2481">
        <f t="shared" si="155"/>
        <v>25</v>
      </c>
    </row>
    <row r="2482" spans="1:6" x14ac:dyDescent="0.3">
      <c r="A2482">
        <v>14</v>
      </c>
      <c r="B2482">
        <v>112.22</v>
      </c>
      <c r="C2482">
        <f t="shared" si="152"/>
        <v>1571.08</v>
      </c>
      <c r="D2482">
        <f t="shared" si="153"/>
        <v>196</v>
      </c>
      <c r="E2482">
        <f t="shared" si="154"/>
        <v>12593.3284</v>
      </c>
      <c r="F2482">
        <f t="shared" si="155"/>
        <v>196</v>
      </c>
    </row>
    <row r="2483" spans="1:6" x14ac:dyDescent="0.3">
      <c r="A2483">
        <v>0.88</v>
      </c>
      <c r="B2483">
        <v>90.62</v>
      </c>
      <c r="C2483">
        <f t="shared" si="152"/>
        <v>79.74560000000001</v>
      </c>
      <c r="D2483">
        <f t="shared" si="153"/>
        <v>0.77439999999999998</v>
      </c>
      <c r="E2483">
        <f t="shared" si="154"/>
        <v>8211.9844000000012</v>
      </c>
      <c r="F2483">
        <f t="shared" si="155"/>
        <v>0.77439999999999998</v>
      </c>
    </row>
    <row r="2484" spans="1:6" x14ac:dyDescent="0.3">
      <c r="A2484">
        <v>30</v>
      </c>
      <c r="B2484">
        <v>72.489999999999995</v>
      </c>
      <c r="C2484">
        <f t="shared" si="152"/>
        <v>2174.6999999999998</v>
      </c>
      <c r="D2484">
        <f t="shared" si="153"/>
        <v>900</v>
      </c>
      <c r="E2484">
        <f t="shared" si="154"/>
        <v>5254.8000999999995</v>
      </c>
      <c r="F2484">
        <f t="shared" si="155"/>
        <v>900</v>
      </c>
    </row>
    <row r="2485" spans="1:6" x14ac:dyDescent="0.3">
      <c r="A2485">
        <v>39</v>
      </c>
      <c r="B2485">
        <v>107.47</v>
      </c>
      <c r="C2485">
        <f t="shared" si="152"/>
        <v>4191.33</v>
      </c>
      <c r="D2485">
        <f t="shared" si="153"/>
        <v>1521</v>
      </c>
      <c r="E2485">
        <f t="shared" si="154"/>
        <v>11549.8009</v>
      </c>
      <c r="F2485">
        <f t="shared" si="155"/>
        <v>1521</v>
      </c>
    </row>
    <row r="2486" spans="1:6" x14ac:dyDescent="0.3">
      <c r="A2486">
        <v>17</v>
      </c>
      <c r="B2486">
        <v>92.11</v>
      </c>
      <c r="C2486">
        <f t="shared" si="152"/>
        <v>1565.87</v>
      </c>
      <c r="D2486">
        <f t="shared" si="153"/>
        <v>289</v>
      </c>
      <c r="E2486">
        <f t="shared" si="154"/>
        <v>8484.2520999999997</v>
      </c>
      <c r="F2486">
        <f t="shared" si="155"/>
        <v>289</v>
      </c>
    </row>
    <row r="2487" spans="1:6" x14ac:dyDescent="0.3">
      <c r="A2487">
        <v>14</v>
      </c>
      <c r="B2487">
        <v>70.540000000000006</v>
      </c>
      <c r="C2487">
        <f t="shared" si="152"/>
        <v>987.56000000000006</v>
      </c>
      <c r="D2487">
        <f t="shared" si="153"/>
        <v>196</v>
      </c>
      <c r="E2487">
        <f t="shared" si="154"/>
        <v>4975.8916000000008</v>
      </c>
      <c r="F2487">
        <f t="shared" si="155"/>
        <v>196</v>
      </c>
    </row>
    <row r="2488" spans="1:6" x14ac:dyDescent="0.3">
      <c r="A2488">
        <v>52</v>
      </c>
      <c r="B2488">
        <v>205</v>
      </c>
      <c r="C2488">
        <f t="shared" si="152"/>
        <v>10660</v>
      </c>
      <c r="D2488">
        <f t="shared" si="153"/>
        <v>2704</v>
      </c>
      <c r="E2488">
        <f t="shared" si="154"/>
        <v>42025</v>
      </c>
      <c r="F2488">
        <f t="shared" si="155"/>
        <v>2704</v>
      </c>
    </row>
    <row r="2489" spans="1:6" x14ac:dyDescent="0.3">
      <c r="A2489">
        <v>78</v>
      </c>
      <c r="B2489">
        <v>126.39</v>
      </c>
      <c r="C2489">
        <f t="shared" si="152"/>
        <v>9858.42</v>
      </c>
      <c r="D2489">
        <f t="shared" si="153"/>
        <v>6084</v>
      </c>
      <c r="E2489">
        <f t="shared" si="154"/>
        <v>15974.4321</v>
      </c>
      <c r="F2489">
        <f t="shared" si="155"/>
        <v>6084</v>
      </c>
    </row>
    <row r="2490" spans="1:6" x14ac:dyDescent="0.3">
      <c r="A2490">
        <v>2</v>
      </c>
      <c r="B2490">
        <v>89.72</v>
      </c>
      <c r="C2490">
        <f t="shared" si="152"/>
        <v>179.44</v>
      </c>
      <c r="D2490">
        <f t="shared" si="153"/>
        <v>4</v>
      </c>
      <c r="E2490">
        <f t="shared" si="154"/>
        <v>8049.6783999999998</v>
      </c>
      <c r="F2490">
        <f t="shared" si="155"/>
        <v>4</v>
      </c>
    </row>
    <row r="2491" spans="1:6" x14ac:dyDescent="0.3">
      <c r="A2491">
        <v>32</v>
      </c>
      <c r="B2491">
        <v>92.08</v>
      </c>
      <c r="C2491">
        <f t="shared" si="152"/>
        <v>2946.56</v>
      </c>
      <c r="D2491">
        <f t="shared" si="153"/>
        <v>1024</v>
      </c>
      <c r="E2491">
        <f t="shared" si="154"/>
        <v>8478.7263999999996</v>
      </c>
      <c r="F2491">
        <f t="shared" si="155"/>
        <v>1024</v>
      </c>
    </row>
    <row r="2492" spans="1:6" x14ac:dyDescent="0.3">
      <c r="A2492">
        <v>0.88</v>
      </c>
      <c r="B2492">
        <v>85.38</v>
      </c>
      <c r="C2492">
        <f t="shared" si="152"/>
        <v>75.134399999999999</v>
      </c>
      <c r="D2492">
        <f t="shared" si="153"/>
        <v>0.77439999999999998</v>
      </c>
      <c r="E2492">
        <f t="shared" si="154"/>
        <v>7289.7443999999996</v>
      </c>
      <c r="F2492">
        <f t="shared" si="155"/>
        <v>0.77439999999999998</v>
      </c>
    </row>
    <row r="2493" spans="1:6" x14ac:dyDescent="0.3">
      <c r="A2493">
        <v>50</v>
      </c>
      <c r="B2493">
        <v>95.25</v>
      </c>
      <c r="C2493">
        <f t="shared" si="152"/>
        <v>4762.5</v>
      </c>
      <c r="D2493">
        <f t="shared" si="153"/>
        <v>2500</v>
      </c>
      <c r="E2493">
        <f t="shared" si="154"/>
        <v>9072.5625</v>
      </c>
      <c r="F2493">
        <f t="shared" si="155"/>
        <v>2500</v>
      </c>
    </row>
    <row r="2494" spans="1:6" x14ac:dyDescent="0.3">
      <c r="A2494">
        <v>48</v>
      </c>
      <c r="B2494">
        <v>75.91</v>
      </c>
      <c r="C2494">
        <f t="shared" si="152"/>
        <v>3643.68</v>
      </c>
      <c r="D2494">
        <f t="shared" si="153"/>
        <v>2304</v>
      </c>
      <c r="E2494">
        <f t="shared" si="154"/>
        <v>5762.3280999999997</v>
      </c>
      <c r="F2494">
        <f t="shared" si="155"/>
        <v>2304</v>
      </c>
    </row>
    <row r="2495" spans="1:6" x14ac:dyDescent="0.3">
      <c r="A2495">
        <v>66</v>
      </c>
      <c r="B2495">
        <v>203.44</v>
      </c>
      <c r="C2495">
        <f t="shared" si="152"/>
        <v>13427.039999999999</v>
      </c>
      <c r="D2495">
        <f t="shared" si="153"/>
        <v>4356</v>
      </c>
      <c r="E2495">
        <f t="shared" si="154"/>
        <v>41387.833599999998</v>
      </c>
      <c r="F2495">
        <f t="shared" si="155"/>
        <v>4356</v>
      </c>
    </row>
    <row r="2496" spans="1:6" x14ac:dyDescent="0.3">
      <c r="A2496">
        <v>78</v>
      </c>
      <c r="B2496">
        <v>243.73</v>
      </c>
      <c r="C2496">
        <f t="shared" si="152"/>
        <v>19010.939999999999</v>
      </c>
      <c r="D2496">
        <f t="shared" si="153"/>
        <v>6084</v>
      </c>
      <c r="E2496">
        <f t="shared" si="154"/>
        <v>59404.312899999997</v>
      </c>
      <c r="F2496">
        <f t="shared" si="155"/>
        <v>6084</v>
      </c>
    </row>
    <row r="2497" spans="1:6" x14ac:dyDescent="0.3">
      <c r="A2497">
        <v>46</v>
      </c>
      <c r="B2497">
        <v>88.23</v>
      </c>
      <c r="C2497">
        <f t="shared" si="152"/>
        <v>4058.5800000000004</v>
      </c>
      <c r="D2497">
        <f t="shared" si="153"/>
        <v>2116</v>
      </c>
      <c r="E2497">
        <f t="shared" si="154"/>
        <v>7784.5329000000011</v>
      </c>
      <c r="F2497">
        <f t="shared" si="155"/>
        <v>2116</v>
      </c>
    </row>
    <row r="2498" spans="1:6" x14ac:dyDescent="0.3">
      <c r="A2498">
        <v>54</v>
      </c>
      <c r="B2498">
        <v>97.47</v>
      </c>
      <c r="C2498">
        <f t="shared" si="152"/>
        <v>5263.38</v>
      </c>
      <c r="D2498">
        <f t="shared" si="153"/>
        <v>2916</v>
      </c>
      <c r="E2498">
        <f t="shared" si="154"/>
        <v>9500.4009000000005</v>
      </c>
      <c r="F2498">
        <f t="shared" si="155"/>
        <v>2916</v>
      </c>
    </row>
    <row r="2499" spans="1:6" x14ac:dyDescent="0.3">
      <c r="A2499">
        <v>81</v>
      </c>
      <c r="B2499">
        <v>59.28</v>
      </c>
      <c r="C2499">
        <f t="shared" ref="C2499:C2562" si="156">A2499*B2499</f>
        <v>4801.68</v>
      </c>
      <c r="D2499">
        <f t="shared" ref="D2499:D2562" si="157">A2499*A2499</f>
        <v>6561</v>
      </c>
      <c r="E2499">
        <f t="shared" ref="E2499:E2562" si="158">B2499*B2499</f>
        <v>3514.1184000000003</v>
      </c>
      <c r="F2499">
        <f t="shared" ref="F2499:F2562" si="159">A2499^2</f>
        <v>6561</v>
      </c>
    </row>
    <row r="2500" spans="1:6" x14ac:dyDescent="0.3">
      <c r="A2500">
        <v>15</v>
      </c>
      <c r="B2500">
        <v>101.15</v>
      </c>
      <c r="C2500">
        <f t="shared" si="156"/>
        <v>1517.25</v>
      </c>
      <c r="D2500">
        <f t="shared" si="157"/>
        <v>225</v>
      </c>
      <c r="E2500">
        <f t="shared" si="158"/>
        <v>10231.322500000002</v>
      </c>
      <c r="F2500">
        <f t="shared" si="159"/>
        <v>225</v>
      </c>
    </row>
    <row r="2501" spans="1:6" x14ac:dyDescent="0.3">
      <c r="A2501">
        <v>77</v>
      </c>
      <c r="B2501">
        <v>68.38</v>
      </c>
      <c r="C2501">
        <f t="shared" si="156"/>
        <v>5265.2599999999993</v>
      </c>
      <c r="D2501">
        <f t="shared" si="157"/>
        <v>5929</v>
      </c>
      <c r="E2501">
        <f t="shared" si="158"/>
        <v>4675.8243999999995</v>
      </c>
      <c r="F2501">
        <f t="shared" si="159"/>
        <v>5929</v>
      </c>
    </row>
    <row r="2502" spans="1:6" x14ac:dyDescent="0.3">
      <c r="A2502">
        <v>59</v>
      </c>
      <c r="B2502">
        <v>55.46</v>
      </c>
      <c r="C2502">
        <f t="shared" si="156"/>
        <v>3272.14</v>
      </c>
      <c r="D2502">
        <f t="shared" si="157"/>
        <v>3481</v>
      </c>
      <c r="E2502">
        <f t="shared" si="158"/>
        <v>3075.8116</v>
      </c>
      <c r="F2502">
        <f t="shared" si="159"/>
        <v>3481</v>
      </c>
    </row>
    <row r="2503" spans="1:6" x14ac:dyDescent="0.3">
      <c r="A2503">
        <v>48</v>
      </c>
      <c r="B2503">
        <v>113.87</v>
      </c>
      <c r="C2503">
        <f t="shared" si="156"/>
        <v>5465.76</v>
      </c>
      <c r="D2503">
        <f t="shared" si="157"/>
        <v>2304</v>
      </c>
      <c r="E2503">
        <f t="shared" si="158"/>
        <v>12966.376900000001</v>
      </c>
      <c r="F2503">
        <f t="shared" si="159"/>
        <v>2304</v>
      </c>
    </row>
    <row r="2504" spans="1:6" x14ac:dyDescent="0.3">
      <c r="A2504">
        <v>76</v>
      </c>
      <c r="B2504">
        <v>67.03</v>
      </c>
      <c r="C2504">
        <f t="shared" si="156"/>
        <v>5094.28</v>
      </c>
      <c r="D2504">
        <f t="shared" si="157"/>
        <v>5776</v>
      </c>
      <c r="E2504">
        <f t="shared" si="158"/>
        <v>4493.0209000000004</v>
      </c>
      <c r="F2504">
        <f t="shared" si="159"/>
        <v>5776</v>
      </c>
    </row>
    <row r="2505" spans="1:6" x14ac:dyDescent="0.3">
      <c r="A2505">
        <v>49</v>
      </c>
      <c r="B2505">
        <v>96.35</v>
      </c>
      <c r="C2505">
        <f t="shared" si="156"/>
        <v>4721.1499999999996</v>
      </c>
      <c r="D2505">
        <f t="shared" si="157"/>
        <v>2401</v>
      </c>
      <c r="E2505">
        <f t="shared" si="158"/>
        <v>9283.3224999999984</v>
      </c>
      <c r="F2505">
        <f t="shared" si="159"/>
        <v>2401</v>
      </c>
    </row>
    <row r="2506" spans="1:6" x14ac:dyDescent="0.3">
      <c r="A2506">
        <v>44</v>
      </c>
      <c r="B2506">
        <v>127.21</v>
      </c>
      <c r="C2506">
        <f t="shared" si="156"/>
        <v>5597.24</v>
      </c>
      <c r="D2506">
        <f t="shared" si="157"/>
        <v>1936</v>
      </c>
      <c r="E2506">
        <f t="shared" si="158"/>
        <v>16182.384099999999</v>
      </c>
      <c r="F2506">
        <f t="shared" si="159"/>
        <v>1936</v>
      </c>
    </row>
    <row r="2507" spans="1:6" x14ac:dyDescent="0.3">
      <c r="A2507">
        <v>39</v>
      </c>
      <c r="B2507">
        <v>78.900000000000006</v>
      </c>
      <c r="C2507">
        <f t="shared" si="156"/>
        <v>3077.1000000000004</v>
      </c>
      <c r="D2507">
        <f t="shared" si="157"/>
        <v>1521</v>
      </c>
      <c r="E2507">
        <f t="shared" si="158"/>
        <v>6225.2100000000009</v>
      </c>
      <c r="F2507">
        <f t="shared" si="159"/>
        <v>1521</v>
      </c>
    </row>
    <row r="2508" spans="1:6" x14ac:dyDescent="0.3">
      <c r="A2508">
        <v>34</v>
      </c>
      <c r="B2508">
        <v>59.91</v>
      </c>
      <c r="C2508">
        <f t="shared" si="156"/>
        <v>2036.9399999999998</v>
      </c>
      <c r="D2508">
        <f t="shared" si="157"/>
        <v>1156</v>
      </c>
      <c r="E2508">
        <f t="shared" si="158"/>
        <v>3589.2080999999994</v>
      </c>
      <c r="F2508">
        <f t="shared" si="159"/>
        <v>1156</v>
      </c>
    </row>
    <row r="2509" spans="1:6" x14ac:dyDescent="0.3">
      <c r="A2509">
        <v>50</v>
      </c>
      <c r="B2509">
        <v>160.94</v>
      </c>
      <c r="C2509">
        <f t="shared" si="156"/>
        <v>8047</v>
      </c>
      <c r="D2509">
        <f t="shared" si="157"/>
        <v>2500</v>
      </c>
      <c r="E2509">
        <f t="shared" si="158"/>
        <v>25901.6836</v>
      </c>
      <c r="F2509">
        <f t="shared" si="159"/>
        <v>2500</v>
      </c>
    </row>
    <row r="2510" spans="1:6" x14ac:dyDescent="0.3">
      <c r="A2510">
        <v>62</v>
      </c>
      <c r="B2510">
        <v>59.61</v>
      </c>
      <c r="C2510">
        <f t="shared" si="156"/>
        <v>3695.82</v>
      </c>
      <c r="D2510">
        <f t="shared" si="157"/>
        <v>3844</v>
      </c>
      <c r="E2510">
        <f t="shared" si="158"/>
        <v>3553.3521000000001</v>
      </c>
      <c r="F2510">
        <f t="shared" si="159"/>
        <v>3844</v>
      </c>
    </row>
    <row r="2511" spans="1:6" x14ac:dyDescent="0.3">
      <c r="A2511">
        <v>38</v>
      </c>
      <c r="B2511">
        <v>87.94</v>
      </c>
      <c r="C2511">
        <f t="shared" si="156"/>
        <v>3341.72</v>
      </c>
      <c r="D2511">
        <f t="shared" si="157"/>
        <v>1444</v>
      </c>
      <c r="E2511">
        <f t="shared" si="158"/>
        <v>7733.4435999999996</v>
      </c>
      <c r="F2511">
        <f t="shared" si="159"/>
        <v>1444</v>
      </c>
    </row>
    <row r="2512" spans="1:6" x14ac:dyDescent="0.3">
      <c r="A2512">
        <v>43</v>
      </c>
      <c r="B2512">
        <v>97.55</v>
      </c>
      <c r="C2512">
        <f t="shared" si="156"/>
        <v>4194.6499999999996</v>
      </c>
      <c r="D2512">
        <f t="shared" si="157"/>
        <v>1849</v>
      </c>
      <c r="E2512">
        <f t="shared" si="158"/>
        <v>9516.0024999999987</v>
      </c>
      <c r="F2512">
        <f t="shared" si="159"/>
        <v>1849</v>
      </c>
    </row>
    <row r="2513" spans="1:6" x14ac:dyDescent="0.3">
      <c r="A2513">
        <v>28</v>
      </c>
      <c r="B2513">
        <v>116.02</v>
      </c>
      <c r="C2513">
        <f t="shared" si="156"/>
        <v>3248.56</v>
      </c>
      <c r="D2513">
        <f t="shared" si="157"/>
        <v>784</v>
      </c>
      <c r="E2513">
        <f t="shared" si="158"/>
        <v>13460.640399999998</v>
      </c>
      <c r="F2513">
        <f t="shared" si="159"/>
        <v>784</v>
      </c>
    </row>
    <row r="2514" spans="1:6" x14ac:dyDescent="0.3">
      <c r="A2514">
        <v>58</v>
      </c>
      <c r="B2514">
        <v>127.32</v>
      </c>
      <c r="C2514">
        <f t="shared" si="156"/>
        <v>7384.5599999999995</v>
      </c>
      <c r="D2514">
        <f t="shared" si="157"/>
        <v>3364</v>
      </c>
      <c r="E2514">
        <f t="shared" si="158"/>
        <v>16210.382399999999</v>
      </c>
      <c r="F2514">
        <f t="shared" si="159"/>
        <v>3364</v>
      </c>
    </row>
    <row r="2515" spans="1:6" x14ac:dyDescent="0.3">
      <c r="A2515">
        <v>28</v>
      </c>
      <c r="B2515">
        <v>75.5</v>
      </c>
      <c r="C2515">
        <f t="shared" si="156"/>
        <v>2114</v>
      </c>
      <c r="D2515">
        <f t="shared" si="157"/>
        <v>784</v>
      </c>
      <c r="E2515">
        <f t="shared" si="158"/>
        <v>5700.25</v>
      </c>
      <c r="F2515">
        <f t="shared" si="159"/>
        <v>784</v>
      </c>
    </row>
    <row r="2516" spans="1:6" x14ac:dyDescent="0.3">
      <c r="A2516">
        <v>18</v>
      </c>
      <c r="B2516">
        <v>79.349999999999994</v>
      </c>
      <c r="C2516">
        <f t="shared" si="156"/>
        <v>1428.3</v>
      </c>
      <c r="D2516">
        <f t="shared" si="157"/>
        <v>324</v>
      </c>
      <c r="E2516">
        <f t="shared" si="158"/>
        <v>6296.4224999999988</v>
      </c>
      <c r="F2516">
        <f t="shared" si="159"/>
        <v>324</v>
      </c>
    </row>
    <row r="2517" spans="1:6" x14ac:dyDescent="0.3">
      <c r="A2517">
        <v>62</v>
      </c>
      <c r="B2517">
        <v>176.25</v>
      </c>
      <c r="C2517">
        <f t="shared" si="156"/>
        <v>10927.5</v>
      </c>
      <c r="D2517">
        <f t="shared" si="157"/>
        <v>3844</v>
      </c>
      <c r="E2517">
        <f t="shared" si="158"/>
        <v>31064.0625</v>
      </c>
      <c r="F2517">
        <f t="shared" si="159"/>
        <v>3844</v>
      </c>
    </row>
    <row r="2518" spans="1:6" x14ac:dyDescent="0.3">
      <c r="A2518">
        <v>31</v>
      </c>
      <c r="B2518">
        <v>108.56</v>
      </c>
      <c r="C2518">
        <f t="shared" si="156"/>
        <v>3365.36</v>
      </c>
      <c r="D2518">
        <f t="shared" si="157"/>
        <v>961</v>
      </c>
      <c r="E2518">
        <f t="shared" si="158"/>
        <v>11785.2736</v>
      </c>
      <c r="F2518">
        <f t="shared" si="159"/>
        <v>961</v>
      </c>
    </row>
    <row r="2519" spans="1:6" x14ac:dyDescent="0.3">
      <c r="A2519">
        <v>55</v>
      </c>
      <c r="B2519">
        <v>168.06</v>
      </c>
      <c r="C2519">
        <f t="shared" si="156"/>
        <v>9243.2999999999993</v>
      </c>
      <c r="D2519">
        <f t="shared" si="157"/>
        <v>3025</v>
      </c>
      <c r="E2519">
        <f t="shared" si="158"/>
        <v>28244.1636</v>
      </c>
      <c r="F2519">
        <f t="shared" si="159"/>
        <v>3025</v>
      </c>
    </row>
    <row r="2520" spans="1:6" x14ac:dyDescent="0.3">
      <c r="A2520">
        <v>54</v>
      </c>
      <c r="B2520">
        <v>75.52</v>
      </c>
      <c r="C2520">
        <f t="shared" si="156"/>
        <v>4078.08</v>
      </c>
      <c r="D2520">
        <f t="shared" si="157"/>
        <v>2916</v>
      </c>
      <c r="E2520">
        <f t="shared" si="158"/>
        <v>5703.2703999999994</v>
      </c>
      <c r="F2520">
        <f t="shared" si="159"/>
        <v>2916</v>
      </c>
    </row>
    <row r="2521" spans="1:6" x14ac:dyDescent="0.3">
      <c r="A2521">
        <v>73</v>
      </c>
      <c r="B2521">
        <v>82.15</v>
      </c>
      <c r="C2521">
        <f t="shared" si="156"/>
        <v>5996.9500000000007</v>
      </c>
      <c r="D2521">
        <f t="shared" si="157"/>
        <v>5329</v>
      </c>
      <c r="E2521">
        <f t="shared" si="158"/>
        <v>6748.6225000000013</v>
      </c>
      <c r="F2521">
        <f t="shared" si="159"/>
        <v>5329</v>
      </c>
    </row>
    <row r="2522" spans="1:6" x14ac:dyDescent="0.3">
      <c r="A2522">
        <v>26</v>
      </c>
      <c r="B2522">
        <v>200.28</v>
      </c>
      <c r="C2522">
        <f t="shared" si="156"/>
        <v>5207.28</v>
      </c>
      <c r="D2522">
        <f t="shared" si="157"/>
        <v>676</v>
      </c>
      <c r="E2522">
        <f t="shared" si="158"/>
        <v>40112.078399999999</v>
      </c>
      <c r="F2522">
        <f t="shared" si="159"/>
        <v>676</v>
      </c>
    </row>
    <row r="2523" spans="1:6" x14ac:dyDescent="0.3">
      <c r="A2523">
        <v>73</v>
      </c>
      <c r="B2523">
        <v>62.44</v>
      </c>
      <c r="C2523">
        <f t="shared" si="156"/>
        <v>4558.12</v>
      </c>
      <c r="D2523">
        <f t="shared" si="157"/>
        <v>5329</v>
      </c>
      <c r="E2523">
        <f t="shared" si="158"/>
        <v>3898.7535999999996</v>
      </c>
      <c r="F2523">
        <f t="shared" si="159"/>
        <v>5329</v>
      </c>
    </row>
    <row r="2524" spans="1:6" x14ac:dyDescent="0.3">
      <c r="A2524">
        <v>38</v>
      </c>
      <c r="B2524">
        <v>84.31</v>
      </c>
      <c r="C2524">
        <f t="shared" si="156"/>
        <v>3203.78</v>
      </c>
      <c r="D2524">
        <f t="shared" si="157"/>
        <v>1444</v>
      </c>
      <c r="E2524">
        <f t="shared" si="158"/>
        <v>7108.1761000000006</v>
      </c>
      <c r="F2524">
        <f t="shared" si="159"/>
        <v>1444</v>
      </c>
    </row>
    <row r="2525" spans="1:6" x14ac:dyDescent="0.3">
      <c r="A2525">
        <v>75</v>
      </c>
      <c r="B2525">
        <v>221.43</v>
      </c>
      <c r="C2525">
        <f t="shared" si="156"/>
        <v>16607.25</v>
      </c>
      <c r="D2525">
        <f t="shared" si="157"/>
        <v>5625</v>
      </c>
      <c r="E2525">
        <f t="shared" si="158"/>
        <v>49031.244900000005</v>
      </c>
      <c r="F2525">
        <f t="shared" si="159"/>
        <v>5625</v>
      </c>
    </row>
    <row r="2526" spans="1:6" x14ac:dyDescent="0.3">
      <c r="A2526">
        <v>81</v>
      </c>
      <c r="B2526">
        <v>165.47</v>
      </c>
      <c r="C2526">
        <f t="shared" si="156"/>
        <v>13403.07</v>
      </c>
      <c r="D2526">
        <f t="shared" si="157"/>
        <v>6561</v>
      </c>
      <c r="E2526">
        <f t="shared" si="158"/>
        <v>27380.320899999999</v>
      </c>
      <c r="F2526">
        <f t="shared" si="159"/>
        <v>6561</v>
      </c>
    </row>
    <row r="2527" spans="1:6" x14ac:dyDescent="0.3">
      <c r="A2527">
        <v>20</v>
      </c>
      <c r="B2527">
        <v>96.69</v>
      </c>
      <c r="C2527">
        <f t="shared" si="156"/>
        <v>1933.8</v>
      </c>
      <c r="D2527">
        <f t="shared" si="157"/>
        <v>400</v>
      </c>
      <c r="E2527">
        <f t="shared" si="158"/>
        <v>9348.9560999999994</v>
      </c>
      <c r="F2527">
        <f t="shared" si="159"/>
        <v>400</v>
      </c>
    </row>
    <row r="2528" spans="1:6" x14ac:dyDescent="0.3">
      <c r="A2528">
        <v>12</v>
      </c>
      <c r="B2528">
        <v>63.98</v>
      </c>
      <c r="C2528">
        <f t="shared" si="156"/>
        <v>767.76</v>
      </c>
      <c r="D2528">
        <f t="shared" si="157"/>
        <v>144</v>
      </c>
      <c r="E2528">
        <f t="shared" si="158"/>
        <v>4093.4403999999995</v>
      </c>
      <c r="F2528">
        <f t="shared" si="159"/>
        <v>144</v>
      </c>
    </row>
    <row r="2529" spans="1:6" x14ac:dyDescent="0.3">
      <c r="A2529">
        <v>78</v>
      </c>
      <c r="B2529">
        <v>145.03</v>
      </c>
      <c r="C2529">
        <f t="shared" si="156"/>
        <v>11312.34</v>
      </c>
      <c r="D2529">
        <f t="shared" si="157"/>
        <v>6084</v>
      </c>
      <c r="E2529">
        <f t="shared" si="158"/>
        <v>21033.7009</v>
      </c>
      <c r="F2529">
        <f t="shared" si="159"/>
        <v>6084</v>
      </c>
    </row>
    <row r="2530" spans="1:6" x14ac:dyDescent="0.3">
      <c r="A2530">
        <v>42</v>
      </c>
      <c r="B2530">
        <v>98.53</v>
      </c>
      <c r="C2530">
        <f t="shared" si="156"/>
        <v>4138.26</v>
      </c>
      <c r="D2530">
        <f t="shared" si="157"/>
        <v>1764</v>
      </c>
      <c r="E2530">
        <f t="shared" si="158"/>
        <v>9708.1609000000008</v>
      </c>
      <c r="F2530">
        <f t="shared" si="159"/>
        <v>1764</v>
      </c>
    </row>
    <row r="2531" spans="1:6" x14ac:dyDescent="0.3">
      <c r="A2531">
        <v>71</v>
      </c>
      <c r="B2531">
        <v>105.55</v>
      </c>
      <c r="C2531">
        <f t="shared" si="156"/>
        <v>7494.05</v>
      </c>
      <c r="D2531">
        <f t="shared" si="157"/>
        <v>5041</v>
      </c>
      <c r="E2531">
        <f t="shared" si="158"/>
        <v>11140.8025</v>
      </c>
      <c r="F2531">
        <f t="shared" si="159"/>
        <v>5041</v>
      </c>
    </row>
    <row r="2532" spans="1:6" x14ac:dyDescent="0.3">
      <c r="A2532">
        <v>16</v>
      </c>
      <c r="B2532">
        <v>134.22999999999999</v>
      </c>
      <c r="C2532">
        <f t="shared" si="156"/>
        <v>2147.6799999999998</v>
      </c>
      <c r="D2532">
        <f t="shared" si="157"/>
        <v>256</v>
      </c>
      <c r="E2532">
        <f t="shared" si="158"/>
        <v>18017.692899999998</v>
      </c>
      <c r="F2532">
        <f t="shared" si="159"/>
        <v>256</v>
      </c>
    </row>
    <row r="2533" spans="1:6" x14ac:dyDescent="0.3">
      <c r="A2533">
        <v>4</v>
      </c>
      <c r="B2533">
        <v>62.48</v>
      </c>
      <c r="C2533">
        <f t="shared" si="156"/>
        <v>249.92</v>
      </c>
      <c r="D2533">
        <f t="shared" si="157"/>
        <v>16</v>
      </c>
      <c r="E2533">
        <f t="shared" si="158"/>
        <v>3903.7503999999994</v>
      </c>
      <c r="F2533">
        <f t="shared" si="159"/>
        <v>16</v>
      </c>
    </row>
    <row r="2534" spans="1:6" x14ac:dyDescent="0.3">
      <c r="A2534">
        <v>79</v>
      </c>
      <c r="B2534">
        <v>213.38</v>
      </c>
      <c r="C2534">
        <f t="shared" si="156"/>
        <v>16857.02</v>
      </c>
      <c r="D2534">
        <f t="shared" si="157"/>
        <v>6241</v>
      </c>
      <c r="E2534">
        <f t="shared" si="158"/>
        <v>45531.024399999995</v>
      </c>
      <c r="F2534">
        <f t="shared" si="159"/>
        <v>6241</v>
      </c>
    </row>
    <row r="2535" spans="1:6" x14ac:dyDescent="0.3">
      <c r="A2535">
        <v>60</v>
      </c>
      <c r="B2535">
        <v>70.52</v>
      </c>
      <c r="C2535">
        <f t="shared" si="156"/>
        <v>4231.2</v>
      </c>
      <c r="D2535">
        <f t="shared" si="157"/>
        <v>3600</v>
      </c>
      <c r="E2535">
        <f t="shared" si="158"/>
        <v>4973.0703999999996</v>
      </c>
      <c r="F2535">
        <f t="shared" si="159"/>
        <v>3600</v>
      </c>
    </row>
    <row r="2536" spans="1:6" x14ac:dyDescent="0.3">
      <c r="A2536">
        <v>45</v>
      </c>
      <c r="B2536">
        <v>93.21</v>
      </c>
      <c r="C2536">
        <f t="shared" si="156"/>
        <v>4194.45</v>
      </c>
      <c r="D2536">
        <f t="shared" si="157"/>
        <v>2025</v>
      </c>
      <c r="E2536">
        <f t="shared" si="158"/>
        <v>8688.1040999999987</v>
      </c>
      <c r="F2536">
        <f t="shared" si="159"/>
        <v>2025</v>
      </c>
    </row>
    <row r="2537" spans="1:6" x14ac:dyDescent="0.3">
      <c r="A2537">
        <v>23</v>
      </c>
      <c r="B2537">
        <v>82.39</v>
      </c>
      <c r="C2537">
        <f t="shared" si="156"/>
        <v>1894.97</v>
      </c>
      <c r="D2537">
        <f t="shared" si="157"/>
        <v>529</v>
      </c>
      <c r="E2537">
        <f t="shared" si="158"/>
        <v>6788.1121000000003</v>
      </c>
      <c r="F2537">
        <f t="shared" si="159"/>
        <v>529</v>
      </c>
    </row>
    <row r="2538" spans="1:6" x14ac:dyDescent="0.3">
      <c r="A2538">
        <v>21</v>
      </c>
      <c r="B2538">
        <v>88.29</v>
      </c>
      <c r="C2538">
        <f t="shared" si="156"/>
        <v>1854.0900000000001</v>
      </c>
      <c r="D2538">
        <f t="shared" si="157"/>
        <v>441</v>
      </c>
      <c r="E2538">
        <f t="shared" si="158"/>
        <v>7795.1241000000009</v>
      </c>
      <c r="F2538">
        <f t="shared" si="159"/>
        <v>441</v>
      </c>
    </row>
    <row r="2539" spans="1:6" x14ac:dyDescent="0.3">
      <c r="A2539">
        <v>67</v>
      </c>
      <c r="B2539">
        <v>80.180000000000007</v>
      </c>
      <c r="C2539">
        <f t="shared" si="156"/>
        <v>5372.06</v>
      </c>
      <c r="D2539">
        <f t="shared" si="157"/>
        <v>4489</v>
      </c>
      <c r="E2539">
        <f t="shared" si="158"/>
        <v>6428.8324000000011</v>
      </c>
      <c r="F2539">
        <f t="shared" si="159"/>
        <v>4489</v>
      </c>
    </row>
    <row r="2540" spans="1:6" x14ac:dyDescent="0.3">
      <c r="A2540">
        <v>10</v>
      </c>
      <c r="B2540">
        <v>84.02</v>
      </c>
      <c r="C2540">
        <f t="shared" si="156"/>
        <v>840.19999999999993</v>
      </c>
      <c r="D2540">
        <f t="shared" si="157"/>
        <v>100</v>
      </c>
      <c r="E2540">
        <f t="shared" si="158"/>
        <v>7059.3603999999996</v>
      </c>
      <c r="F2540">
        <f t="shared" si="159"/>
        <v>100</v>
      </c>
    </row>
    <row r="2541" spans="1:6" x14ac:dyDescent="0.3">
      <c r="A2541">
        <v>24</v>
      </c>
      <c r="B2541">
        <v>69.72</v>
      </c>
      <c r="C2541">
        <f t="shared" si="156"/>
        <v>1673.28</v>
      </c>
      <c r="D2541">
        <f t="shared" si="157"/>
        <v>576</v>
      </c>
      <c r="E2541">
        <f t="shared" si="158"/>
        <v>4860.8783999999996</v>
      </c>
      <c r="F2541">
        <f t="shared" si="159"/>
        <v>576</v>
      </c>
    </row>
    <row r="2542" spans="1:6" x14ac:dyDescent="0.3">
      <c r="A2542">
        <v>50</v>
      </c>
      <c r="B2542">
        <v>192.16</v>
      </c>
      <c r="C2542">
        <f t="shared" si="156"/>
        <v>9608</v>
      </c>
      <c r="D2542">
        <f t="shared" si="157"/>
        <v>2500</v>
      </c>
      <c r="E2542">
        <f t="shared" si="158"/>
        <v>36925.465599999996</v>
      </c>
      <c r="F2542">
        <f t="shared" si="159"/>
        <v>2500</v>
      </c>
    </row>
    <row r="2543" spans="1:6" x14ac:dyDescent="0.3">
      <c r="A2543">
        <v>79</v>
      </c>
      <c r="B2543">
        <v>82.27</v>
      </c>
      <c r="C2543">
        <f t="shared" si="156"/>
        <v>6499.33</v>
      </c>
      <c r="D2543">
        <f t="shared" si="157"/>
        <v>6241</v>
      </c>
      <c r="E2543">
        <f t="shared" si="158"/>
        <v>6768.352899999999</v>
      </c>
      <c r="F2543">
        <f t="shared" si="159"/>
        <v>6241</v>
      </c>
    </row>
    <row r="2544" spans="1:6" x14ac:dyDescent="0.3">
      <c r="A2544">
        <v>14</v>
      </c>
      <c r="B2544">
        <v>101.87</v>
      </c>
      <c r="C2544">
        <f t="shared" si="156"/>
        <v>1426.18</v>
      </c>
      <c r="D2544">
        <f t="shared" si="157"/>
        <v>196</v>
      </c>
      <c r="E2544">
        <f t="shared" si="158"/>
        <v>10377.4969</v>
      </c>
      <c r="F2544">
        <f t="shared" si="159"/>
        <v>196</v>
      </c>
    </row>
    <row r="2545" spans="1:6" x14ac:dyDescent="0.3">
      <c r="A2545">
        <v>13</v>
      </c>
      <c r="B2545">
        <v>77.55</v>
      </c>
      <c r="C2545">
        <f t="shared" si="156"/>
        <v>1008.15</v>
      </c>
      <c r="D2545">
        <f t="shared" si="157"/>
        <v>169</v>
      </c>
      <c r="E2545">
        <f t="shared" si="158"/>
        <v>6014.0024999999996</v>
      </c>
      <c r="F2545">
        <f t="shared" si="159"/>
        <v>169</v>
      </c>
    </row>
    <row r="2546" spans="1:6" x14ac:dyDescent="0.3">
      <c r="A2546">
        <v>71</v>
      </c>
      <c r="B2546">
        <v>215.72</v>
      </c>
      <c r="C2546">
        <f t="shared" si="156"/>
        <v>15316.12</v>
      </c>
      <c r="D2546">
        <f t="shared" si="157"/>
        <v>5041</v>
      </c>
      <c r="E2546">
        <f t="shared" si="158"/>
        <v>46535.118399999999</v>
      </c>
      <c r="F2546">
        <f t="shared" si="159"/>
        <v>5041</v>
      </c>
    </row>
    <row r="2547" spans="1:6" x14ac:dyDescent="0.3">
      <c r="A2547">
        <v>66</v>
      </c>
      <c r="B2547">
        <v>87.84</v>
      </c>
      <c r="C2547">
        <f t="shared" si="156"/>
        <v>5797.4400000000005</v>
      </c>
      <c r="D2547">
        <f t="shared" si="157"/>
        <v>4356</v>
      </c>
      <c r="E2547">
        <f t="shared" si="158"/>
        <v>7715.865600000001</v>
      </c>
      <c r="F2547">
        <f t="shared" si="159"/>
        <v>4356</v>
      </c>
    </row>
    <row r="2548" spans="1:6" x14ac:dyDescent="0.3">
      <c r="A2548">
        <v>32</v>
      </c>
      <c r="B2548">
        <v>91.93</v>
      </c>
      <c r="C2548">
        <f t="shared" si="156"/>
        <v>2941.76</v>
      </c>
      <c r="D2548">
        <f t="shared" si="157"/>
        <v>1024</v>
      </c>
      <c r="E2548">
        <f t="shared" si="158"/>
        <v>8451.1249000000007</v>
      </c>
      <c r="F2548">
        <f t="shared" si="159"/>
        <v>1024</v>
      </c>
    </row>
    <row r="2549" spans="1:6" x14ac:dyDescent="0.3">
      <c r="A2549">
        <v>46</v>
      </c>
      <c r="B2549">
        <v>58.63</v>
      </c>
      <c r="C2549">
        <f t="shared" si="156"/>
        <v>2696.98</v>
      </c>
      <c r="D2549">
        <f t="shared" si="157"/>
        <v>2116</v>
      </c>
      <c r="E2549">
        <f t="shared" si="158"/>
        <v>3437.4769000000001</v>
      </c>
      <c r="F2549">
        <f t="shared" si="159"/>
        <v>2116</v>
      </c>
    </row>
    <row r="2550" spans="1:6" x14ac:dyDescent="0.3">
      <c r="A2550">
        <v>48</v>
      </c>
      <c r="B2550">
        <v>173.14</v>
      </c>
      <c r="C2550">
        <f t="shared" si="156"/>
        <v>8310.7199999999993</v>
      </c>
      <c r="D2550">
        <f t="shared" si="157"/>
        <v>2304</v>
      </c>
      <c r="E2550">
        <f t="shared" si="158"/>
        <v>29977.459599999995</v>
      </c>
      <c r="F2550">
        <f t="shared" si="159"/>
        <v>2304</v>
      </c>
    </row>
    <row r="2551" spans="1:6" x14ac:dyDescent="0.3">
      <c r="A2551">
        <v>45</v>
      </c>
      <c r="B2551">
        <v>106.83</v>
      </c>
      <c r="C2551">
        <f t="shared" si="156"/>
        <v>4807.3500000000004</v>
      </c>
      <c r="D2551">
        <f t="shared" si="157"/>
        <v>2025</v>
      </c>
      <c r="E2551">
        <f t="shared" si="158"/>
        <v>11412.6489</v>
      </c>
      <c r="F2551">
        <f t="shared" si="159"/>
        <v>2025</v>
      </c>
    </row>
    <row r="2552" spans="1:6" x14ac:dyDescent="0.3">
      <c r="A2552">
        <v>55</v>
      </c>
      <c r="B2552">
        <v>84.44</v>
      </c>
      <c r="C2552">
        <f t="shared" si="156"/>
        <v>4644.2</v>
      </c>
      <c r="D2552">
        <f t="shared" si="157"/>
        <v>3025</v>
      </c>
      <c r="E2552">
        <f t="shared" si="158"/>
        <v>7130.1135999999997</v>
      </c>
      <c r="F2552">
        <f t="shared" si="159"/>
        <v>3025</v>
      </c>
    </row>
    <row r="2553" spans="1:6" x14ac:dyDescent="0.3">
      <c r="A2553">
        <v>31</v>
      </c>
      <c r="B2553">
        <v>92.16</v>
      </c>
      <c r="C2553">
        <f t="shared" si="156"/>
        <v>2856.96</v>
      </c>
      <c r="D2553">
        <f t="shared" si="157"/>
        <v>961</v>
      </c>
      <c r="E2553">
        <f t="shared" si="158"/>
        <v>8493.4655999999995</v>
      </c>
      <c r="F2553">
        <f t="shared" si="159"/>
        <v>961</v>
      </c>
    </row>
    <row r="2554" spans="1:6" x14ac:dyDescent="0.3">
      <c r="A2554">
        <v>25</v>
      </c>
      <c r="B2554">
        <v>85.96</v>
      </c>
      <c r="C2554">
        <f t="shared" si="156"/>
        <v>2149</v>
      </c>
      <c r="D2554">
        <f t="shared" si="157"/>
        <v>625</v>
      </c>
      <c r="E2554">
        <f t="shared" si="158"/>
        <v>7389.1215999999986</v>
      </c>
      <c r="F2554">
        <f t="shared" si="159"/>
        <v>625</v>
      </c>
    </row>
    <row r="2555" spans="1:6" x14ac:dyDescent="0.3">
      <c r="A2555">
        <v>73</v>
      </c>
      <c r="B2555">
        <v>202.57</v>
      </c>
      <c r="C2555">
        <f t="shared" si="156"/>
        <v>14787.609999999999</v>
      </c>
      <c r="D2555">
        <f t="shared" si="157"/>
        <v>5329</v>
      </c>
      <c r="E2555">
        <f t="shared" si="158"/>
        <v>41034.604899999998</v>
      </c>
      <c r="F2555">
        <f t="shared" si="159"/>
        <v>5329</v>
      </c>
    </row>
    <row r="2556" spans="1:6" x14ac:dyDescent="0.3">
      <c r="A2556">
        <v>14</v>
      </c>
      <c r="B2556">
        <v>65.41</v>
      </c>
      <c r="C2556">
        <f t="shared" si="156"/>
        <v>915.74</v>
      </c>
      <c r="D2556">
        <f t="shared" si="157"/>
        <v>196</v>
      </c>
      <c r="E2556">
        <f t="shared" si="158"/>
        <v>4278.4680999999991</v>
      </c>
      <c r="F2556">
        <f t="shared" si="159"/>
        <v>196</v>
      </c>
    </row>
    <row r="2557" spans="1:6" x14ac:dyDescent="0.3">
      <c r="A2557">
        <v>56</v>
      </c>
      <c r="B2557">
        <v>102.51</v>
      </c>
      <c r="C2557">
        <f t="shared" si="156"/>
        <v>5740.56</v>
      </c>
      <c r="D2557">
        <f t="shared" si="157"/>
        <v>3136</v>
      </c>
      <c r="E2557">
        <f t="shared" si="158"/>
        <v>10508.3001</v>
      </c>
      <c r="F2557">
        <f t="shared" si="159"/>
        <v>3136</v>
      </c>
    </row>
    <row r="2558" spans="1:6" x14ac:dyDescent="0.3">
      <c r="A2558">
        <v>60</v>
      </c>
      <c r="B2558">
        <v>62.6</v>
      </c>
      <c r="C2558">
        <f t="shared" si="156"/>
        <v>3756</v>
      </c>
      <c r="D2558">
        <f t="shared" si="157"/>
        <v>3600</v>
      </c>
      <c r="E2558">
        <f t="shared" si="158"/>
        <v>3918.76</v>
      </c>
      <c r="F2558">
        <f t="shared" si="159"/>
        <v>3600</v>
      </c>
    </row>
    <row r="2559" spans="1:6" x14ac:dyDescent="0.3">
      <c r="A2559">
        <v>27</v>
      </c>
      <c r="B2559">
        <v>150.1</v>
      </c>
      <c r="C2559">
        <f t="shared" si="156"/>
        <v>4052.7</v>
      </c>
      <c r="D2559">
        <f t="shared" si="157"/>
        <v>729</v>
      </c>
      <c r="E2559">
        <f t="shared" si="158"/>
        <v>22530.01</v>
      </c>
      <c r="F2559">
        <f t="shared" si="159"/>
        <v>729</v>
      </c>
    </row>
    <row r="2560" spans="1:6" x14ac:dyDescent="0.3">
      <c r="A2560">
        <v>28</v>
      </c>
      <c r="B2560">
        <v>94.15</v>
      </c>
      <c r="C2560">
        <f t="shared" si="156"/>
        <v>2636.2000000000003</v>
      </c>
      <c r="D2560">
        <f t="shared" si="157"/>
        <v>784</v>
      </c>
      <c r="E2560">
        <f t="shared" si="158"/>
        <v>8864.2225000000017</v>
      </c>
      <c r="F2560">
        <f t="shared" si="159"/>
        <v>784</v>
      </c>
    </row>
    <row r="2561" spans="1:6" x14ac:dyDescent="0.3">
      <c r="A2561">
        <v>46</v>
      </c>
      <c r="B2561">
        <v>65.5</v>
      </c>
      <c r="C2561">
        <f t="shared" si="156"/>
        <v>3013</v>
      </c>
      <c r="D2561">
        <f t="shared" si="157"/>
        <v>2116</v>
      </c>
      <c r="E2561">
        <f t="shared" si="158"/>
        <v>4290.25</v>
      </c>
      <c r="F2561">
        <f t="shared" si="159"/>
        <v>2116</v>
      </c>
    </row>
    <row r="2562" spans="1:6" x14ac:dyDescent="0.3">
      <c r="A2562">
        <v>11</v>
      </c>
      <c r="B2562">
        <v>81.31</v>
      </c>
      <c r="C2562">
        <f t="shared" si="156"/>
        <v>894.41000000000008</v>
      </c>
      <c r="D2562">
        <f t="shared" si="157"/>
        <v>121</v>
      </c>
      <c r="E2562">
        <f t="shared" si="158"/>
        <v>6611.3161</v>
      </c>
      <c r="F2562">
        <f t="shared" si="159"/>
        <v>121</v>
      </c>
    </row>
    <row r="2563" spans="1:6" x14ac:dyDescent="0.3">
      <c r="A2563">
        <v>63</v>
      </c>
      <c r="B2563">
        <v>78.959999999999994</v>
      </c>
      <c r="C2563">
        <f t="shared" ref="C2563:C2626" si="160">A2563*B2563</f>
        <v>4974.4799999999996</v>
      </c>
      <c r="D2563">
        <f t="shared" ref="D2563:D2626" si="161">A2563*A2563</f>
        <v>3969</v>
      </c>
      <c r="E2563">
        <f t="shared" ref="E2563:E2626" si="162">B2563*B2563</f>
        <v>6234.681599999999</v>
      </c>
      <c r="F2563">
        <f t="shared" ref="F2563:F2626" si="163">A2563^2</f>
        <v>3969</v>
      </c>
    </row>
    <row r="2564" spans="1:6" x14ac:dyDescent="0.3">
      <c r="A2564">
        <v>59</v>
      </c>
      <c r="B2564">
        <v>123.47</v>
      </c>
      <c r="C2564">
        <f t="shared" si="160"/>
        <v>7284.73</v>
      </c>
      <c r="D2564">
        <f t="shared" si="161"/>
        <v>3481</v>
      </c>
      <c r="E2564">
        <f t="shared" si="162"/>
        <v>15244.840899999999</v>
      </c>
      <c r="F2564">
        <f t="shared" si="163"/>
        <v>3481</v>
      </c>
    </row>
    <row r="2565" spans="1:6" x14ac:dyDescent="0.3">
      <c r="A2565">
        <v>57</v>
      </c>
      <c r="B2565">
        <v>90.4</v>
      </c>
      <c r="C2565">
        <f t="shared" si="160"/>
        <v>5152.8</v>
      </c>
      <c r="D2565">
        <f t="shared" si="161"/>
        <v>3249</v>
      </c>
      <c r="E2565">
        <f t="shared" si="162"/>
        <v>8172.1600000000008</v>
      </c>
      <c r="F2565">
        <f t="shared" si="163"/>
        <v>3249</v>
      </c>
    </row>
    <row r="2566" spans="1:6" x14ac:dyDescent="0.3">
      <c r="A2566">
        <v>35</v>
      </c>
      <c r="B2566">
        <v>71.59</v>
      </c>
      <c r="C2566">
        <f t="shared" si="160"/>
        <v>2505.65</v>
      </c>
      <c r="D2566">
        <f t="shared" si="161"/>
        <v>1225</v>
      </c>
      <c r="E2566">
        <f t="shared" si="162"/>
        <v>5125.1281000000008</v>
      </c>
      <c r="F2566">
        <f t="shared" si="163"/>
        <v>1225</v>
      </c>
    </row>
    <row r="2567" spans="1:6" x14ac:dyDescent="0.3">
      <c r="A2567">
        <v>54</v>
      </c>
      <c r="B2567">
        <v>209.5</v>
      </c>
      <c r="C2567">
        <f t="shared" si="160"/>
        <v>11313</v>
      </c>
      <c r="D2567">
        <f t="shared" si="161"/>
        <v>2916</v>
      </c>
      <c r="E2567">
        <f t="shared" si="162"/>
        <v>43890.25</v>
      </c>
      <c r="F2567">
        <f t="shared" si="163"/>
        <v>2916</v>
      </c>
    </row>
    <row r="2568" spans="1:6" x14ac:dyDescent="0.3">
      <c r="A2568">
        <v>7</v>
      </c>
      <c r="B2568">
        <v>86.6</v>
      </c>
      <c r="C2568">
        <f t="shared" si="160"/>
        <v>606.19999999999993</v>
      </c>
      <c r="D2568">
        <f t="shared" si="161"/>
        <v>49</v>
      </c>
      <c r="E2568">
        <f t="shared" si="162"/>
        <v>7499.5599999999986</v>
      </c>
      <c r="F2568">
        <f t="shared" si="163"/>
        <v>49</v>
      </c>
    </row>
    <row r="2569" spans="1:6" x14ac:dyDescent="0.3">
      <c r="A2569">
        <v>48</v>
      </c>
      <c r="B2569">
        <v>57.43</v>
      </c>
      <c r="C2569">
        <f t="shared" si="160"/>
        <v>2756.64</v>
      </c>
      <c r="D2569">
        <f t="shared" si="161"/>
        <v>2304</v>
      </c>
      <c r="E2569">
        <f t="shared" si="162"/>
        <v>3298.2049000000002</v>
      </c>
      <c r="F2569">
        <f t="shared" si="163"/>
        <v>2304</v>
      </c>
    </row>
    <row r="2570" spans="1:6" x14ac:dyDescent="0.3">
      <c r="A2570">
        <v>69</v>
      </c>
      <c r="B2570">
        <v>87.93</v>
      </c>
      <c r="C2570">
        <f t="shared" si="160"/>
        <v>6067.17</v>
      </c>
      <c r="D2570">
        <f t="shared" si="161"/>
        <v>4761</v>
      </c>
      <c r="E2570">
        <f t="shared" si="162"/>
        <v>7731.6849000000011</v>
      </c>
      <c r="F2570">
        <f t="shared" si="163"/>
        <v>4761</v>
      </c>
    </row>
    <row r="2571" spans="1:6" x14ac:dyDescent="0.3">
      <c r="A2571">
        <v>59</v>
      </c>
      <c r="B2571">
        <v>203.16</v>
      </c>
      <c r="C2571">
        <f t="shared" si="160"/>
        <v>11986.44</v>
      </c>
      <c r="D2571">
        <f t="shared" si="161"/>
        <v>3481</v>
      </c>
      <c r="E2571">
        <f t="shared" si="162"/>
        <v>41273.9856</v>
      </c>
      <c r="F2571">
        <f t="shared" si="163"/>
        <v>3481</v>
      </c>
    </row>
    <row r="2572" spans="1:6" x14ac:dyDescent="0.3">
      <c r="A2572">
        <v>72</v>
      </c>
      <c r="B2572">
        <v>112.12</v>
      </c>
      <c r="C2572">
        <f t="shared" si="160"/>
        <v>8072.64</v>
      </c>
      <c r="D2572">
        <f t="shared" si="161"/>
        <v>5184</v>
      </c>
      <c r="E2572">
        <f t="shared" si="162"/>
        <v>12570.894400000001</v>
      </c>
      <c r="F2572">
        <f t="shared" si="163"/>
        <v>5184</v>
      </c>
    </row>
    <row r="2573" spans="1:6" x14ac:dyDescent="0.3">
      <c r="A2573">
        <v>49</v>
      </c>
      <c r="B2573">
        <v>92.02</v>
      </c>
      <c r="C2573">
        <f t="shared" si="160"/>
        <v>4508.9799999999996</v>
      </c>
      <c r="D2573">
        <f t="shared" si="161"/>
        <v>2401</v>
      </c>
      <c r="E2573">
        <f t="shared" si="162"/>
        <v>8467.6803999999993</v>
      </c>
      <c r="F2573">
        <f t="shared" si="163"/>
        <v>2401</v>
      </c>
    </row>
    <row r="2574" spans="1:6" x14ac:dyDescent="0.3">
      <c r="A2574">
        <v>73</v>
      </c>
      <c r="B2574">
        <v>60.98</v>
      </c>
      <c r="C2574">
        <f t="shared" si="160"/>
        <v>4451.54</v>
      </c>
      <c r="D2574">
        <f t="shared" si="161"/>
        <v>5329</v>
      </c>
      <c r="E2574">
        <f t="shared" si="162"/>
        <v>3718.5603999999998</v>
      </c>
      <c r="F2574">
        <f t="shared" si="163"/>
        <v>5329</v>
      </c>
    </row>
    <row r="2575" spans="1:6" x14ac:dyDescent="0.3">
      <c r="A2575">
        <v>24</v>
      </c>
      <c r="B2575">
        <v>86.35</v>
      </c>
      <c r="C2575">
        <f t="shared" si="160"/>
        <v>2072.3999999999996</v>
      </c>
      <c r="D2575">
        <f t="shared" si="161"/>
        <v>576</v>
      </c>
      <c r="E2575">
        <f t="shared" si="162"/>
        <v>7456.3224999999993</v>
      </c>
      <c r="F2575">
        <f t="shared" si="163"/>
        <v>576</v>
      </c>
    </row>
    <row r="2576" spans="1:6" x14ac:dyDescent="0.3">
      <c r="A2576">
        <v>26</v>
      </c>
      <c r="B2576">
        <v>71.260000000000005</v>
      </c>
      <c r="C2576">
        <f t="shared" si="160"/>
        <v>1852.7600000000002</v>
      </c>
      <c r="D2576">
        <f t="shared" si="161"/>
        <v>676</v>
      </c>
      <c r="E2576">
        <f t="shared" si="162"/>
        <v>5077.9876000000004</v>
      </c>
      <c r="F2576">
        <f t="shared" si="163"/>
        <v>676</v>
      </c>
    </row>
    <row r="2577" spans="1:6" x14ac:dyDescent="0.3">
      <c r="A2577">
        <v>27</v>
      </c>
      <c r="B2577">
        <v>72.61</v>
      </c>
      <c r="C2577">
        <f t="shared" si="160"/>
        <v>1960.47</v>
      </c>
      <c r="D2577">
        <f t="shared" si="161"/>
        <v>729</v>
      </c>
      <c r="E2577">
        <f t="shared" si="162"/>
        <v>5272.2120999999997</v>
      </c>
      <c r="F2577">
        <f t="shared" si="163"/>
        <v>729</v>
      </c>
    </row>
    <row r="2578" spans="1:6" x14ac:dyDescent="0.3">
      <c r="A2578">
        <v>78</v>
      </c>
      <c r="B2578">
        <v>110.78</v>
      </c>
      <c r="C2578">
        <f t="shared" si="160"/>
        <v>8640.84</v>
      </c>
      <c r="D2578">
        <f t="shared" si="161"/>
        <v>6084</v>
      </c>
      <c r="E2578">
        <f t="shared" si="162"/>
        <v>12272.2084</v>
      </c>
      <c r="F2578">
        <f t="shared" si="163"/>
        <v>6084</v>
      </c>
    </row>
    <row r="2579" spans="1:6" x14ac:dyDescent="0.3">
      <c r="A2579">
        <v>77</v>
      </c>
      <c r="B2579">
        <v>99.78</v>
      </c>
      <c r="C2579">
        <f t="shared" si="160"/>
        <v>7683.06</v>
      </c>
      <c r="D2579">
        <f t="shared" si="161"/>
        <v>5929</v>
      </c>
      <c r="E2579">
        <f t="shared" si="162"/>
        <v>9956.0483999999997</v>
      </c>
      <c r="F2579">
        <f t="shared" si="163"/>
        <v>5929</v>
      </c>
    </row>
    <row r="2580" spans="1:6" x14ac:dyDescent="0.3">
      <c r="A2580">
        <v>59</v>
      </c>
      <c r="B2580">
        <v>201.45</v>
      </c>
      <c r="C2580">
        <f t="shared" si="160"/>
        <v>11885.55</v>
      </c>
      <c r="D2580">
        <f t="shared" si="161"/>
        <v>3481</v>
      </c>
      <c r="E2580">
        <f t="shared" si="162"/>
        <v>40582.102499999994</v>
      </c>
      <c r="F2580">
        <f t="shared" si="163"/>
        <v>3481</v>
      </c>
    </row>
    <row r="2581" spans="1:6" x14ac:dyDescent="0.3">
      <c r="A2581">
        <v>0.32</v>
      </c>
      <c r="B2581">
        <v>127.78</v>
      </c>
      <c r="C2581">
        <f t="shared" si="160"/>
        <v>40.889600000000002</v>
      </c>
      <c r="D2581">
        <f t="shared" si="161"/>
        <v>0.1024</v>
      </c>
      <c r="E2581">
        <f t="shared" si="162"/>
        <v>16327.7284</v>
      </c>
      <c r="F2581">
        <f t="shared" si="163"/>
        <v>0.1024</v>
      </c>
    </row>
    <row r="2582" spans="1:6" x14ac:dyDescent="0.3">
      <c r="A2582">
        <v>39</v>
      </c>
      <c r="B2582">
        <v>121.32</v>
      </c>
      <c r="C2582">
        <f t="shared" si="160"/>
        <v>4731.4799999999996</v>
      </c>
      <c r="D2582">
        <f t="shared" si="161"/>
        <v>1521</v>
      </c>
      <c r="E2582">
        <f t="shared" si="162"/>
        <v>14718.542399999998</v>
      </c>
      <c r="F2582">
        <f t="shared" si="163"/>
        <v>1521</v>
      </c>
    </row>
    <row r="2583" spans="1:6" x14ac:dyDescent="0.3">
      <c r="A2583">
        <v>35</v>
      </c>
      <c r="B2583">
        <v>83.89</v>
      </c>
      <c r="C2583">
        <f t="shared" si="160"/>
        <v>2936.15</v>
      </c>
      <c r="D2583">
        <f t="shared" si="161"/>
        <v>1225</v>
      </c>
      <c r="E2583">
        <f t="shared" si="162"/>
        <v>7037.5321000000004</v>
      </c>
      <c r="F2583">
        <f t="shared" si="163"/>
        <v>1225</v>
      </c>
    </row>
    <row r="2584" spans="1:6" x14ac:dyDescent="0.3">
      <c r="A2584">
        <v>54</v>
      </c>
      <c r="B2584">
        <v>74.06</v>
      </c>
      <c r="C2584">
        <f t="shared" si="160"/>
        <v>3999.2400000000002</v>
      </c>
      <c r="D2584">
        <f t="shared" si="161"/>
        <v>2916</v>
      </c>
      <c r="E2584">
        <f t="shared" si="162"/>
        <v>5484.8836000000001</v>
      </c>
      <c r="F2584">
        <f t="shared" si="163"/>
        <v>2916</v>
      </c>
    </row>
    <row r="2585" spans="1:6" x14ac:dyDescent="0.3">
      <c r="A2585">
        <v>75</v>
      </c>
      <c r="B2585">
        <v>206.15</v>
      </c>
      <c r="C2585">
        <f t="shared" si="160"/>
        <v>15461.25</v>
      </c>
      <c r="D2585">
        <f t="shared" si="161"/>
        <v>5625</v>
      </c>
      <c r="E2585">
        <f t="shared" si="162"/>
        <v>42497.822500000002</v>
      </c>
      <c r="F2585">
        <f t="shared" si="163"/>
        <v>5625</v>
      </c>
    </row>
    <row r="2586" spans="1:6" x14ac:dyDescent="0.3">
      <c r="A2586">
        <v>80</v>
      </c>
      <c r="B2586">
        <v>102.9</v>
      </c>
      <c r="C2586">
        <f t="shared" si="160"/>
        <v>8232</v>
      </c>
      <c r="D2586">
        <f t="shared" si="161"/>
        <v>6400</v>
      </c>
      <c r="E2586">
        <f t="shared" si="162"/>
        <v>10588.410000000002</v>
      </c>
      <c r="F2586">
        <f t="shared" si="163"/>
        <v>6400</v>
      </c>
    </row>
    <row r="2587" spans="1:6" x14ac:dyDescent="0.3">
      <c r="A2587">
        <v>35</v>
      </c>
      <c r="B2587">
        <v>65.48</v>
      </c>
      <c r="C2587">
        <f t="shared" si="160"/>
        <v>2291.8000000000002</v>
      </c>
      <c r="D2587">
        <f t="shared" si="161"/>
        <v>1225</v>
      </c>
      <c r="E2587">
        <f t="shared" si="162"/>
        <v>4287.6304000000009</v>
      </c>
      <c r="F2587">
        <f t="shared" si="163"/>
        <v>1225</v>
      </c>
    </row>
    <row r="2588" spans="1:6" x14ac:dyDescent="0.3">
      <c r="A2588">
        <v>22</v>
      </c>
      <c r="B2588">
        <v>123.23</v>
      </c>
      <c r="C2588">
        <f t="shared" si="160"/>
        <v>2711.06</v>
      </c>
      <c r="D2588">
        <f t="shared" si="161"/>
        <v>484</v>
      </c>
      <c r="E2588">
        <f t="shared" si="162"/>
        <v>15185.632900000001</v>
      </c>
      <c r="F2588">
        <f t="shared" si="163"/>
        <v>484</v>
      </c>
    </row>
    <row r="2589" spans="1:6" x14ac:dyDescent="0.3">
      <c r="A2589">
        <v>39</v>
      </c>
      <c r="B2589">
        <v>71.3</v>
      </c>
      <c r="C2589">
        <f t="shared" si="160"/>
        <v>2780.7</v>
      </c>
      <c r="D2589">
        <f t="shared" si="161"/>
        <v>1521</v>
      </c>
      <c r="E2589">
        <f t="shared" si="162"/>
        <v>5083.6899999999996</v>
      </c>
      <c r="F2589">
        <f t="shared" si="163"/>
        <v>1521</v>
      </c>
    </row>
    <row r="2590" spans="1:6" x14ac:dyDescent="0.3">
      <c r="A2590">
        <v>6</v>
      </c>
      <c r="B2590">
        <v>79.05</v>
      </c>
      <c r="C2590">
        <f t="shared" si="160"/>
        <v>474.29999999999995</v>
      </c>
      <c r="D2590">
        <f t="shared" si="161"/>
        <v>36</v>
      </c>
      <c r="E2590">
        <f t="shared" si="162"/>
        <v>6248.9024999999992</v>
      </c>
      <c r="F2590">
        <f t="shared" si="163"/>
        <v>36</v>
      </c>
    </row>
    <row r="2591" spans="1:6" x14ac:dyDescent="0.3">
      <c r="A2591">
        <v>62</v>
      </c>
      <c r="B2591">
        <v>102.21</v>
      </c>
      <c r="C2591">
        <f t="shared" si="160"/>
        <v>6337.0199999999995</v>
      </c>
      <c r="D2591">
        <f t="shared" si="161"/>
        <v>3844</v>
      </c>
      <c r="E2591">
        <f t="shared" si="162"/>
        <v>10446.884099999999</v>
      </c>
      <c r="F2591">
        <f t="shared" si="163"/>
        <v>3844</v>
      </c>
    </row>
    <row r="2592" spans="1:6" x14ac:dyDescent="0.3">
      <c r="A2592">
        <v>13</v>
      </c>
      <c r="B2592">
        <v>105.22</v>
      </c>
      <c r="C2592">
        <f t="shared" si="160"/>
        <v>1367.86</v>
      </c>
      <c r="D2592">
        <f t="shared" si="161"/>
        <v>169</v>
      </c>
      <c r="E2592">
        <f t="shared" si="162"/>
        <v>11071.2484</v>
      </c>
      <c r="F2592">
        <f t="shared" si="163"/>
        <v>169</v>
      </c>
    </row>
    <row r="2593" spans="1:6" x14ac:dyDescent="0.3">
      <c r="A2593">
        <v>56</v>
      </c>
      <c r="B2593">
        <v>84.58</v>
      </c>
      <c r="C2593">
        <f t="shared" si="160"/>
        <v>4736.4799999999996</v>
      </c>
      <c r="D2593">
        <f t="shared" si="161"/>
        <v>3136</v>
      </c>
      <c r="E2593">
        <f t="shared" si="162"/>
        <v>7153.7763999999997</v>
      </c>
      <c r="F2593">
        <f t="shared" si="163"/>
        <v>3136</v>
      </c>
    </row>
    <row r="2594" spans="1:6" x14ac:dyDescent="0.3">
      <c r="A2594">
        <v>53</v>
      </c>
      <c r="B2594">
        <v>77.3</v>
      </c>
      <c r="C2594">
        <f t="shared" si="160"/>
        <v>4096.8999999999996</v>
      </c>
      <c r="D2594">
        <f t="shared" si="161"/>
        <v>2809</v>
      </c>
      <c r="E2594">
        <f t="shared" si="162"/>
        <v>5975.29</v>
      </c>
      <c r="F2594">
        <f t="shared" si="163"/>
        <v>2809</v>
      </c>
    </row>
    <row r="2595" spans="1:6" x14ac:dyDescent="0.3">
      <c r="A2595">
        <v>5</v>
      </c>
      <c r="B2595">
        <v>74.790000000000006</v>
      </c>
      <c r="C2595">
        <f t="shared" si="160"/>
        <v>373.95000000000005</v>
      </c>
      <c r="D2595">
        <f t="shared" si="161"/>
        <v>25</v>
      </c>
      <c r="E2595">
        <f t="shared" si="162"/>
        <v>5593.544100000001</v>
      </c>
      <c r="F2595">
        <f t="shared" si="163"/>
        <v>25</v>
      </c>
    </row>
    <row r="2596" spans="1:6" x14ac:dyDescent="0.3">
      <c r="A2596">
        <v>44</v>
      </c>
      <c r="B2596">
        <v>88.75</v>
      </c>
      <c r="C2596">
        <f t="shared" si="160"/>
        <v>3905</v>
      </c>
      <c r="D2596">
        <f t="shared" si="161"/>
        <v>1936</v>
      </c>
      <c r="E2596">
        <f t="shared" si="162"/>
        <v>7876.5625</v>
      </c>
      <c r="F2596">
        <f t="shared" si="163"/>
        <v>1936</v>
      </c>
    </row>
    <row r="2597" spans="1:6" x14ac:dyDescent="0.3">
      <c r="A2597">
        <v>13</v>
      </c>
      <c r="B2597">
        <v>97.97</v>
      </c>
      <c r="C2597">
        <f t="shared" si="160"/>
        <v>1273.6099999999999</v>
      </c>
      <c r="D2597">
        <f t="shared" si="161"/>
        <v>169</v>
      </c>
      <c r="E2597">
        <f t="shared" si="162"/>
        <v>9598.1208999999999</v>
      </c>
      <c r="F2597">
        <f t="shared" si="163"/>
        <v>169</v>
      </c>
    </row>
    <row r="2598" spans="1:6" x14ac:dyDescent="0.3">
      <c r="A2598">
        <v>59</v>
      </c>
      <c r="B2598">
        <v>79.180000000000007</v>
      </c>
      <c r="C2598">
        <f t="shared" si="160"/>
        <v>4671.6200000000008</v>
      </c>
      <c r="D2598">
        <f t="shared" si="161"/>
        <v>3481</v>
      </c>
      <c r="E2598">
        <f t="shared" si="162"/>
        <v>6269.4724000000015</v>
      </c>
      <c r="F2598">
        <f t="shared" si="163"/>
        <v>3481</v>
      </c>
    </row>
    <row r="2599" spans="1:6" x14ac:dyDescent="0.3">
      <c r="A2599">
        <v>35</v>
      </c>
      <c r="B2599">
        <v>81.33</v>
      </c>
      <c r="C2599">
        <f t="shared" si="160"/>
        <v>2846.5499999999997</v>
      </c>
      <c r="D2599">
        <f t="shared" si="161"/>
        <v>1225</v>
      </c>
      <c r="E2599">
        <f t="shared" si="162"/>
        <v>6614.5688999999993</v>
      </c>
      <c r="F2599">
        <f t="shared" si="163"/>
        <v>1225</v>
      </c>
    </row>
    <row r="2600" spans="1:6" x14ac:dyDescent="0.3">
      <c r="A2600">
        <v>52</v>
      </c>
      <c r="B2600">
        <v>126.68</v>
      </c>
      <c r="C2600">
        <f t="shared" si="160"/>
        <v>6587.3600000000006</v>
      </c>
      <c r="D2600">
        <f t="shared" si="161"/>
        <v>2704</v>
      </c>
      <c r="E2600">
        <f t="shared" si="162"/>
        <v>16047.822400000001</v>
      </c>
      <c r="F2600">
        <f t="shared" si="163"/>
        <v>2704</v>
      </c>
    </row>
    <row r="2601" spans="1:6" x14ac:dyDescent="0.3">
      <c r="A2601">
        <v>76</v>
      </c>
      <c r="B2601">
        <v>196.61</v>
      </c>
      <c r="C2601">
        <f t="shared" si="160"/>
        <v>14942.36</v>
      </c>
      <c r="D2601">
        <f t="shared" si="161"/>
        <v>5776</v>
      </c>
      <c r="E2601">
        <f t="shared" si="162"/>
        <v>38655.492100000003</v>
      </c>
      <c r="F2601">
        <f t="shared" si="163"/>
        <v>5776</v>
      </c>
    </row>
    <row r="2602" spans="1:6" x14ac:dyDescent="0.3">
      <c r="A2602">
        <v>51</v>
      </c>
      <c r="B2602">
        <v>219.92</v>
      </c>
      <c r="C2602">
        <f t="shared" si="160"/>
        <v>11215.92</v>
      </c>
      <c r="D2602">
        <f t="shared" si="161"/>
        <v>2601</v>
      </c>
      <c r="E2602">
        <f t="shared" si="162"/>
        <v>48364.806399999994</v>
      </c>
      <c r="F2602">
        <f t="shared" si="163"/>
        <v>2601</v>
      </c>
    </row>
    <row r="2603" spans="1:6" x14ac:dyDescent="0.3">
      <c r="A2603">
        <v>79</v>
      </c>
      <c r="B2603">
        <v>79.16</v>
      </c>
      <c r="C2603">
        <f t="shared" si="160"/>
        <v>6253.6399999999994</v>
      </c>
      <c r="D2603">
        <f t="shared" si="161"/>
        <v>6241</v>
      </c>
      <c r="E2603">
        <f t="shared" si="162"/>
        <v>6266.3055999999997</v>
      </c>
      <c r="F2603">
        <f t="shared" si="163"/>
        <v>6241</v>
      </c>
    </row>
    <row r="2604" spans="1:6" x14ac:dyDescent="0.3">
      <c r="A2604">
        <v>69</v>
      </c>
      <c r="B2604">
        <v>99.68</v>
      </c>
      <c r="C2604">
        <f t="shared" si="160"/>
        <v>6877.92</v>
      </c>
      <c r="D2604">
        <f t="shared" si="161"/>
        <v>4761</v>
      </c>
      <c r="E2604">
        <f t="shared" si="162"/>
        <v>9936.1024000000016</v>
      </c>
      <c r="F2604">
        <f t="shared" si="163"/>
        <v>4761</v>
      </c>
    </row>
    <row r="2605" spans="1:6" x14ac:dyDescent="0.3">
      <c r="A2605">
        <v>78</v>
      </c>
      <c r="B2605">
        <v>79.55</v>
      </c>
      <c r="C2605">
        <f t="shared" si="160"/>
        <v>6204.9</v>
      </c>
      <c r="D2605">
        <f t="shared" si="161"/>
        <v>6084</v>
      </c>
      <c r="E2605">
        <f t="shared" si="162"/>
        <v>6328.2024999999994</v>
      </c>
      <c r="F2605">
        <f t="shared" si="163"/>
        <v>6084</v>
      </c>
    </row>
    <row r="2606" spans="1:6" x14ac:dyDescent="0.3">
      <c r="A2606">
        <v>60</v>
      </c>
      <c r="B2606">
        <v>87.86</v>
      </c>
      <c r="C2606">
        <f t="shared" si="160"/>
        <v>5271.6</v>
      </c>
      <c r="D2606">
        <f t="shared" si="161"/>
        <v>3600</v>
      </c>
      <c r="E2606">
        <f t="shared" si="162"/>
        <v>7719.3796000000002</v>
      </c>
      <c r="F2606">
        <f t="shared" si="163"/>
        <v>3600</v>
      </c>
    </row>
    <row r="2607" spans="1:6" x14ac:dyDescent="0.3">
      <c r="A2607">
        <v>10</v>
      </c>
      <c r="B2607">
        <v>76.92</v>
      </c>
      <c r="C2607">
        <f t="shared" si="160"/>
        <v>769.2</v>
      </c>
      <c r="D2607">
        <f t="shared" si="161"/>
        <v>100</v>
      </c>
      <c r="E2607">
        <f t="shared" si="162"/>
        <v>5916.6864000000005</v>
      </c>
      <c r="F2607">
        <f t="shared" si="163"/>
        <v>100</v>
      </c>
    </row>
    <row r="2608" spans="1:6" x14ac:dyDescent="0.3">
      <c r="A2608">
        <v>42</v>
      </c>
      <c r="B2608">
        <v>77.239999999999995</v>
      </c>
      <c r="C2608">
        <f t="shared" si="160"/>
        <v>3244.08</v>
      </c>
      <c r="D2608">
        <f t="shared" si="161"/>
        <v>1764</v>
      </c>
      <c r="E2608">
        <f t="shared" si="162"/>
        <v>5966.0175999999992</v>
      </c>
      <c r="F2608">
        <f t="shared" si="163"/>
        <v>1764</v>
      </c>
    </row>
    <row r="2609" spans="1:6" x14ac:dyDescent="0.3">
      <c r="A2609">
        <v>21</v>
      </c>
      <c r="B2609">
        <v>120.94</v>
      </c>
      <c r="C2609">
        <f t="shared" si="160"/>
        <v>2539.7399999999998</v>
      </c>
      <c r="D2609">
        <f t="shared" si="161"/>
        <v>441</v>
      </c>
      <c r="E2609">
        <f t="shared" si="162"/>
        <v>14626.4836</v>
      </c>
      <c r="F2609">
        <f t="shared" si="163"/>
        <v>441</v>
      </c>
    </row>
    <row r="2610" spans="1:6" x14ac:dyDescent="0.3">
      <c r="A2610">
        <v>56</v>
      </c>
      <c r="B2610">
        <v>77.66</v>
      </c>
      <c r="C2610">
        <f t="shared" si="160"/>
        <v>4348.96</v>
      </c>
      <c r="D2610">
        <f t="shared" si="161"/>
        <v>3136</v>
      </c>
      <c r="E2610">
        <f t="shared" si="162"/>
        <v>6031.0755999999992</v>
      </c>
      <c r="F2610">
        <f t="shared" si="163"/>
        <v>3136</v>
      </c>
    </row>
    <row r="2611" spans="1:6" x14ac:dyDescent="0.3">
      <c r="A2611">
        <v>59</v>
      </c>
      <c r="B2611">
        <v>231.95</v>
      </c>
      <c r="C2611">
        <f t="shared" si="160"/>
        <v>13685.05</v>
      </c>
      <c r="D2611">
        <f t="shared" si="161"/>
        <v>3481</v>
      </c>
      <c r="E2611">
        <f t="shared" si="162"/>
        <v>53800.802499999998</v>
      </c>
      <c r="F2611">
        <f t="shared" si="163"/>
        <v>3481</v>
      </c>
    </row>
    <row r="2612" spans="1:6" x14ac:dyDescent="0.3">
      <c r="A2612">
        <v>69</v>
      </c>
      <c r="B2612">
        <v>111.48</v>
      </c>
      <c r="C2612">
        <f t="shared" si="160"/>
        <v>7692.12</v>
      </c>
      <c r="D2612">
        <f t="shared" si="161"/>
        <v>4761</v>
      </c>
      <c r="E2612">
        <f t="shared" si="162"/>
        <v>12427.790400000002</v>
      </c>
      <c r="F2612">
        <f t="shared" si="163"/>
        <v>4761</v>
      </c>
    </row>
    <row r="2613" spans="1:6" x14ac:dyDescent="0.3">
      <c r="A2613">
        <v>25</v>
      </c>
      <c r="B2613">
        <v>84.25</v>
      </c>
      <c r="C2613">
        <f t="shared" si="160"/>
        <v>2106.25</v>
      </c>
      <c r="D2613">
        <f t="shared" si="161"/>
        <v>625</v>
      </c>
      <c r="E2613">
        <f t="shared" si="162"/>
        <v>7098.0625</v>
      </c>
      <c r="F2613">
        <f t="shared" si="163"/>
        <v>625</v>
      </c>
    </row>
    <row r="2614" spans="1:6" x14ac:dyDescent="0.3">
      <c r="A2614">
        <v>63</v>
      </c>
      <c r="B2614">
        <v>216.38</v>
      </c>
      <c r="C2614">
        <f t="shared" si="160"/>
        <v>13631.94</v>
      </c>
      <c r="D2614">
        <f t="shared" si="161"/>
        <v>3969</v>
      </c>
      <c r="E2614">
        <f t="shared" si="162"/>
        <v>46820.304400000001</v>
      </c>
      <c r="F2614">
        <f t="shared" si="163"/>
        <v>3969</v>
      </c>
    </row>
    <row r="2615" spans="1:6" x14ac:dyDescent="0.3">
      <c r="A2615">
        <v>25</v>
      </c>
      <c r="B2615">
        <v>95.01</v>
      </c>
      <c r="C2615">
        <f t="shared" si="160"/>
        <v>2375.25</v>
      </c>
      <c r="D2615">
        <f t="shared" si="161"/>
        <v>625</v>
      </c>
      <c r="E2615">
        <f t="shared" si="162"/>
        <v>9026.9001000000007</v>
      </c>
      <c r="F2615">
        <f t="shared" si="163"/>
        <v>625</v>
      </c>
    </row>
    <row r="2616" spans="1:6" x14ac:dyDescent="0.3">
      <c r="A2616">
        <v>58</v>
      </c>
      <c r="B2616">
        <v>105.74</v>
      </c>
      <c r="C2616">
        <f t="shared" si="160"/>
        <v>6132.92</v>
      </c>
      <c r="D2616">
        <f t="shared" si="161"/>
        <v>3364</v>
      </c>
      <c r="E2616">
        <f t="shared" si="162"/>
        <v>11180.9476</v>
      </c>
      <c r="F2616">
        <f t="shared" si="163"/>
        <v>3364</v>
      </c>
    </row>
    <row r="2617" spans="1:6" x14ac:dyDescent="0.3">
      <c r="A2617">
        <v>28</v>
      </c>
      <c r="B2617">
        <v>58.41</v>
      </c>
      <c r="C2617">
        <f t="shared" si="160"/>
        <v>1635.48</v>
      </c>
      <c r="D2617">
        <f t="shared" si="161"/>
        <v>784</v>
      </c>
      <c r="E2617">
        <f t="shared" si="162"/>
        <v>3411.7280999999998</v>
      </c>
      <c r="F2617">
        <f t="shared" si="163"/>
        <v>784</v>
      </c>
    </row>
    <row r="2618" spans="1:6" x14ac:dyDescent="0.3">
      <c r="A2618">
        <v>46</v>
      </c>
      <c r="B2618">
        <v>56.89</v>
      </c>
      <c r="C2618">
        <f t="shared" si="160"/>
        <v>2616.94</v>
      </c>
      <c r="D2618">
        <f t="shared" si="161"/>
        <v>2116</v>
      </c>
      <c r="E2618">
        <f t="shared" si="162"/>
        <v>3236.4721</v>
      </c>
      <c r="F2618">
        <f t="shared" si="163"/>
        <v>2116</v>
      </c>
    </row>
    <row r="2619" spans="1:6" x14ac:dyDescent="0.3">
      <c r="A2619">
        <v>53</v>
      </c>
      <c r="B2619">
        <v>86.25</v>
      </c>
      <c r="C2619">
        <f t="shared" si="160"/>
        <v>4571.25</v>
      </c>
      <c r="D2619">
        <f t="shared" si="161"/>
        <v>2809</v>
      </c>
      <c r="E2619">
        <f t="shared" si="162"/>
        <v>7439.0625</v>
      </c>
      <c r="F2619">
        <f t="shared" si="163"/>
        <v>2809</v>
      </c>
    </row>
    <row r="2620" spans="1:6" x14ac:dyDescent="0.3">
      <c r="A2620">
        <v>37</v>
      </c>
      <c r="B2620">
        <v>86.49</v>
      </c>
      <c r="C2620">
        <f t="shared" si="160"/>
        <v>3200.1299999999997</v>
      </c>
      <c r="D2620">
        <f t="shared" si="161"/>
        <v>1369</v>
      </c>
      <c r="E2620">
        <f t="shared" si="162"/>
        <v>7480.5200999999988</v>
      </c>
      <c r="F2620">
        <f t="shared" si="163"/>
        <v>1369</v>
      </c>
    </row>
    <row r="2621" spans="1:6" x14ac:dyDescent="0.3">
      <c r="A2621">
        <v>12</v>
      </c>
      <c r="B2621">
        <v>115.47</v>
      </c>
      <c r="C2621">
        <f t="shared" si="160"/>
        <v>1385.6399999999999</v>
      </c>
      <c r="D2621">
        <f t="shared" si="161"/>
        <v>144</v>
      </c>
      <c r="E2621">
        <f t="shared" si="162"/>
        <v>13333.320900000001</v>
      </c>
      <c r="F2621">
        <f t="shared" si="163"/>
        <v>144</v>
      </c>
    </row>
    <row r="2622" spans="1:6" x14ac:dyDescent="0.3">
      <c r="A2622">
        <v>14</v>
      </c>
      <c r="B2622">
        <v>92.22</v>
      </c>
      <c r="C2622">
        <f t="shared" si="160"/>
        <v>1291.08</v>
      </c>
      <c r="D2622">
        <f t="shared" si="161"/>
        <v>196</v>
      </c>
      <c r="E2622">
        <f t="shared" si="162"/>
        <v>8504.5283999999992</v>
      </c>
      <c r="F2622">
        <f t="shared" si="163"/>
        <v>196</v>
      </c>
    </row>
    <row r="2623" spans="1:6" x14ac:dyDescent="0.3">
      <c r="A2623">
        <v>60</v>
      </c>
      <c r="B2623">
        <v>83.16</v>
      </c>
      <c r="C2623">
        <f t="shared" si="160"/>
        <v>4989.5999999999995</v>
      </c>
      <c r="D2623">
        <f t="shared" si="161"/>
        <v>3600</v>
      </c>
      <c r="E2623">
        <f t="shared" si="162"/>
        <v>6915.5855999999994</v>
      </c>
      <c r="F2623">
        <f t="shared" si="163"/>
        <v>3600</v>
      </c>
    </row>
    <row r="2624" spans="1:6" x14ac:dyDescent="0.3">
      <c r="A2624">
        <v>42</v>
      </c>
      <c r="B2624">
        <v>110.68</v>
      </c>
      <c r="C2624">
        <f t="shared" si="160"/>
        <v>4648.5600000000004</v>
      </c>
      <c r="D2624">
        <f t="shared" si="161"/>
        <v>1764</v>
      </c>
      <c r="E2624">
        <f t="shared" si="162"/>
        <v>12250.062400000001</v>
      </c>
      <c r="F2624">
        <f t="shared" si="163"/>
        <v>1764</v>
      </c>
    </row>
    <row r="2625" spans="1:6" x14ac:dyDescent="0.3">
      <c r="A2625">
        <v>65</v>
      </c>
      <c r="B2625">
        <v>70.06</v>
      </c>
      <c r="C2625">
        <f t="shared" si="160"/>
        <v>4553.9000000000005</v>
      </c>
      <c r="D2625">
        <f t="shared" si="161"/>
        <v>4225</v>
      </c>
      <c r="E2625">
        <f t="shared" si="162"/>
        <v>4908.4036000000006</v>
      </c>
      <c r="F2625">
        <f t="shared" si="163"/>
        <v>4225</v>
      </c>
    </row>
    <row r="2626" spans="1:6" x14ac:dyDescent="0.3">
      <c r="A2626">
        <v>80</v>
      </c>
      <c r="B2626">
        <v>213.33</v>
      </c>
      <c r="C2626">
        <f t="shared" si="160"/>
        <v>17066.400000000001</v>
      </c>
      <c r="D2626">
        <f t="shared" si="161"/>
        <v>6400</v>
      </c>
      <c r="E2626">
        <f t="shared" si="162"/>
        <v>45509.688900000008</v>
      </c>
      <c r="F2626">
        <f t="shared" si="163"/>
        <v>6400</v>
      </c>
    </row>
    <row r="2627" spans="1:6" x14ac:dyDescent="0.3">
      <c r="A2627">
        <v>32</v>
      </c>
      <c r="B2627">
        <v>93.52</v>
      </c>
      <c r="C2627">
        <f t="shared" ref="C2627:C2690" si="164">A2627*B2627</f>
        <v>2992.64</v>
      </c>
      <c r="D2627">
        <f t="shared" ref="D2627:D2690" si="165">A2627*A2627</f>
        <v>1024</v>
      </c>
      <c r="E2627">
        <f t="shared" ref="E2627:E2690" si="166">B2627*B2627</f>
        <v>8745.9903999999988</v>
      </c>
      <c r="F2627">
        <f t="shared" ref="F2627:F2690" si="167">A2627^2</f>
        <v>1024</v>
      </c>
    </row>
    <row r="2628" spans="1:6" x14ac:dyDescent="0.3">
      <c r="A2628">
        <v>53</v>
      </c>
      <c r="B2628">
        <v>87.62</v>
      </c>
      <c r="C2628">
        <f t="shared" si="164"/>
        <v>4643.8600000000006</v>
      </c>
      <c r="D2628">
        <f t="shared" si="165"/>
        <v>2809</v>
      </c>
      <c r="E2628">
        <f t="shared" si="166"/>
        <v>7677.2644000000009</v>
      </c>
      <c r="F2628">
        <f t="shared" si="167"/>
        <v>2809</v>
      </c>
    </row>
    <row r="2629" spans="1:6" x14ac:dyDescent="0.3">
      <c r="A2629">
        <v>50</v>
      </c>
      <c r="B2629">
        <v>77.67</v>
      </c>
      <c r="C2629">
        <f t="shared" si="164"/>
        <v>3883.5</v>
      </c>
      <c r="D2629">
        <f t="shared" si="165"/>
        <v>2500</v>
      </c>
      <c r="E2629">
        <f t="shared" si="166"/>
        <v>6032.6289000000006</v>
      </c>
      <c r="F2629">
        <f t="shared" si="167"/>
        <v>2500</v>
      </c>
    </row>
    <row r="2630" spans="1:6" x14ac:dyDescent="0.3">
      <c r="A2630">
        <v>23</v>
      </c>
      <c r="B2630">
        <v>95.66</v>
      </c>
      <c r="C2630">
        <f t="shared" si="164"/>
        <v>2200.1799999999998</v>
      </c>
      <c r="D2630">
        <f t="shared" si="165"/>
        <v>529</v>
      </c>
      <c r="E2630">
        <f t="shared" si="166"/>
        <v>9150.8355999999985</v>
      </c>
      <c r="F2630">
        <f t="shared" si="167"/>
        <v>529</v>
      </c>
    </row>
    <row r="2631" spans="1:6" x14ac:dyDescent="0.3">
      <c r="A2631">
        <v>45</v>
      </c>
      <c r="B2631">
        <v>172.33</v>
      </c>
      <c r="C2631">
        <f t="shared" si="164"/>
        <v>7754.85</v>
      </c>
      <c r="D2631">
        <f t="shared" si="165"/>
        <v>2025</v>
      </c>
      <c r="E2631">
        <f t="shared" si="166"/>
        <v>29697.628900000003</v>
      </c>
      <c r="F2631">
        <f t="shared" si="167"/>
        <v>2025</v>
      </c>
    </row>
    <row r="2632" spans="1:6" x14ac:dyDescent="0.3">
      <c r="A2632">
        <v>0.8</v>
      </c>
      <c r="B2632">
        <v>106.59</v>
      </c>
      <c r="C2632">
        <f t="shared" si="164"/>
        <v>85.272000000000006</v>
      </c>
      <c r="D2632">
        <f t="shared" si="165"/>
        <v>0.64000000000000012</v>
      </c>
      <c r="E2632">
        <f t="shared" si="166"/>
        <v>11361.428100000001</v>
      </c>
      <c r="F2632">
        <f t="shared" si="167"/>
        <v>0.64000000000000012</v>
      </c>
    </row>
    <row r="2633" spans="1:6" x14ac:dyDescent="0.3">
      <c r="A2633">
        <v>49</v>
      </c>
      <c r="B2633">
        <v>87.06</v>
      </c>
      <c r="C2633">
        <f t="shared" si="164"/>
        <v>4265.9400000000005</v>
      </c>
      <c r="D2633">
        <f t="shared" si="165"/>
        <v>2401</v>
      </c>
      <c r="E2633">
        <f t="shared" si="166"/>
        <v>7579.4436000000005</v>
      </c>
      <c r="F2633">
        <f t="shared" si="167"/>
        <v>2401</v>
      </c>
    </row>
    <row r="2634" spans="1:6" x14ac:dyDescent="0.3">
      <c r="A2634">
        <v>70</v>
      </c>
      <c r="B2634">
        <v>93.02</v>
      </c>
      <c r="C2634">
        <f t="shared" si="164"/>
        <v>6511.4</v>
      </c>
      <c r="D2634">
        <f t="shared" si="165"/>
        <v>4900</v>
      </c>
      <c r="E2634">
        <f t="shared" si="166"/>
        <v>8652.7204000000002</v>
      </c>
      <c r="F2634">
        <f t="shared" si="167"/>
        <v>4900</v>
      </c>
    </row>
    <row r="2635" spans="1:6" x14ac:dyDescent="0.3">
      <c r="A2635">
        <v>82</v>
      </c>
      <c r="B2635">
        <v>243.59</v>
      </c>
      <c r="C2635">
        <f t="shared" si="164"/>
        <v>19974.38</v>
      </c>
      <c r="D2635">
        <f t="shared" si="165"/>
        <v>6724</v>
      </c>
      <c r="E2635">
        <f t="shared" si="166"/>
        <v>59336.088100000001</v>
      </c>
      <c r="F2635">
        <f t="shared" si="167"/>
        <v>6724</v>
      </c>
    </row>
    <row r="2636" spans="1:6" x14ac:dyDescent="0.3">
      <c r="A2636">
        <v>23</v>
      </c>
      <c r="B2636">
        <v>86.7</v>
      </c>
      <c r="C2636">
        <f t="shared" si="164"/>
        <v>1994.1000000000001</v>
      </c>
      <c r="D2636">
        <f t="shared" si="165"/>
        <v>529</v>
      </c>
      <c r="E2636">
        <f t="shared" si="166"/>
        <v>7516.89</v>
      </c>
      <c r="F2636">
        <f t="shared" si="167"/>
        <v>529</v>
      </c>
    </row>
    <row r="2637" spans="1:6" x14ac:dyDescent="0.3">
      <c r="A2637">
        <v>79</v>
      </c>
      <c r="B2637">
        <v>97.81</v>
      </c>
      <c r="C2637">
        <f t="shared" si="164"/>
        <v>7726.99</v>
      </c>
      <c r="D2637">
        <f t="shared" si="165"/>
        <v>6241</v>
      </c>
      <c r="E2637">
        <f t="shared" si="166"/>
        <v>9566.7960999999996</v>
      </c>
      <c r="F2637">
        <f t="shared" si="167"/>
        <v>6241</v>
      </c>
    </row>
    <row r="2638" spans="1:6" x14ac:dyDescent="0.3">
      <c r="A2638">
        <v>74</v>
      </c>
      <c r="B2638">
        <v>116.04</v>
      </c>
      <c r="C2638">
        <f t="shared" si="164"/>
        <v>8586.9600000000009</v>
      </c>
      <c r="D2638">
        <f t="shared" si="165"/>
        <v>5476</v>
      </c>
      <c r="E2638">
        <f t="shared" si="166"/>
        <v>13465.281600000002</v>
      </c>
      <c r="F2638">
        <f t="shared" si="167"/>
        <v>5476</v>
      </c>
    </row>
    <row r="2639" spans="1:6" x14ac:dyDescent="0.3">
      <c r="A2639">
        <v>78</v>
      </c>
      <c r="B2639">
        <v>169.43</v>
      </c>
      <c r="C2639">
        <f t="shared" si="164"/>
        <v>13215.54</v>
      </c>
      <c r="D2639">
        <f t="shared" si="165"/>
        <v>6084</v>
      </c>
      <c r="E2639">
        <f t="shared" si="166"/>
        <v>28706.524900000004</v>
      </c>
      <c r="F2639">
        <f t="shared" si="167"/>
        <v>6084</v>
      </c>
    </row>
    <row r="2640" spans="1:6" x14ac:dyDescent="0.3">
      <c r="A2640">
        <v>50</v>
      </c>
      <c r="B2640">
        <v>68.41</v>
      </c>
      <c r="C2640">
        <f t="shared" si="164"/>
        <v>3420.5</v>
      </c>
      <c r="D2640">
        <f t="shared" si="165"/>
        <v>2500</v>
      </c>
      <c r="E2640">
        <f t="shared" si="166"/>
        <v>4679.9280999999992</v>
      </c>
      <c r="F2640">
        <f t="shared" si="167"/>
        <v>2500</v>
      </c>
    </row>
    <row r="2641" spans="1:6" x14ac:dyDescent="0.3">
      <c r="A2641">
        <v>34</v>
      </c>
      <c r="B2641">
        <v>94.44</v>
      </c>
      <c r="C2641">
        <f t="shared" si="164"/>
        <v>3210.96</v>
      </c>
      <c r="D2641">
        <f t="shared" si="165"/>
        <v>1156</v>
      </c>
      <c r="E2641">
        <f t="shared" si="166"/>
        <v>8918.9135999999999</v>
      </c>
      <c r="F2641">
        <f t="shared" si="167"/>
        <v>1156</v>
      </c>
    </row>
    <row r="2642" spans="1:6" x14ac:dyDescent="0.3">
      <c r="A2642">
        <v>47</v>
      </c>
      <c r="B2642">
        <v>73.48</v>
      </c>
      <c r="C2642">
        <f t="shared" si="164"/>
        <v>3453.5600000000004</v>
      </c>
      <c r="D2642">
        <f t="shared" si="165"/>
        <v>2209</v>
      </c>
      <c r="E2642">
        <f t="shared" si="166"/>
        <v>5399.3104000000003</v>
      </c>
      <c r="F2642">
        <f t="shared" si="167"/>
        <v>2209</v>
      </c>
    </row>
    <row r="2643" spans="1:6" x14ac:dyDescent="0.3">
      <c r="A2643">
        <v>52</v>
      </c>
      <c r="B2643">
        <v>183.87</v>
      </c>
      <c r="C2643">
        <f t="shared" si="164"/>
        <v>9561.24</v>
      </c>
      <c r="D2643">
        <f t="shared" si="165"/>
        <v>2704</v>
      </c>
      <c r="E2643">
        <f t="shared" si="166"/>
        <v>33808.176899999999</v>
      </c>
      <c r="F2643">
        <f t="shared" si="167"/>
        <v>2704</v>
      </c>
    </row>
    <row r="2644" spans="1:6" x14ac:dyDescent="0.3">
      <c r="A2644">
        <v>67</v>
      </c>
      <c r="B2644">
        <v>66.08</v>
      </c>
      <c r="C2644">
        <f t="shared" si="164"/>
        <v>4427.3599999999997</v>
      </c>
      <c r="D2644">
        <f t="shared" si="165"/>
        <v>4489</v>
      </c>
      <c r="E2644">
        <f t="shared" si="166"/>
        <v>4366.5663999999997</v>
      </c>
      <c r="F2644">
        <f t="shared" si="167"/>
        <v>4489</v>
      </c>
    </row>
    <row r="2645" spans="1:6" x14ac:dyDescent="0.3">
      <c r="A2645">
        <v>62</v>
      </c>
      <c r="B2645">
        <v>72.19</v>
      </c>
      <c r="C2645">
        <f t="shared" si="164"/>
        <v>4475.78</v>
      </c>
      <c r="D2645">
        <f t="shared" si="165"/>
        <v>3844</v>
      </c>
      <c r="E2645">
        <f t="shared" si="166"/>
        <v>5211.3960999999999</v>
      </c>
      <c r="F2645">
        <f t="shared" si="167"/>
        <v>3844</v>
      </c>
    </row>
    <row r="2646" spans="1:6" x14ac:dyDescent="0.3">
      <c r="A2646">
        <v>18</v>
      </c>
      <c r="B2646">
        <v>101.09</v>
      </c>
      <c r="C2646">
        <f t="shared" si="164"/>
        <v>1819.6200000000001</v>
      </c>
      <c r="D2646">
        <f t="shared" si="165"/>
        <v>324</v>
      </c>
      <c r="E2646">
        <f t="shared" si="166"/>
        <v>10219.188100000001</v>
      </c>
      <c r="F2646">
        <f t="shared" si="167"/>
        <v>324</v>
      </c>
    </row>
    <row r="2647" spans="1:6" x14ac:dyDescent="0.3">
      <c r="A2647">
        <v>75</v>
      </c>
      <c r="B2647">
        <v>88.83</v>
      </c>
      <c r="C2647">
        <f t="shared" si="164"/>
        <v>6662.25</v>
      </c>
      <c r="D2647">
        <f t="shared" si="165"/>
        <v>5625</v>
      </c>
      <c r="E2647">
        <f t="shared" si="166"/>
        <v>7890.7689</v>
      </c>
      <c r="F2647">
        <f t="shared" si="167"/>
        <v>5625</v>
      </c>
    </row>
    <row r="2648" spans="1:6" x14ac:dyDescent="0.3">
      <c r="A2648">
        <v>42</v>
      </c>
      <c r="B2648">
        <v>69.989999999999995</v>
      </c>
      <c r="C2648">
        <f t="shared" si="164"/>
        <v>2939.58</v>
      </c>
      <c r="D2648">
        <f t="shared" si="165"/>
        <v>1764</v>
      </c>
      <c r="E2648">
        <f t="shared" si="166"/>
        <v>4898.6000999999997</v>
      </c>
      <c r="F2648">
        <f t="shared" si="167"/>
        <v>1764</v>
      </c>
    </row>
    <row r="2649" spans="1:6" x14ac:dyDescent="0.3">
      <c r="A2649">
        <v>29</v>
      </c>
      <c r="B2649">
        <v>102.4</v>
      </c>
      <c r="C2649">
        <f t="shared" si="164"/>
        <v>2969.6000000000004</v>
      </c>
      <c r="D2649">
        <f t="shared" si="165"/>
        <v>841</v>
      </c>
      <c r="E2649">
        <f t="shared" si="166"/>
        <v>10485.760000000002</v>
      </c>
      <c r="F2649">
        <f t="shared" si="167"/>
        <v>841</v>
      </c>
    </row>
    <row r="2650" spans="1:6" x14ac:dyDescent="0.3">
      <c r="A2650">
        <v>52</v>
      </c>
      <c r="B2650">
        <v>87.26</v>
      </c>
      <c r="C2650">
        <f t="shared" si="164"/>
        <v>4537.5200000000004</v>
      </c>
      <c r="D2650">
        <f t="shared" si="165"/>
        <v>2704</v>
      </c>
      <c r="E2650">
        <f t="shared" si="166"/>
        <v>7614.307600000001</v>
      </c>
      <c r="F2650">
        <f t="shared" si="167"/>
        <v>2704</v>
      </c>
    </row>
    <row r="2651" spans="1:6" x14ac:dyDescent="0.3">
      <c r="A2651">
        <v>18</v>
      </c>
      <c r="B2651">
        <v>146.59</v>
      </c>
      <c r="C2651">
        <f t="shared" si="164"/>
        <v>2638.62</v>
      </c>
      <c r="D2651">
        <f t="shared" si="165"/>
        <v>324</v>
      </c>
      <c r="E2651">
        <f t="shared" si="166"/>
        <v>21488.628100000002</v>
      </c>
      <c r="F2651">
        <f t="shared" si="167"/>
        <v>324</v>
      </c>
    </row>
    <row r="2652" spans="1:6" x14ac:dyDescent="0.3">
      <c r="A2652">
        <v>67</v>
      </c>
      <c r="B2652">
        <v>59</v>
      </c>
      <c r="C2652">
        <f t="shared" si="164"/>
        <v>3953</v>
      </c>
      <c r="D2652">
        <f t="shared" si="165"/>
        <v>4489</v>
      </c>
      <c r="E2652">
        <f t="shared" si="166"/>
        <v>3481</v>
      </c>
      <c r="F2652">
        <f t="shared" si="167"/>
        <v>4489</v>
      </c>
    </row>
    <row r="2653" spans="1:6" x14ac:dyDescent="0.3">
      <c r="A2653">
        <v>66</v>
      </c>
      <c r="B2653">
        <v>76.83</v>
      </c>
      <c r="C2653">
        <f t="shared" si="164"/>
        <v>5070.78</v>
      </c>
      <c r="D2653">
        <f t="shared" si="165"/>
        <v>4356</v>
      </c>
      <c r="E2653">
        <f t="shared" si="166"/>
        <v>5902.8489</v>
      </c>
      <c r="F2653">
        <f t="shared" si="167"/>
        <v>4356</v>
      </c>
    </row>
    <row r="2654" spans="1:6" x14ac:dyDescent="0.3">
      <c r="A2654">
        <v>5</v>
      </c>
      <c r="B2654">
        <v>101.83</v>
      </c>
      <c r="C2654">
        <f t="shared" si="164"/>
        <v>509.15</v>
      </c>
      <c r="D2654">
        <f t="shared" si="165"/>
        <v>25</v>
      </c>
      <c r="E2654">
        <f t="shared" si="166"/>
        <v>10369.348899999999</v>
      </c>
      <c r="F2654">
        <f t="shared" si="167"/>
        <v>25</v>
      </c>
    </row>
    <row r="2655" spans="1:6" x14ac:dyDescent="0.3">
      <c r="A2655">
        <v>18</v>
      </c>
      <c r="B2655">
        <v>90.92</v>
      </c>
      <c r="C2655">
        <f t="shared" si="164"/>
        <v>1636.56</v>
      </c>
      <c r="D2655">
        <f t="shared" si="165"/>
        <v>324</v>
      </c>
      <c r="E2655">
        <f t="shared" si="166"/>
        <v>8266.4464000000007</v>
      </c>
      <c r="F2655">
        <f t="shared" si="167"/>
        <v>324</v>
      </c>
    </row>
    <row r="2656" spans="1:6" x14ac:dyDescent="0.3">
      <c r="A2656">
        <v>52</v>
      </c>
      <c r="B2656">
        <v>67.5</v>
      </c>
      <c r="C2656">
        <f t="shared" si="164"/>
        <v>3510</v>
      </c>
      <c r="D2656">
        <f t="shared" si="165"/>
        <v>2704</v>
      </c>
      <c r="E2656">
        <f t="shared" si="166"/>
        <v>4556.25</v>
      </c>
      <c r="F2656">
        <f t="shared" si="167"/>
        <v>2704</v>
      </c>
    </row>
    <row r="2657" spans="1:6" x14ac:dyDescent="0.3">
      <c r="A2657">
        <v>44</v>
      </c>
      <c r="B2657">
        <v>97.16</v>
      </c>
      <c r="C2657">
        <f t="shared" si="164"/>
        <v>4275.04</v>
      </c>
      <c r="D2657">
        <f t="shared" si="165"/>
        <v>1936</v>
      </c>
      <c r="E2657">
        <f t="shared" si="166"/>
        <v>9440.0655999999999</v>
      </c>
      <c r="F2657">
        <f t="shared" si="167"/>
        <v>1936</v>
      </c>
    </row>
    <row r="2658" spans="1:6" x14ac:dyDescent="0.3">
      <c r="A2658">
        <v>46</v>
      </c>
      <c r="B2658">
        <v>85.62</v>
      </c>
      <c r="C2658">
        <f t="shared" si="164"/>
        <v>3938.5200000000004</v>
      </c>
      <c r="D2658">
        <f t="shared" si="165"/>
        <v>2116</v>
      </c>
      <c r="E2658">
        <f t="shared" si="166"/>
        <v>7330.7844000000005</v>
      </c>
      <c r="F2658">
        <f t="shared" si="167"/>
        <v>2116</v>
      </c>
    </row>
    <row r="2659" spans="1:6" x14ac:dyDescent="0.3">
      <c r="A2659">
        <v>36</v>
      </c>
      <c r="B2659">
        <v>129.43</v>
      </c>
      <c r="C2659">
        <f t="shared" si="164"/>
        <v>4659.4800000000005</v>
      </c>
      <c r="D2659">
        <f t="shared" si="165"/>
        <v>1296</v>
      </c>
      <c r="E2659">
        <f t="shared" si="166"/>
        <v>16752.124900000003</v>
      </c>
      <c r="F2659">
        <f t="shared" si="167"/>
        <v>1296</v>
      </c>
    </row>
    <row r="2660" spans="1:6" x14ac:dyDescent="0.3">
      <c r="A2660">
        <v>61</v>
      </c>
      <c r="B2660">
        <v>106.01</v>
      </c>
      <c r="C2660">
        <f t="shared" si="164"/>
        <v>6466.6100000000006</v>
      </c>
      <c r="D2660">
        <f t="shared" si="165"/>
        <v>3721</v>
      </c>
      <c r="E2660">
        <f t="shared" si="166"/>
        <v>11238.120100000002</v>
      </c>
      <c r="F2660">
        <f t="shared" si="167"/>
        <v>3721</v>
      </c>
    </row>
    <row r="2661" spans="1:6" x14ac:dyDescent="0.3">
      <c r="A2661">
        <v>7</v>
      </c>
      <c r="B2661">
        <v>114.82</v>
      </c>
      <c r="C2661">
        <f t="shared" si="164"/>
        <v>803.74</v>
      </c>
      <c r="D2661">
        <f t="shared" si="165"/>
        <v>49</v>
      </c>
      <c r="E2661">
        <f t="shared" si="166"/>
        <v>13183.632399999999</v>
      </c>
      <c r="F2661">
        <f t="shared" si="167"/>
        <v>49</v>
      </c>
    </row>
    <row r="2662" spans="1:6" x14ac:dyDescent="0.3">
      <c r="A2662">
        <v>15</v>
      </c>
      <c r="B2662">
        <v>121.39</v>
      </c>
      <c r="C2662">
        <f t="shared" si="164"/>
        <v>1820.85</v>
      </c>
      <c r="D2662">
        <f t="shared" si="165"/>
        <v>225</v>
      </c>
      <c r="E2662">
        <f t="shared" si="166"/>
        <v>14735.5321</v>
      </c>
      <c r="F2662">
        <f t="shared" si="167"/>
        <v>225</v>
      </c>
    </row>
    <row r="2663" spans="1:6" x14ac:dyDescent="0.3">
      <c r="A2663">
        <v>61</v>
      </c>
      <c r="B2663">
        <v>227.98</v>
      </c>
      <c r="C2663">
        <f t="shared" si="164"/>
        <v>13906.779999999999</v>
      </c>
      <c r="D2663">
        <f t="shared" si="165"/>
        <v>3721</v>
      </c>
      <c r="E2663">
        <f t="shared" si="166"/>
        <v>51974.880399999995</v>
      </c>
      <c r="F2663">
        <f t="shared" si="167"/>
        <v>3721</v>
      </c>
    </row>
    <row r="2664" spans="1:6" x14ac:dyDescent="0.3">
      <c r="A2664">
        <v>20</v>
      </c>
      <c r="B2664">
        <v>78.97</v>
      </c>
      <c r="C2664">
        <f t="shared" si="164"/>
        <v>1579.4</v>
      </c>
      <c r="D2664">
        <f t="shared" si="165"/>
        <v>400</v>
      </c>
      <c r="E2664">
        <f t="shared" si="166"/>
        <v>6236.2609000000002</v>
      </c>
      <c r="F2664">
        <f t="shared" si="167"/>
        <v>400</v>
      </c>
    </row>
    <row r="2665" spans="1:6" x14ac:dyDescent="0.3">
      <c r="A2665">
        <v>2</v>
      </c>
      <c r="B2665">
        <v>84.12</v>
      </c>
      <c r="C2665">
        <f t="shared" si="164"/>
        <v>168.24</v>
      </c>
      <c r="D2665">
        <f t="shared" si="165"/>
        <v>4</v>
      </c>
      <c r="E2665">
        <f t="shared" si="166"/>
        <v>7076.1744000000008</v>
      </c>
      <c r="F2665">
        <f t="shared" si="167"/>
        <v>4</v>
      </c>
    </row>
    <row r="2666" spans="1:6" x14ac:dyDescent="0.3">
      <c r="A2666">
        <v>47</v>
      </c>
      <c r="B2666">
        <v>95.04</v>
      </c>
      <c r="C2666">
        <f t="shared" si="164"/>
        <v>4466.88</v>
      </c>
      <c r="D2666">
        <f t="shared" si="165"/>
        <v>2209</v>
      </c>
      <c r="E2666">
        <f t="shared" si="166"/>
        <v>9032.6016000000018</v>
      </c>
      <c r="F2666">
        <f t="shared" si="167"/>
        <v>2209</v>
      </c>
    </row>
    <row r="2667" spans="1:6" x14ac:dyDescent="0.3">
      <c r="A2667">
        <v>25</v>
      </c>
      <c r="B2667">
        <v>103.15</v>
      </c>
      <c r="C2667">
        <f t="shared" si="164"/>
        <v>2578.75</v>
      </c>
      <c r="D2667">
        <f t="shared" si="165"/>
        <v>625</v>
      </c>
      <c r="E2667">
        <f t="shared" si="166"/>
        <v>10639.922500000001</v>
      </c>
      <c r="F2667">
        <f t="shared" si="167"/>
        <v>625</v>
      </c>
    </row>
    <row r="2668" spans="1:6" x14ac:dyDescent="0.3">
      <c r="A2668">
        <v>66</v>
      </c>
      <c r="B2668">
        <v>82.91</v>
      </c>
      <c r="C2668">
        <f t="shared" si="164"/>
        <v>5472.0599999999995</v>
      </c>
      <c r="D2668">
        <f t="shared" si="165"/>
        <v>4356</v>
      </c>
      <c r="E2668">
        <f t="shared" si="166"/>
        <v>6874.0680999999995</v>
      </c>
      <c r="F2668">
        <f t="shared" si="167"/>
        <v>4356</v>
      </c>
    </row>
    <row r="2669" spans="1:6" x14ac:dyDescent="0.3">
      <c r="A2669">
        <v>2</v>
      </c>
      <c r="B2669">
        <v>70.930000000000007</v>
      </c>
      <c r="C2669">
        <f t="shared" si="164"/>
        <v>141.86000000000001</v>
      </c>
      <c r="D2669">
        <f t="shared" si="165"/>
        <v>4</v>
      </c>
      <c r="E2669">
        <f t="shared" si="166"/>
        <v>5031.0649000000012</v>
      </c>
      <c r="F2669">
        <f t="shared" si="167"/>
        <v>4</v>
      </c>
    </row>
    <row r="2670" spans="1:6" x14ac:dyDescent="0.3">
      <c r="A2670">
        <v>63</v>
      </c>
      <c r="B2670">
        <v>153.6</v>
      </c>
      <c r="C2670">
        <f t="shared" si="164"/>
        <v>9676.7999999999993</v>
      </c>
      <c r="D2670">
        <f t="shared" si="165"/>
        <v>3969</v>
      </c>
      <c r="E2670">
        <f t="shared" si="166"/>
        <v>23592.959999999999</v>
      </c>
      <c r="F2670">
        <f t="shared" si="167"/>
        <v>3969</v>
      </c>
    </row>
    <row r="2671" spans="1:6" x14ac:dyDescent="0.3">
      <c r="A2671">
        <v>53</v>
      </c>
      <c r="B2671">
        <v>129.43</v>
      </c>
      <c r="C2671">
        <f t="shared" si="164"/>
        <v>6859.79</v>
      </c>
      <c r="D2671">
        <f t="shared" si="165"/>
        <v>2809</v>
      </c>
      <c r="E2671">
        <f t="shared" si="166"/>
        <v>16752.124900000003</v>
      </c>
      <c r="F2671">
        <f t="shared" si="167"/>
        <v>2809</v>
      </c>
    </row>
    <row r="2672" spans="1:6" x14ac:dyDescent="0.3">
      <c r="A2672">
        <v>33</v>
      </c>
      <c r="B2672">
        <v>81</v>
      </c>
      <c r="C2672">
        <f t="shared" si="164"/>
        <v>2673</v>
      </c>
      <c r="D2672">
        <f t="shared" si="165"/>
        <v>1089</v>
      </c>
      <c r="E2672">
        <f t="shared" si="166"/>
        <v>6561</v>
      </c>
      <c r="F2672">
        <f t="shared" si="167"/>
        <v>1089</v>
      </c>
    </row>
    <row r="2673" spans="1:6" x14ac:dyDescent="0.3">
      <c r="A2673">
        <v>23</v>
      </c>
      <c r="B2673">
        <v>71.81</v>
      </c>
      <c r="C2673">
        <f t="shared" si="164"/>
        <v>1651.63</v>
      </c>
      <c r="D2673">
        <f t="shared" si="165"/>
        <v>529</v>
      </c>
      <c r="E2673">
        <f t="shared" si="166"/>
        <v>5156.6761000000006</v>
      </c>
      <c r="F2673">
        <f t="shared" si="167"/>
        <v>529</v>
      </c>
    </row>
    <row r="2674" spans="1:6" x14ac:dyDescent="0.3">
      <c r="A2674">
        <v>23</v>
      </c>
      <c r="B2674">
        <v>84.46</v>
      </c>
      <c r="C2674">
        <f t="shared" si="164"/>
        <v>1942.58</v>
      </c>
      <c r="D2674">
        <f t="shared" si="165"/>
        <v>529</v>
      </c>
      <c r="E2674">
        <f t="shared" si="166"/>
        <v>7133.4915999999994</v>
      </c>
      <c r="F2674">
        <f t="shared" si="167"/>
        <v>529</v>
      </c>
    </row>
    <row r="2675" spans="1:6" x14ac:dyDescent="0.3">
      <c r="A2675">
        <v>81</v>
      </c>
      <c r="B2675">
        <v>101.32</v>
      </c>
      <c r="C2675">
        <f t="shared" si="164"/>
        <v>8206.92</v>
      </c>
      <c r="D2675">
        <f t="shared" si="165"/>
        <v>6561</v>
      </c>
      <c r="E2675">
        <f t="shared" si="166"/>
        <v>10265.742399999999</v>
      </c>
      <c r="F2675">
        <f t="shared" si="167"/>
        <v>6561</v>
      </c>
    </row>
    <row r="2676" spans="1:6" x14ac:dyDescent="0.3">
      <c r="A2676">
        <v>55</v>
      </c>
      <c r="B2676">
        <v>62.56</v>
      </c>
      <c r="C2676">
        <f t="shared" si="164"/>
        <v>3440.8</v>
      </c>
      <c r="D2676">
        <f t="shared" si="165"/>
        <v>3025</v>
      </c>
      <c r="E2676">
        <f t="shared" si="166"/>
        <v>3913.7536000000005</v>
      </c>
      <c r="F2676">
        <f t="shared" si="167"/>
        <v>3025</v>
      </c>
    </row>
    <row r="2677" spans="1:6" x14ac:dyDescent="0.3">
      <c r="A2677">
        <v>69</v>
      </c>
      <c r="B2677">
        <v>208.2</v>
      </c>
      <c r="C2677">
        <f t="shared" si="164"/>
        <v>14365.8</v>
      </c>
      <c r="D2677">
        <f t="shared" si="165"/>
        <v>4761</v>
      </c>
      <c r="E2677">
        <f t="shared" si="166"/>
        <v>43347.24</v>
      </c>
      <c r="F2677">
        <f t="shared" si="167"/>
        <v>4761</v>
      </c>
    </row>
    <row r="2678" spans="1:6" x14ac:dyDescent="0.3">
      <c r="A2678">
        <v>58</v>
      </c>
      <c r="B2678">
        <v>199.42</v>
      </c>
      <c r="C2678">
        <f t="shared" si="164"/>
        <v>11566.359999999999</v>
      </c>
      <c r="D2678">
        <f t="shared" si="165"/>
        <v>3364</v>
      </c>
      <c r="E2678">
        <f t="shared" si="166"/>
        <v>39768.336399999993</v>
      </c>
      <c r="F2678">
        <f t="shared" si="167"/>
        <v>3364</v>
      </c>
    </row>
    <row r="2679" spans="1:6" x14ac:dyDescent="0.3">
      <c r="A2679">
        <v>70</v>
      </c>
      <c r="B2679">
        <v>91.28</v>
      </c>
      <c r="C2679">
        <f t="shared" si="164"/>
        <v>6389.6</v>
      </c>
      <c r="D2679">
        <f t="shared" si="165"/>
        <v>4900</v>
      </c>
      <c r="E2679">
        <f t="shared" si="166"/>
        <v>8332.0383999999995</v>
      </c>
      <c r="F2679">
        <f t="shared" si="167"/>
        <v>4900</v>
      </c>
    </row>
    <row r="2680" spans="1:6" x14ac:dyDescent="0.3">
      <c r="A2680">
        <v>48</v>
      </c>
      <c r="B2680">
        <v>77.989999999999995</v>
      </c>
      <c r="C2680">
        <f t="shared" si="164"/>
        <v>3743.5199999999995</v>
      </c>
      <c r="D2680">
        <f t="shared" si="165"/>
        <v>2304</v>
      </c>
      <c r="E2680">
        <f t="shared" si="166"/>
        <v>6082.4400999999989</v>
      </c>
      <c r="F2680">
        <f t="shared" si="167"/>
        <v>2304</v>
      </c>
    </row>
    <row r="2681" spans="1:6" x14ac:dyDescent="0.3">
      <c r="A2681">
        <v>15</v>
      </c>
      <c r="B2681">
        <v>190.13</v>
      </c>
      <c r="C2681">
        <f t="shared" si="164"/>
        <v>2851.95</v>
      </c>
      <c r="D2681">
        <f t="shared" si="165"/>
        <v>225</v>
      </c>
      <c r="E2681">
        <f t="shared" si="166"/>
        <v>36149.416899999997</v>
      </c>
      <c r="F2681">
        <f t="shared" si="167"/>
        <v>225</v>
      </c>
    </row>
    <row r="2682" spans="1:6" x14ac:dyDescent="0.3">
      <c r="A2682">
        <v>31</v>
      </c>
      <c r="B2682">
        <v>149.68</v>
      </c>
      <c r="C2682">
        <f t="shared" si="164"/>
        <v>4640.08</v>
      </c>
      <c r="D2682">
        <f t="shared" si="165"/>
        <v>961</v>
      </c>
      <c r="E2682">
        <f t="shared" si="166"/>
        <v>22404.102400000003</v>
      </c>
      <c r="F2682">
        <f t="shared" si="167"/>
        <v>961</v>
      </c>
    </row>
    <row r="2683" spans="1:6" x14ac:dyDescent="0.3">
      <c r="A2683">
        <v>2</v>
      </c>
      <c r="B2683">
        <v>92.3</v>
      </c>
      <c r="C2683">
        <f t="shared" si="164"/>
        <v>184.6</v>
      </c>
      <c r="D2683">
        <f t="shared" si="165"/>
        <v>4</v>
      </c>
      <c r="E2683">
        <f t="shared" si="166"/>
        <v>8519.2899999999991</v>
      </c>
      <c r="F2683">
        <f t="shared" si="167"/>
        <v>4</v>
      </c>
    </row>
    <row r="2684" spans="1:6" x14ac:dyDescent="0.3">
      <c r="A2684">
        <v>80</v>
      </c>
      <c r="B2684">
        <v>235.54</v>
      </c>
      <c r="C2684">
        <f t="shared" si="164"/>
        <v>18843.2</v>
      </c>
      <c r="D2684">
        <f t="shared" si="165"/>
        <v>6400</v>
      </c>
      <c r="E2684">
        <f t="shared" si="166"/>
        <v>55479.0916</v>
      </c>
      <c r="F2684">
        <f t="shared" si="167"/>
        <v>6400</v>
      </c>
    </row>
    <row r="2685" spans="1:6" x14ac:dyDescent="0.3">
      <c r="A2685">
        <v>69</v>
      </c>
      <c r="B2685">
        <v>84.46</v>
      </c>
      <c r="C2685">
        <f t="shared" si="164"/>
        <v>5827.74</v>
      </c>
      <c r="D2685">
        <f t="shared" si="165"/>
        <v>4761</v>
      </c>
      <c r="E2685">
        <f t="shared" si="166"/>
        <v>7133.4915999999994</v>
      </c>
      <c r="F2685">
        <f t="shared" si="167"/>
        <v>4761</v>
      </c>
    </row>
    <row r="2686" spans="1:6" x14ac:dyDescent="0.3">
      <c r="A2686">
        <v>52</v>
      </c>
      <c r="B2686">
        <v>68.7</v>
      </c>
      <c r="C2686">
        <f t="shared" si="164"/>
        <v>3572.4</v>
      </c>
      <c r="D2686">
        <f t="shared" si="165"/>
        <v>2704</v>
      </c>
      <c r="E2686">
        <f t="shared" si="166"/>
        <v>4719.6900000000005</v>
      </c>
      <c r="F2686">
        <f t="shared" si="167"/>
        <v>2704</v>
      </c>
    </row>
    <row r="2687" spans="1:6" x14ac:dyDescent="0.3">
      <c r="A2687">
        <v>80</v>
      </c>
      <c r="B2687">
        <v>178.89</v>
      </c>
      <c r="C2687">
        <f t="shared" si="164"/>
        <v>14311.199999999999</v>
      </c>
      <c r="D2687">
        <f t="shared" si="165"/>
        <v>6400</v>
      </c>
      <c r="E2687">
        <f t="shared" si="166"/>
        <v>32001.632099999995</v>
      </c>
      <c r="F2687">
        <f t="shared" si="167"/>
        <v>6400</v>
      </c>
    </row>
    <row r="2688" spans="1:6" x14ac:dyDescent="0.3">
      <c r="A2688">
        <v>54</v>
      </c>
      <c r="B2688">
        <v>227.74</v>
      </c>
      <c r="C2688">
        <f t="shared" si="164"/>
        <v>12297.960000000001</v>
      </c>
      <c r="D2688">
        <f t="shared" si="165"/>
        <v>2916</v>
      </c>
      <c r="E2688">
        <f t="shared" si="166"/>
        <v>51865.507600000004</v>
      </c>
      <c r="F2688">
        <f t="shared" si="167"/>
        <v>2916</v>
      </c>
    </row>
    <row r="2689" spans="1:6" x14ac:dyDescent="0.3">
      <c r="A2689">
        <v>2</v>
      </c>
      <c r="B2689">
        <v>100.66</v>
      </c>
      <c r="C2689">
        <f t="shared" si="164"/>
        <v>201.32</v>
      </c>
      <c r="D2689">
        <f t="shared" si="165"/>
        <v>4</v>
      </c>
      <c r="E2689">
        <f t="shared" si="166"/>
        <v>10132.435599999999</v>
      </c>
      <c r="F2689">
        <f t="shared" si="167"/>
        <v>4</v>
      </c>
    </row>
    <row r="2690" spans="1:6" x14ac:dyDescent="0.3">
      <c r="A2690">
        <v>39</v>
      </c>
      <c r="B2690">
        <v>73.62</v>
      </c>
      <c r="C2690">
        <f t="shared" si="164"/>
        <v>2871.1800000000003</v>
      </c>
      <c r="D2690">
        <f t="shared" si="165"/>
        <v>1521</v>
      </c>
      <c r="E2690">
        <f t="shared" si="166"/>
        <v>5419.9044000000004</v>
      </c>
      <c r="F2690">
        <f t="shared" si="167"/>
        <v>1521</v>
      </c>
    </row>
    <row r="2691" spans="1:6" x14ac:dyDescent="0.3">
      <c r="A2691">
        <v>38</v>
      </c>
      <c r="B2691">
        <v>100.05</v>
      </c>
      <c r="C2691">
        <f t="shared" ref="C2691:C2754" si="168">A2691*B2691</f>
        <v>3801.9</v>
      </c>
      <c r="D2691">
        <f t="shared" ref="D2691:D2754" si="169">A2691*A2691</f>
        <v>1444</v>
      </c>
      <c r="E2691">
        <f t="shared" ref="E2691:E2754" si="170">B2691*B2691</f>
        <v>10010.002499999999</v>
      </c>
      <c r="F2691">
        <f t="shared" ref="F2691:F2754" si="171">A2691^2</f>
        <v>1444</v>
      </c>
    </row>
    <row r="2692" spans="1:6" x14ac:dyDescent="0.3">
      <c r="A2692">
        <v>76</v>
      </c>
      <c r="B2692">
        <v>213.8</v>
      </c>
      <c r="C2692">
        <f t="shared" si="168"/>
        <v>16248.800000000001</v>
      </c>
      <c r="D2692">
        <f t="shared" si="169"/>
        <v>5776</v>
      </c>
      <c r="E2692">
        <f t="shared" si="170"/>
        <v>45710.44</v>
      </c>
      <c r="F2692">
        <f t="shared" si="171"/>
        <v>5776</v>
      </c>
    </row>
    <row r="2693" spans="1:6" x14ac:dyDescent="0.3">
      <c r="A2693">
        <v>45</v>
      </c>
      <c r="B2693">
        <v>103.94</v>
      </c>
      <c r="C2693">
        <f t="shared" si="168"/>
        <v>4677.3</v>
      </c>
      <c r="D2693">
        <f t="shared" si="169"/>
        <v>2025</v>
      </c>
      <c r="E2693">
        <f t="shared" si="170"/>
        <v>10803.523599999999</v>
      </c>
      <c r="F2693">
        <f t="shared" si="171"/>
        <v>2025</v>
      </c>
    </row>
    <row r="2694" spans="1:6" x14ac:dyDescent="0.3">
      <c r="A2694">
        <v>1.24</v>
      </c>
      <c r="B2694">
        <v>84.2</v>
      </c>
      <c r="C2694">
        <f t="shared" si="168"/>
        <v>104.408</v>
      </c>
      <c r="D2694">
        <f t="shared" si="169"/>
        <v>1.5376000000000001</v>
      </c>
      <c r="E2694">
        <f t="shared" si="170"/>
        <v>7089.64</v>
      </c>
      <c r="F2694">
        <f t="shared" si="171"/>
        <v>1.5376000000000001</v>
      </c>
    </row>
    <row r="2695" spans="1:6" x14ac:dyDescent="0.3">
      <c r="A2695">
        <v>77</v>
      </c>
      <c r="B2695">
        <v>250.8</v>
      </c>
      <c r="C2695">
        <f t="shared" si="168"/>
        <v>19311.600000000002</v>
      </c>
      <c r="D2695">
        <f t="shared" si="169"/>
        <v>5929</v>
      </c>
      <c r="E2695">
        <f t="shared" si="170"/>
        <v>62900.640000000007</v>
      </c>
      <c r="F2695">
        <f t="shared" si="171"/>
        <v>5929</v>
      </c>
    </row>
    <row r="2696" spans="1:6" x14ac:dyDescent="0.3">
      <c r="A2696">
        <v>46</v>
      </c>
      <c r="B2696">
        <v>112.29</v>
      </c>
      <c r="C2696">
        <f t="shared" si="168"/>
        <v>5165.34</v>
      </c>
      <c r="D2696">
        <f t="shared" si="169"/>
        <v>2116</v>
      </c>
      <c r="E2696">
        <f t="shared" si="170"/>
        <v>12609.044100000001</v>
      </c>
      <c r="F2696">
        <f t="shared" si="171"/>
        <v>2116</v>
      </c>
    </row>
    <row r="2697" spans="1:6" x14ac:dyDescent="0.3">
      <c r="A2697">
        <v>50</v>
      </c>
      <c r="B2697">
        <v>65.98</v>
      </c>
      <c r="C2697">
        <f t="shared" si="168"/>
        <v>3299</v>
      </c>
      <c r="D2697">
        <f t="shared" si="169"/>
        <v>2500</v>
      </c>
      <c r="E2697">
        <f t="shared" si="170"/>
        <v>4353.3604000000005</v>
      </c>
      <c r="F2697">
        <f t="shared" si="171"/>
        <v>2500</v>
      </c>
    </row>
    <row r="2698" spans="1:6" x14ac:dyDescent="0.3">
      <c r="A2698">
        <v>52</v>
      </c>
      <c r="B2698">
        <v>99.1</v>
      </c>
      <c r="C2698">
        <f t="shared" si="168"/>
        <v>5153.2</v>
      </c>
      <c r="D2698">
        <f t="shared" si="169"/>
        <v>2704</v>
      </c>
      <c r="E2698">
        <f t="shared" si="170"/>
        <v>9820.81</v>
      </c>
      <c r="F2698">
        <f t="shared" si="171"/>
        <v>2704</v>
      </c>
    </row>
    <row r="2699" spans="1:6" x14ac:dyDescent="0.3">
      <c r="A2699">
        <v>73</v>
      </c>
      <c r="B2699">
        <v>217.84</v>
      </c>
      <c r="C2699">
        <f t="shared" si="168"/>
        <v>15902.32</v>
      </c>
      <c r="D2699">
        <f t="shared" si="169"/>
        <v>5329</v>
      </c>
      <c r="E2699">
        <f t="shared" si="170"/>
        <v>47454.265599999999</v>
      </c>
      <c r="F2699">
        <f t="shared" si="171"/>
        <v>5329</v>
      </c>
    </row>
    <row r="2700" spans="1:6" x14ac:dyDescent="0.3">
      <c r="A2700">
        <v>41</v>
      </c>
      <c r="B2700">
        <v>104.34</v>
      </c>
      <c r="C2700">
        <f t="shared" si="168"/>
        <v>4277.9400000000005</v>
      </c>
      <c r="D2700">
        <f t="shared" si="169"/>
        <v>1681</v>
      </c>
      <c r="E2700">
        <f t="shared" si="170"/>
        <v>10886.8356</v>
      </c>
      <c r="F2700">
        <f t="shared" si="171"/>
        <v>1681</v>
      </c>
    </row>
    <row r="2701" spans="1:6" x14ac:dyDescent="0.3">
      <c r="A2701">
        <v>40</v>
      </c>
      <c r="B2701">
        <v>217</v>
      </c>
      <c r="C2701">
        <f t="shared" si="168"/>
        <v>8680</v>
      </c>
      <c r="D2701">
        <f t="shared" si="169"/>
        <v>1600</v>
      </c>
      <c r="E2701">
        <f t="shared" si="170"/>
        <v>47089</v>
      </c>
      <c r="F2701">
        <f t="shared" si="171"/>
        <v>1600</v>
      </c>
    </row>
    <row r="2702" spans="1:6" x14ac:dyDescent="0.3">
      <c r="A2702">
        <v>59</v>
      </c>
      <c r="B2702">
        <v>57.47</v>
      </c>
      <c r="C2702">
        <f t="shared" si="168"/>
        <v>3390.73</v>
      </c>
      <c r="D2702">
        <f t="shared" si="169"/>
        <v>3481</v>
      </c>
      <c r="E2702">
        <f t="shared" si="170"/>
        <v>3302.8008999999997</v>
      </c>
      <c r="F2702">
        <f t="shared" si="171"/>
        <v>3481</v>
      </c>
    </row>
    <row r="2703" spans="1:6" x14ac:dyDescent="0.3">
      <c r="A2703">
        <v>48</v>
      </c>
      <c r="B2703">
        <v>78.239999999999995</v>
      </c>
      <c r="C2703">
        <f t="shared" si="168"/>
        <v>3755.5199999999995</v>
      </c>
      <c r="D2703">
        <f t="shared" si="169"/>
        <v>2304</v>
      </c>
      <c r="E2703">
        <f t="shared" si="170"/>
        <v>6121.4975999999988</v>
      </c>
      <c r="F2703">
        <f t="shared" si="171"/>
        <v>2304</v>
      </c>
    </row>
    <row r="2704" spans="1:6" x14ac:dyDescent="0.3">
      <c r="A2704">
        <v>42</v>
      </c>
      <c r="B2704">
        <v>94.38</v>
      </c>
      <c r="C2704">
        <f t="shared" si="168"/>
        <v>3963.96</v>
      </c>
      <c r="D2704">
        <f t="shared" si="169"/>
        <v>1764</v>
      </c>
      <c r="E2704">
        <f t="shared" si="170"/>
        <v>8907.5843999999997</v>
      </c>
      <c r="F2704">
        <f t="shared" si="171"/>
        <v>1764</v>
      </c>
    </row>
    <row r="2705" spans="1:6" x14ac:dyDescent="0.3">
      <c r="A2705">
        <v>26</v>
      </c>
      <c r="B2705">
        <v>100.31</v>
      </c>
      <c r="C2705">
        <f t="shared" si="168"/>
        <v>2608.06</v>
      </c>
      <c r="D2705">
        <f t="shared" si="169"/>
        <v>676</v>
      </c>
      <c r="E2705">
        <f t="shared" si="170"/>
        <v>10062.096100000001</v>
      </c>
      <c r="F2705">
        <f t="shared" si="171"/>
        <v>676</v>
      </c>
    </row>
    <row r="2706" spans="1:6" x14ac:dyDescent="0.3">
      <c r="A2706">
        <v>39</v>
      </c>
      <c r="B2706">
        <v>74.290000000000006</v>
      </c>
      <c r="C2706">
        <f t="shared" si="168"/>
        <v>2897.3100000000004</v>
      </c>
      <c r="D2706">
        <f t="shared" si="169"/>
        <v>1521</v>
      </c>
      <c r="E2706">
        <f t="shared" si="170"/>
        <v>5519.004100000001</v>
      </c>
      <c r="F2706">
        <f t="shared" si="171"/>
        <v>1521</v>
      </c>
    </row>
    <row r="2707" spans="1:6" x14ac:dyDescent="0.3">
      <c r="A2707">
        <v>34</v>
      </c>
      <c r="B2707">
        <v>103.43</v>
      </c>
      <c r="C2707">
        <f t="shared" si="168"/>
        <v>3516.6200000000003</v>
      </c>
      <c r="D2707">
        <f t="shared" si="169"/>
        <v>1156</v>
      </c>
      <c r="E2707">
        <f t="shared" si="170"/>
        <v>10697.764900000002</v>
      </c>
      <c r="F2707">
        <f t="shared" si="171"/>
        <v>1156</v>
      </c>
    </row>
    <row r="2708" spans="1:6" x14ac:dyDescent="0.3">
      <c r="A2708">
        <v>54</v>
      </c>
      <c r="B2708">
        <v>99.83</v>
      </c>
      <c r="C2708">
        <f t="shared" si="168"/>
        <v>5390.82</v>
      </c>
      <c r="D2708">
        <f t="shared" si="169"/>
        <v>2916</v>
      </c>
      <c r="E2708">
        <f t="shared" si="170"/>
        <v>9966.0288999999993</v>
      </c>
      <c r="F2708">
        <f t="shared" si="171"/>
        <v>2916</v>
      </c>
    </row>
    <row r="2709" spans="1:6" x14ac:dyDescent="0.3">
      <c r="A2709">
        <v>57</v>
      </c>
      <c r="B2709">
        <v>217.4</v>
      </c>
      <c r="C2709">
        <f t="shared" si="168"/>
        <v>12391.800000000001</v>
      </c>
      <c r="D2709">
        <f t="shared" si="169"/>
        <v>3249</v>
      </c>
      <c r="E2709">
        <f t="shared" si="170"/>
        <v>47262.76</v>
      </c>
      <c r="F2709">
        <f t="shared" si="171"/>
        <v>3249</v>
      </c>
    </row>
    <row r="2710" spans="1:6" x14ac:dyDescent="0.3">
      <c r="A2710">
        <v>1.56</v>
      </c>
      <c r="B2710">
        <v>71.81</v>
      </c>
      <c r="C2710">
        <f t="shared" si="168"/>
        <v>112.0236</v>
      </c>
      <c r="D2710">
        <f t="shared" si="169"/>
        <v>2.4336000000000002</v>
      </c>
      <c r="E2710">
        <f t="shared" si="170"/>
        <v>5156.6761000000006</v>
      </c>
      <c r="F2710">
        <f t="shared" si="171"/>
        <v>2.4336000000000002</v>
      </c>
    </row>
    <row r="2711" spans="1:6" x14ac:dyDescent="0.3">
      <c r="A2711">
        <v>50</v>
      </c>
      <c r="B2711">
        <v>79.790000000000006</v>
      </c>
      <c r="C2711">
        <f t="shared" si="168"/>
        <v>3989.5000000000005</v>
      </c>
      <c r="D2711">
        <f t="shared" si="169"/>
        <v>2500</v>
      </c>
      <c r="E2711">
        <f t="shared" si="170"/>
        <v>6366.4441000000006</v>
      </c>
      <c r="F2711">
        <f t="shared" si="171"/>
        <v>2500</v>
      </c>
    </row>
    <row r="2712" spans="1:6" x14ac:dyDescent="0.3">
      <c r="A2712">
        <v>64</v>
      </c>
      <c r="B2712">
        <v>190.92</v>
      </c>
      <c r="C2712">
        <f t="shared" si="168"/>
        <v>12218.88</v>
      </c>
      <c r="D2712">
        <f t="shared" si="169"/>
        <v>4096</v>
      </c>
      <c r="E2712">
        <f t="shared" si="170"/>
        <v>36450.446399999993</v>
      </c>
      <c r="F2712">
        <f t="shared" si="171"/>
        <v>4096</v>
      </c>
    </row>
    <row r="2713" spans="1:6" x14ac:dyDescent="0.3">
      <c r="A2713">
        <v>44</v>
      </c>
      <c r="B2713">
        <v>94.76</v>
      </c>
      <c r="C2713">
        <f t="shared" si="168"/>
        <v>4169.4400000000005</v>
      </c>
      <c r="D2713">
        <f t="shared" si="169"/>
        <v>1936</v>
      </c>
      <c r="E2713">
        <f t="shared" si="170"/>
        <v>8979.4576000000015</v>
      </c>
      <c r="F2713">
        <f t="shared" si="171"/>
        <v>1936</v>
      </c>
    </row>
    <row r="2714" spans="1:6" x14ac:dyDescent="0.3">
      <c r="A2714">
        <v>38</v>
      </c>
      <c r="B2714">
        <v>101.43</v>
      </c>
      <c r="C2714">
        <f t="shared" si="168"/>
        <v>3854.34</v>
      </c>
      <c r="D2714">
        <f t="shared" si="169"/>
        <v>1444</v>
      </c>
      <c r="E2714">
        <f t="shared" si="170"/>
        <v>10288.044900000001</v>
      </c>
      <c r="F2714">
        <f t="shared" si="171"/>
        <v>1444</v>
      </c>
    </row>
    <row r="2715" spans="1:6" x14ac:dyDescent="0.3">
      <c r="A2715">
        <v>32</v>
      </c>
      <c r="B2715">
        <v>115.86</v>
      </c>
      <c r="C2715">
        <f t="shared" si="168"/>
        <v>3707.52</v>
      </c>
      <c r="D2715">
        <f t="shared" si="169"/>
        <v>1024</v>
      </c>
      <c r="E2715">
        <f t="shared" si="170"/>
        <v>13423.5396</v>
      </c>
      <c r="F2715">
        <f t="shared" si="171"/>
        <v>1024</v>
      </c>
    </row>
    <row r="2716" spans="1:6" x14ac:dyDescent="0.3">
      <c r="A2716">
        <v>17</v>
      </c>
      <c r="B2716">
        <v>95.27</v>
      </c>
      <c r="C2716">
        <f t="shared" si="168"/>
        <v>1619.59</v>
      </c>
      <c r="D2716">
        <f t="shared" si="169"/>
        <v>289</v>
      </c>
      <c r="E2716">
        <f t="shared" si="170"/>
        <v>9076.3728999999985</v>
      </c>
      <c r="F2716">
        <f t="shared" si="171"/>
        <v>289</v>
      </c>
    </row>
    <row r="2717" spans="1:6" x14ac:dyDescent="0.3">
      <c r="A2717">
        <v>81</v>
      </c>
      <c r="B2717">
        <v>89.02</v>
      </c>
      <c r="C2717">
        <f t="shared" si="168"/>
        <v>7210.62</v>
      </c>
      <c r="D2717">
        <f t="shared" si="169"/>
        <v>6561</v>
      </c>
      <c r="E2717">
        <f t="shared" si="170"/>
        <v>7924.5603999999994</v>
      </c>
      <c r="F2717">
        <f t="shared" si="171"/>
        <v>6561</v>
      </c>
    </row>
    <row r="2718" spans="1:6" x14ac:dyDescent="0.3">
      <c r="A2718">
        <v>15</v>
      </c>
      <c r="B2718">
        <v>77.55</v>
      </c>
      <c r="C2718">
        <f t="shared" si="168"/>
        <v>1163.25</v>
      </c>
      <c r="D2718">
        <f t="shared" si="169"/>
        <v>225</v>
      </c>
      <c r="E2718">
        <f t="shared" si="170"/>
        <v>6014.0024999999996</v>
      </c>
      <c r="F2718">
        <f t="shared" si="171"/>
        <v>225</v>
      </c>
    </row>
    <row r="2719" spans="1:6" x14ac:dyDescent="0.3">
      <c r="A2719">
        <v>5</v>
      </c>
      <c r="B2719">
        <v>75.86</v>
      </c>
      <c r="C2719">
        <f t="shared" si="168"/>
        <v>379.3</v>
      </c>
      <c r="D2719">
        <f t="shared" si="169"/>
        <v>25</v>
      </c>
      <c r="E2719">
        <f t="shared" si="170"/>
        <v>5754.7395999999999</v>
      </c>
      <c r="F2719">
        <f t="shared" si="171"/>
        <v>25</v>
      </c>
    </row>
    <row r="2720" spans="1:6" x14ac:dyDescent="0.3">
      <c r="A2720">
        <v>70</v>
      </c>
      <c r="B2720">
        <v>93.62</v>
      </c>
      <c r="C2720">
        <f t="shared" si="168"/>
        <v>6553.4000000000005</v>
      </c>
      <c r="D2720">
        <f t="shared" si="169"/>
        <v>4900</v>
      </c>
      <c r="E2720">
        <f t="shared" si="170"/>
        <v>8764.7044000000005</v>
      </c>
      <c r="F2720">
        <f t="shared" si="171"/>
        <v>4900</v>
      </c>
    </row>
    <row r="2721" spans="1:6" x14ac:dyDescent="0.3">
      <c r="A2721">
        <v>52</v>
      </c>
      <c r="B2721">
        <v>72.709999999999994</v>
      </c>
      <c r="C2721">
        <f t="shared" si="168"/>
        <v>3780.9199999999996</v>
      </c>
      <c r="D2721">
        <f t="shared" si="169"/>
        <v>2704</v>
      </c>
      <c r="E2721">
        <f t="shared" si="170"/>
        <v>5286.744099999999</v>
      </c>
      <c r="F2721">
        <f t="shared" si="171"/>
        <v>2704</v>
      </c>
    </row>
    <row r="2722" spans="1:6" x14ac:dyDescent="0.3">
      <c r="A2722">
        <v>67</v>
      </c>
      <c r="B2722">
        <v>94.45</v>
      </c>
      <c r="C2722">
        <f t="shared" si="168"/>
        <v>6328.1500000000005</v>
      </c>
      <c r="D2722">
        <f t="shared" si="169"/>
        <v>4489</v>
      </c>
      <c r="E2722">
        <f t="shared" si="170"/>
        <v>8920.8024999999998</v>
      </c>
      <c r="F2722">
        <f t="shared" si="171"/>
        <v>4489</v>
      </c>
    </row>
    <row r="2723" spans="1:6" x14ac:dyDescent="0.3">
      <c r="A2723">
        <v>17</v>
      </c>
      <c r="B2723">
        <v>88.57</v>
      </c>
      <c r="C2723">
        <f t="shared" si="168"/>
        <v>1505.6899999999998</v>
      </c>
      <c r="D2723">
        <f t="shared" si="169"/>
        <v>289</v>
      </c>
      <c r="E2723">
        <f t="shared" si="170"/>
        <v>7844.6448999999984</v>
      </c>
      <c r="F2723">
        <f t="shared" si="171"/>
        <v>289</v>
      </c>
    </row>
    <row r="2724" spans="1:6" x14ac:dyDescent="0.3">
      <c r="A2724">
        <v>61</v>
      </c>
      <c r="B2724">
        <v>84.12</v>
      </c>
      <c r="C2724">
        <f t="shared" si="168"/>
        <v>5131.3200000000006</v>
      </c>
      <c r="D2724">
        <f t="shared" si="169"/>
        <v>3721</v>
      </c>
      <c r="E2724">
        <f t="shared" si="170"/>
        <v>7076.1744000000008</v>
      </c>
      <c r="F2724">
        <f t="shared" si="171"/>
        <v>3721</v>
      </c>
    </row>
    <row r="2725" spans="1:6" x14ac:dyDescent="0.3">
      <c r="A2725">
        <v>31</v>
      </c>
      <c r="B2725">
        <v>89.11</v>
      </c>
      <c r="C2725">
        <f t="shared" si="168"/>
        <v>2762.41</v>
      </c>
      <c r="D2725">
        <f t="shared" si="169"/>
        <v>961</v>
      </c>
      <c r="E2725">
        <f t="shared" si="170"/>
        <v>7940.5920999999998</v>
      </c>
      <c r="F2725">
        <f t="shared" si="171"/>
        <v>961</v>
      </c>
    </row>
    <row r="2726" spans="1:6" x14ac:dyDescent="0.3">
      <c r="A2726">
        <v>58</v>
      </c>
      <c r="B2726">
        <v>99.83</v>
      </c>
      <c r="C2726">
        <f t="shared" si="168"/>
        <v>5790.14</v>
      </c>
      <c r="D2726">
        <f t="shared" si="169"/>
        <v>3364</v>
      </c>
      <c r="E2726">
        <f t="shared" si="170"/>
        <v>9966.0288999999993</v>
      </c>
      <c r="F2726">
        <f t="shared" si="171"/>
        <v>3364</v>
      </c>
    </row>
    <row r="2727" spans="1:6" x14ac:dyDescent="0.3">
      <c r="A2727">
        <v>12</v>
      </c>
      <c r="B2727">
        <v>150.03</v>
      </c>
      <c r="C2727">
        <f t="shared" si="168"/>
        <v>1800.3600000000001</v>
      </c>
      <c r="D2727">
        <f t="shared" si="169"/>
        <v>144</v>
      </c>
      <c r="E2727">
        <f t="shared" si="170"/>
        <v>22509.000899999999</v>
      </c>
      <c r="F2727">
        <f t="shared" si="171"/>
        <v>144</v>
      </c>
    </row>
    <row r="2728" spans="1:6" x14ac:dyDescent="0.3">
      <c r="A2728">
        <v>30</v>
      </c>
      <c r="B2728">
        <v>69.67</v>
      </c>
      <c r="C2728">
        <f t="shared" si="168"/>
        <v>2090.1</v>
      </c>
      <c r="D2728">
        <f t="shared" si="169"/>
        <v>900</v>
      </c>
      <c r="E2728">
        <f t="shared" si="170"/>
        <v>4853.9089000000004</v>
      </c>
      <c r="F2728">
        <f t="shared" si="171"/>
        <v>900</v>
      </c>
    </row>
    <row r="2729" spans="1:6" x14ac:dyDescent="0.3">
      <c r="A2729">
        <v>65</v>
      </c>
      <c r="B2729">
        <v>77.459999999999994</v>
      </c>
      <c r="C2729">
        <f t="shared" si="168"/>
        <v>5034.8999999999996</v>
      </c>
      <c r="D2729">
        <f t="shared" si="169"/>
        <v>4225</v>
      </c>
      <c r="E2729">
        <f t="shared" si="170"/>
        <v>6000.0515999999989</v>
      </c>
      <c r="F2729">
        <f t="shared" si="171"/>
        <v>4225</v>
      </c>
    </row>
    <row r="2730" spans="1:6" x14ac:dyDescent="0.3">
      <c r="A2730">
        <v>23</v>
      </c>
      <c r="B2730">
        <v>100.54</v>
      </c>
      <c r="C2730">
        <f t="shared" si="168"/>
        <v>2312.42</v>
      </c>
      <c r="D2730">
        <f t="shared" si="169"/>
        <v>529</v>
      </c>
      <c r="E2730">
        <f t="shared" si="170"/>
        <v>10108.2916</v>
      </c>
      <c r="F2730">
        <f t="shared" si="171"/>
        <v>529</v>
      </c>
    </row>
    <row r="2731" spans="1:6" x14ac:dyDescent="0.3">
      <c r="A2731">
        <v>14</v>
      </c>
      <c r="B2731">
        <v>142.38</v>
      </c>
      <c r="C2731">
        <f t="shared" si="168"/>
        <v>1993.32</v>
      </c>
      <c r="D2731">
        <f t="shared" si="169"/>
        <v>196</v>
      </c>
      <c r="E2731">
        <f t="shared" si="170"/>
        <v>20272.064399999999</v>
      </c>
      <c r="F2731">
        <f t="shared" si="171"/>
        <v>196</v>
      </c>
    </row>
    <row r="2732" spans="1:6" x14ac:dyDescent="0.3">
      <c r="A2732">
        <v>27</v>
      </c>
      <c r="B2732">
        <v>110.87</v>
      </c>
      <c r="C2732">
        <f t="shared" si="168"/>
        <v>2993.4900000000002</v>
      </c>
      <c r="D2732">
        <f t="shared" si="169"/>
        <v>729</v>
      </c>
      <c r="E2732">
        <f t="shared" si="170"/>
        <v>12292.156900000002</v>
      </c>
      <c r="F2732">
        <f t="shared" si="171"/>
        <v>729</v>
      </c>
    </row>
    <row r="2733" spans="1:6" x14ac:dyDescent="0.3">
      <c r="A2733">
        <v>53</v>
      </c>
      <c r="B2733">
        <v>73.599999999999994</v>
      </c>
      <c r="C2733">
        <f t="shared" si="168"/>
        <v>3900.7999999999997</v>
      </c>
      <c r="D2733">
        <f t="shared" si="169"/>
        <v>2809</v>
      </c>
      <c r="E2733">
        <f t="shared" si="170"/>
        <v>5416.9599999999991</v>
      </c>
      <c r="F2733">
        <f t="shared" si="171"/>
        <v>2809</v>
      </c>
    </row>
    <row r="2734" spans="1:6" x14ac:dyDescent="0.3">
      <c r="A2734">
        <v>58</v>
      </c>
      <c r="B2734">
        <v>59.52</v>
      </c>
      <c r="C2734">
        <f t="shared" si="168"/>
        <v>3452.1600000000003</v>
      </c>
      <c r="D2734">
        <f t="shared" si="169"/>
        <v>3364</v>
      </c>
      <c r="E2734">
        <f t="shared" si="170"/>
        <v>3542.6304000000005</v>
      </c>
      <c r="F2734">
        <f t="shared" si="171"/>
        <v>3364</v>
      </c>
    </row>
    <row r="2735" spans="1:6" x14ac:dyDescent="0.3">
      <c r="A2735">
        <v>9</v>
      </c>
      <c r="B2735">
        <v>142.68</v>
      </c>
      <c r="C2735">
        <f t="shared" si="168"/>
        <v>1284.1200000000001</v>
      </c>
      <c r="D2735">
        <f t="shared" si="169"/>
        <v>81</v>
      </c>
      <c r="E2735">
        <f t="shared" si="170"/>
        <v>20357.582400000003</v>
      </c>
      <c r="F2735">
        <f t="shared" si="171"/>
        <v>81</v>
      </c>
    </row>
    <row r="2736" spans="1:6" x14ac:dyDescent="0.3">
      <c r="A2736">
        <v>59</v>
      </c>
      <c r="B2736">
        <v>182.9</v>
      </c>
      <c r="C2736">
        <f t="shared" si="168"/>
        <v>10791.1</v>
      </c>
      <c r="D2736">
        <f t="shared" si="169"/>
        <v>3481</v>
      </c>
      <c r="E2736">
        <f t="shared" si="170"/>
        <v>33452.410000000003</v>
      </c>
      <c r="F2736">
        <f t="shared" si="171"/>
        <v>3481</v>
      </c>
    </row>
    <row r="2737" spans="1:6" x14ac:dyDescent="0.3">
      <c r="A2737">
        <v>46</v>
      </c>
      <c r="B2737">
        <v>75.28</v>
      </c>
      <c r="C2737">
        <f t="shared" si="168"/>
        <v>3462.88</v>
      </c>
      <c r="D2737">
        <f t="shared" si="169"/>
        <v>2116</v>
      </c>
      <c r="E2737">
        <f t="shared" si="170"/>
        <v>5667.0784000000003</v>
      </c>
      <c r="F2737">
        <f t="shared" si="171"/>
        <v>2116</v>
      </c>
    </row>
    <row r="2738" spans="1:6" x14ac:dyDescent="0.3">
      <c r="A2738">
        <v>41</v>
      </c>
      <c r="B2738">
        <v>100.75</v>
      </c>
      <c r="C2738">
        <f t="shared" si="168"/>
        <v>4130.75</v>
      </c>
      <c r="D2738">
        <f t="shared" si="169"/>
        <v>1681</v>
      </c>
      <c r="E2738">
        <f t="shared" si="170"/>
        <v>10150.5625</v>
      </c>
      <c r="F2738">
        <f t="shared" si="171"/>
        <v>1681</v>
      </c>
    </row>
    <row r="2739" spans="1:6" x14ac:dyDescent="0.3">
      <c r="A2739">
        <v>55</v>
      </c>
      <c r="B2739">
        <v>163.82</v>
      </c>
      <c r="C2739">
        <f t="shared" si="168"/>
        <v>9010.1</v>
      </c>
      <c r="D2739">
        <f t="shared" si="169"/>
        <v>3025</v>
      </c>
      <c r="E2739">
        <f t="shared" si="170"/>
        <v>26836.992399999999</v>
      </c>
      <c r="F2739">
        <f t="shared" si="171"/>
        <v>3025</v>
      </c>
    </row>
    <row r="2740" spans="1:6" x14ac:dyDescent="0.3">
      <c r="A2740">
        <v>43</v>
      </c>
      <c r="B2740">
        <v>110.42</v>
      </c>
      <c r="C2740">
        <f t="shared" si="168"/>
        <v>4748.0600000000004</v>
      </c>
      <c r="D2740">
        <f t="shared" si="169"/>
        <v>1849</v>
      </c>
      <c r="E2740">
        <f t="shared" si="170"/>
        <v>12192.5764</v>
      </c>
      <c r="F2740">
        <f t="shared" si="171"/>
        <v>1849</v>
      </c>
    </row>
    <row r="2741" spans="1:6" x14ac:dyDescent="0.3">
      <c r="A2741">
        <v>5</v>
      </c>
      <c r="B2741">
        <v>105.18</v>
      </c>
      <c r="C2741">
        <f t="shared" si="168"/>
        <v>525.90000000000009</v>
      </c>
      <c r="D2741">
        <f t="shared" si="169"/>
        <v>25</v>
      </c>
      <c r="E2741">
        <f t="shared" si="170"/>
        <v>11062.832400000001</v>
      </c>
      <c r="F2741">
        <f t="shared" si="171"/>
        <v>25</v>
      </c>
    </row>
    <row r="2742" spans="1:6" x14ac:dyDescent="0.3">
      <c r="A2742">
        <v>15</v>
      </c>
      <c r="B2742">
        <v>79.59</v>
      </c>
      <c r="C2742">
        <f t="shared" si="168"/>
        <v>1193.8500000000001</v>
      </c>
      <c r="D2742">
        <f t="shared" si="169"/>
        <v>225</v>
      </c>
      <c r="E2742">
        <f t="shared" si="170"/>
        <v>6334.5681000000004</v>
      </c>
      <c r="F2742">
        <f t="shared" si="171"/>
        <v>225</v>
      </c>
    </row>
    <row r="2743" spans="1:6" x14ac:dyDescent="0.3">
      <c r="A2743">
        <v>36</v>
      </c>
      <c r="B2743">
        <v>107.99</v>
      </c>
      <c r="C2743">
        <f t="shared" si="168"/>
        <v>3887.64</v>
      </c>
      <c r="D2743">
        <f t="shared" si="169"/>
        <v>1296</v>
      </c>
      <c r="E2743">
        <f t="shared" si="170"/>
        <v>11661.840099999999</v>
      </c>
      <c r="F2743">
        <f t="shared" si="171"/>
        <v>1296</v>
      </c>
    </row>
    <row r="2744" spans="1:6" x14ac:dyDescent="0.3">
      <c r="A2744">
        <v>36</v>
      </c>
      <c r="B2744">
        <v>90.22</v>
      </c>
      <c r="C2744">
        <f t="shared" si="168"/>
        <v>3247.92</v>
      </c>
      <c r="D2744">
        <f t="shared" si="169"/>
        <v>1296</v>
      </c>
      <c r="E2744">
        <f t="shared" si="170"/>
        <v>8139.6484</v>
      </c>
      <c r="F2744">
        <f t="shared" si="171"/>
        <v>1296</v>
      </c>
    </row>
    <row r="2745" spans="1:6" x14ac:dyDescent="0.3">
      <c r="A2745">
        <v>47</v>
      </c>
      <c r="B2745">
        <v>143.44999999999999</v>
      </c>
      <c r="C2745">
        <f t="shared" si="168"/>
        <v>6742.15</v>
      </c>
      <c r="D2745">
        <f t="shared" si="169"/>
        <v>2209</v>
      </c>
      <c r="E2745">
        <f t="shared" si="170"/>
        <v>20577.902499999997</v>
      </c>
      <c r="F2745">
        <f t="shared" si="171"/>
        <v>2209</v>
      </c>
    </row>
    <row r="2746" spans="1:6" x14ac:dyDescent="0.3">
      <c r="A2746">
        <v>18</v>
      </c>
      <c r="B2746">
        <v>78.569999999999993</v>
      </c>
      <c r="C2746">
        <f t="shared" si="168"/>
        <v>1414.2599999999998</v>
      </c>
      <c r="D2746">
        <f t="shared" si="169"/>
        <v>324</v>
      </c>
      <c r="E2746">
        <f t="shared" si="170"/>
        <v>6173.2448999999988</v>
      </c>
      <c r="F2746">
        <f t="shared" si="171"/>
        <v>324</v>
      </c>
    </row>
    <row r="2747" spans="1:6" x14ac:dyDescent="0.3">
      <c r="A2747">
        <v>19</v>
      </c>
      <c r="B2747">
        <v>79.819999999999993</v>
      </c>
      <c r="C2747">
        <f t="shared" si="168"/>
        <v>1516.58</v>
      </c>
      <c r="D2747">
        <f t="shared" si="169"/>
        <v>361</v>
      </c>
      <c r="E2747">
        <f t="shared" si="170"/>
        <v>6371.232399999999</v>
      </c>
      <c r="F2747">
        <f t="shared" si="171"/>
        <v>361</v>
      </c>
    </row>
    <row r="2748" spans="1:6" x14ac:dyDescent="0.3">
      <c r="A2748">
        <v>65</v>
      </c>
      <c r="B2748">
        <v>95.88</v>
      </c>
      <c r="C2748">
        <f t="shared" si="168"/>
        <v>6232.2</v>
      </c>
      <c r="D2748">
        <f t="shared" si="169"/>
        <v>4225</v>
      </c>
      <c r="E2748">
        <f t="shared" si="170"/>
        <v>9192.9743999999992</v>
      </c>
      <c r="F2748">
        <f t="shared" si="171"/>
        <v>4225</v>
      </c>
    </row>
    <row r="2749" spans="1:6" x14ac:dyDescent="0.3">
      <c r="A2749">
        <v>17</v>
      </c>
      <c r="B2749">
        <v>123.04</v>
      </c>
      <c r="C2749">
        <f t="shared" si="168"/>
        <v>2091.6800000000003</v>
      </c>
      <c r="D2749">
        <f t="shared" si="169"/>
        <v>289</v>
      </c>
      <c r="E2749">
        <f t="shared" si="170"/>
        <v>15138.841600000002</v>
      </c>
      <c r="F2749">
        <f t="shared" si="171"/>
        <v>289</v>
      </c>
    </row>
    <row r="2750" spans="1:6" x14ac:dyDescent="0.3">
      <c r="A2750">
        <v>54</v>
      </c>
      <c r="B2750">
        <v>92.34</v>
      </c>
      <c r="C2750">
        <f t="shared" si="168"/>
        <v>4986.3600000000006</v>
      </c>
      <c r="D2750">
        <f t="shared" si="169"/>
        <v>2916</v>
      </c>
      <c r="E2750">
        <f t="shared" si="170"/>
        <v>8526.6756000000005</v>
      </c>
      <c r="F2750">
        <f t="shared" si="171"/>
        <v>2916</v>
      </c>
    </row>
    <row r="2751" spans="1:6" x14ac:dyDescent="0.3">
      <c r="A2751">
        <v>46</v>
      </c>
      <c r="B2751">
        <v>116.84</v>
      </c>
      <c r="C2751">
        <f t="shared" si="168"/>
        <v>5374.64</v>
      </c>
      <c r="D2751">
        <f t="shared" si="169"/>
        <v>2116</v>
      </c>
      <c r="E2751">
        <f t="shared" si="170"/>
        <v>13651.5856</v>
      </c>
      <c r="F2751">
        <f t="shared" si="171"/>
        <v>2116</v>
      </c>
    </row>
    <row r="2752" spans="1:6" x14ac:dyDescent="0.3">
      <c r="A2752">
        <v>59</v>
      </c>
      <c r="B2752">
        <v>90.04</v>
      </c>
      <c r="C2752">
        <f t="shared" si="168"/>
        <v>5312.3600000000006</v>
      </c>
      <c r="D2752">
        <f t="shared" si="169"/>
        <v>3481</v>
      </c>
      <c r="E2752">
        <f t="shared" si="170"/>
        <v>8107.2016000000012</v>
      </c>
      <c r="F2752">
        <f t="shared" si="171"/>
        <v>3481</v>
      </c>
    </row>
    <row r="2753" spans="1:6" x14ac:dyDescent="0.3">
      <c r="A2753">
        <v>48</v>
      </c>
      <c r="B2753">
        <v>255.17</v>
      </c>
      <c r="C2753">
        <f t="shared" si="168"/>
        <v>12248.16</v>
      </c>
      <c r="D2753">
        <f t="shared" si="169"/>
        <v>2304</v>
      </c>
      <c r="E2753">
        <f t="shared" si="170"/>
        <v>65111.728899999995</v>
      </c>
      <c r="F2753">
        <f t="shared" si="171"/>
        <v>2304</v>
      </c>
    </row>
    <row r="2754" spans="1:6" x14ac:dyDescent="0.3">
      <c r="A2754">
        <v>38</v>
      </c>
      <c r="B2754">
        <v>217.55</v>
      </c>
      <c r="C2754">
        <f t="shared" si="168"/>
        <v>8266.9</v>
      </c>
      <c r="D2754">
        <f t="shared" si="169"/>
        <v>1444</v>
      </c>
      <c r="E2754">
        <f t="shared" si="170"/>
        <v>47328.002500000002</v>
      </c>
      <c r="F2754">
        <f t="shared" si="171"/>
        <v>1444</v>
      </c>
    </row>
    <row r="2755" spans="1:6" x14ac:dyDescent="0.3">
      <c r="A2755">
        <v>18</v>
      </c>
      <c r="B2755">
        <v>123.66</v>
      </c>
      <c r="C2755">
        <f t="shared" ref="C2755:C2818" si="172">A2755*B2755</f>
        <v>2225.88</v>
      </c>
      <c r="D2755">
        <f t="shared" ref="D2755:D2818" si="173">A2755*A2755</f>
        <v>324</v>
      </c>
      <c r="E2755">
        <f t="shared" ref="E2755:E2818" si="174">B2755*B2755</f>
        <v>15291.795599999999</v>
      </c>
      <c r="F2755">
        <f t="shared" ref="F2755:F2818" si="175">A2755^2</f>
        <v>324</v>
      </c>
    </row>
    <row r="2756" spans="1:6" x14ac:dyDescent="0.3">
      <c r="A2756">
        <v>56</v>
      </c>
      <c r="B2756">
        <v>112.16</v>
      </c>
      <c r="C2756">
        <f t="shared" si="172"/>
        <v>6280.96</v>
      </c>
      <c r="D2756">
        <f t="shared" si="173"/>
        <v>3136</v>
      </c>
      <c r="E2756">
        <f t="shared" si="174"/>
        <v>12579.865599999999</v>
      </c>
      <c r="F2756">
        <f t="shared" si="175"/>
        <v>3136</v>
      </c>
    </row>
    <row r="2757" spans="1:6" x14ac:dyDescent="0.3">
      <c r="A2757">
        <v>3</v>
      </c>
      <c r="B2757">
        <v>88.43</v>
      </c>
      <c r="C2757">
        <f t="shared" si="172"/>
        <v>265.29000000000002</v>
      </c>
      <c r="D2757">
        <f t="shared" si="173"/>
        <v>9</v>
      </c>
      <c r="E2757">
        <f t="shared" si="174"/>
        <v>7819.8649000000014</v>
      </c>
      <c r="F2757">
        <f t="shared" si="175"/>
        <v>9</v>
      </c>
    </row>
    <row r="2758" spans="1:6" x14ac:dyDescent="0.3">
      <c r="A2758">
        <v>41</v>
      </c>
      <c r="B2758">
        <v>86.03</v>
      </c>
      <c r="C2758">
        <f t="shared" si="172"/>
        <v>3527.23</v>
      </c>
      <c r="D2758">
        <f t="shared" si="173"/>
        <v>1681</v>
      </c>
      <c r="E2758">
        <f t="shared" si="174"/>
        <v>7401.1608999999999</v>
      </c>
      <c r="F2758">
        <f t="shared" si="175"/>
        <v>1681</v>
      </c>
    </row>
    <row r="2759" spans="1:6" x14ac:dyDescent="0.3">
      <c r="A2759">
        <v>67</v>
      </c>
      <c r="B2759">
        <v>227.96</v>
      </c>
      <c r="C2759">
        <f t="shared" si="172"/>
        <v>15273.32</v>
      </c>
      <c r="D2759">
        <f t="shared" si="173"/>
        <v>4489</v>
      </c>
      <c r="E2759">
        <f t="shared" si="174"/>
        <v>51965.761600000005</v>
      </c>
      <c r="F2759">
        <f t="shared" si="175"/>
        <v>4489</v>
      </c>
    </row>
    <row r="2760" spans="1:6" x14ac:dyDescent="0.3">
      <c r="A2760">
        <v>60</v>
      </c>
      <c r="B2760">
        <v>85.6</v>
      </c>
      <c r="C2760">
        <f t="shared" si="172"/>
        <v>5136</v>
      </c>
      <c r="D2760">
        <f t="shared" si="173"/>
        <v>3600</v>
      </c>
      <c r="E2760">
        <f t="shared" si="174"/>
        <v>7327.3599999999988</v>
      </c>
      <c r="F2760">
        <f t="shared" si="175"/>
        <v>3600</v>
      </c>
    </row>
    <row r="2761" spans="1:6" x14ac:dyDescent="0.3">
      <c r="A2761">
        <v>47</v>
      </c>
      <c r="B2761">
        <v>111.68</v>
      </c>
      <c r="C2761">
        <f t="shared" si="172"/>
        <v>5248.96</v>
      </c>
      <c r="D2761">
        <f t="shared" si="173"/>
        <v>2209</v>
      </c>
      <c r="E2761">
        <f t="shared" si="174"/>
        <v>12472.422400000001</v>
      </c>
      <c r="F2761">
        <f t="shared" si="175"/>
        <v>2209</v>
      </c>
    </row>
    <row r="2762" spans="1:6" x14ac:dyDescent="0.3">
      <c r="A2762">
        <v>24</v>
      </c>
      <c r="B2762">
        <v>73.489999999999995</v>
      </c>
      <c r="C2762">
        <f t="shared" si="172"/>
        <v>1763.7599999999998</v>
      </c>
      <c r="D2762">
        <f t="shared" si="173"/>
        <v>576</v>
      </c>
      <c r="E2762">
        <f t="shared" si="174"/>
        <v>5400.780099999999</v>
      </c>
      <c r="F2762">
        <f t="shared" si="175"/>
        <v>576</v>
      </c>
    </row>
    <row r="2763" spans="1:6" x14ac:dyDescent="0.3">
      <c r="A2763">
        <v>43</v>
      </c>
      <c r="B2763">
        <v>87.82</v>
      </c>
      <c r="C2763">
        <f t="shared" si="172"/>
        <v>3776.2599999999998</v>
      </c>
      <c r="D2763">
        <f t="shared" si="173"/>
        <v>1849</v>
      </c>
      <c r="E2763">
        <f t="shared" si="174"/>
        <v>7712.3523999999989</v>
      </c>
      <c r="F2763">
        <f t="shared" si="175"/>
        <v>1849</v>
      </c>
    </row>
    <row r="2764" spans="1:6" x14ac:dyDescent="0.3">
      <c r="A2764">
        <v>17</v>
      </c>
      <c r="B2764">
        <v>99.29</v>
      </c>
      <c r="C2764">
        <f t="shared" si="172"/>
        <v>1687.93</v>
      </c>
      <c r="D2764">
        <f t="shared" si="173"/>
        <v>289</v>
      </c>
      <c r="E2764">
        <f t="shared" si="174"/>
        <v>9858.5041000000019</v>
      </c>
      <c r="F2764">
        <f t="shared" si="175"/>
        <v>289</v>
      </c>
    </row>
    <row r="2765" spans="1:6" x14ac:dyDescent="0.3">
      <c r="A2765">
        <v>45</v>
      </c>
      <c r="B2765">
        <v>63.73</v>
      </c>
      <c r="C2765">
        <f t="shared" si="172"/>
        <v>2867.85</v>
      </c>
      <c r="D2765">
        <f t="shared" si="173"/>
        <v>2025</v>
      </c>
      <c r="E2765">
        <f t="shared" si="174"/>
        <v>4061.5128999999997</v>
      </c>
      <c r="F2765">
        <f t="shared" si="175"/>
        <v>2025</v>
      </c>
    </row>
    <row r="2766" spans="1:6" x14ac:dyDescent="0.3">
      <c r="A2766">
        <v>24</v>
      </c>
      <c r="B2766">
        <v>85.55</v>
      </c>
      <c r="C2766">
        <f t="shared" si="172"/>
        <v>2053.1999999999998</v>
      </c>
      <c r="D2766">
        <f t="shared" si="173"/>
        <v>576</v>
      </c>
      <c r="E2766">
        <f t="shared" si="174"/>
        <v>7318.8024999999998</v>
      </c>
      <c r="F2766">
        <f t="shared" si="175"/>
        <v>576</v>
      </c>
    </row>
    <row r="2767" spans="1:6" x14ac:dyDescent="0.3">
      <c r="A2767">
        <v>79</v>
      </c>
      <c r="B2767">
        <v>79.2</v>
      </c>
      <c r="C2767">
        <f t="shared" si="172"/>
        <v>6256.8</v>
      </c>
      <c r="D2767">
        <f t="shared" si="173"/>
        <v>6241</v>
      </c>
      <c r="E2767">
        <f t="shared" si="174"/>
        <v>6272.64</v>
      </c>
      <c r="F2767">
        <f t="shared" si="175"/>
        <v>6241</v>
      </c>
    </row>
    <row r="2768" spans="1:6" x14ac:dyDescent="0.3">
      <c r="A2768">
        <v>79</v>
      </c>
      <c r="B2768">
        <v>105.93</v>
      </c>
      <c r="C2768">
        <f t="shared" si="172"/>
        <v>8368.4700000000012</v>
      </c>
      <c r="D2768">
        <f t="shared" si="173"/>
        <v>6241</v>
      </c>
      <c r="E2768">
        <f t="shared" si="174"/>
        <v>11221.164900000002</v>
      </c>
      <c r="F2768">
        <f t="shared" si="175"/>
        <v>6241</v>
      </c>
    </row>
    <row r="2769" spans="1:6" x14ac:dyDescent="0.3">
      <c r="A2769">
        <v>27</v>
      </c>
      <c r="B2769">
        <v>94.19</v>
      </c>
      <c r="C2769">
        <f t="shared" si="172"/>
        <v>2543.13</v>
      </c>
      <c r="D2769">
        <f t="shared" si="173"/>
        <v>729</v>
      </c>
      <c r="E2769">
        <f t="shared" si="174"/>
        <v>8871.7560999999987</v>
      </c>
      <c r="F2769">
        <f t="shared" si="175"/>
        <v>729</v>
      </c>
    </row>
    <row r="2770" spans="1:6" x14ac:dyDescent="0.3">
      <c r="A2770">
        <v>72</v>
      </c>
      <c r="B2770">
        <v>231.71</v>
      </c>
      <c r="C2770">
        <f t="shared" si="172"/>
        <v>16683.12</v>
      </c>
      <c r="D2770">
        <f t="shared" si="173"/>
        <v>5184</v>
      </c>
      <c r="E2770">
        <f t="shared" si="174"/>
        <v>53689.524100000002</v>
      </c>
      <c r="F2770">
        <f t="shared" si="175"/>
        <v>5184</v>
      </c>
    </row>
    <row r="2771" spans="1:6" x14ac:dyDescent="0.3">
      <c r="A2771">
        <v>64</v>
      </c>
      <c r="B2771">
        <v>69.28</v>
      </c>
      <c r="C2771">
        <f t="shared" si="172"/>
        <v>4433.92</v>
      </c>
      <c r="D2771">
        <f t="shared" si="173"/>
        <v>4096</v>
      </c>
      <c r="E2771">
        <f t="shared" si="174"/>
        <v>4799.7183999999997</v>
      </c>
      <c r="F2771">
        <f t="shared" si="175"/>
        <v>4096</v>
      </c>
    </row>
    <row r="2772" spans="1:6" x14ac:dyDescent="0.3">
      <c r="A2772">
        <v>34</v>
      </c>
      <c r="B2772">
        <v>71.37</v>
      </c>
      <c r="C2772">
        <f t="shared" si="172"/>
        <v>2426.58</v>
      </c>
      <c r="D2772">
        <f t="shared" si="173"/>
        <v>1156</v>
      </c>
      <c r="E2772">
        <f t="shared" si="174"/>
        <v>5093.6769000000004</v>
      </c>
      <c r="F2772">
        <f t="shared" si="175"/>
        <v>1156</v>
      </c>
    </row>
    <row r="2773" spans="1:6" x14ac:dyDescent="0.3">
      <c r="A2773">
        <v>50</v>
      </c>
      <c r="B2773">
        <v>110.18</v>
      </c>
      <c r="C2773">
        <f t="shared" si="172"/>
        <v>5509</v>
      </c>
      <c r="D2773">
        <f t="shared" si="173"/>
        <v>2500</v>
      </c>
      <c r="E2773">
        <f t="shared" si="174"/>
        <v>12139.632400000002</v>
      </c>
      <c r="F2773">
        <f t="shared" si="175"/>
        <v>2500</v>
      </c>
    </row>
    <row r="2774" spans="1:6" x14ac:dyDescent="0.3">
      <c r="A2774">
        <v>58</v>
      </c>
      <c r="B2774">
        <v>59.68</v>
      </c>
      <c r="C2774">
        <f t="shared" si="172"/>
        <v>3461.44</v>
      </c>
      <c r="D2774">
        <f t="shared" si="173"/>
        <v>3364</v>
      </c>
      <c r="E2774">
        <f t="shared" si="174"/>
        <v>3561.7024000000001</v>
      </c>
      <c r="F2774">
        <f t="shared" si="175"/>
        <v>3364</v>
      </c>
    </row>
    <row r="2775" spans="1:6" x14ac:dyDescent="0.3">
      <c r="A2775">
        <v>26</v>
      </c>
      <c r="B2775">
        <v>94.24</v>
      </c>
      <c r="C2775">
        <f t="shared" si="172"/>
        <v>2450.2399999999998</v>
      </c>
      <c r="D2775">
        <f t="shared" si="173"/>
        <v>676</v>
      </c>
      <c r="E2775">
        <f t="shared" si="174"/>
        <v>8881.1775999999991</v>
      </c>
      <c r="F2775">
        <f t="shared" si="175"/>
        <v>676</v>
      </c>
    </row>
    <row r="2776" spans="1:6" x14ac:dyDescent="0.3">
      <c r="A2776">
        <v>50</v>
      </c>
      <c r="B2776">
        <v>82.1</v>
      </c>
      <c r="C2776">
        <f t="shared" si="172"/>
        <v>4105</v>
      </c>
      <c r="D2776">
        <f t="shared" si="173"/>
        <v>2500</v>
      </c>
      <c r="E2776">
        <f t="shared" si="174"/>
        <v>6740.4099999999989</v>
      </c>
      <c r="F2776">
        <f t="shared" si="175"/>
        <v>2500</v>
      </c>
    </row>
    <row r="2777" spans="1:6" x14ac:dyDescent="0.3">
      <c r="A2777">
        <v>80</v>
      </c>
      <c r="B2777">
        <v>62.62</v>
      </c>
      <c r="C2777">
        <f t="shared" si="172"/>
        <v>5009.5999999999995</v>
      </c>
      <c r="D2777">
        <f t="shared" si="173"/>
        <v>6400</v>
      </c>
      <c r="E2777">
        <f t="shared" si="174"/>
        <v>3921.2643999999996</v>
      </c>
      <c r="F2777">
        <f t="shared" si="175"/>
        <v>6400</v>
      </c>
    </row>
    <row r="2778" spans="1:6" x14ac:dyDescent="0.3">
      <c r="A2778">
        <v>2</v>
      </c>
      <c r="B2778">
        <v>107.83</v>
      </c>
      <c r="C2778">
        <f t="shared" si="172"/>
        <v>215.66</v>
      </c>
      <c r="D2778">
        <f t="shared" si="173"/>
        <v>4</v>
      </c>
      <c r="E2778">
        <f t="shared" si="174"/>
        <v>11627.3089</v>
      </c>
      <c r="F2778">
        <f t="shared" si="175"/>
        <v>4</v>
      </c>
    </row>
    <row r="2779" spans="1:6" x14ac:dyDescent="0.3">
      <c r="A2779">
        <v>46</v>
      </c>
      <c r="B2779">
        <v>107.59</v>
      </c>
      <c r="C2779">
        <f t="shared" si="172"/>
        <v>4949.1400000000003</v>
      </c>
      <c r="D2779">
        <f t="shared" si="173"/>
        <v>2116</v>
      </c>
      <c r="E2779">
        <f t="shared" si="174"/>
        <v>11575.608100000001</v>
      </c>
      <c r="F2779">
        <f t="shared" si="175"/>
        <v>2116</v>
      </c>
    </row>
    <row r="2780" spans="1:6" x14ac:dyDescent="0.3">
      <c r="A2780">
        <v>29</v>
      </c>
      <c r="B2780">
        <v>116.98</v>
      </c>
      <c r="C2780">
        <f t="shared" si="172"/>
        <v>3392.42</v>
      </c>
      <c r="D2780">
        <f t="shared" si="173"/>
        <v>841</v>
      </c>
      <c r="E2780">
        <f t="shared" si="174"/>
        <v>13684.320400000001</v>
      </c>
      <c r="F2780">
        <f t="shared" si="175"/>
        <v>841</v>
      </c>
    </row>
    <row r="2781" spans="1:6" x14ac:dyDescent="0.3">
      <c r="A2781">
        <v>6</v>
      </c>
      <c r="B2781">
        <v>84.1</v>
      </c>
      <c r="C2781">
        <f t="shared" si="172"/>
        <v>504.59999999999997</v>
      </c>
      <c r="D2781">
        <f t="shared" si="173"/>
        <v>36</v>
      </c>
      <c r="E2781">
        <f t="shared" si="174"/>
        <v>7072.8099999999995</v>
      </c>
      <c r="F2781">
        <f t="shared" si="175"/>
        <v>36</v>
      </c>
    </row>
    <row r="2782" spans="1:6" x14ac:dyDescent="0.3">
      <c r="A2782">
        <v>32</v>
      </c>
      <c r="B2782">
        <v>160.63999999999999</v>
      </c>
      <c r="C2782">
        <f t="shared" si="172"/>
        <v>5140.4799999999996</v>
      </c>
      <c r="D2782">
        <f t="shared" si="173"/>
        <v>1024</v>
      </c>
      <c r="E2782">
        <f t="shared" si="174"/>
        <v>25805.209599999995</v>
      </c>
      <c r="F2782">
        <f t="shared" si="175"/>
        <v>1024</v>
      </c>
    </row>
    <row r="2783" spans="1:6" x14ac:dyDescent="0.3">
      <c r="A2783">
        <v>16</v>
      </c>
      <c r="B2783">
        <v>84.4</v>
      </c>
      <c r="C2783">
        <f t="shared" si="172"/>
        <v>1350.4</v>
      </c>
      <c r="D2783">
        <f t="shared" si="173"/>
        <v>256</v>
      </c>
      <c r="E2783">
        <f t="shared" si="174"/>
        <v>7123.3600000000006</v>
      </c>
      <c r="F2783">
        <f t="shared" si="175"/>
        <v>256</v>
      </c>
    </row>
    <row r="2784" spans="1:6" x14ac:dyDescent="0.3">
      <c r="A2784">
        <v>44</v>
      </c>
      <c r="B2784">
        <v>81.13</v>
      </c>
      <c r="C2784">
        <f t="shared" si="172"/>
        <v>3569.72</v>
      </c>
      <c r="D2784">
        <f t="shared" si="173"/>
        <v>1936</v>
      </c>
      <c r="E2784">
        <f t="shared" si="174"/>
        <v>6582.0768999999991</v>
      </c>
      <c r="F2784">
        <f t="shared" si="175"/>
        <v>1936</v>
      </c>
    </row>
    <row r="2785" spans="1:6" x14ac:dyDescent="0.3">
      <c r="A2785">
        <v>23</v>
      </c>
      <c r="B2785">
        <v>88.19</v>
      </c>
      <c r="C2785">
        <f t="shared" si="172"/>
        <v>2028.37</v>
      </c>
      <c r="D2785">
        <f t="shared" si="173"/>
        <v>529</v>
      </c>
      <c r="E2785">
        <f t="shared" si="174"/>
        <v>7777.4760999999999</v>
      </c>
      <c r="F2785">
        <f t="shared" si="175"/>
        <v>529</v>
      </c>
    </row>
    <row r="2786" spans="1:6" x14ac:dyDescent="0.3">
      <c r="A2786">
        <v>48</v>
      </c>
      <c r="B2786">
        <v>127.13</v>
      </c>
      <c r="C2786">
        <f t="shared" si="172"/>
        <v>6102.24</v>
      </c>
      <c r="D2786">
        <f t="shared" si="173"/>
        <v>2304</v>
      </c>
      <c r="E2786">
        <f t="shared" si="174"/>
        <v>16162.036899999999</v>
      </c>
      <c r="F2786">
        <f t="shared" si="175"/>
        <v>2304</v>
      </c>
    </row>
    <row r="2787" spans="1:6" x14ac:dyDescent="0.3">
      <c r="A2787">
        <v>34</v>
      </c>
      <c r="B2787">
        <v>119.61</v>
      </c>
      <c r="C2787">
        <f t="shared" si="172"/>
        <v>4066.74</v>
      </c>
      <c r="D2787">
        <f t="shared" si="173"/>
        <v>1156</v>
      </c>
      <c r="E2787">
        <f t="shared" si="174"/>
        <v>14306.552099999999</v>
      </c>
      <c r="F2787">
        <f t="shared" si="175"/>
        <v>1156</v>
      </c>
    </row>
    <row r="2788" spans="1:6" x14ac:dyDescent="0.3">
      <c r="A2788">
        <v>78</v>
      </c>
      <c r="B2788">
        <v>143.47</v>
      </c>
      <c r="C2788">
        <f t="shared" si="172"/>
        <v>11190.66</v>
      </c>
      <c r="D2788">
        <f t="shared" si="173"/>
        <v>6084</v>
      </c>
      <c r="E2788">
        <f t="shared" si="174"/>
        <v>20583.640899999999</v>
      </c>
      <c r="F2788">
        <f t="shared" si="175"/>
        <v>6084</v>
      </c>
    </row>
    <row r="2789" spans="1:6" x14ac:dyDescent="0.3">
      <c r="A2789">
        <v>42</v>
      </c>
      <c r="B2789">
        <v>84.6</v>
      </c>
      <c r="C2789">
        <f t="shared" si="172"/>
        <v>3553.2</v>
      </c>
      <c r="D2789">
        <f t="shared" si="173"/>
        <v>1764</v>
      </c>
      <c r="E2789">
        <f t="shared" si="174"/>
        <v>7157.1599999999989</v>
      </c>
      <c r="F2789">
        <f t="shared" si="175"/>
        <v>1764</v>
      </c>
    </row>
    <row r="2790" spans="1:6" x14ac:dyDescent="0.3">
      <c r="A2790">
        <v>14</v>
      </c>
      <c r="B2790">
        <v>110.72</v>
      </c>
      <c r="C2790">
        <f t="shared" si="172"/>
        <v>1550.08</v>
      </c>
      <c r="D2790">
        <f t="shared" si="173"/>
        <v>196</v>
      </c>
      <c r="E2790">
        <f t="shared" si="174"/>
        <v>12258.9184</v>
      </c>
      <c r="F2790">
        <f t="shared" si="175"/>
        <v>196</v>
      </c>
    </row>
    <row r="2791" spans="1:6" x14ac:dyDescent="0.3">
      <c r="A2791">
        <v>40</v>
      </c>
      <c r="B2791">
        <v>158.93</v>
      </c>
      <c r="C2791">
        <f t="shared" si="172"/>
        <v>6357.2000000000007</v>
      </c>
      <c r="D2791">
        <f t="shared" si="173"/>
        <v>1600</v>
      </c>
      <c r="E2791">
        <f t="shared" si="174"/>
        <v>25258.744900000002</v>
      </c>
      <c r="F2791">
        <f t="shared" si="175"/>
        <v>1600</v>
      </c>
    </row>
    <row r="2792" spans="1:6" x14ac:dyDescent="0.3">
      <c r="A2792">
        <v>10</v>
      </c>
      <c r="B2792">
        <v>68.94</v>
      </c>
      <c r="C2792">
        <f t="shared" si="172"/>
        <v>689.4</v>
      </c>
      <c r="D2792">
        <f t="shared" si="173"/>
        <v>100</v>
      </c>
      <c r="E2792">
        <f t="shared" si="174"/>
        <v>4752.7235999999994</v>
      </c>
      <c r="F2792">
        <f t="shared" si="175"/>
        <v>100</v>
      </c>
    </row>
    <row r="2793" spans="1:6" x14ac:dyDescent="0.3">
      <c r="A2793">
        <v>39</v>
      </c>
      <c r="B2793">
        <v>69.38</v>
      </c>
      <c r="C2793">
        <f t="shared" si="172"/>
        <v>2705.8199999999997</v>
      </c>
      <c r="D2793">
        <f t="shared" si="173"/>
        <v>1521</v>
      </c>
      <c r="E2793">
        <f t="shared" si="174"/>
        <v>4813.5843999999997</v>
      </c>
      <c r="F2793">
        <f t="shared" si="175"/>
        <v>1521</v>
      </c>
    </row>
    <row r="2794" spans="1:6" x14ac:dyDescent="0.3">
      <c r="A2794">
        <v>42</v>
      </c>
      <c r="B2794">
        <v>72</v>
      </c>
      <c r="C2794">
        <f t="shared" si="172"/>
        <v>3024</v>
      </c>
      <c r="D2794">
        <f t="shared" si="173"/>
        <v>1764</v>
      </c>
      <c r="E2794">
        <f t="shared" si="174"/>
        <v>5184</v>
      </c>
      <c r="F2794">
        <f t="shared" si="175"/>
        <v>1764</v>
      </c>
    </row>
    <row r="2795" spans="1:6" x14ac:dyDescent="0.3">
      <c r="A2795">
        <v>47</v>
      </c>
      <c r="B2795">
        <v>57.76</v>
      </c>
      <c r="C2795">
        <f t="shared" si="172"/>
        <v>2714.72</v>
      </c>
      <c r="D2795">
        <f t="shared" si="173"/>
        <v>2209</v>
      </c>
      <c r="E2795">
        <f t="shared" si="174"/>
        <v>3336.2175999999999</v>
      </c>
      <c r="F2795">
        <f t="shared" si="175"/>
        <v>2209</v>
      </c>
    </row>
    <row r="2796" spans="1:6" x14ac:dyDescent="0.3">
      <c r="A2796">
        <v>14</v>
      </c>
      <c r="B2796">
        <v>108.65</v>
      </c>
      <c r="C2796">
        <f t="shared" si="172"/>
        <v>1521.1000000000001</v>
      </c>
      <c r="D2796">
        <f t="shared" si="173"/>
        <v>196</v>
      </c>
      <c r="E2796">
        <f t="shared" si="174"/>
        <v>11804.822500000002</v>
      </c>
      <c r="F2796">
        <f t="shared" si="175"/>
        <v>196</v>
      </c>
    </row>
    <row r="2797" spans="1:6" x14ac:dyDescent="0.3">
      <c r="A2797">
        <v>45</v>
      </c>
      <c r="B2797">
        <v>65.42</v>
      </c>
      <c r="C2797">
        <f t="shared" si="172"/>
        <v>2943.9</v>
      </c>
      <c r="D2797">
        <f t="shared" si="173"/>
        <v>2025</v>
      </c>
      <c r="E2797">
        <f t="shared" si="174"/>
        <v>4279.7764000000006</v>
      </c>
      <c r="F2797">
        <f t="shared" si="175"/>
        <v>2025</v>
      </c>
    </row>
    <row r="2798" spans="1:6" x14ac:dyDescent="0.3">
      <c r="A2798">
        <v>58</v>
      </c>
      <c r="B2798">
        <v>78.930000000000007</v>
      </c>
      <c r="C2798">
        <f t="shared" si="172"/>
        <v>4577.9400000000005</v>
      </c>
      <c r="D2798">
        <f t="shared" si="173"/>
        <v>3364</v>
      </c>
      <c r="E2798">
        <f t="shared" si="174"/>
        <v>6229.9449000000013</v>
      </c>
      <c r="F2798">
        <f t="shared" si="175"/>
        <v>3364</v>
      </c>
    </row>
    <row r="2799" spans="1:6" x14ac:dyDescent="0.3">
      <c r="A2799">
        <v>73</v>
      </c>
      <c r="B2799">
        <v>98.34</v>
      </c>
      <c r="C2799">
        <f t="shared" si="172"/>
        <v>7178.8200000000006</v>
      </c>
      <c r="D2799">
        <f t="shared" si="173"/>
        <v>5329</v>
      </c>
      <c r="E2799">
        <f t="shared" si="174"/>
        <v>9670.7556000000004</v>
      </c>
      <c r="F2799">
        <f t="shared" si="175"/>
        <v>5329</v>
      </c>
    </row>
    <row r="2800" spans="1:6" x14ac:dyDescent="0.3">
      <c r="A2800">
        <v>62</v>
      </c>
      <c r="B2800">
        <v>82.57</v>
      </c>
      <c r="C2800">
        <f t="shared" si="172"/>
        <v>5119.3399999999992</v>
      </c>
      <c r="D2800">
        <f t="shared" si="173"/>
        <v>3844</v>
      </c>
      <c r="E2800">
        <f t="shared" si="174"/>
        <v>6817.8048999999992</v>
      </c>
      <c r="F2800">
        <f t="shared" si="175"/>
        <v>3844</v>
      </c>
    </row>
    <row r="2801" spans="1:6" x14ac:dyDescent="0.3">
      <c r="A2801">
        <v>62</v>
      </c>
      <c r="B2801">
        <v>124.37</v>
      </c>
      <c r="C2801">
        <f t="shared" si="172"/>
        <v>7710.9400000000005</v>
      </c>
      <c r="D2801">
        <f t="shared" si="173"/>
        <v>3844</v>
      </c>
      <c r="E2801">
        <f t="shared" si="174"/>
        <v>15467.896900000002</v>
      </c>
      <c r="F2801">
        <f t="shared" si="175"/>
        <v>3844</v>
      </c>
    </row>
    <row r="2802" spans="1:6" x14ac:dyDescent="0.3">
      <c r="A2802">
        <v>51</v>
      </c>
      <c r="B2802">
        <v>100.96</v>
      </c>
      <c r="C2802">
        <f t="shared" si="172"/>
        <v>5148.96</v>
      </c>
      <c r="D2802">
        <f t="shared" si="173"/>
        <v>2601</v>
      </c>
      <c r="E2802">
        <f t="shared" si="174"/>
        <v>10192.921599999998</v>
      </c>
      <c r="F2802">
        <f t="shared" si="175"/>
        <v>2601</v>
      </c>
    </row>
    <row r="2803" spans="1:6" x14ac:dyDescent="0.3">
      <c r="A2803">
        <v>0.8</v>
      </c>
      <c r="B2803">
        <v>75.22</v>
      </c>
      <c r="C2803">
        <f t="shared" si="172"/>
        <v>60.176000000000002</v>
      </c>
      <c r="D2803">
        <f t="shared" si="173"/>
        <v>0.64000000000000012</v>
      </c>
      <c r="E2803">
        <f t="shared" si="174"/>
        <v>5658.0483999999997</v>
      </c>
      <c r="F2803">
        <f t="shared" si="175"/>
        <v>0.64000000000000012</v>
      </c>
    </row>
    <row r="2804" spans="1:6" x14ac:dyDescent="0.3">
      <c r="A2804">
        <v>57</v>
      </c>
      <c r="B2804">
        <v>59.85</v>
      </c>
      <c r="C2804">
        <f t="shared" si="172"/>
        <v>3411.4500000000003</v>
      </c>
      <c r="D2804">
        <f t="shared" si="173"/>
        <v>3249</v>
      </c>
      <c r="E2804">
        <f t="shared" si="174"/>
        <v>3582.0225</v>
      </c>
      <c r="F2804">
        <f t="shared" si="175"/>
        <v>3249</v>
      </c>
    </row>
    <row r="2805" spans="1:6" x14ac:dyDescent="0.3">
      <c r="A2805">
        <v>8</v>
      </c>
      <c r="B2805">
        <v>104.75</v>
      </c>
      <c r="C2805">
        <f t="shared" si="172"/>
        <v>838</v>
      </c>
      <c r="D2805">
        <f t="shared" si="173"/>
        <v>64</v>
      </c>
      <c r="E2805">
        <f t="shared" si="174"/>
        <v>10972.5625</v>
      </c>
      <c r="F2805">
        <f t="shared" si="175"/>
        <v>64</v>
      </c>
    </row>
    <row r="2806" spans="1:6" x14ac:dyDescent="0.3">
      <c r="A2806">
        <v>69</v>
      </c>
      <c r="B2806">
        <v>70.98</v>
      </c>
      <c r="C2806">
        <f t="shared" si="172"/>
        <v>4897.62</v>
      </c>
      <c r="D2806">
        <f t="shared" si="173"/>
        <v>4761</v>
      </c>
      <c r="E2806">
        <f t="shared" si="174"/>
        <v>5038.1604000000007</v>
      </c>
      <c r="F2806">
        <f t="shared" si="175"/>
        <v>4761</v>
      </c>
    </row>
    <row r="2807" spans="1:6" x14ac:dyDescent="0.3">
      <c r="A2807">
        <v>16</v>
      </c>
      <c r="B2807">
        <v>92.77</v>
      </c>
      <c r="C2807">
        <f t="shared" si="172"/>
        <v>1484.32</v>
      </c>
      <c r="D2807">
        <f t="shared" si="173"/>
        <v>256</v>
      </c>
      <c r="E2807">
        <f t="shared" si="174"/>
        <v>8606.2728999999999</v>
      </c>
      <c r="F2807">
        <f t="shared" si="175"/>
        <v>256</v>
      </c>
    </row>
    <row r="2808" spans="1:6" x14ac:dyDescent="0.3">
      <c r="A2808">
        <v>56</v>
      </c>
      <c r="B2808">
        <v>82.12</v>
      </c>
      <c r="C2808">
        <f t="shared" si="172"/>
        <v>4598.72</v>
      </c>
      <c r="D2808">
        <f t="shared" si="173"/>
        <v>3136</v>
      </c>
      <c r="E2808">
        <f t="shared" si="174"/>
        <v>6743.6944000000003</v>
      </c>
      <c r="F2808">
        <f t="shared" si="175"/>
        <v>3136</v>
      </c>
    </row>
    <row r="2809" spans="1:6" x14ac:dyDescent="0.3">
      <c r="A2809">
        <v>41</v>
      </c>
      <c r="B2809">
        <v>106.35</v>
      </c>
      <c r="C2809">
        <f t="shared" si="172"/>
        <v>4360.3499999999995</v>
      </c>
      <c r="D2809">
        <f t="shared" si="173"/>
        <v>1681</v>
      </c>
      <c r="E2809">
        <f t="shared" si="174"/>
        <v>11310.322499999998</v>
      </c>
      <c r="F2809">
        <f t="shared" si="175"/>
        <v>1681</v>
      </c>
    </row>
    <row r="2810" spans="1:6" x14ac:dyDescent="0.3">
      <c r="A2810">
        <v>1.24</v>
      </c>
      <c r="B2810">
        <v>77.33</v>
      </c>
      <c r="C2810">
        <f t="shared" si="172"/>
        <v>95.889200000000002</v>
      </c>
      <c r="D2810">
        <f t="shared" si="173"/>
        <v>1.5376000000000001</v>
      </c>
      <c r="E2810">
        <f t="shared" si="174"/>
        <v>5979.9288999999999</v>
      </c>
      <c r="F2810">
        <f t="shared" si="175"/>
        <v>1.5376000000000001</v>
      </c>
    </row>
    <row r="2811" spans="1:6" x14ac:dyDescent="0.3">
      <c r="A2811">
        <v>42</v>
      </c>
      <c r="B2811">
        <v>96.01</v>
      </c>
      <c r="C2811">
        <f t="shared" si="172"/>
        <v>4032.42</v>
      </c>
      <c r="D2811">
        <f t="shared" si="173"/>
        <v>1764</v>
      </c>
      <c r="E2811">
        <f t="shared" si="174"/>
        <v>9217.9201000000012</v>
      </c>
      <c r="F2811">
        <f t="shared" si="175"/>
        <v>1764</v>
      </c>
    </row>
    <row r="2812" spans="1:6" x14ac:dyDescent="0.3">
      <c r="A2812">
        <v>57</v>
      </c>
      <c r="B2812">
        <v>107.49</v>
      </c>
      <c r="C2812">
        <f t="shared" si="172"/>
        <v>6126.9299999999994</v>
      </c>
      <c r="D2812">
        <f t="shared" si="173"/>
        <v>3249</v>
      </c>
      <c r="E2812">
        <f t="shared" si="174"/>
        <v>11554.1001</v>
      </c>
      <c r="F2812">
        <f t="shared" si="175"/>
        <v>3249</v>
      </c>
    </row>
    <row r="2813" spans="1:6" x14ac:dyDescent="0.3">
      <c r="A2813">
        <v>20</v>
      </c>
      <c r="B2813">
        <v>88.47</v>
      </c>
      <c r="C2813">
        <f t="shared" si="172"/>
        <v>1769.4</v>
      </c>
      <c r="D2813">
        <f t="shared" si="173"/>
        <v>400</v>
      </c>
      <c r="E2813">
        <f t="shared" si="174"/>
        <v>7826.9408999999996</v>
      </c>
      <c r="F2813">
        <f t="shared" si="175"/>
        <v>400</v>
      </c>
    </row>
    <row r="2814" spans="1:6" x14ac:dyDescent="0.3">
      <c r="A2814">
        <v>8</v>
      </c>
      <c r="B2814">
        <v>87.92</v>
      </c>
      <c r="C2814">
        <f t="shared" si="172"/>
        <v>703.36</v>
      </c>
      <c r="D2814">
        <f t="shared" si="173"/>
        <v>64</v>
      </c>
      <c r="E2814">
        <f t="shared" si="174"/>
        <v>7729.9264000000003</v>
      </c>
      <c r="F2814">
        <f t="shared" si="175"/>
        <v>64</v>
      </c>
    </row>
    <row r="2815" spans="1:6" x14ac:dyDescent="0.3">
      <c r="A2815">
        <v>43</v>
      </c>
      <c r="B2815">
        <v>91.13</v>
      </c>
      <c r="C2815">
        <f t="shared" si="172"/>
        <v>3918.5899999999997</v>
      </c>
      <c r="D2815">
        <f t="shared" si="173"/>
        <v>1849</v>
      </c>
      <c r="E2815">
        <f t="shared" si="174"/>
        <v>8304.6768999999986</v>
      </c>
      <c r="F2815">
        <f t="shared" si="175"/>
        <v>1849</v>
      </c>
    </row>
    <row r="2816" spans="1:6" x14ac:dyDescent="0.3">
      <c r="A2816">
        <v>62</v>
      </c>
      <c r="B2816">
        <v>80.72</v>
      </c>
      <c r="C2816">
        <f t="shared" si="172"/>
        <v>5004.6400000000003</v>
      </c>
      <c r="D2816">
        <f t="shared" si="173"/>
        <v>3844</v>
      </c>
      <c r="E2816">
        <f t="shared" si="174"/>
        <v>6515.7183999999997</v>
      </c>
      <c r="F2816">
        <f t="shared" si="175"/>
        <v>3844</v>
      </c>
    </row>
    <row r="2817" spans="1:6" x14ac:dyDescent="0.3">
      <c r="A2817">
        <v>42</v>
      </c>
      <c r="B2817">
        <v>59.83</v>
      </c>
      <c r="C2817">
        <f t="shared" si="172"/>
        <v>2512.86</v>
      </c>
      <c r="D2817">
        <f t="shared" si="173"/>
        <v>1764</v>
      </c>
      <c r="E2817">
        <f t="shared" si="174"/>
        <v>3579.6288999999997</v>
      </c>
      <c r="F2817">
        <f t="shared" si="175"/>
        <v>1764</v>
      </c>
    </row>
    <row r="2818" spans="1:6" x14ac:dyDescent="0.3">
      <c r="A2818">
        <v>50</v>
      </c>
      <c r="B2818">
        <v>67.02</v>
      </c>
      <c r="C2818">
        <f t="shared" si="172"/>
        <v>3351</v>
      </c>
      <c r="D2818">
        <f t="shared" si="173"/>
        <v>2500</v>
      </c>
      <c r="E2818">
        <f t="shared" si="174"/>
        <v>4491.6803999999993</v>
      </c>
      <c r="F2818">
        <f t="shared" si="175"/>
        <v>2500</v>
      </c>
    </row>
    <row r="2819" spans="1:6" x14ac:dyDescent="0.3">
      <c r="A2819">
        <v>63</v>
      </c>
      <c r="B2819">
        <v>60.22</v>
      </c>
      <c r="C2819">
        <f t="shared" ref="C2819:C2882" si="176">A2819*B2819</f>
        <v>3793.86</v>
      </c>
      <c r="D2819">
        <f t="shared" ref="D2819:D2882" si="177">A2819*A2819</f>
        <v>3969</v>
      </c>
      <c r="E2819">
        <f t="shared" ref="E2819:E2882" si="178">B2819*B2819</f>
        <v>3626.4483999999998</v>
      </c>
      <c r="F2819">
        <f t="shared" ref="F2819:F2882" si="179">A2819^2</f>
        <v>3969</v>
      </c>
    </row>
    <row r="2820" spans="1:6" x14ac:dyDescent="0.3">
      <c r="A2820">
        <v>80</v>
      </c>
      <c r="B2820">
        <v>82.41</v>
      </c>
      <c r="C2820">
        <f t="shared" si="176"/>
        <v>6592.7999999999993</v>
      </c>
      <c r="D2820">
        <f t="shared" si="177"/>
        <v>6400</v>
      </c>
      <c r="E2820">
        <f t="shared" si="178"/>
        <v>6791.4080999999996</v>
      </c>
      <c r="F2820">
        <f t="shared" si="179"/>
        <v>6400</v>
      </c>
    </row>
    <row r="2821" spans="1:6" x14ac:dyDescent="0.3">
      <c r="A2821">
        <v>13</v>
      </c>
      <c r="B2821">
        <v>75.78</v>
      </c>
      <c r="C2821">
        <f t="shared" si="176"/>
        <v>985.14</v>
      </c>
      <c r="D2821">
        <f t="shared" si="177"/>
        <v>169</v>
      </c>
      <c r="E2821">
        <f t="shared" si="178"/>
        <v>5742.6084000000001</v>
      </c>
      <c r="F2821">
        <f t="shared" si="179"/>
        <v>169</v>
      </c>
    </row>
    <row r="2822" spans="1:6" x14ac:dyDescent="0.3">
      <c r="A2822">
        <v>20</v>
      </c>
      <c r="B2822">
        <v>102.42</v>
      </c>
      <c r="C2822">
        <f t="shared" si="176"/>
        <v>2048.4</v>
      </c>
      <c r="D2822">
        <f t="shared" si="177"/>
        <v>400</v>
      </c>
      <c r="E2822">
        <f t="shared" si="178"/>
        <v>10489.856400000001</v>
      </c>
      <c r="F2822">
        <f t="shared" si="179"/>
        <v>400</v>
      </c>
    </row>
    <row r="2823" spans="1:6" x14ac:dyDescent="0.3">
      <c r="A2823">
        <v>71</v>
      </c>
      <c r="B2823">
        <v>98.45</v>
      </c>
      <c r="C2823">
        <f t="shared" si="176"/>
        <v>6989.95</v>
      </c>
      <c r="D2823">
        <f t="shared" si="177"/>
        <v>5041</v>
      </c>
      <c r="E2823">
        <f t="shared" si="178"/>
        <v>9692.4025000000001</v>
      </c>
      <c r="F2823">
        <f t="shared" si="179"/>
        <v>5041</v>
      </c>
    </row>
    <row r="2824" spans="1:6" x14ac:dyDescent="0.3">
      <c r="A2824">
        <v>50</v>
      </c>
      <c r="B2824">
        <v>93.51</v>
      </c>
      <c r="C2824">
        <f t="shared" si="176"/>
        <v>4675.5</v>
      </c>
      <c r="D2824">
        <f t="shared" si="177"/>
        <v>2500</v>
      </c>
      <c r="E2824">
        <f t="shared" si="178"/>
        <v>8744.1201000000001</v>
      </c>
      <c r="F2824">
        <f t="shared" si="179"/>
        <v>2500</v>
      </c>
    </row>
    <row r="2825" spans="1:6" x14ac:dyDescent="0.3">
      <c r="A2825">
        <v>76</v>
      </c>
      <c r="B2825">
        <v>113.68</v>
      </c>
      <c r="C2825">
        <f t="shared" si="176"/>
        <v>8639.68</v>
      </c>
      <c r="D2825">
        <f t="shared" si="177"/>
        <v>5776</v>
      </c>
      <c r="E2825">
        <f t="shared" si="178"/>
        <v>12923.142400000002</v>
      </c>
      <c r="F2825">
        <f t="shared" si="179"/>
        <v>5776</v>
      </c>
    </row>
    <row r="2826" spans="1:6" x14ac:dyDescent="0.3">
      <c r="A2826">
        <v>41</v>
      </c>
      <c r="B2826">
        <v>97.41</v>
      </c>
      <c r="C2826">
        <f t="shared" si="176"/>
        <v>3993.81</v>
      </c>
      <c r="D2826">
        <f t="shared" si="177"/>
        <v>1681</v>
      </c>
      <c r="E2826">
        <f t="shared" si="178"/>
        <v>9488.7080999999998</v>
      </c>
      <c r="F2826">
        <f t="shared" si="179"/>
        <v>1681</v>
      </c>
    </row>
    <row r="2827" spans="1:6" x14ac:dyDescent="0.3">
      <c r="A2827">
        <v>76</v>
      </c>
      <c r="B2827">
        <v>58.65</v>
      </c>
      <c r="C2827">
        <f t="shared" si="176"/>
        <v>4457.3999999999996</v>
      </c>
      <c r="D2827">
        <f t="shared" si="177"/>
        <v>5776</v>
      </c>
      <c r="E2827">
        <f t="shared" si="178"/>
        <v>3439.8224999999998</v>
      </c>
      <c r="F2827">
        <f t="shared" si="179"/>
        <v>5776</v>
      </c>
    </row>
    <row r="2828" spans="1:6" x14ac:dyDescent="0.3">
      <c r="A2828">
        <v>78</v>
      </c>
      <c r="B2828">
        <v>81.680000000000007</v>
      </c>
      <c r="C2828">
        <f t="shared" si="176"/>
        <v>6371.0400000000009</v>
      </c>
      <c r="D2828">
        <f t="shared" si="177"/>
        <v>6084</v>
      </c>
      <c r="E2828">
        <f t="shared" si="178"/>
        <v>6671.6224000000011</v>
      </c>
      <c r="F2828">
        <f t="shared" si="179"/>
        <v>6084</v>
      </c>
    </row>
    <row r="2829" spans="1:6" x14ac:dyDescent="0.3">
      <c r="A2829">
        <v>5</v>
      </c>
      <c r="B2829">
        <v>148.52000000000001</v>
      </c>
      <c r="C2829">
        <f t="shared" si="176"/>
        <v>742.6</v>
      </c>
      <c r="D2829">
        <f t="shared" si="177"/>
        <v>25</v>
      </c>
      <c r="E2829">
        <f t="shared" si="178"/>
        <v>22058.190400000003</v>
      </c>
      <c r="F2829">
        <f t="shared" si="179"/>
        <v>25</v>
      </c>
    </row>
    <row r="2830" spans="1:6" x14ac:dyDescent="0.3">
      <c r="A2830">
        <v>29</v>
      </c>
      <c r="B2830">
        <v>77.55</v>
      </c>
      <c r="C2830">
        <f t="shared" si="176"/>
        <v>2248.9499999999998</v>
      </c>
      <c r="D2830">
        <f t="shared" si="177"/>
        <v>841</v>
      </c>
      <c r="E2830">
        <f t="shared" si="178"/>
        <v>6014.0024999999996</v>
      </c>
      <c r="F2830">
        <f t="shared" si="179"/>
        <v>841</v>
      </c>
    </row>
    <row r="2831" spans="1:6" x14ac:dyDescent="0.3">
      <c r="A2831">
        <v>43</v>
      </c>
      <c r="B2831">
        <v>142.12</v>
      </c>
      <c r="C2831">
        <f t="shared" si="176"/>
        <v>6111.16</v>
      </c>
      <c r="D2831">
        <f t="shared" si="177"/>
        <v>1849</v>
      </c>
      <c r="E2831">
        <f t="shared" si="178"/>
        <v>20198.094400000002</v>
      </c>
      <c r="F2831">
        <f t="shared" si="179"/>
        <v>1849</v>
      </c>
    </row>
    <row r="2832" spans="1:6" x14ac:dyDescent="0.3">
      <c r="A2832">
        <v>49</v>
      </c>
      <c r="B2832">
        <v>125.3</v>
      </c>
      <c r="C2832">
        <f t="shared" si="176"/>
        <v>6139.7</v>
      </c>
      <c r="D2832">
        <f t="shared" si="177"/>
        <v>2401</v>
      </c>
      <c r="E2832">
        <f t="shared" si="178"/>
        <v>15700.09</v>
      </c>
      <c r="F2832">
        <f t="shared" si="179"/>
        <v>2401</v>
      </c>
    </row>
    <row r="2833" spans="1:6" x14ac:dyDescent="0.3">
      <c r="A2833">
        <v>70</v>
      </c>
      <c r="B2833">
        <v>118.81</v>
      </c>
      <c r="C2833">
        <f t="shared" si="176"/>
        <v>8316.7000000000007</v>
      </c>
      <c r="D2833">
        <f t="shared" si="177"/>
        <v>4900</v>
      </c>
      <c r="E2833">
        <f t="shared" si="178"/>
        <v>14115.8161</v>
      </c>
      <c r="F2833">
        <f t="shared" si="179"/>
        <v>4900</v>
      </c>
    </row>
    <row r="2834" spans="1:6" x14ac:dyDescent="0.3">
      <c r="A2834">
        <v>24</v>
      </c>
      <c r="B2834">
        <v>84.16</v>
      </c>
      <c r="C2834">
        <f t="shared" si="176"/>
        <v>2019.84</v>
      </c>
      <c r="D2834">
        <f t="shared" si="177"/>
        <v>576</v>
      </c>
      <c r="E2834">
        <f t="shared" si="178"/>
        <v>7082.9055999999991</v>
      </c>
      <c r="F2834">
        <f t="shared" si="179"/>
        <v>576</v>
      </c>
    </row>
    <row r="2835" spans="1:6" x14ac:dyDescent="0.3">
      <c r="A2835">
        <v>41</v>
      </c>
      <c r="B2835">
        <v>78.739999999999995</v>
      </c>
      <c r="C2835">
        <f t="shared" si="176"/>
        <v>3228.3399999999997</v>
      </c>
      <c r="D2835">
        <f t="shared" si="177"/>
        <v>1681</v>
      </c>
      <c r="E2835">
        <f t="shared" si="178"/>
        <v>6199.9875999999995</v>
      </c>
      <c r="F2835">
        <f t="shared" si="179"/>
        <v>1681</v>
      </c>
    </row>
    <row r="2836" spans="1:6" x14ac:dyDescent="0.3">
      <c r="A2836">
        <v>20</v>
      </c>
      <c r="B2836">
        <v>57.51</v>
      </c>
      <c r="C2836">
        <f t="shared" si="176"/>
        <v>1150.2</v>
      </c>
      <c r="D2836">
        <f t="shared" si="177"/>
        <v>400</v>
      </c>
      <c r="E2836">
        <f t="shared" si="178"/>
        <v>3307.4000999999998</v>
      </c>
      <c r="F2836">
        <f t="shared" si="179"/>
        <v>400</v>
      </c>
    </row>
    <row r="2837" spans="1:6" x14ac:dyDescent="0.3">
      <c r="A2837">
        <v>34</v>
      </c>
      <c r="B2837">
        <v>61.11</v>
      </c>
      <c r="C2837">
        <f t="shared" si="176"/>
        <v>2077.7399999999998</v>
      </c>
      <c r="D2837">
        <f t="shared" si="177"/>
        <v>1156</v>
      </c>
      <c r="E2837">
        <f t="shared" si="178"/>
        <v>3734.4321</v>
      </c>
      <c r="F2837">
        <f t="shared" si="179"/>
        <v>1156</v>
      </c>
    </row>
    <row r="2838" spans="1:6" x14ac:dyDescent="0.3">
      <c r="A2838">
        <v>32</v>
      </c>
      <c r="B2838">
        <v>78.3</v>
      </c>
      <c r="C2838">
        <f t="shared" si="176"/>
        <v>2505.6</v>
      </c>
      <c r="D2838">
        <f t="shared" si="177"/>
        <v>1024</v>
      </c>
      <c r="E2838">
        <f t="shared" si="178"/>
        <v>6130.8899999999994</v>
      </c>
      <c r="F2838">
        <f t="shared" si="179"/>
        <v>1024</v>
      </c>
    </row>
    <row r="2839" spans="1:6" x14ac:dyDescent="0.3">
      <c r="A2839">
        <v>27</v>
      </c>
      <c r="B2839">
        <v>76.19</v>
      </c>
      <c r="C2839">
        <f t="shared" si="176"/>
        <v>2057.13</v>
      </c>
      <c r="D2839">
        <f t="shared" si="177"/>
        <v>729</v>
      </c>
      <c r="E2839">
        <f t="shared" si="178"/>
        <v>5804.9160999999995</v>
      </c>
      <c r="F2839">
        <f t="shared" si="179"/>
        <v>729</v>
      </c>
    </row>
    <row r="2840" spans="1:6" x14ac:dyDescent="0.3">
      <c r="A2840">
        <v>44</v>
      </c>
      <c r="B2840">
        <v>115.99</v>
      </c>
      <c r="C2840">
        <f t="shared" si="176"/>
        <v>5103.5599999999995</v>
      </c>
      <c r="D2840">
        <f t="shared" si="177"/>
        <v>1936</v>
      </c>
      <c r="E2840">
        <f t="shared" si="178"/>
        <v>13453.6801</v>
      </c>
      <c r="F2840">
        <f t="shared" si="179"/>
        <v>1936</v>
      </c>
    </row>
    <row r="2841" spans="1:6" x14ac:dyDescent="0.3">
      <c r="A2841">
        <v>20</v>
      </c>
      <c r="B2841">
        <v>100.8</v>
      </c>
      <c r="C2841">
        <f t="shared" si="176"/>
        <v>2016</v>
      </c>
      <c r="D2841">
        <f t="shared" si="177"/>
        <v>400</v>
      </c>
      <c r="E2841">
        <f t="shared" si="178"/>
        <v>10160.64</v>
      </c>
      <c r="F2841">
        <f t="shared" si="179"/>
        <v>400</v>
      </c>
    </row>
    <row r="2842" spans="1:6" x14ac:dyDescent="0.3">
      <c r="A2842">
        <v>52</v>
      </c>
      <c r="B2842">
        <v>98.27</v>
      </c>
      <c r="C2842">
        <f t="shared" si="176"/>
        <v>5110.04</v>
      </c>
      <c r="D2842">
        <f t="shared" si="177"/>
        <v>2704</v>
      </c>
      <c r="E2842">
        <f t="shared" si="178"/>
        <v>9656.9928999999993</v>
      </c>
      <c r="F2842">
        <f t="shared" si="179"/>
        <v>2704</v>
      </c>
    </row>
    <row r="2843" spans="1:6" x14ac:dyDescent="0.3">
      <c r="A2843">
        <v>57</v>
      </c>
      <c r="B2843">
        <v>93.85</v>
      </c>
      <c r="C2843">
        <f t="shared" si="176"/>
        <v>5349.45</v>
      </c>
      <c r="D2843">
        <f t="shared" si="177"/>
        <v>3249</v>
      </c>
      <c r="E2843">
        <f t="shared" si="178"/>
        <v>8807.8224999999984</v>
      </c>
      <c r="F2843">
        <f t="shared" si="179"/>
        <v>3249</v>
      </c>
    </row>
    <row r="2844" spans="1:6" x14ac:dyDescent="0.3">
      <c r="A2844">
        <v>29</v>
      </c>
      <c r="B2844">
        <v>94.69</v>
      </c>
      <c r="C2844">
        <f t="shared" si="176"/>
        <v>2746.0099999999998</v>
      </c>
      <c r="D2844">
        <f t="shared" si="177"/>
        <v>841</v>
      </c>
      <c r="E2844">
        <f t="shared" si="178"/>
        <v>8966.1960999999992</v>
      </c>
      <c r="F2844">
        <f t="shared" si="179"/>
        <v>841</v>
      </c>
    </row>
    <row r="2845" spans="1:6" x14ac:dyDescent="0.3">
      <c r="A2845">
        <v>16</v>
      </c>
      <c r="B2845">
        <v>136.22999999999999</v>
      </c>
      <c r="C2845">
        <f t="shared" si="176"/>
        <v>2179.6799999999998</v>
      </c>
      <c r="D2845">
        <f t="shared" si="177"/>
        <v>256</v>
      </c>
      <c r="E2845">
        <f t="shared" si="178"/>
        <v>18558.612899999996</v>
      </c>
      <c r="F2845">
        <f t="shared" si="179"/>
        <v>256</v>
      </c>
    </row>
    <row r="2846" spans="1:6" x14ac:dyDescent="0.3">
      <c r="A2846">
        <v>35</v>
      </c>
      <c r="B2846">
        <v>56.12</v>
      </c>
      <c r="C2846">
        <f t="shared" si="176"/>
        <v>1964.1999999999998</v>
      </c>
      <c r="D2846">
        <f t="shared" si="177"/>
        <v>1225</v>
      </c>
      <c r="E2846">
        <f t="shared" si="178"/>
        <v>3149.4543999999996</v>
      </c>
      <c r="F2846">
        <f t="shared" si="179"/>
        <v>1225</v>
      </c>
    </row>
    <row r="2847" spans="1:6" x14ac:dyDescent="0.3">
      <c r="A2847">
        <v>5</v>
      </c>
      <c r="B2847">
        <v>93.03</v>
      </c>
      <c r="C2847">
        <f t="shared" si="176"/>
        <v>465.15</v>
      </c>
      <c r="D2847">
        <f t="shared" si="177"/>
        <v>25</v>
      </c>
      <c r="E2847">
        <f t="shared" si="178"/>
        <v>8654.5809000000008</v>
      </c>
      <c r="F2847">
        <f t="shared" si="179"/>
        <v>25</v>
      </c>
    </row>
    <row r="2848" spans="1:6" x14ac:dyDescent="0.3">
      <c r="A2848">
        <v>63</v>
      </c>
      <c r="B2848">
        <v>196.81</v>
      </c>
      <c r="C2848">
        <f t="shared" si="176"/>
        <v>12399.03</v>
      </c>
      <c r="D2848">
        <f t="shared" si="177"/>
        <v>3969</v>
      </c>
      <c r="E2848">
        <f t="shared" si="178"/>
        <v>38734.176100000004</v>
      </c>
      <c r="F2848">
        <f t="shared" si="179"/>
        <v>3969</v>
      </c>
    </row>
    <row r="2849" spans="1:6" x14ac:dyDescent="0.3">
      <c r="A2849">
        <v>59</v>
      </c>
      <c r="B2849">
        <v>87.81</v>
      </c>
      <c r="C2849">
        <f t="shared" si="176"/>
        <v>5180.79</v>
      </c>
      <c r="D2849">
        <f t="shared" si="177"/>
        <v>3481</v>
      </c>
      <c r="E2849">
        <f t="shared" si="178"/>
        <v>7710.5961000000007</v>
      </c>
      <c r="F2849">
        <f t="shared" si="179"/>
        <v>3481</v>
      </c>
    </row>
    <row r="2850" spans="1:6" x14ac:dyDescent="0.3">
      <c r="A2850">
        <v>63</v>
      </c>
      <c r="B2850">
        <v>222.66</v>
      </c>
      <c r="C2850">
        <f t="shared" si="176"/>
        <v>14027.58</v>
      </c>
      <c r="D2850">
        <f t="shared" si="177"/>
        <v>3969</v>
      </c>
      <c r="E2850">
        <f t="shared" si="178"/>
        <v>49577.475599999998</v>
      </c>
      <c r="F2850">
        <f t="shared" si="179"/>
        <v>3969</v>
      </c>
    </row>
    <row r="2851" spans="1:6" x14ac:dyDescent="0.3">
      <c r="A2851">
        <v>52</v>
      </c>
      <c r="B2851">
        <v>223.58</v>
      </c>
      <c r="C2851">
        <f t="shared" si="176"/>
        <v>11626.16</v>
      </c>
      <c r="D2851">
        <f t="shared" si="177"/>
        <v>2704</v>
      </c>
      <c r="E2851">
        <f t="shared" si="178"/>
        <v>49988.016400000008</v>
      </c>
      <c r="F2851">
        <f t="shared" si="179"/>
        <v>2704</v>
      </c>
    </row>
    <row r="2852" spans="1:6" x14ac:dyDescent="0.3">
      <c r="A2852">
        <v>50</v>
      </c>
      <c r="B2852">
        <v>85.77</v>
      </c>
      <c r="C2852">
        <f t="shared" si="176"/>
        <v>4288.5</v>
      </c>
      <c r="D2852">
        <f t="shared" si="177"/>
        <v>2500</v>
      </c>
      <c r="E2852">
        <f t="shared" si="178"/>
        <v>7356.4928999999993</v>
      </c>
      <c r="F2852">
        <f t="shared" si="179"/>
        <v>2500</v>
      </c>
    </row>
    <row r="2853" spans="1:6" x14ac:dyDescent="0.3">
      <c r="A2853">
        <v>43</v>
      </c>
      <c r="B2853">
        <v>88.23</v>
      </c>
      <c r="C2853">
        <f t="shared" si="176"/>
        <v>3793.8900000000003</v>
      </c>
      <c r="D2853">
        <f t="shared" si="177"/>
        <v>1849</v>
      </c>
      <c r="E2853">
        <f t="shared" si="178"/>
        <v>7784.5329000000011</v>
      </c>
      <c r="F2853">
        <f t="shared" si="179"/>
        <v>1849</v>
      </c>
    </row>
    <row r="2854" spans="1:6" x14ac:dyDescent="0.3">
      <c r="A2854">
        <v>27</v>
      </c>
      <c r="B2854">
        <v>73.650000000000006</v>
      </c>
      <c r="C2854">
        <f t="shared" si="176"/>
        <v>1988.5500000000002</v>
      </c>
      <c r="D2854">
        <f t="shared" si="177"/>
        <v>729</v>
      </c>
      <c r="E2854">
        <f t="shared" si="178"/>
        <v>5424.3225000000011</v>
      </c>
      <c r="F2854">
        <f t="shared" si="179"/>
        <v>729</v>
      </c>
    </row>
    <row r="2855" spans="1:6" x14ac:dyDescent="0.3">
      <c r="A2855">
        <v>30</v>
      </c>
      <c r="B2855">
        <v>141.80000000000001</v>
      </c>
      <c r="C2855">
        <f t="shared" si="176"/>
        <v>4254</v>
      </c>
      <c r="D2855">
        <f t="shared" si="177"/>
        <v>900</v>
      </c>
      <c r="E2855">
        <f t="shared" si="178"/>
        <v>20107.240000000002</v>
      </c>
      <c r="F2855">
        <f t="shared" si="179"/>
        <v>900</v>
      </c>
    </row>
    <row r="2856" spans="1:6" x14ac:dyDescent="0.3">
      <c r="A2856">
        <v>8</v>
      </c>
      <c r="B2856">
        <v>92.65</v>
      </c>
      <c r="C2856">
        <f t="shared" si="176"/>
        <v>741.2</v>
      </c>
      <c r="D2856">
        <f t="shared" si="177"/>
        <v>64</v>
      </c>
      <c r="E2856">
        <f t="shared" si="178"/>
        <v>8584.0225000000009</v>
      </c>
      <c r="F2856">
        <f t="shared" si="179"/>
        <v>64</v>
      </c>
    </row>
    <row r="2857" spans="1:6" x14ac:dyDescent="0.3">
      <c r="A2857">
        <v>75</v>
      </c>
      <c r="B2857">
        <v>198.79</v>
      </c>
      <c r="C2857">
        <f t="shared" si="176"/>
        <v>14909.25</v>
      </c>
      <c r="D2857">
        <f t="shared" si="177"/>
        <v>5625</v>
      </c>
      <c r="E2857">
        <f t="shared" si="178"/>
        <v>39517.464099999997</v>
      </c>
      <c r="F2857">
        <f t="shared" si="179"/>
        <v>5625</v>
      </c>
    </row>
    <row r="2858" spans="1:6" x14ac:dyDescent="0.3">
      <c r="A2858">
        <v>14</v>
      </c>
      <c r="B2858">
        <v>61.04</v>
      </c>
      <c r="C2858">
        <f t="shared" si="176"/>
        <v>854.56</v>
      </c>
      <c r="D2858">
        <f t="shared" si="177"/>
        <v>196</v>
      </c>
      <c r="E2858">
        <f t="shared" si="178"/>
        <v>3725.8815999999997</v>
      </c>
      <c r="F2858">
        <f t="shared" si="179"/>
        <v>196</v>
      </c>
    </row>
    <row r="2859" spans="1:6" x14ac:dyDescent="0.3">
      <c r="A2859">
        <v>23</v>
      </c>
      <c r="B2859">
        <v>102.88</v>
      </c>
      <c r="C2859">
        <f t="shared" si="176"/>
        <v>2366.2399999999998</v>
      </c>
      <c r="D2859">
        <f t="shared" si="177"/>
        <v>529</v>
      </c>
      <c r="E2859">
        <f t="shared" si="178"/>
        <v>10584.294399999999</v>
      </c>
      <c r="F2859">
        <f t="shared" si="179"/>
        <v>529</v>
      </c>
    </row>
    <row r="2860" spans="1:6" x14ac:dyDescent="0.3">
      <c r="A2860">
        <v>6</v>
      </c>
      <c r="B2860">
        <v>123.39</v>
      </c>
      <c r="C2860">
        <f t="shared" si="176"/>
        <v>740.34</v>
      </c>
      <c r="D2860">
        <f t="shared" si="177"/>
        <v>36</v>
      </c>
      <c r="E2860">
        <f t="shared" si="178"/>
        <v>15225.0921</v>
      </c>
      <c r="F2860">
        <f t="shared" si="179"/>
        <v>36</v>
      </c>
    </row>
    <row r="2861" spans="1:6" x14ac:dyDescent="0.3">
      <c r="A2861">
        <v>37</v>
      </c>
      <c r="B2861">
        <v>67.069999999999993</v>
      </c>
      <c r="C2861">
        <f t="shared" si="176"/>
        <v>2481.5899999999997</v>
      </c>
      <c r="D2861">
        <f t="shared" si="177"/>
        <v>1369</v>
      </c>
      <c r="E2861">
        <f t="shared" si="178"/>
        <v>4498.3848999999991</v>
      </c>
      <c r="F2861">
        <f t="shared" si="179"/>
        <v>1369</v>
      </c>
    </row>
    <row r="2862" spans="1:6" x14ac:dyDescent="0.3">
      <c r="A2862">
        <v>38</v>
      </c>
      <c r="B2862">
        <v>69.88</v>
      </c>
      <c r="C2862">
        <f t="shared" si="176"/>
        <v>2655.4399999999996</v>
      </c>
      <c r="D2862">
        <f t="shared" si="177"/>
        <v>1444</v>
      </c>
      <c r="E2862">
        <f t="shared" si="178"/>
        <v>4883.2143999999989</v>
      </c>
      <c r="F2862">
        <f t="shared" si="179"/>
        <v>1444</v>
      </c>
    </row>
    <row r="2863" spans="1:6" x14ac:dyDescent="0.3">
      <c r="A2863">
        <v>3</v>
      </c>
      <c r="B2863">
        <v>57.02</v>
      </c>
      <c r="C2863">
        <f t="shared" si="176"/>
        <v>171.06</v>
      </c>
      <c r="D2863">
        <f t="shared" si="177"/>
        <v>9</v>
      </c>
      <c r="E2863">
        <f t="shared" si="178"/>
        <v>3251.2804000000006</v>
      </c>
      <c r="F2863">
        <f t="shared" si="179"/>
        <v>9</v>
      </c>
    </row>
    <row r="2864" spans="1:6" x14ac:dyDescent="0.3">
      <c r="A2864">
        <v>26</v>
      </c>
      <c r="B2864">
        <v>123.81</v>
      </c>
      <c r="C2864">
        <f t="shared" si="176"/>
        <v>3219.06</v>
      </c>
      <c r="D2864">
        <f t="shared" si="177"/>
        <v>676</v>
      </c>
      <c r="E2864">
        <f t="shared" si="178"/>
        <v>15328.9161</v>
      </c>
      <c r="F2864">
        <f t="shared" si="179"/>
        <v>676</v>
      </c>
    </row>
    <row r="2865" spans="1:6" x14ac:dyDescent="0.3">
      <c r="A2865">
        <v>58</v>
      </c>
      <c r="B2865">
        <v>73.36</v>
      </c>
      <c r="C2865">
        <f t="shared" si="176"/>
        <v>4254.88</v>
      </c>
      <c r="D2865">
        <f t="shared" si="177"/>
        <v>3364</v>
      </c>
      <c r="E2865">
        <f t="shared" si="178"/>
        <v>5381.6895999999997</v>
      </c>
      <c r="F2865">
        <f t="shared" si="179"/>
        <v>3364</v>
      </c>
    </row>
    <row r="2866" spans="1:6" x14ac:dyDescent="0.3">
      <c r="A2866">
        <v>57</v>
      </c>
      <c r="B2866">
        <v>90.54</v>
      </c>
      <c r="C2866">
        <f t="shared" si="176"/>
        <v>5160.7800000000007</v>
      </c>
      <c r="D2866">
        <f t="shared" si="177"/>
        <v>3249</v>
      </c>
      <c r="E2866">
        <f t="shared" si="178"/>
        <v>8197.4916000000012</v>
      </c>
      <c r="F2866">
        <f t="shared" si="179"/>
        <v>3249</v>
      </c>
    </row>
    <row r="2867" spans="1:6" x14ac:dyDescent="0.3">
      <c r="A2867">
        <v>58</v>
      </c>
      <c r="B2867">
        <v>69.239999999999995</v>
      </c>
      <c r="C2867">
        <f t="shared" si="176"/>
        <v>4015.9199999999996</v>
      </c>
      <c r="D2867">
        <f t="shared" si="177"/>
        <v>3364</v>
      </c>
      <c r="E2867">
        <f t="shared" si="178"/>
        <v>4794.1775999999991</v>
      </c>
      <c r="F2867">
        <f t="shared" si="179"/>
        <v>3364</v>
      </c>
    </row>
    <row r="2868" spans="1:6" x14ac:dyDescent="0.3">
      <c r="A2868">
        <v>76</v>
      </c>
      <c r="B2868">
        <v>192.39</v>
      </c>
      <c r="C2868">
        <f t="shared" si="176"/>
        <v>14621.64</v>
      </c>
      <c r="D2868">
        <f t="shared" si="177"/>
        <v>5776</v>
      </c>
      <c r="E2868">
        <f t="shared" si="178"/>
        <v>37013.912099999994</v>
      </c>
      <c r="F2868">
        <f t="shared" si="179"/>
        <v>5776</v>
      </c>
    </row>
    <row r="2869" spans="1:6" x14ac:dyDescent="0.3">
      <c r="A2869">
        <v>68</v>
      </c>
      <c r="B2869">
        <v>233.3</v>
      </c>
      <c r="C2869">
        <f t="shared" si="176"/>
        <v>15864.400000000001</v>
      </c>
      <c r="D2869">
        <f t="shared" si="177"/>
        <v>4624</v>
      </c>
      <c r="E2869">
        <f t="shared" si="178"/>
        <v>54428.890000000007</v>
      </c>
      <c r="F2869">
        <f t="shared" si="179"/>
        <v>4624</v>
      </c>
    </row>
    <row r="2870" spans="1:6" x14ac:dyDescent="0.3">
      <c r="A2870">
        <v>79</v>
      </c>
      <c r="B2870">
        <v>74.349999999999994</v>
      </c>
      <c r="C2870">
        <f t="shared" si="176"/>
        <v>5873.65</v>
      </c>
      <c r="D2870">
        <f t="shared" si="177"/>
        <v>6241</v>
      </c>
      <c r="E2870">
        <f t="shared" si="178"/>
        <v>5527.9224999999988</v>
      </c>
      <c r="F2870">
        <f t="shared" si="179"/>
        <v>6241</v>
      </c>
    </row>
    <row r="2871" spans="1:6" x14ac:dyDescent="0.3">
      <c r="A2871">
        <v>34</v>
      </c>
      <c r="B2871">
        <v>71.94</v>
      </c>
      <c r="C2871">
        <f t="shared" si="176"/>
        <v>2445.96</v>
      </c>
      <c r="D2871">
        <f t="shared" si="177"/>
        <v>1156</v>
      </c>
      <c r="E2871">
        <f t="shared" si="178"/>
        <v>5175.3635999999997</v>
      </c>
      <c r="F2871">
        <f t="shared" si="179"/>
        <v>1156</v>
      </c>
    </row>
    <row r="2872" spans="1:6" x14ac:dyDescent="0.3">
      <c r="A2872">
        <v>75</v>
      </c>
      <c r="B2872">
        <v>82.35</v>
      </c>
      <c r="C2872">
        <f t="shared" si="176"/>
        <v>6176.25</v>
      </c>
      <c r="D2872">
        <f t="shared" si="177"/>
        <v>5625</v>
      </c>
      <c r="E2872">
        <f t="shared" si="178"/>
        <v>6781.5224999999991</v>
      </c>
      <c r="F2872">
        <f t="shared" si="179"/>
        <v>5625</v>
      </c>
    </row>
    <row r="2873" spans="1:6" x14ac:dyDescent="0.3">
      <c r="A2873">
        <v>11</v>
      </c>
      <c r="B2873">
        <v>73.28</v>
      </c>
      <c r="C2873">
        <f t="shared" si="176"/>
        <v>806.08</v>
      </c>
      <c r="D2873">
        <f t="shared" si="177"/>
        <v>121</v>
      </c>
      <c r="E2873">
        <f t="shared" si="178"/>
        <v>5369.9584000000004</v>
      </c>
      <c r="F2873">
        <f t="shared" si="179"/>
        <v>121</v>
      </c>
    </row>
    <row r="2874" spans="1:6" x14ac:dyDescent="0.3">
      <c r="A2874">
        <v>71</v>
      </c>
      <c r="B2874">
        <v>97.57</v>
      </c>
      <c r="C2874">
        <f t="shared" si="176"/>
        <v>6927.4699999999993</v>
      </c>
      <c r="D2874">
        <f t="shared" si="177"/>
        <v>5041</v>
      </c>
      <c r="E2874">
        <f t="shared" si="178"/>
        <v>9519.9048999999995</v>
      </c>
      <c r="F2874">
        <f t="shared" si="179"/>
        <v>5041</v>
      </c>
    </row>
    <row r="2875" spans="1:6" x14ac:dyDescent="0.3">
      <c r="A2875">
        <v>40</v>
      </c>
      <c r="B2875">
        <v>83.3</v>
      </c>
      <c r="C2875">
        <f t="shared" si="176"/>
        <v>3332</v>
      </c>
      <c r="D2875">
        <f t="shared" si="177"/>
        <v>1600</v>
      </c>
      <c r="E2875">
        <f t="shared" si="178"/>
        <v>6938.8899999999994</v>
      </c>
      <c r="F2875">
        <f t="shared" si="179"/>
        <v>1600</v>
      </c>
    </row>
    <row r="2876" spans="1:6" x14ac:dyDescent="0.3">
      <c r="A2876">
        <v>24</v>
      </c>
      <c r="B2876">
        <v>85.07</v>
      </c>
      <c r="C2876">
        <f t="shared" si="176"/>
        <v>2041.6799999999998</v>
      </c>
      <c r="D2876">
        <f t="shared" si="177"/>
        <v>576</v>
      </c>
      <c r="E2876">
        <f t="shared" si="178"/>
        <v>7236.9048999999986</v>
      </c>
      <c r="F2876">
        <f t="shared" si="179"/>
        <v>576</v>
      </c>
    </row>
    <row r="2877" spans="1:6" x14ac:dyDescent="0.3">
      <c r="A2877">
        <v>0.64</v>
      </c>
      <c r="B2877">
        <v>60.4</v>
      </c>
      <c r="C2877">
        <f t="shared" si="176"/>
        <v>38.655999999999999</v>
      </c>
      <c r="D2877">
        <f t="shared" si="177"/>
        <v>0.40960000000000002</v>
      </c>
      <c r="E2877">
        <f t="shared" si="178"/>
        <v>3648.16</v>
      </c>
      <c r="F2877">
        <f t="shared" si="179"/>
        <v>0.40960000000000002</v>
      </c>
    </row>
    <row r="2878" spans="1:6" x14ac:dyDescent="0.3">
      <c r="A2878">
        <v>82</v>
      </c>
      <c r="B2878">
        <v>79.959999999999994</v>
      </c>
      <c r="C2878">
        <f t="shared" si="176"/>
        <v>6556.7199999999993</v>
      </c>
      <c r="D2878">
        <f t="shared" si="177"/>
        <v>6724</v>
      </c>
      <c r="E2878">
        <f t="shared" si="178"/>
        <v>6393.6015999999991</v>
      </c>
      <c r="F2878">
        <f t="shared" si="179"/>
        <v>6724</v>
      </c>
    </row>
    <row r="2879" spans="1:6" x14ac:dyDescent="0.3">
      <c r="A2879">
        <v>32</v>
      </c>
      <c r="B2879">
        <v>70.959999999999994</v>
      </c>
      <c r="C2879">
        <f t="shared" si="176"/>
        <v>2270.7199999999998</v>
      </c>
      <c r="D2879">
        <f t="shared" si="177"/>
        <v>1024</v>
      </c>
      <c r="E2879">
        <f t="shared" si="178"/>
        <v>5035.3215999999993</v>
      </c>
      <c r="F2879">
        <f t="shared" si="179"/>
        <v>1024</v>
      </c>
    </row>
    <row r="2880" spans="1:6" x14ac:dyDescent="0.3">
      <c r="A2880">
        <v>81</v>
      </c>
      <c r="B2880">
        <v>82.86</v>
      </c>
      <c r="C2880">
        <f t="shared" si="176"/>
        <v>6711.66</v>
      </c>
      <c r="D2880">
        <f t="shared" si="177"/>
        <v>6561</v>
      </c>
      <c r="E2880">
        <f t="shared" si="178"/>
        <v>6865.7795999999998</v>
      </c>
      <c r="F2880">
        <f t="shared" si="179"/>
        <v>6561</v>
      </c>
    </row>
    <row r="2881" spans="1:6" x14ac:dyDescent="0.3">
      <c r="A2881">
        <v>33</v>
      </c>
      <c r="B2881">
        <v>97.87</v>
      </c>
      <c r="C2881">
        <f t="shared" si="176"/>
        <v>3229.71</v>
      </c>
      <c r="D2881">
        <f t="shared" si="177"/>
        <v>1089</v>
      </c>
      <c r="E2881">
        <f t="shared" si="178"/>
        <v>9578.536900000001</v>
      </c>
      <c r="F2881">
        <f t="shared" si="179"/>
        <v>1089</v>
      </c>
    </row>
    <row r="2882" spans="1:6" x14ac:dyDescent="0.3">
      <c r="A2882">
        <v>79</v>
      </c>
      <c r="B2882">
        <v>201.38</v>
      </c>
      <c r="C2882">
        <f t="shared" si="176"/>
        <v>15909.02</v>
      </c>
      <c r="D2882">
        <f t="shared" si="177"/>
        <v>6241</v>
      </c>
      <c r="E2882">
        <f t="shared" si="178"/>
        <v>40553.904399999999</v>
      </c>
      <c r="F2882">
        <f t="shared" si="179"/>
        <v>6241</v>
      </c>
    </row>
    <row r="2883" spans="1:6" x14ac:dyDescent="0.3">
      <c r="A2883">
        <v>62</v>
      </c>
      <c r="B2883">
        <v>91.82</v>
      </c>
      <c r="C2883">
        <f t="shared" ref="C2883:C2946" si="180">A2883*B2883</f>
        <v>5692.8399999999992</v>
      </c>
      <c r="D2883">
        <f t="shared" ref="D2883:D2946" si="181">A2883*A2883</f>
        <v>3844</v>
      </c>
      <c r="E2883">
        <f t="shared" ref="E2883:E2946" si="182">B2883*B2883</f>
        <v>8430.9123999999993</v>
      </c>
      <c r="F2883">
        <f t="shared" ref="F2883:F2946" si="183">A2883^2</f>
        <v>3844</v>
      </c>
    </row>
    <row r="2884" spans="1:6" x14ac:dyDescent="0.3">
      <c r="A2884">
        <v>39</v>
      </c>
      <c r="B2884">
        <v>91.85</v>
      </c>
      <c r="C2884">
        <f t="shared" si="180"/>
        <v>3582.1499999999996</v>
      </c>
      <c r="D2884">
        <f t="shared" si="181"/>
        <v>1521</v>
      </c>
      <c r="E2884">
        <f t="shared" si="182"/>
        <v>8436.4224999999988</v>
      </c>
      <c r="F2884">
        <f t="shared" si="183"/>
        <v>1521</v>
      </c>
    </row>
    <row r="2885" spans="1:6" x14ac:dyDescent="0.3">
      <c r="A2885">
        <v>60</v>
      </c>
      <c r="B2885">
        <v>99.23</v>
      </c>
      <c r="C2885">
        <f t="shared" si="180"/>
        <v>5953.8</v>
      </c>
      <c r="D2885">
        <f t="shared" si="181"/>
        <v>3600</v>
      </c>
      <c r="E2885">
        <f t="shared" si="182"/>
        <v>9846.5929000000015</v>
      </c>
      <c r="F2885">
        <f t="shared" si="183"/>
        <v>3600</v>
      </c>
    </row>
    <row r="2886" spans="1:6" x14ac:dyDescent="0.3">
      <c r="A2886">
        <v>48</v>
      </c>
      <c r="B2886">
        <v>68.13</v>
      </c>
      <c r="C2886">
        <f t="shared" si="180"/>
        <v>3270.24</v>
      </c>
      <c r="D2886">
        <f t="shared" si="181"/>
        <v>2304</v>
      </c>
      <c r="E2886">
        <f t="shared" si="182"/>
        <v>4641.696899999999</v>
      </c>
      <c r="F2886">
        <f t="shared" si="183"/>
        <v>2304</v>
      </c>
    </row>
    <row r="2887" spans="1:6" x14ac:dyDescent="0.3">
      <c r="A2887">
        <v>24</v>
      </c>
      <c r="B2887">
        <v>93.76</v>
      </c>
      <c r="C2887">
        <f t="shared" si="180"/>
        <v>2250.2400000000002</v>
      </c>
      <c r="D2887">
        <f t="shared" si="181"/>
        <v>576</v>
      </c>
      <c r="E2887">
        <f t="shared" si="182"/>
        <v>8790.9376000000011</v>
      </c>
      <c r="F2887">
        <f t="shared" si="183"/>
        <v>576</v>
      </c>
    </row>
    <row r="2888" spans="1:6" x14ac:dyDescent="0.3">
      <c r="A2888">
        <v>70</v>
      </c>
      <c r="B2888">
        <v>103.89</v>
      </c>
      <c r="C2888">
        <f t="shared" si="180"/>
        <v>7272.3</v>
      </c>
      <c r="D2888">
        <f t="shared" si="181"/>
        <v>4900</v>
      </c>
      <c r="E2888">
        <f t="shared" si="182"/>
        <v>10793.132100000001</v>
      </c>
      <c r="F2888">
        <f t="shared" si="183"/>
        <v>4900</v>
      </c>
    </row>
    <row r="2889" spans="1:6" x14ac:dyDescent="0.3">
      <c r="A2889">
        <v>17</v>
      </c>
      <c r="B2889">
        <v>87.39</v>
      </c>
      <c r="C2889">
        <f t="shared" si="180"/>
        <v>1485.63</v>
      </c>
      <c r="D2889">
        <f t="shared" si="181"/>
        <v>289</v>
      </c>
      <c r="E2889">
        <f t="shared" si="182"/>
        <v>7637.0120999999999</v>
      </c>
      <c r="F2889">
        <f t="shared" si="183"/>
        <v>289</v>
      </c>
    </row>
    <row r="2890" spans="1:6" x14ac:dyDescent="0.3">
      <c r="A2890">
        <v>56</v>
      </c>
      <c r="B2890">
        <v>89.53</v>
      </c>
      <c r="C2890">
        <f t="shared" si="180"/>
        <v>5013.68</v>
      </c>
      <c r="D2890">
        <f t="shared" si="181"/>
        <v>3136</v>
      </c>
      <c r="E2890">
        <f t="shared" si="182"/>
        <v>8015.6208999999999</v>
      </c>
      <c r="F2890">
        <f t="shared" si="183"/>
        <v>3136</v>
      </c>
    </row>
    <row r="2891" spans="1:6" x14ac:dyDescent="0.3">
      <c r="A2891">
        <v>3</v>
      </c>
      <c r="B2891">
        <v>66.61</v>
      </c>
      <c r="C2891">
        <f t="shared" si="180"/>
        <v>199.82999999999998</v>
      </c>
      <c r="D2891">
        <f t="shared" si="181"/>
        <v>9</v>
      </c>
      <c r="E2891">
        <f t="shared" si="182"/>
        <v>4436.8921</v>
      </c>
      <c r="F2891">
        <f t="shared" si="183"/>
        <v>9</v>
      </c>
    </row>
    <row r="2892" spans="1:6" x14ac:dyDescent="0.3">
      <c r="A2892">
        <v>65</v>
      </c>
      <c r="B2892">
        <v>236.14</v>
      </c>
      <c r="C2892">
        <f t="shared" si="180"/>
        <v>15349.099999999999</v>
      </c>
      <c r="D2892">
        <f t="shared" si="181"/>
        <v>4225</v>
      </c>
      <c r="E2892">
        <f t="shared" si="182"/>
        <v>55762.099599999994</v>
      </c>
      <c r="F2892">
        <f t="shared" si="183"/>
        <v>4225</v>
      </c>
    </row>
    <row r="2893" spans="1:6" x14ac:dyDescent="0.3">
      <c r="A2893">
        <v>72</v>
      </c>
      <c r="B2893">
        <v>99.76</v>
      </c>
      <c r="C2893">
        <f t="shared" si="180"/>
        <v>7182.72</v>
      </c>
      <c r="D2893">
        <f t="shared" si="181"/>
        <v>5184</v>
      </c>
      <c r="E2893">
        <f t="shared" si="182"/>
        <v>9952.0576000000019</v>
      </c>
      <c r="F2893">
        <f t="shared" si="183"/>
        <v>5184</v>
      </c>
    </row>
    <row r="2894" spans="1:6" x14ac:dyDescent="0.3">
      <c r="A2894">
        <v>10</v>
      </c>
      <c r="B2894">
        <v>87.09</v>
      </c>
      <c r="C2894">
        <f t="shared" si="180"/>
        <v>870.90000000000009</v>
      </c>
      <c r="D2894">
        <f t="shared" si="181"/>
        <v>100</v>
      </c>
      <c r="E2894">
        <f t="shared" si="182"/>
        <v>7584.6681000000008</v>
      </c>
      <c r="F2894">
        <f t="shared" si="183"/>
        <v>100</v>
      </c>
    </row>
    <row r="2895" spans="1:6" x14ac:dyDescent="0.3">
      <c r="A2895">
        <v>29</v>
      </c>
      <c r="B2895">
        <v>193.81</v>
      </c>
      <c r="C2895">
        <f t="shared" si="180"/>
        <v>5620.49</v>
      </c>
      <c r="D2895">
        <f t="shared" si="181"/>
        <v>841</v>
      </c>
      <c r="E2895">
        <f t="shared" si="182"/>
        <v>37562.316100000004</v>
      </c>
      <c r="F2895">
        <f t="shared" si="183"/>
        <v>841</v>
      </c>
    </row>
    <row r="2896" spans="1:6" x14ac:dyDescent="0.3">
      <c r="A2896">
        <v>44</v>
      </c>
      <c r="B2896">
        <v>97.27</v>
      </c>
      <c r="C2896">
        <f t="shared" si="180"/>
        <v>4279.88</v>
      </c>
      <c r="D2896">
        <f t="shared" si="181"/>
        <v>1936</v>
      </c>
      <c r="E2896">
        <f t="shared" si="182"/>
        <v>9461.4528999999984</v>
      </c>
      <c r="F2896">
        <f t="shared" si="183"/>
        <v>1936</v>
      </c>
    </row>
    <row r="2897" spans="1:6" x14ac:dyDescent="0.3">
      <c r="A2897">
        <v>46</v>
      </c>
      <c r="B2897">
        <v>137.77000000000001</v>
      </c>
      <c r="C2897">
        <f t="shared" si="180"/>
        <v>6337.42</v>
      </c>
      <c r="D2897">
        <f t="shared" si="181"/>
        <v>2116</v>
      </c>
      <c r="E2897">
        <f t="shared" si="182"/>
        <v>18980.572900000003</v>
      </c>
      <c r="F2897">
        <f t="shared" si="183"/>
        <v>2116</v>
      </c>
    </row>
    <row r="2898" spans="1:6" x14ac:dyDescent="0.3">
      <c r="A2898">
        <v>33</v>
      </c>
      <c r="B2898">
        <v>105.19</v>
      </c>
      <c r="C2898">
        <f t="shared" si="180"/>
        <v>3471.27</v>
      </c>
      <c r="D2898">
        <f t="shared" si="181"/>
        <v>1089</v>
      </c>
      <c r="E2898">
        <f t="shared" si="182"/>
        <v>11064.936099999999</v>
      </c>
      <c r="F2898">
        <f t="shared" si="183"/>
        <v>1089</v>
      </c>
    </row>
    <row r="2899" spans="1:6" x14ac:dyDescent="0.3">
      <c r="A2899">
        <v>63</v>
      </c>
      <c r="B2899">
        <v>82.72</v>
      </c>
      <c r="C2899">
        <f t="shared" si="180"/>
        <v>5211.3599999999997</v>
      </c>
      <c r="D2899">
        <f t="shared" si="181"/>
        <v>3969</v>
      </c>
      <c r="E2899">
        <f t="shared" si="182"/>
        <v>6842.5983999999999</v>
      </c>
      <c r="F2899">
        <f t="shared" si="183"/>
        <v>3969</v>
      </c>
    </row>
    <row r="2900" spans="1:6" x14ac:dyDescent="0.3">
      <c r="A2900">
        <v>0.24</v>
      </c>
      <c r="B2900">
        <v>58.35</v>
      </c>
      <c r="C2900">
        <f t="shared" si="180"/>
        <v>14.004</v>
      </c>
      <c r="D2900">
        <f t="shared" si="181"/>
        <v>5.7599999999999998E-2</v>
      </c>
      <c r="E2900">
        <f t="shared" si="182"/>
        <v>3404.7225000000003</v>
      </c>
      <c r="F2900">
        <f t="shared" si="183"/>
        <v>5.7599999999999998E-2</v>
      </c>
    </row>
    <row r="2901" spans="1:6" x14ac:dyDescent="0.3">
      <c r="A2901">
        <v>55</v>
      </c>
      <c r="B2901">
        <v>68.790000000000006</v>
      </c>
      <c r="C2901">
        <f t="shared" si="180"/>
        <v>3783.4500000000003</v>
      </c>
      <c r="D2901">
        <f t="shared" si="181"/>
        <v>3025</v>
      </c>
      <c r="E2901">
        <f t="shared" si="182"/>
        <v>4732.0641000000005</v>
      </c>
      <c r="F2901">
        <f t="shared" si="183"/>
        <v>3025</v>
      </c>
    </row>
    <row r="2902" spans="1:6" x14ac:dyDescent="0.3">
      <c r="A2902">
        <v>56</v>
      </c>
      <c r="B2902">
        <v>94.19</v>
      </c>
      <c r="C2902">
        <f t="shared" si="180"/>
        <v>5274.6399999999994</v>
      </c>
      <c r="D2902">
        <f t="shared" si="181"/>
        <v>3136</v>
      </c>
      <c r="E2902">
        <f t="shared" si="182"/>
        <v>8871.7560999999987</v>
      </c>
      <c r="F2902">
        <f t="shared" si="183"/>
        <v>3136</v>
      </c>
    </row>
    <row r="2903" spans="1:6" x14ac:dyDescent="0.3">
      <c r="A2903">
        <v>50</v>
      </c>
      <c r="B2903">
        <v>121.17</v>
      </c>
      <c r="C2903">
        <f t="shared" si="180"/>
        <v>6058.5</v>
      </c>
      <c r="D2903">
        <f t="shared" si="181"/>
        <v>2500</v>
      </c>
      <c r="E2903">
        <f t="shared" si="182"/>
        <v>14682.168900000001</v>
      </c>
      <c r="F2903">
        <f t="shared" si="183"/>
        <v>2500</v>
      </c>
    </row>
    <row r="2904" spans="1:6" x14ac:dyDescent="0.3">
      <c r="A2904">
        <v>78</v>
      </c>
      <c r="B2904">
        <v>106.41</v>
      </c>
      <c r="C2904">
        <f t="shared" si="180"/>
        <v>8299.98</v>
      </c>
      <c r="D2904">
        <f t="shared" si="181"/>
        <v>6084</v>
      </c>
      <c r="E2904">
        <f t="shared" si="182"/>
        <v>11323.088099999999</v>
      </c>
      <c r="F2904">
        <f t="shared" si="183"/>
        <v>6084</v>
      </c>
    </row>
    <row r="2905" spans="1:6" x14ac:dyDescent="0.3">
      <c r="A2905">
        <v>63</v>
      </c>
      <c r="B2905">
        <v>104.79</v>
      </c>
      <c r="C2905">
        <f t="shared" si="180"/>
        <v>6601.77</v>
      </c>
      <c r="D2905">
        <f t="shared" si="181"/>
        <v>3969</v>
      </c>
      <c r="E2905">
        <f t="shared" si="182"/>
        <v>10980.944100000001</v>
      </c>
      <c r="F2905">
        <f t="shared" si="183"/>
        <v>3969</v>
      </c>
    </row>
    <row r="2906" spans="1:6" x14ac:dyDescent="0.3">
      <c r="A2906">
        <v>31</v>
      </c>
      <c r="B2906">
        <v>82.18</v>
      </c>
      <c r="C2906">
        <f t="shared" si="180"/>
        <v>2547.5800000000004</v>
      </c>
      <c r="D2906">
        <f t="shared" si="181"/>
        <v>961</v>
      </c>
      <c r="E2906">
        <f t="shared" si="182"/>
        <v>6753.5524000000014</v>
      </c>
      <c r="F2906">
        <f t="shared" si="183"/>
        <v>961</v>
      </c>
    </row>
    <row r="2907" spans="1:6" x14ac:dyDescent="0.3">
      <c r="A2907">
        <v>65</v>
      </c>
      <c r="B2907">
        <v>96.81</v>
      </c>
      <c r="C2907">
        <f t="shared" si="180"/>
        <v>6292.6500000000005</v>
      </c>
      <c r="D2907">
        <f t="shared" si="181"/>
        <v>4225</v>
      </c>
      <c r="E2907">
        <f t="shared" si="182"/>
        <v>9372.1761000000006</v>
      </c>
      <c r="F2907">
        <f t="shared" si="183"/>
        <v>4225</v>
      </c>
    </row>
    <row r="2908" spans="1:6" x14ac:dyDescent="0.3">
      <c r="A2908">
        <v>51</v>
      </c>
      <c r="B2908">
        <v>107.42</v>
      </c>
      <c r="C2908">
        <f t="shared" si="180"/>
        <v>5478.42</v>
      </c>
      <c r="D2908">
        <f t="shared" si="181"/>
        <v>2601</v>
      </c>
      <c r="E2908">
        <f t="shared" si="182"/>
        <v>11539.056399999999</v>
      </c>
      <c r="F2908">
        <f t="shared" si="183"/>
        <v>2601</v>
      </c>
    </row>
    <row r="2909" spans="1:6" x14ac:dyDescent="0.3">
      <c r="A2909">
        <v>60</v>
      </c>
      <c r="B2909">
        <v>69.2</v>
      </c>
      <c r="C2909">
        <f t="shared" si="180"/>
        <v>4152</v>
      </c>
      <c r="D2909">
        <f t="shared" si="181"/>
        <v>3600</v>
      </c>
      <c r="E2909">
        <f t="shared" si="182"/>
        <v>4788.6400000000003</v>
      </c>
      <c r="F2909">
        <f t="shared" si="183"/>
        <v>3600</v>
      </c>
    </row>
    <row r="2910" spans="1:6" x14ac:dyDescent="0.3">
      <c r="A2910">
        <v>69</v>
      </c>
      <c r="B2910">
        <v>92.73</v>
      </c>
      <c r="C2910">
        <f t="shared" si="180"/>
        <v>6398.37</v>
      </c>
      <c r="D2910">
        <f t="shared" si="181"/>
        <v>4761</v>
      </c>
      <c r="E2910">
        <f t="shared" si="182"/>
        <v>8598.8528999999999</v>
      </c>
      <c r="F2910">
        <f t="shared" si="183"/>
        <v>4761</v>
      </c>
    </row>
    <row r="2911" spans="1:6" x14ac:dyDescent="0.3">
      <c r="A2911">
        <v>23</v>
      </c>
      <c r="B2911">
        <v>86.11</v>
      </c>
      <c r="C2911">
        <f t="shared" si="180"/>
        <v>1980.53</v>
      </c>
      <c r="D2911">
        <f t="shared" si="181"/>
        <v>529</v>
      </c>
      <c r="E2911">
        <f t="shared" si="182"/>
        <v>7414.9321</v>
      </c>
      <c r="F2911">
        <f t="shared" si="183"/>
        <v>529</v>
      </c>
    </row>
    <row r="2912" spans="1:6" x14ac:dyDescent="0.3">
      <c r="A2912">
        <v>46</v>
      </c>
      <c r="B2912">
        <v>111.78</v>
      </c>
      <c r="C2912">
        <f t="shared" si="180"/>
        <v>5141.88</v>
      </c>
      <c r="D2912">
        <f t="shared" si="181"/>
        <v>2116</v>
      </c>
      <c r="E2912">
        <f t="shared" si="182"/>
        <v>12494.768400000001</v>
      </c>
      <c r="F2912">
        <f t="shared" si="183"/>
        <v>2116</v>
      </c>
    </row>
    <row r="2913" spans="1:6" x14ac:dyDescent="0.3">
      <c r="A2913">
        <v>16</v>
      </c>
      <c r="B2913">
        <v>122.26</v>
      </c>
      <c r="C2913">
        <f t="shared" si="180"/>
        <v>1956.16</v>
      </c>
      <c r="D2913">
        <f t="shared" si="181"/>
        <v>256</v>
      </c>
      <c r="E2913">
        <f t="shared" si="182"/>
        <v>14947.507600000001</v>
      </c>
      <c r="F2913">
        <f t="shared" si="183"/>
        <v>256</v>
      </c>
    </row>
    <row r="2914" spans="1:6" x14ac:dyDescent="0.3">
      <c r="A2914">
        <v>26</v>
      </c>
      <c r="B2914">
        <v>78.16</v>
      </c>
      <c r="C2914">
        <f t="shared" si="180"/>
        <v>2032.1599999999999</v>
      </c>
      <c r="D2914">
        <f t="shared" si="181"/>
        <v>676</v>
      </c>
      <c r="E2914">
        <f t="shared" si="182"/>
        <v>6108.9855999999991</v>
      </c>
      <c r="F2914">
        <f t="shared" si="183"/>
        <v>676</v>
      </c>
    </row>
    <row r="2915" spans="1:6" x14ac:dyDescent="0.3">
      <c r="A2915">
        <v>44</v>
      </c>
      <c r="B2915">
        <v>105.77</v>
      </c>
      <c r="C2915">
        <f t="shared" si="180"/>
        <v>4653.88</v>
      </c>
      <c r="D2915">
        <f t="shared" si="181"/>
        <v>1936</v>
      </c>
      <c r="E2915">
        <f t="shared" si="182"/>
        <v>11187.292899999999</v>
      </c>
      <c r="F2915">
        <f t="shared" si="183"/>
        <v>1936</v>
      </c>
    </row>
    <row r="2916" spans="1:6" x14ac:dyDescent="0.3">
      <c r="A2916">
        <v>56</v>
      </c>
      <c r="B2916">
        <v>102.97</v>
      </c>
      <c r="C2916">
        <f t="shared" si="180"/>
        <v>5766.32</v>
      </c>
      <c r="D2916">
        <f t="shared" si="181"/>
        <v>3136</v>
      </c>
      <c r="E2916">
        <f t="shared" si="182"/>
        <v>10602.820900000001</v>
      </c>
      <c r="F2916">
        <f t="shared" si="183"/>
        <v>3136</v>
      </c>
    </row>
    <row r="2917" spans="1:6" x14ac:dyDescent="0.3">
      <c r="A2917">
        <v>23</v>
      </c>
      <c r="B2917">
        <v>77.53</v>
      </c>
      <c r="C2917">
        <f t="shared" si="180"/>
        <v>1783.19</v>
      </c>
      <c r="D2917">
        <f t="shared" si="181"/>
        <v>529</v>
      </c>
      <c r="E2917">
        <f t="shared" si="182"/>
        <v>6010.9009000000005</v>
      </c>
      <c r="F2917">
        <f t="shared" si="183"/>
        <v>529</v>
      </c>
    </row>
    <row r="2918" spans="1:6" x14ac:dyDescent="0.3">
      <c r="A2918">
        <v>38</v>
      </c>
      <c r="B2918">
        <v>77.349999999999994</v>
      </c>
      <c r="C2918">
        <f t="shared" si="180"/>
        <v>2939.2999999999997</v>
      </c>
      <c r="D2918">
        <f t="shared" si="181"/>
        <v>1444</v>
      </c>
      <c r="E2918">
        <f t="shared" si="182"/>
        <v>5983.0224999999991</v>
      </c>
      <c r="F2918">
        <f t="shared" si="183"/>
        <v>1444</v>
      </c>
    </row>
    <row r="2919" spans="1:6" x14ac:dyDescent="0.3">
      <c r="A2919">
        <v>18</v>
      </c>
      <c r="B2919">
        <v>82.36</v>
      </c>
      <c r="C2919">
        <f t="shared" si="180"/>
        <v>1482.48</v>
      </c>
      <c r="D2919">
        <f t="shared" si="181"/>
        <v>324</v>
      </c>
      <c r="E2919">
        <f t="shared" si="182"/>
        <v>6783.1696000000002</v>
      </c>
      <c r="F2919">
        <f t="shared" si="183"/>
        <v>324</v>
      </c>
    </row>
    <row r="2920" spans="1:6" x14ac:dyDescent="0.3">
      <c r="A2920">
        <v>63</v>
      </c>
      <c r="B2920">
        <v>239.95</v>
      </c>
      <c r="C2920">
        <f t="shared" si="180"/>
        <v>15116.849999999999</v>
      </c>
      <c r="D2920">
        <f t="shared" si="181"/>
        <v>3969</v>
      </c>
      <c r="E2920">
        <f t="shared" si="182"/>
        <v>57576.002499999995</v>
      </c>
      <c r="F2920">
        <f t="shared" si="183"/>
        <v>3969</v>
      </c>
    </row>
    <row r="2921" spans="1:6" x14ac:dyDescent="0.3">
      <c r="A2921">
        <v>23</v>
      </c>
      <c r="B2921">
        <v>61.96</v>
      </c>
      <c r="C2921">
        <f t="shared" si="180"/>
        <v>1425.08</v>
      </c>
      <c r="D2921">
        <f t="shared" si="181"/>
        <v>529</v>
      </c>
      <c r="E2921">
        <f t="shared" si="182"/>
        <v>3839.0416</v>
      </c>
      <c r="F2921">
        <f t="shared" si="183"/>
        <v>529</v>
      </c>
    </row>
    <row r="2922" spans="1:6" x14ac:dyDescent="0.3">
      <c r="A2922">
        <v>32</v>
      </c>
      <c r="B2922">
        <v>72.099999999999994</v>
      </c>
      <c r="C2922">
        <f t="shared" si="180"/>
        <v>2307.1999999999998</v>
      </c>
      <c r="D2922">
        <f t="shared" si="181"/>
        <v>1024</v>
      </c>
      <c r="E2922">
        <f t="shared" si="182"/>
        <v>5198.4099999999989</v>
      </c>
      <c r="F2922">
        <f t="shared" si="183"/>
        <v>1024</v>
      </c>
    </row>
    <row r="2923" spans="1:6" x14ac:dyDescent="0.3">
      <c r="A2923">
        <v>8</v>
      </c>
      <c r="B2923">
        <v>107.97</v>
      </c>
      <c r="C2923">
        <f t="shared" si="180"/>
        <v>863.76</v>
      </c>
      <c r="D2923">
        <f t="shared" si="181"/>
        <v>64</v>
      </c>
      <c r="E2923">
        <f t="shared" si="182"/>
        <v>11657.5209</v>
      </c>
      <c r="F2923">
        <f t="shared" si="183"/>
        <v>64</v>
      </c>
    </row>
    <row r="2924" spans="1:6" x14ac:dyDescent="0.3">
      <c r="A2924">
        <v>77</v>
      </c>
      <c r="B2924">
        <v>60.77</v>
      </c>
      <c r="C2924">
        <f t="shared" si="180"/>
        <v>4679.29</v>
      </c>
      <c r="D2924">
        <f t="shared" si="181"/>
        <v>5929</v>
      </c>
      <c r="E2924">
        <f t="shared" si="182"/>
        <v>3692.9929000000002</v>
      </c>
      <c r="F2924">
        <f t="shared" si="183"/>
        <v>5929</v>
      </c>
    </row>
    <row r="2925" spans="1:6" x14ac:dyDescent="0.3">
      <c r="A2925">
        <v>41</v>
      </c>
      <c r="B2925">
        <v>71.06</v>
      </c>
      <c r="C2925">
        <f t="shared" si="180"/>
        <v>2913.46</v>
      </c>
      <c r="D2925">
        <f t="shared" si="181"/>
        <v>1681</v>
      </c>
      <c r="E2925">
        <f t="shared" si="182"/>
        <v>5049.5236000000004</v>
      </c>
      <c r="F2925">
        <f t="shared" si="183"/>
        <v>1681</v>
      </c>
    </row>
    <row r="2926" spans="1:6" x14ac:dyDescent="0.3">
      <c r="A2926">
        <v>34</v>
      </c>
      <c r="B2926">
        <v>60.36</v>
      </c>
      <c r="C2926">
        <f t="shared" si="180"/>
        <v>2052.2399999999998</v>
      </c>
      <c r="D2926">
        <f t="shared" si="181"/>
        <v>1156</v>
      </c>
      <c r="E2926">
        <f t="shared" si="182"/>
        <v>3643.3296</v>
      </c>
      <c r="F2926">
        <f t="shared" si="183"/>
        <v>1156</v>
      </c>
    </row>
    <row r="2927" spans="1:6" x14ac:dyDescent="0.3">
      <c r="A2927">
        <v>25</v>
      </c>
      <c r="B2927">
        <v>83.33</v>
      </c>
      <c r="C2927">
        <f t="shared" si="180"/>
        <v>2083.25</v>
      </c>
      <c r="D2927">
        <f t="shared" si="181"/>
        <v>625</v>
      </c>
      <c r="E2927">
        <f t="shared" si="182"/>
        <v>6943.8888999999999</v>
      </c>
      <c r="F2927">
        <f t="shared" si="183"/>
        <v>625</v>
      </c>
    </row>
    <row r="2928" spans="1:6" x14ac:dyDescent="0.3">
      <c r="A2928">
        <v>35</v>
      </c>
      <c r="B2928">
        <v>65.33</v>
      </c>
      <c r="C2928">
        <f t="shared" si="180"/>
        <v>2286.5499999999997</v>
      </c>
      <c r="D2928">
        <f t="shared" si="181"/>
        <v>1225</v>
      </c>
      <c r="E2928">
        <f t="shared" si="182"/>
        <v>4268.0088999999998</v>
      </c>
      <c r="F2928">
        <f t="shared" si="183"/>
        <v>1225</v>
      </c>
    </row>
    <row r="2929" spans="1:6" x14ac:dyDescent="0.3">
      <c r="A2929">
        <v>15</v>
      </c>
      <c r="B2929">
        <v>113.28</v>
      </c>
      <c r="C2929">
        <f t="shared" si="180"/>
        <v>1699.2</v>
      </c>
      <c r="D2929">
        <f t="shared" si="181"/>
        <v>225</v>
      </c>
      <c r="E2929">
        <f t="shared" si="182"/>
        <v>12832.358400000001</v>
      </c>
      <c r="F2929">
        <f t="shared" si="183"/>
        <v>225</v>
      </c>
    </row>
    <row r="2930" spans="1:6" x14ac:dyDescent="0.3">
      <c r="A2930">
        <v>1.64</v>
      </c>
      <c r="B2930">
        <v>170.88</v>
      </c>
      <c r="C2930">
        <f t="shared" si="180"/>
        <v>280.2432</v>
      </c>
      <c r="D2930">
        <f t="shared" si="181"/>
        <v>2.6895999999999995</v>
      </c>
      <c r="E2930">
        <f t="shared" si="182"/>
        <v>29199.974399999999</v>
      </c>
      <c r="F2930">
        <f t="shared" si="183"/>
        <v>2.6895999999999995</v>
      </c>
    </row>
    <row r="2931" spans="1:6" x14ac:dyDescent="0.3">
      <c r="A2931">
        <v>4</v>
      </c>
      <c r="B2931">
        <v>103.34</v>
      </c>
      <c r="C2931">
        <f t="shared" si="180"/>
        <v>413.36</v>
      </c>
      <c r="D2931">
        <f t="shared" si="181"/>
        <v>16</v>
      </c>
      <c r="E2931">
        <f t="shared" si="182"/>
        <v>10679.1556</v>
      </c>
      <c r="F2931">
        <f t="shared" si="183"/>
        <v>16</v>
      </c>
    </row>
    <row r="2932" spans="1:6" x14ac:dyDescent="0.3">
      <c r="A2932">
        <v>33</v>
      </c>
      <c r="B2932">
        <v>106.08</v>
      </c>
      <c r="C2932">
        <f t="shared" si="180"/>
        <v>3500.64</v>
      </c>
      <c r="D2932">
        <f t="shared" si="181"/>
        <v>1089</v>
      </c>
      <c r="E2932">
        <f t="shared" si="182"/>
        <v>11252.966399999999</v>
      </c>
      <c r="F2932">
        <f t="shared" si="183"/>
        <v>1089</v>
      </c>
    </row>
    <row r="2933" spans="1:6" x14ac:dyDescent="0.3">
      <c r="A2933">
        <v>28</v>
      </c>
      <c r="B2933">
        <v>156.44999999999999</v>
      </c>
      <c r="C2933">
        <f t="shared" si="180"/>
        <v>4380.5999999999995</v>
      </c>
      <c r="D2933">
        <f t="shared" si="181"/>
        <v>784</v>
      </c>
      <c r="E2933">
        <f t="shared" si="182"/>
        <v>24476.602499999997</v>
      </c>
      <c r="F2933">
        <f t="shared" si="183"/>
        <v>784</v>
      </c>
    </row>
    <row r="2934" spans="1:6" x14ac:dyDescent="0.3">
      <c r="A2934">
        <v>37</v>
      </c>
      <c r="B2934">
        <v>60.05</v>
      </c>
      <c r="C2934">
        <f t="shared" si="180"/>
        <v>2221.85</v>
      </c>
      <c r="D2934">
        <f t="shared" si="181"/>
        <v>1369</v>
      </c>
      <c r="E2934">
        <f t="shared" si="182"/>
        <v>3606.0024999999996</v>
      </c>
      <c r="F2934">
        <f t="shared" si="183"/>
        <v>1369</v>
      </c>
    </row>
    <row r="2935" spans="1:6" x14ac:dyDescent="0.3">
      <c r="A2935">
        <v>50</v>
      </c>
      <c r="B2935">
        <v>114.05</v>
      </c>
      <c r="C2935">
        <f t="shared" si="180"/>
        <v>5702.5</v>
      </c>
      <c r="D2935">
        <f t="shared" si="181"/>
        <v>2500</v>
      </c>
      <c r="E2935">
        <f t="shared" si="182"/>
        <v>13007.4025</v>
      </c>
      <c r="F2935">
        <f t="shared" si="183"/>
        <v>2500</v>
      </c>
    </row>
    <row r="2936" spans="1:6" x14ac:dyDescent="0.3">
      <c r="A2936">
        <v>76</v>
      </c>
      <c r="B2936">
        <v>202.21</v>
      </c>
      <c r="C2936">
        <f t="shared" si="180"/>
        <v>15367.960000000001</v>
      </c>
      <c r="D2936">
        <f t="shared" si="181"/>
        <v>5776</v>
      </c>
      <c r="E2936">
        <f t="shared" si="182"/>
        <v>40888.884100000003</v>
      </c>
      <c r="F2936">
        <f t="shared" si="183"/>
        <v>5776</v>
      </c>
    </row>
    <row r="2937" spans="1:6" x14ac:dyDescent="0.3">
      <c r="A2937">
        <v>72</v>
      </c>
      <c r="B2937">
        <v>57.28</v>
      </c>
      <c r="C2937">
        <f t="shared" si="180"/>
        <v>4124.16</v>
      </c>
      <c r="D2937">
        <f t="shared" si="181"/>
        <v>5184</v>
      </c>
      <c r="E2937">
        <f t="shared" si="182"/>
        <v>3280.9983999999999</v>
      </c>
      <c r="F2937">
        <f t="shared" si="183"/>
        <v>5184</v>
      </c>
    </row>
    <row r="2938" spans="1:6" x14ac:dyDescent="0.3">
      <c r="A2938">
        <v>16</v>
      </c>
      <c r="B2938">
        <v>99.49</v>
      </c>
      <c r="C2938">
        <f t="shared" si="180"/>
        <v>1591.84</v>
      </c>
      <c r="D2938">
        <f t="shared" si="181"/>
        <v>256</v>
      </c>
      <c r="E2938">
        <f t="shared" si="182"/>
        <v>9898.2600999999995</v>
      </c>
      <c r="F2938">
        <f t="shared" si="183"/>
        <v>256</v>
      </c>
    </row>
    <row r="2939" spans="1:6" x14ac:dyDescent="0.3">
      <c r="A2939">
        <v>44</v>
      </c>
      <c r="B2939">
        <v>63.6</v>
      </c>
      <c r="C2939">
        <f t="shared" si="180"/>
        <v>2798.4</v>
      </c>
      <c r="D2939">
        <f t="shared" si="181"/>
        <v>1936</v>
      </c>
      <c r="E2939">
        <f t="shared" si="182"/>
        <v>4044.96</v>
      </c>
      <c r="F2939">
        <f t="shared" si="183"/>
        <v>1936</v>
      </c>
    </row>
    <row r="2940" spans="1:6" x14ac:dyDescent="0.3">
      <c r="A2940">
        <v>46</v>
      </c>
      <c r="B2940">
        <v>80.010000000000005</v>
      </c>
      <c r="C2940">
        <f t="shared" si="180"/>
        <v>3680.46</v>
      </c>
      <c r="D2940">
        <f t="shared" si="181"/>
        <v>2116</v>
      </c>
      <c r="E2940">
        <f t="shared" si="182"/>
        <v>6401.6001000000006</v>
      </c>
      <c r="F2940">
        <f t="shared" si="183"/>
        <v>2116</v>
      </c>
    </row>
    <row r="2941" spans="1:6" x14ac:dyDescent="0.3">
      <c r="A2941">
        <v>46</v>
      </c>
      <c r="B2941">
        <v>58.42</v>
      </c>
      <c r="C2941">
        <f t="shared" si="180"/>
        <v>2687.32</v>
      </c>
      <c r="D2941">
        <f t="shared" si="181"/>
        <v>2116</v>
      </c>
      <c r="E2941">
        <f t="shared" si="182"/>
        <v>3412.8964000000001</v>
      </c>
      <c r="F2941">
        <f t="shared" si="183"/>
        <v>2116</v>
      </c>
    </row>
    <row r="2942" spans="1:6" x14ac:dyDescent="0.3">
      <c r="A2942">
        <v>73</v>
      </c>
      <c r="B2942">
        <v>67.38</v>
      </c>
      <c r="C2942">
        <f t="shared" si="180"/>
        <v>4918.74</v>
      </c>
      <c r="D2942">
        <f t="shared" si="181"/>
        <v>5329</v>
      </c>
      <c r="E2942">
        <f t="shared" si="182"/>
        <v>4540.0643999999993</v>
      </c>
      <c r="F2942">
        <f t="shared" si="183"/>
        <v>5329</v>
      </c>
    </row>
    <row r="2943" spans="1:6" x14ac:dyDescent="0.3">
      <c r="A2943">
        <v>29</v>
      </c>
      <c r="B2943">
        <v>73.58</v>
      </c>
      <c r="C2943">
        <f t="shared" si="180"/>
        <v>2133.8200000000002</v>
      </c>
      <c r="D2943">
        <f t="shared" si="181"/>
        <v>841</v>
      </c>
      <c r="E2943">
        <f t="shared" si="182"/>
        <v>5414.0163999999995</v>
      </c>
      <c r="F2943">
        <f t="shared" si="183"/>
        <v>841</v>
      </c>
    </row>
    <row r="2944" spans="1:6" x14ac:dyDescent="0.3">
      <c r="A2944">
        <v>19</v>
      </c>
      <c r="B2944">
        <v>103.92</v>
      </c>
      <c r="C2944">
        <f t="shared" si="180"/>
        <v>1974.48</v>
      </c>
      <c r="D2944">
        <f t="shared" si="181"/>
        <v>361</v>
      </c>
      <c r="E2944">
        <f t="shared" si="182"/>
        <v>10799.366400000001</v>
      </c>
      <c r="F2944">
        <f t="shared" si="183"/>
        <v>361</v>
      </c>
    </row>
    <row r="2945" spans="1:6" x14ac:dyDescent="0.3">
      <c r="A2945">
        <v>27</v>
      </c>
      <c r="B2945">
        <v>80.22</v>
      </c>
      <c r="C2945">
        <f t="shared" si="180"/>
        <v>2165.94</v>
      </c>
      <c r="D2945">
        <f t="shared" si="181"/>
        <v>729</v>
      </c>
      <c r="E2945">
        <f t="shared" si="182"/>
        <v>6435.2483999999995</v>
      </c>
      <c r="F2945">
        <f t="shared" si="183"/>
        <v>729</v>
      </c>
    </row>
    <row r="2946" spans="1:6" x14ac:dyDescent="0.3">
      <c r="A2946">
        <v>36</v>
      </c>
      <c r="B2946">
        <v>103.76</v>
      </c>
      <c r="C2946">
        <f t="shared" si="180"/>
        <v>3735.36</v>
      </c>
      <c r="D2946">
        <f t="shared" si="181"/>
        <v>1296</v>
      </c>
      <c r="E2946">
        <f t="shared" si="182"/>
        <v>10766.137600000002</v>
      </c>
      <c r="F2946">
        <f t="shared" si="183"/>
        <v>1296</v>
      </c>
    </row>
    <row r="2947" spans="1:6" x14ac:dyDescent="0.3">
      <c r="A2947">
        <v>61</v>
      </c>
      <c r="B2947">
        <v>77.06</v>
      </c>
      <c r="C2947">
        <f t="shared" ref="C2947:C3010" si="184">A2947*B2947</f>
        <v>4700.66</v>
      </c>
      <c r="D2947">
        <f t="shared" ref="D2947:D3010" si="185">A2947*A2947</f>
        <v>3721</v>
      </c>
      <c r="E2947">
        <f t="shared" ref="E2947:E3010" si="186">B2947*B2947</f>
        <v>5938.2436000000007</v>
      </c>
      <c r="F2947">
        <f t="shared" ref="F2947:F3010" si="187">A2947^2</f>
        <v>3721</v>
      </c>
    </row>
    <row r="2948" spans="1:6" x14ac:dyDescent="0.3">
      <c r="A2948">
        <v>9</v>
      </c>
      <c r="B2948">
        <v>90.22</v>
      </c>
      <c r="C2948">
        <f t="shared" si="184"/>
        <v>811.98</v>
      </c>
      <c r="D2948">
        <f t="shared" si="185"/>
        <v>81</v>
      </c>
      <c r="E2948">
        <f t="shared" si="186"/>
        <v>8139.6484</v>
      </c>
      <c r="F2948">
        <f t="shared" si="187"/>
        <v>81</v>
      </c>
    </row>
    <row r="2949" spans="1:6" x14ac:dyDescent="0.3">
      <c r="A2949">
        <v>25</v>
      </c>
      <c r="B2949">
        <v>181.3</v>
      </c>
      <c r="C2949">
        <f t="shared" si="184"/>
        <v>4532.5</v>
      </c>
      <c r="D2949">
        <f t="shared" si="185"/>
        <v>625</v>
      </c>
      <c r="E2949">
        <f t="shared" si="186"/>
        <v>32869.69</v>
      </c>
      <c r="F2949">
        <f t="shared" si="187"/>
        <v>625</v>
      </c>
    </row>
    <row r="2950" spans="1:6" x14ac:dyDescent="0.3">
      <c r="A2950">
        <v>68</v>
      </c>
      <c r="B2950">
        <v>85.29</v>
      </c>
      <c r="C2950">
        <f t="shared" si="184"/>
        <v>5799.72</v>
      </c>
      <c r="D2950">
        <f t="shared" si="185"/>
        <v>4624</v>
      </c>
      <c r="E2950">
        <f t="shared" si="186"/>
        <v>7274.3841000000011</v>
      </c>
      <c r="F2950">
        <f t="shared" si="187"/>
        <v>4624</v>
      </c>
    </row>
    <row r="2951" spans="1:6" x14ac:dyDescent="0.3">
      <c r="A2951">
        <v>26</v>
      </c>
      <c r="B2951">
        <v>107.59</v>
      </c>
      <c r="C2951">
        <f t="shared" si="184"/>
        <v>2797.34</v>
      </c>
      <c r="D2951">
        <f t="shared" si="185"/>
        <v>676</v>
      </c>
      <c r="E2951">
        <f t="shared" si="186"/>
        <v>11575.608100000001</v>
      </c>
      <c r="F2951">
        <f t="shared" si="187"/>
        <v>676</v>
      </c>
    </row>
    <row r="2952" spans="1:6" x14ac:dyDescent="0.3">
      <c r="A2952">
        <v>17</v>
      </c>
      <c r="B2952">
        <v>87.72</v>
      </c>
      <c r="C2952">
        <f t="shared" si="184"/>
        <v>1491.24</v>
      </c>
      <c r="D2952">
        <f t="shared" si="185"/>
        <v>289</v>
      </c>
      <c r="E2952">
        <f t="shared" si="186"/>
        <v>7694.7983999999997</v>
      </c>
      <c r="F2952">
        <f t="shared" si="187"/>
        <v>289</v>
      </c>
    </row>
    <row r="2953" spans="1:6" x14ac:dyDescent="0.3">
      <c r="A2953">
        <v>75</v>
      </c>
      <c r="B2953">
        <v>70.73</v>
      </c>
      <c r="C2953">
        <f t="shared" si="184"/>
        <v>5304.75</v>
      </c>
      <c r="D2953">
        <f t="shared" si="185"/>
        <v>5625</v>
      </c>
      <c r="E2953">
        <f t="shared" si="186"/>
        <v>5002.7329000000009</v>
      </c>
      <c r="F2953">
        <f t="shared" si="187"/>
        <v>5625</v>
      </c>
    </row>
    <row r="2954" spans="1:6" x14ac:dyDescent="0.3">
      <c r="A2954">
        <v>34</v>
      </c>
      <c r="B2954">
        <v>72.75</v>
      </c>
      <c r="C2954">
        <f t="shared" si="184"/>
        <v>2473.5</v>
      </c>
      <c r="D2954">
        <f t="shared" si="185"/>
        <v>1156</v>
      </c>
      <c r="E2954">
        <f t="shared" si="186"/>
        <v>5292.5625</v>
      </c>
      <c r="F2954">
        <f t="shared" si="187"/>
        <v>1156</v>
      </c>
    </row>
    <row r="2955" spans="1:6" x14ac:dyDescent="0.3">
      <c r="A2955">
        <v>53</v>
      </c>
      <c r="B2955">
        <v>95.47</v>
      </c>
      <c r="C2955">
        <f t="shared" si="184"/>
        <v>5059.91</v>
      </c>
      <c r="D2955">
        <f t="shared" si="185"/>
        <v>2809</v>
      </c>
      <c r="E2955">
        <f t="shared" si="186"/>
        <v>9114.5208999999995</v>
      </c>
      <c r="F2955">
        <f t="shared" si="187"/>
        <v>2809</v>
      </c>
    </row>
    <row r="2956" spans="1:6" x14ac:dyDescent="0.3">
      <c r="A2956">
        <v>18</v>
      </c>
      <c r="B2956">
        <v>70.540000000000006</v>
      </c>
      <c r="C2956">
        <f t="shared" si="184"/>
        <v>1269.72</v>
      </c>
      <c r="D2956">
        <f t="shared" si="185"/>
        <v>324</v>
      </c>
      <c r="E2956">
        <f t="shared" si="186"/>
        <v>4975.8916000000008</v>
      </c>
      <c r="F2956">
        <f t="shared" si="187"/>
        <v>324</v>
      </c>
    </row>
    <row r="2957" spans="1:6" x14ac:dyDescent="0.3">
      <c r="A2957">
        <v>48</v>
      </c>
      <c r="B2957">
        <v>100.03</v>
      </c>
      <c r="C2957">
        <f t="shared" si="184"/>
        <v>4801.4400000000005</v>
      </c>
      <c r="D2957">
        <f t="shared" si="185"/>
        <v>2304</v>
      </c>
      <c r="E2957">
        <f t="shared" si="186"/>
        <v>10006.000900000001</v>
      </c>
      <c r="F2957">
        <f t="shared" si="187"/>
        <v>2304</v>
      </c>
    </row>
    <row r="2958" spans="1:6" x14ac:dyDescent="0.3">
      <c r="A2958">
        <v>5</v>
      </c>
      <c r="B2958">
        <v>59.78</v>
      </c>
      <c r="C2958">
        <f t="shared" si="184"/>
        <v>298.89999999999998</v>
      </c>
      <c r="D2958">
        <f t="shared" si="185"/>
        <v>25</v>
      </c>
      <c r="E2958">
        <f t="shared" si="186"/>
        <v>3573.6484</v>
      </c>
      <c r="F2958">
        <f t="shared" si="187"/>
        <v>25</v>
      </c>
    </row>
    <row r="2959" spans="1:6" x14ac:dyDescent="0.3">
      <c r="A2959">
        <v>79</v>
      </c>
      <c r="B2959">
        <v>198.79</v>
      </c>
      <c r="C2959">
        <f t="shared" si="184"/>
        <v>15704.41</v>
      </c>
      <c r="D2959">
        <f t="shared" si="185"/>
        <v>6241</v>
      </c>
      <c r="E2959">
        <f t="shared" si="186"/>
        <v>39517.464099999997</v>
      </c>
      <c r="F2959">
        <f t="shared" si="187"/>
        <v>6241</v>
      </c>
    </row>
    <row r="2960" spans="1:6" x14ac:dyDescent="0.3">
      <c r="A2960">
        <v>16</v>
      </c>
      <c r="B2960">
        <v>90.39</v>
      </c>
      <c r="C2960">
        <f t="shared" si="184"/>
        <v>1446.24</v>
      </c>
      <c r="D2960">
        <f t="shared" si="185"/>
        <v>256</v>
      </c>
      <c r="E2960">
        <f t="shared" si="186"/>
        <v>8170.3521000000001</v>
      </c>
      <c r="F2960">
        <f t="shared" si="187"/>
        <v>256</v>
      </c>
    </row>
    <row r="2961" spans="1:6" x14ac:dyDescent="0.3">
      <c r="A2961">
        <v>32</v>
      </c>
      <c r="B2961">
        <v>147.04</v>
      </c>
      <c r="C2961">
        <f t="shared" si="184"/>
        <v>4705.28</v>
      </c>
      <c r="D2961">
        <f t="shared" si="185"/>
        <v>1024</v>
      </c>
      <c r="E2961">
        <f t="shared" si="186"/>
        <v>21620.761599999998</v>
      </c>
      <c r="F2961">
        <f t="shared" si="187"/>
        <v>1024</v>
      </c>
    </row>
    <row r="2962" spans="1:6" x14ac:dyDescent="0.3">
      <c r="A2962">
        <v>70</v>
      </c>
      <c r="B2962">
        <v>202.55</v>
      </c>
      <c r="C2962">
        <f t="shared" si="184"/>
        <v>14178.5</v>
      </c>
      <c r="D2962">
        <f t="shared" si="185"/>
        <v>4900</v>
      </c>
      <c r="E2962">
        <f t="shared" si="186"/>
        <v>41026.502500000002</v>
      </c>
      <c r="F2962">
        <f t="shared" si="187"/>
        <v>4900</v>
      </c>
    </row>
    <row r="2963" spans="1:6" x14ac:dyDescent="0.3">
      <c r="A2963">
        <v>55</v>
      </c>
      <c r="B2963">
        <v>64.92</v>
      </c>
      <c r="C2963">
        <f t="shared" si="184"/>
        <v>3570.6</v>
      </c>
      <c r="D2963">
        <f t="shared" si="185"/>
        <v>3025</v>
      </c>
      <c r="E2963">
        <f t="shared" si="186"/>
        <v>4214.6064000000006</v>
      </c>
      <c r="F2963">
        <f t="shared" si="187"/>
        <v>3025</v>
      </c>
    </row>
    <row r="2964" spans="1:6" x14ac:dyDescent="0.3">
      <c r="A2964">
        <v>70</v>
      </c>
      <c r="B2964">
        <v>154.6</v>
      </c>
      <c r="C2964">
        <f t="shared" si="184"/>
        <v>10822</v>
      </c>
      <c r="D2964">
        <f t="shared" si="185"/>
        <v>4900</v>
      </c>
      <c r="E2964">
        <f t="shared" si="186"/>
        <v>23901.16</v>
      </c>
      <c r="F2964">
        <f t="shared" si="187"/>
        <v>4900</v>
      </c>
    </row>
    <row r="2965" spans="1:6" x14ac:dyDescent="0.3">
      <c r="A2965">
        <v>51</v>
      </c>
      <c r="B2965">
        <v>95.98</v>
      </c>
      <c r="C2965">
        <f t="shared" si="184"/>
        <v>4894.9800000000005</v>
      </c>
      <c r="D2965">
        <f t="shared" si="185"/>
        <v>2601</v>
      </c>
      <c r="E2965">
        <f t="shared" si="186"/>
        <v>9212.1604000000007</v>
      </c>
      <c r="F2965">
        <f t="shared" si="187"/>
        <v>2601</v>
      </c>
    </row>
    <row r="2966" spans="1:6" x14ac:dyDescent="0.3">
      <c r="A2966">
        <v>39</v>
      </c>
      <c r="B2966">
        <v>102.51</v>
      </c>
      <c r="C2966">
        <f t="shared" si="184"/>
        <v>3997.8900000000003</v>
      </c>
      <c r="D2966">
        <f t="shared" si="185"/>
        <v>1521</v>
      </c>
      <c r="E2966">
        <f t="shared" si="186"/>
        <v>10508.3001</v>
      </c>
      <c r="F2966">
        <f t="shared" si="187"/>
        <v>1521</v>
      </c>
    </row>
    <row r="2967" spans="1:6" x14ac:dyDescent="0.3">
      <c r="A2967">
        <v>79</v>
      </c>
      <c r="B2967">
        <v>96.52</v>
      </c>
      <c r="C2967">
        <f t="shared" si="184"/>
        <v>7625.08</v>
      </c>
      <c r="D2967">
        <f t="shared" si="185"/>
        <v>6241</v>
      </c>
      <c r="E2967">
        <f t="shared" si="186"/>
        <v>9316.1103999999996</v>
      </c>
      <c r="F2967">
        <f t="shared" si="187"/>
        <v>6241</v>
      </c>
    </row>
    <row r="2968" spans="1:6" x14ac:dyDescent="0.3">
      <c r="A2968">
        <v>80</v>
      </c>
      <c r="B2968">
        <v>232.12</v>
      </c>
      <c r="C2968">
        <f t="shared" si="184"/>
        <v>18569.599999999999</v>
      </c>
      <c r="D2968">
        <f t="shared" si="185"/>
        <v>6400</v>
      </c>
      <c r="E2968">
        <f t="shared" si="186"/>
        <v>53879.6944</v>
      </c>
      <c r="F2968">
        <f t="shared" si="187"/>
        <v>6400</v>
      </c>
    </row>
    <row r="2969" spans="1:6" x14ac:dyDescent="0.3">
      <c r="A2969">
        <v>34</v>
      </c>
      <c r="B2969">
        <v>78.12</v>
      </c>
      <c r="C2969">
        <f t="shared" si="184"/>
        <v>2656.08</v>
      </c>
      <c r="D2969">
        <f t="shared" si="185"/>
        <v>1156</v>
      </c>
      <c r="E2969">
        <f t="shared" si="186"/>
        <v>6102.7344000000003</v>
      </c>
      <c r="F2969">
        <f t="shared" si="187"/>
        <v>1156</v>
      </c>
    </row>
    <row r="2970" spans="1:6" x14ac:dyDescent="0.3">
      <c r="A2970">
        <v>59</v>
      </c>
      <c r="B2970">
        <v>70.040000000000006</v>
      </c>
      <c r="C2970">
        <f t="shared" si="184"/>
        <v>4132.3600000000006</v>
      </c>
      <c r="D2970">
        <f t="shared" si="185"/>
        <v>3481</v>
      </c>
      <c r="E2970">
        <f t="shared" si="186"/>
        <v>4905.6016000000009</v>
      </c>
      <c r="F2970">
        <f t="shared" si="187"/>
        <v>3481</v>
      </c>
    </row>
    <row r="2971" spans="1:6" x14ac:dyDescent="0.3">
      <c r="A2971">
        <v>54</v>
      </c>
      <c r="B2971">
        <v>97.61</v>
      </c>
      <c r="C2971">
        <f t="shared" si="184"/>
        <v>5270.94</v>
      </c>
      <c r="D2971">
        <f t="shared" si="185"/>
        <v>2916</v>
      </c>
      <c r="E2971">
        <f t="shared" si="186"/>
        <v>9527.7121000000006</v>
      </c>
      <c r="F2971">
        <f t="shared" si="187"/>
        <v>2916</v>
      </c>
    </row>
    <row r="2972" spans="1:6" x14ac:dyDescent="0.3">
      <c r="A2972">
        <v>22</v>
      </c>
      <c r="B2972">
        <v>113.11</v>
      </c>
      <c r="C2972">
        <f t="shared" si="184"/>
        <v>2488.42</v>
      </c>
      <c r="D2972">
        <f t="shared" si="185"/>
        <v>484</v>
      </c>
      <c r="E2972">
        <f t="shared" si="186"/>
        <v>12793.872100000001</v>
      </c>
      <c r="F2972">
        <f t="shared" si="187"/>
        <v>484</v>
      </c>
    </row>
    <row r="2973" spans="1:6" x14ac:dyDescent="0.3">
      <c r="A2973">
        <v>21</v>
      </c>
      <c r="B2973">
        <v>71.06</v>
      </c>
      <c r="C2973">
        <f t="shared" si="184"/>
        <v>1492.26</v>
      </c>
      <c r="D2973">
        <f t="shared" si="185"/>
        <v>441</v>
      </c>
      <c r="E2973">
        <f t="shared" si="186"/>
        <v>5049.5236000000004</v>
      </c>
      <c r="F2973">
        <f t="shared" si="187"/>
        <v>441</v>
      </c>
    </row>
    <row r="2974" spans="1:6" x14ac:dyDescent="0.3">
      <c r="A2974">
        <v>4</v>
      </c>
      <c r="B2974">
        <v>104.95</v>
      </c>
      <c r="C2974">
        <f t="shared" si="184"/>
        <v>419.8</v>
      </c>
      <c r="D2974">
        <f t="shared" si="185"/>
        <v>16</v>
      </c>
      <c r="E2974">
        <f t="shared" si="186"/>
        <v>11014.502500000001</v>
      </c>
      <c r="F2974">
        <f t="shared" si="187"/>
        <v>16</v>
      </c>
    </row>
    <row r="2975" spans="1:6" x14ac:dyDescent="0.3">
      <c r="A2975">
        <v>26</v>
      </c>
      <c r="B2975">
        <v>81.94</v>
      </c>
      <c r="C2975">
        <f t="shared" si="184"/>
        <v>2130.44</v>
      </c>
      <c r="D2975">
        <f t="shared" si="185"/>
        <v>676</v>
      </c>
      <c r="E2975">
        <f t="shared" si="186"/>
        <v>6714.1635999999999</v>
      </c>
      <c r="F2975">
        <f t="shared" si="187"/>
        <v>676</v>
      </c>
    </row>
    <row r="2976" spans="1:6" x14ac:dyDescent="0.3">
      <c r="A2976">
        <v>62</v>
      </c>
      <c r="B2976">
        <v>96.37</v>
      </c>
      <c r="C2976">
        <f t="shared" si="184"/>
        <v>5974.9400000000005</v>
      </c>
      <c r="D2976">
        <f t="shared" si="185"/>
        <v>3844</v>
      </c>
      <c r="E2976">
        <f t="shared" si="186"/>
        <v>9287.1769000000004</v>
      </c>
      <c r="F2976">
        <f t="shared" si="187"/>
        <v>3844</v>
      </c>
    </row>
    <row r="2977" spans="1:6" x14ac:dyDescent="0.3">
      <c r="A2977">
        <v>33</v>
      </c>
      <c r="B2977">
        <v>114.16</v>
      </c>
      <c r="C2977">
        <f t="shared" si="184"/>
        <v>3767.2799999999997</v>
      </c>
      <c r="D2977">
        <f t="shared" si="185"/>
        <v>1089</v>
      </c>
      <c r="E2977">
        <f t="shared" si="186"/>
        <v>13032.505599999999</v>
      </c>
      <c r="F2977">
        <f t="shared" si="187"/>
        <v>1089</v>
      </c>
    </row>
    <row r="2978" spans="1:6" x14ac:dyDescent="0.3">
      <c r="A2978">
        <v>51</v>
      </c>
      <c r="B2978">
        <v>93.58</v>
      </c>
      <c r="C2978">
        <f t="shared" si="184"/>
        <v>4772.58</v>
      </c>
      <c r="D2978">
        <f t="shared" si="185"/>
        <v>2601</v>
      </c>
      <c r="E2978">
        <f t="shared" si="186"/>
        <v>8757.2163999999993</v>
      </c>
      <c r="F2978">
        <f t="shared" si="187"/>
        <v>2601</v>
      </c>
    </row>
    <row r="2979" spans="1:6" x14ac:dyDescent="0.3">
      <c r="A2979">
        <v>75</v>
      </c>
      <c r="B2979">
        <v>73.89</v>
      </c>
      <c r="C2979">
        <f t="shared" si="184"/>
        <v>5541.75</v>
      </c>
      <c r="D2979">
        <f t="shared" si="185"/>
        <v>5625</v>
      </c>
      <c r="E2979">
        <f t="shared" si="186"/>
        <v>5459.7321000000002</v>
      </c>
      <c r="F2979">
        <f t="shared" si="187"/>
        <v>5625</v>
      </c>
    </row>
    <row r="2980" spans="1:6" x14ac:dyDescent="0.3">
      <c r="A2980">
        <v>42</v>
      </c>
      <c r="B2980">
        <v>107.83</v>
      </c>
      <c r="C2980">
        <f t="shared" si="184"/>
        <v>4528.8599999999997</v>
      </c>
      <c r="D2980">
        <f t="shared" si="185"/>
        <v>1764</v>
      </c>
      <c r="E2980">
        <f t="shared" si="186"/>
        <v>11627.3089</v>
      </c>
      <c r="F2980">
        <f t="shared" si="187"/>
        <v>1764</v>
      </c>
    </row>
    <row r="2981" spans="1:6" x14ac:dyDescent="0.3">
      <c r="A2981">
        <v>82</v>
      </c>
      <c r="B2981">
        <v>107.21</v>
      </c>
      <c r="C2981">
        <f t="shared" si="184"/>
        <v>8791.2199999999993</v>
      </c>
      <c r="D2981">
        <f t="shared" si="185"/>
        <v>6724</v>
      </c>
      <c r="E2981">
        <f t="shared" si="186"/>
        <v>11493.984099999998</v>
      </c>
      <c r="F2981">
        <f t="shared" si="187"/>
        <v>6724</v>
      </c>
    </row>
    <row r="2982" spans="1:6" x14ac:dyDescent="0.3">
      <c r="A2982">
        <v>61</v>
      </c>
      <c r="B2982">
        <v>99.35</v>
      </c>
      <c r="C2982">
        <f t="shared" si="184"/>
        <v>6060.3499999999995</v>
      </c>
      <c r="D2982">
        <f t="shared" si="185"/>
        <v>3721</v>
      </c>
      <c r="E2982">
        <f t="shared" si="186"/>
        <v>9870.4224999999988</v>
      </c>
      <c r="F2982">
        <f t="shared" si="187"/>
        <v>3721</v>
      </c>
    </row>
    <row r="2983" spans="1:6" x14ac:dyDescent="0.3">
      <c r="A2983">
        <v>62</v>
      </c>
      <c r="B2983">
        <v>203.57</v>
      </c>
      <c r="C2983">
        <f t="shared" si="184"/>
        <v>12621.34</v>
      </c>
      <c r="D2983">
        <f t="shared" si="185"/>
        <v>3844</v>
      </c>
      <c r="E2983">
        <f t="shared" si="186"/>
        <v>41440.744899999998</v>
      </c>
      <c r="F2983">
        <f t="shared" si="187"/>
        <v>3844</v>
      </c>
    </row>
    <row r="2984" spans="1:6" x14ac:dyDescent="0.3">
      <c r="A2984">
        <v>59</v>
      </c>
      <c r="B2984">
        <v>81.510000000000005</v>
      </c>
      <c r="C2984">
        <f t="shared" si="184"/>
        <v>4809.09</v>
      </c>
      <c r="D2984">
        <f t="shared" si="185"/>
        <v>3481</v>
      </c>
      <c r="E2984">
        <f t="shared" si="186"/>
        <v>6643.8801000000012</v>
      </c>
      <c r="F2984">
        <f t="shared" si="187"/>
        <v>3481</v>
      </c>
    </row>
    <row r="2985" spans="1:6" x14ac:dyDescent="0.3">
      <c r="A2985">
        <v>31</v>
      </c>
      <c r="B2985">
        <v>69.260000000000005</v>
      </c>
      <c r="C2985">
        <f t="shared" si="184"/>
        <v>2147.06</v>
      </c>
      <c r="D2985">
        <f t="shared" si="185"/>
        <v>961</v>
      </c>
      <c r="E2985">
        <f t="shared" si="186"/>
        <v>4796.9476000000004</v>
      </c>
      <c r="F2985">
        <f t="shared" si="187"/>
        <v>961</v>
      </c>
    </row>
    <row r="2986" spans="1:6" x14ac:dyDescent="0.3">
      <c r="A2986">
        <v>12</v>
      </c>
      <c r="B2986">
        <v>111.47</v>
      </c>
      <c r="C2986">
        <f t="shared" si="184"/>
        <v>1337.6399999999999</v>
      </c>
      <c r="D2986">
        <f t="shared" si="185"/>
        <v>144</v>
      </c>
      <c r="E2986">
        <f t="shared" si="186"/>
        <v>12425.5609</v>
      </c>
      <c r="F2986">
        <f t="shared" si="187"/>
        <v>144</v>
      </c>
    </row>
    <row r="2987" spans="1:6" x14ac:dyDescent="0.3">
      <c r="A2987">
        <v>76</v>
      </c>
      <c r="B2987">
        <v>86.09</v>
      </c>
      <c r="C2987">
        <f t="shared" si="184"/>
        <v>6542.84</v>
      </c>
      <c r="D2987">
        <f t="shared" si="185"/>
        <v>5776</v>
      </c>
      <c r="E2987">
        <f t="shared" si="186"/>
        <v>7411.4881000000005</v>
      </c>
      <c r="F2987">
        <f t="shared" si="187"/>
        <v>5776</v>
      </c>
    </row>
    <row r="2988" spans="1:6" x14ac:dyDescent="0.3">
      <c r="A2988">
        <v>71</v>
      </c>
      <c r="B2988">
        <v>72.94</v>
      </c>
      <c r="C2988">
        <f t="shared" si="184"/>
        <v>5178.74</v>
      </c>
      <c r="D2988">
        <f t="shared" si="185"/>
        <v>5041</v>
      </c>
      <c r="E2988">
        <f t="shared" si="186"/>
        <v>5320.2435999999998</v>
      </c>
      <c r="F2988">
        <f t="shared" si="187"/>
        <v>5041</v>
      </c>
    </row>
    <row r="2989" spans="1:6" x14ac:dyDescent="0.3">
      <c r="A2989">
        <v>15</v>
      </c>
      <c r="B2989">
        <v>76.77</v>
      </c>
      <c r="C2989">
        <f t="shared" si="184"/>
        <v>1151.55</v>
      </c>
      <c r="D2989">
        <f t="shared" si="185"/>
        <v>225</v>
      </c>
      <c r="E2989">
        <f t="shared" si="186"/>
        <v>5893.6328999999996</v>
      </c>
      <c r="F2989">
        <f t="shared" si="187"/>
        <v>225</v>
      </c>
    </row>
    <row r="2990" spans="1:6" x14ac:dyDescent="0.3">
      <c r="A2990">
        <v>44</v>
      </c>
      <c r="B2990">
        <v>60.32</v>
      </c>
      <c r="C2990">
        <f t="shared" si="184"/>
        <v>2654.08</v>
      </c>
      <c r="D2990">
        <f t="shared" si="185"/>
        <v>1936</v>
      </c>
      <c r="E2990">
        <f t="shared" si="186"/>
        <v>3638.5023999999999</v>
      </c>
      <c r="F2990">
        <f t="shared" si="187"/>
        <v>1936</v>
      </c>
    </row>
    <row r="2991" spans="1:6" x14ac:dyDescent="0.3">
      <c r="A2991">
        <v>30</v>
      </c>
      <c r="B2991">
        <v>133.24</v>
      </c>
      <c r="C2991">
        <f t="shared" si="184"/>
        <v>3997.2000000000003</v>
      </c>
      <c r="D2991">
        <f t="shared" si="185"/>
        <v>900</v>
      </c>
      <c r="E2991">
        <f t="shared" si="186"/>
        <v>17752.897600000004</v>
      </c>
      <c r="F2991">
        <f t="shared" si="187"/>
        <v>900</v>
      </c>
    </row>
    <row r="2992" spans="1:6" x14ac:dyDescent="0.3">
      <c r="A2992">
        <v>47</v>
      </c>
      <c r="B2992">
        <v>65.010000000000005</v>
      </c>
      <c r="C2992">
        <f t="shared" si="184"/>
        <v>3055.4700000000003</v>
      </c>
      <c r="D2992">
        <f t="shared" si="185"/>
        <v>2209</v>
      </c>
      <c r="E2992">
        <f t="shared" si="186"/>
        <v>4226.3001000000004</v>
      </c>
      <c r="F2992">
        <f t="shared" si="187"/>
        <v>2209</v>
      </c>
    </row>
    <row r="2993" spans="1:6" x14ac:dyDescent="0.3">
      <c r="A2993">
        <v>47</v>
      </c>
      <c r="B2993">
        <v>74.63</v>
      </c>
      <c r="C2993">
        <f t="shared" si="184"/>
        <v>3507.6099999999997</v>
      </c>
      <c r="D2993">
        <f t="shared" si="185"/>
        <v>2209</v>
      </c>
      <c r="E2993">
        <f t="shared" si="186"/>
        <v>5569.6368999999995</v>
      </c>
      <c r="F2993">
        <f t="shared" si="187"/>
        <v>2209</v>
      </c>
    </row>
    <row r="2994" spans="1:6" x14ac:dyDescent="0.3">
      <c r="A2994">
        <v>60</v>
      </c>
      <c r="B2994">
        <v>230.78</v>
      </c>
      <c r="C2994">
        <f t="shared" si="184"/>
        <v>13846.8</v>
      </c>
      <c r="D2994">
        <f t="shared" si="185"/>
        <v>3600</v>
      </c>
      <c r="E2994">
        <f t="shared" si="186"/>
        <v>53259.4084</v>
      </c>
      <c r="F2994">
        <f t="shared" si="187"/>
        <v>3600</v>
      </c>
    </row>
    <row r="2995" spans="1:6" x14ac:dyDescent="0.3">
      <c r="A2995">
        <v>62</v>
      </c>
      <c r="B2995">
        <v>72.5</v>
      </c>
      <c r="C2995">
        <f t="shared" si="184"/>
        <v>4495</v>
      </c>
      <c r="D2995">
        <f t="shared" si="185"/>
        <v>3844</v>
      </c>
      <c r="E2995">
        <f t="shared" si="186"/>
        <v>5256.25</v>
      </c>
      <c r="F2995">
        <f t="shared" si="187"/>
        <v>3844</v>
      </c>
    </row>
    <row r="2996" spans="1:6" x14ac:dyDescent="0.3">
      <c r="A2996">
        <v>47</v>
      </c>
      <c r="B2996">
        <v>68.48</v>
      </c>
      <c r="C2996">
        <f t="shared" si="184"/>
        <v>3218.5600000000004</v>
      </c>
      <c r="D2996">
        <f t="shared" si="185"/>
        <v>2209</v>
      </c>
      <c r="E2996">
        <f t="shared" si="186"/>
        <v>4689.5104000000001</v>
      </c>
      <c r="F2996">
        <f t="shared" si="187"/>
        <v>2209</v>
      </c>
    </row>
    <row r="2997" spans="1:6" x14ac:dyDescent="0.3">
      <c r="A2997">
        <v>78</v>
      </c>
      <c r="B2997">
        <v>85.03</v>
      </c>
      <c r="C2997">
        <f t="shared" si="184"/>
        <v>6632.34</v>
      </c>
      <c r="D2997">
        <f t="shared" si="185"/>
        <v>6084</v>
      </c>
      <c r="E2997">
        <f t="shared" si="186"/>
        <v>7230.1009000000004</v>
      </c>
      <c r="F2997">
        <f t="shared" si="187"/>
        <v>6084</v>
      </c>
    </row>
    <row r="2998" spans="1:6" x14ac:dyDescent="0.3">
      <c r="A2998">
        <v>35</v>
      </c>
      <c r="B2998">
        <v>80.760000000000005</v>
      </c>
      <c r="C2998">
        <f t="shared" si="184"/>
        <v>2826.6000000000004</v>
      </c>
      <c r="D2998">
        <f t="shared" si="185"/>
        <v>1225</v>
      </c>
      <c r="E2998">
        <f t="shared" si="186"/>
        <v>6522.1776000000009</v>
      </c>
      <c r="F2998">
        <f t="shared" si="187"/>
        <v>1225</v>
      </c>
    </row>
    <row r="2999" spans="1:6" x14ac:dyDescent="0.3">
      <c r="A2999">
        <v>71</v>
      </c>
      <c r="B2999">
        <v>204.98</v>
      </c>
      <c r="C2999">
        <f t="shared" si="184"/>
        <v>14553.58</v>
      </c>
      <c r="D2999">
        <f t="shared" si="185"/>
        <v>5041</v>
      </c>
      <c r="E2999">
        <f t="shared" si="186"/>
        <v>42016.800399999993</v>
      </c>
      <c r="F2999">
        <f t="shared" si="187"/>
        <v>5041</v>
      </c>
    </row>
    <row r="3000" spans="1:6" x14ac:dyDescent="0.3">
      <c r="A3000">
        <v>57</v>
      </c>
      <c r="B3000">
        <v>95.36</v>
      </c>
      <c r="C3000">
        <f t="shared" si="184"/>
        <v>5435.5199999999995</v>
      </c>
      <c r="D3000">
        <f t="shared" si="185"/>
        <v>3249</v>
      </c>
      <c r="E3000">
        <f t="shared" si="186"/>
        <v>9093.5295999999998</v>
      </c>
      <c r="F3000">
        <f t="shared" si="187"/>
        <v>3249</v>
      </c>
    </row>
    <row r="3001" spans="1:6" x14ac:dyDescent="0.3">
      <c r="A3001">
        <v>12</v>
      </c>
      <c r="B3001">
        <v>110.33</v>
      </c>
      <c r="C3001">
        <f t="shared" si="184"/>
        <v>1323.96</v>
      </c>
      <c r="D3001">
        <f t="shared" si="185"/>
        <v>144</v>
      </c>
      <c r="E3001">
        <f t="shared" si="186"/>
        <v>12172.7089</v>
      </c>
      <c r="F3001">
        <f t="shared" si="187"/>
        <v>144</v>
      </c>
    </row>
    <row r="3002" spans="1:6" x14ac:dyDescent="0.3">
      <c r="A3002">
        <v>26</v>
      </c>
      <c r="B3002">
        <v>89.18</v>
      </c>
      <c r="C3002">
        <f t="shared" si="184"/>
        <v>2318.6800000000003</v>
      </c>
      <c r="D3002">
        <f t="shared" si="185"/>
        <v>676</v>
      </c>
      <c r="E3002">
        <f t="shared" si="186"/>
        <v>7953.0724000000009</v>
      </c>
      <c r="F3002">
        <f t="shared" si="187"/>
        <v>676</v>
      </c>
    </row>
    <row r="3003" spans="1:6" x14ac:dyDescent="0.3">
      <c r="A3003">
        <v>33</v>
      </c>
      <c r="B3003">
        <v>91.53</v>
      </c>
      <c r="C3003">
        <f t="shared" si="184"/>
        <v>3020.4900000000002</v>
      </c>
      <c r="D3003">
        <f t="shared" si="185"/>
        <v>1089</v>
      </c>
      <c r="E3003">
        <f t="shared" si="186"/>
        <v>8377.7409000000007</v>
      </c>
      <c r="F3003">
        <f t="shared" si="187"/>
        <v>1089</v>
      </c>
    </row>
    <row r="3004" spans="1:6" x14ac:dyDescent="0.3">
      <c r="A3004">
        <v>60</v>
      </c>
      <c r="B3004">
        <v>65.16</v>
      </c>
      <c r="C3004">
        <f t="shared" si="184"/>
        <v>3909.6</v>
      </c>
      <c r="D3004">
        <f t="shared" si="185"/>
        <v>3600</v>
      </c>
      <c r="E3004">
        <f t="shared" si="186"/>
        <v>4245.8255999999992</v>
      </c>
      <c r="F3004">
        <f t="shared" si="187"/>
        <v>3600</v>
      </c>
    </row>
    <row r="3005" spans="1:6" x14ac:dyDescent="0.3">
      <c r="A3005">
        <v>35</v>
      </c>
      <c r="B3005">
        <v>74.53</v>
      </c>
      <c r="C3005">
        <f t="shared" si="184"/>
        <v>2608.5500000000002</v>
      </c>
      <c r="D3005">
        <f t="shared" si="185"/>
        <v>1225</v>
      </c>
      <c r="E3005">
        <f t="shared" si="186"/>
        <v>5554.7209000000003</v>
      </c>
      <c r="F3005">
        <f t="shared" si="187"/>
        <v>1225</v>
      </c>
    </row>
    <row r="3006" spans="1:6" x14ac:dyDescent="0.3">
      <c r="A3006">
        <v>10</v>
      </c>
      <c r="B3006">
        <v>93.29</v>
      </c>
      <c r="C3006">
        <f t="shared" si="184"/>
        <v>932.90000000000009</v>
      </c>
      <c r="D3006">
        <f t="shared" si="185"/>
        <v>100</v>
      </c>
      <c r="E3006">
        <f t="shared" si="186"/>
        <v>8703.0241000000005</v>
      </c>
      <c r="F3006">
        <f t="shared" si="187"/>
        <v>100</v>
      </c>
    </row>
    <row r="3007" spans="1:6" x14ac:dyDescent="0.3">
      <c r="A3007">
        <v>50</v>
      </c>
      <c r="B3007">
        <v>227.89</v>
      </c>
      <c r="C3007">
        <f t="shared" si="184"/>
        <v>11394.5</v>
      </c>
      <c r="D3007">
        <f t="shared" si="185"/>
        <v>2500</v>
      </c>
      <c r="E3007">
        <f t="shared" si="186"/>
        <v>51933.852099999996</v>
      </c>
      <c r="F3007">
        <f t="shared" si="187"/>
        <v>2500</v>
      </c>
    </row>
    <row r="3008" spans="1:6" x14ac:dyDescent="0.3">
      <c r="A3008">
        <v>44</v>
      </c>
      <c r="B3008">
        <v>121.46</v>
      </c>
      <c r="C3008">
        <f t="shared" si="184"/>
        <v>5344.24</v>
      </c>
      <c r="D3008">
        <f t="shared" si="185"/>
        <v>1936</v>
      </c>
      <c r="E3008">
        <f t="shared" si="186"/>
        <v>14752.531599999998</v>
      </c>
      <c r="F3008">
        <f t="shared" si="187"/>
        <v>1936</v>
      </c>
    </row>
    <row r="3009" spans="1:6" x14ac:dyDescent="0.3">
      <c r="A3009">
        <v>73</v>
      </c>
      <c r="B3009">
        <v>69.349999999999994</v>
      </c>
      <c r="C3009">
        <f t="shared" si="184"/>
        <v>5062.5499999999993</v>
      </c>
      <c r="D3009">
        <f t="shared" si="185"/>
        <v>5329</v>
      </c>
      <c r="E3009">
        <f t="shared" si="186"/>
        <v>4809.4224999999988</v>
      </c>
      <c r="F3009">
        <f t="shared" si="187"/>
        <v>5329</v>
      </c>
    </row>
    <row r="3010" spans="1:6" x14ac:dyDescent="0.3">
      <c r="A3010">
        <v>41</v>
      </c>
      <c r="B3010">
        <v>216.71</v>
      </c>
      <c r="C3010">
        <f t="shared" si="184"/>
        <v>8885.11</v>
      </c>
      <c r="D3010">
        <f t="shared" si="185"/>
        <v>1681</v>
      </c>
      <c r="E3010">
        <f t="shared" si="186"/>
        <v>46963.224100000007</v>
      </c>
      <c r="F3010">
        <f t="shared" si="187"/>
        <v>1681</v>
      </c>
    </row>
    <row r="3011" spans="1:6" x14ac:dyDescent="0.3">
      <c r="A3011">
        <v>7</v>
      </c>
      <c r="B3011">
        <v>74.959999999999994</v>
      </c>
      <c r="C3011">
        <f t="shared" ref="C3011:C3074" si="188">A3011*B3011</f>
        <v>524.71999999999991</v>
      </c>
      <c r="D3011">
        <f t="shared" ref="D3011:D3074" si="189">A3011*A3011</f>
        <v>49</v>
      </c>
      <c r="E3011">
        <f t="shared" ref="E3011:E3074" si="190">B3011*B3011</f>
        <v>5619.0015999999987</v>
      </c>
      <c r="F3011">
        <f t="shared" ref="F3011:F3074" si="191">A3011^2</f>
        <v>49</v>
      </c>
    </row>
    <row r="3012" spans="1:6" x14ac:dyDescent="0.3">
      <c r="A3012">
        <v>45</v>
      </c>
      <c r="B3012">
        <v>75.25</v>
      </c>
      <c r="C3012">
        <f t="shared" si="188"/>
        <v>3386.25</v>
      </c>
      <c r="D3012">
        <f t="shared" si="189"/>
        <v>2025</v>
      </c>
      <c r="E3012">
        <f t="shared" si="190"/>
        <v>5662.5625</v>
      </c>
      <c r="F3012">
        <f t="shared" si="191"/>
        <v>2025</v>
      </c>
    </row>
    <row r="3013" spans="1:6" x14ac:dyDescent="0.3">
      <c r="A3013">
        <v>60</v>
      </c>
      <c r="B3013">
        <v>91.82</v>
      </c>
      <c r="C3013">
        <f t="shared" si="188"/>
        <v>5509.2</v>
      </c>
      <c r="D3013">
        <f t="shared" si="189"/>
        <v>3600</v>
      </c>
      <c r="E3013">
        <f t="shared" si="190"/>
        <v>8430.9123999999993</v>
      </c>
      <c r="F3013">
        <f t="shared" si="191"/>
        <v>3600</v>
      </c>
    </row>
    <row r="3014" spans="1:6" x14ac:dyDescent="0.3">
      <c r="A3014">
        <v>49</v>
      </c>
      <c r="B3014">
        <v>56.37</v>
      </c>
      <c r="C3014">
        <f t="shared" si="188"/>
        <v>2762.1299999999997</v>
      </c>
      <c r="D3014">
        <f t="shared" si="189"/>
        <v>2401</v>
      </c>
      <c r="E3014">
        <f t="shared" si="190"/>
        <v>3177.5768999999996</v>
      </c>
      <c r="F3014">
        <f t="shared" si="191"/>
        <v>2401</v>
      </c>
    </row>
    <row r="3015" spans="1:6" x14ac:dyDescent="0.3">
      <c r="A3015">
        <v>45</v>
      </c>
      <c r="B3015">
        <v>149.15</v>
      </c>
      <c r="C3015">
        <f t="shared" si="188"/>
        <v>6711.75</v>
      </c>
      <c r="D3015">
        <f t="shared" si="189"/>
        <v>2025</v>
      </c>
      <c r="E3015">
        <f t="shared" si="190"/>
        <v>22245.722500000003</v>
      </c>
      <c r="F3015">
        <f t="shared" si="191"/>
        <v>2025</v>
      </c>
    </row>
    <row r="3016" spans="1:6" x14ac:dyDescent="0.3">
      <c r="A3016">
        <v>55</v>
      </c>
      <c r="B3016">
        <v>202.67</v>
      </c>
      <c r="C3016">
        <f t="shared" si="188"/>
        <v>11146.849999999999</v>
      </c>
      <c r="D3016">
        <f t="shared" si="189"/>
        <v>3025</v>
      </c>
      <c r="E3016">
        <f t="shared" si="190"/>
        <v>41075.128899999996</v>
      </c>
      <c r="F3016">
        <f t="shared" si="191"/>
        <v>3025</v>
      </c>
    </row>
    <row r="3017" spans="1:6" x14ac:dyDescent="0.3">
      <c r="A3017">
        <v>54</v>
      </c>
      <c r="B3017">
        <v>65.38</v>
      </c>
      <c r="C3017">
        <f t="shared" si="188"/>
        <v>3530.5199999999995</v>
      </c>
      <c r="D3017">
        <f t="shared" si="189"/>
        <v>2916</v>
      </c>
      <c r="E3017">
        <f t="shared" si="190"/>
        <v>4274.5443999999998</v>
      </c>
      <c r="F3017">
        <f t="shared" si="191"/>
        <v>2916</v>
      </c>
    </row>
    <row r="3018" spans="1:6" x14ac:dyDescent="0.3">
      <c r="A3018">
        <v>39</v>
      </c>
      <c r="B3018">
        <v>90.31</v>
      </c>
      <c r="C3018">
        <f t="shared" si="188"/>
        <v>3522.09</v>
      </c>
      <c r="D3018">
        <f t="shared" si="189"/>
        <v>1521</v>
      </c>
      <c r="E3018">
        <f t="shared" si="190"/>
        <v>8155.8961000000008</v>
      </c>
      <c r="F3018">
        <f t="shared" si="191"/>
        <v>1521</v>
      </c>
    </row>
    <row r="3019" spans="1:6" x14ac:dyDescent="0.3">
      <c r="A3019">
        <v>76</v>
      </c>
      <c r="B3019">
        <v>221.8</v>
      </c>
      <c r="C3019">
        <f t="shared" si="188"/>
        <v>16856.8</v>
      </c>
      <c r="D3019">
        <f t="shared" si="189"/>
        <v>5776</v>
      </c>
      <c r="E3019">
        <f t="shared" si="190"/>
        <v>49195.240000000005</v>
      </c>
      <c r="F3019">
        <f t="shared" si="191"/>
        <v>5776</v>
      </c>
    </row>
    <row r="3020" spans="1:6" x14ac:dyDescent="0.3">
      <c r="A3020">
        <v>28</v>
      </c>
      <c r="B3020">
        <v>73.39</v>
      </c>
      <c r="C3020">
        <f t="shared" si="188"/>
        <v>2054.92</v>
      </c>
      <c r="D3020">
        <f t="shared" si="189"/>
        <v>784</v>
      </c>
      <c r="E3020">
        <f t="shared" si="190"/>
        <v>5386.0920999999998</v>
      </c>
      <c r="F3020">
        <f t="shared" si="191"/>
        <v>784</v>
      </c>
    </row>
    <row r="3021" spans="1:6" x14ac:dyDescent="0.3">
      <c r="A3021">
        <v>70</v>
      </c>
      <c r="B3021">
        <v>147.12</v>
      </c>
      <c r="C3021">
        <f t="shared" si="188"/>
        <v>10298.4</v>
      </c>
      <c r="D3021">
        <f t="shared" si="189"/>
        <v>4900</v>
      </c>
      <c r="E3021">
        <f t="shared" si="190"/>
        <v>21644.294400000002</v>
      </c>
      <c r="F3021">
        <f t="shared" si="191"/>
        <v>4900</v>
      </c>
    </row>
    <row r="3022" spans="1:6" x14ac:dyDescent="0.3">
      <c r="A3022">
        <v>28</v>
      </c>
      <c r="B3022">
        <v>109.85</v>
      </c>
      <c r="C3022">
        <f t="shared" si="188"/>
        <v>3075.7999999999997</v>
      </c>
      <c r="D3022">
        <f t="shared" si="189"/>
        <v>784</v>
      </c>
      <c r="E3022">
        <f t="shared" si="190"/>
        <v>12067.022499999999</v>
      </c>
      <c r="F3022">
        <f t="shared" si="191"/>
        <v>784</v>
      </c>
    </row>
    <row r="3023" spans="1:6" x14ac:dyDescent="0.3">
      <c r="A3023">
        <v>79</v>
      </c>
      <c r="B3023">
        <v>103.21</v>
      </c>
      <c r="C3023">
        <f t="shared" si="188"/>
        <v>8153.5899999999992</v>
      </c>
      <c r="D3023">
        <f t="shared" si="189"/>
        <v>6241</v>
      </c>
      <c r="E3023">
        <f t="shared" si="190"/>
        <v>10652.304099999999</v>
      </c>
      <c r="F3023">
        <f t="shared" si="191"/>
        <v>6241</v>
      </c>
    </row>
    <row r="3024" spans="1:6" x14ac:dyDescent="0.3">
      <c r="A3024">
        <v>30</v>
      </c>
      <c r="B3024">
        <v>81.25</v>
      </c>
      <c r="C3024">
        <f t="shared" si="188"/>
        <v>2437.5</v>
      </c>
      <c r="D3024">
        <f t="shared" si="189"/>
        <v>900</v>
      </c>
      <c r="E3024">
        <f t="shared" si="190"/>
        <v>6601.5625</v>
      </c>
      <c r="F3024">
        <f t="shared" si="191"/>
        <v>900</v>
      </c>
    </row>
    <row r="3025" spans="1:6" x14ac:dyDescent="0.3">
      <c r="A3025">
        <v>26</v>
      </c>
      <c r="B3025">
        <v>84.69</v>
      </c>
      <c r="C3025">
        <f t="shared" si="188"/>
        <v>2201.94</v>
      </c>
      <c r="D3025">
        <f t="shared" si="189"/>
        <v>676</v>
      </c>
      <c r="E3025">
        <f t="shared" si="190"/>
        <v>7172.3960999999999</v>
      </c>
      <c r="F3025">
        <f t="shared" si="191"/>
        <v>676</v>
      </c>
    </row>
    <row r="3026" spans="1:6" x14ac:dyDescent="0.3">
      <c r="A3026">
        <v>57</v>
      </c>
      <c r="B3026">
        <v>87.1</v>
      </c>
      <c r="C3026">
        <f t="shared" si="188"/>
        <v>4964.7</v>
      </c>
      <c r="D3026">
        <f t="shared" si="189"/>
        <v>3249</v>
      </c>
      <c r="E3026">
        <f t="shared" si="190"/>
        <v>7586.4099999999989</v>
      </c>
      <c r="F3026">
        <f t="shared" si="191"/>
        <v>3249</v>
      </c>
    </row>
    <row r="3027" spans="1:6" x14ac:dyDescent="0.3">
      <c r="A3027">
        <v>16</v>
      </c>
      <c r="B3027">
        <v>81.92</v>
      </c>
      <c r="C3027">
        <f t="shared" si="188"/>
        <v>1310.72</v>
      </c>
      <c r="D3027">
        <f t="shared" si="189"/>
        <v>256</v>
      </c>
      <c r="E3027">
        <f t="shared" si="190"/>
        <v>6710.8864000000003</v>
      </c>
      <c r="F3027">
        <f t="shared" si="191"/>
        <v>256</v>
      </c>
    </row>
    <row r="3028" spans="1:6" x14ac:dyDescent="0.3">
      <c r="A3028">
        <v>40</v>
      </c>
      <c r="B3028">
        <v>90.91</v>
      </c>
      <c r="C3028">
        <f t="shared" si="188"/>
        <v>3636.3999999999996</v>
      </c>
      <c r="D3028">
        <f t="shared" si="189"/>
        <v>1600</v>
      </c>
      <c r="E3028">
        <f t="shared" si="190"/>
        <v>8264.6280999999999</v>
      </c>
      <c r="F3028">
        <f t="shared" si="191"/>
        <v>1600</v>
      </c>
    </row>
    <row r="3029" spans="1:6" x14ac:dyDescent="0.3">
      <c r="A3029">
        <v>77</v>
      </c>
      <c r="B3029">
        <v>64.400000000000006</v>
      </c>
      <c r="C3029">
        <f t="shared" si="188"/>
        <v>4958.8</v>
      </c>
      <c r="D3029">
        <f t="shared" si="189"/>
        <v>5929</v>
      </c>
      <c r="E3029">
        <f t="shared" si="190"/>
        <v>4147.3600000000006</v>
      </c>
      <c r="F3029">
        <f t="shared" si="191"/>
        <v>5929</v>
      </c>
    </row>
    <row r="3030" spans="1:6" x14ac:dyDescent="0.3">
      <c r="A3030">
        <v>67</v>
      </c>
      <c r="B3030">
        <v>85.48</v>
      </c>
      <c r="C3030">
        <f t="shared" si="188"/>
        <v>5727.16</v>
      </c>
      <c r="D3030">
        <f t="shared" si="189"/>
        <v>4489</v>
      </c>
      <c r="E3030">
        <f t="shared" si="190"/>
        <v>7306.8304000000007</v>
      </c>
      <c r="F3030">
        <f t="shared" si="191"/>
        <v>4489</v>
      </c>
    </row>
    <row r="3031" spans="1:6" x14ac:dyDescent="0.3">
      <c r="A3031">
        <v>36</v>
      </c>
      <c r="B3031">
        <v>67.290000000000006</v>
      </c>
      <c r="C3031">
        <f t="shared" si="188"/>
        <v>2422.44</v>
      </c>
      <c r="D3031">
        <f t="shared" si="189"/>
        <v>1296</v>
      </c>
      <c r="E3031">
        <f t="shared" si="190"/>
        <v>4527.9441000000006</v>
      </c>
      <c r="F3031">
        <f t="shared" si="191"/>
        <v>1296</v>
      </c>
    </row>
    <row r="3032" spans="1:6" x14ac:dyDescent="0.3">
      <c r="A3032">
        <v>40</v>
      </c>
      <c r="B3032">
        <v>124.48</v>
      </c>
      <c r="C3032">
        <f t="shared" si="188"/>
        <v>4979.2</v>
      </c>
      <c r="D3032">
        <f t="shared" si="189"/>
        <v>1600</v>
      </c>
      <c r="E3032">
        <f t="shared" si="190"/>
        <v>15495.270400000001</v>
      </c>
      <c r="F3032">
        <f t="shared" si="191"/>
        <v>1600</v>
      </c>
    </row>
    <row r="3033" spans="1:6" x14ac:dyDescent="0.3">
      <c r="A3033">
        <v>2</v>
      </c>
      <c r="B3033">
        <v>62.89</v>
      </c>
      <c r="C3033">
        <f t="shared" si="188"/>
        <v>125.78</v>
      </c>
      <c r="D3033">
        <f t="shared" si="189"/>
        <v>4</v>
      </c>
      <c r="E3033">
        <f t="shared" si="190"/>
        <v>3955.1521000000002</v>
      </c>
      <c r="F3033">
        <f t="shared" si="191"/>
        <v>4</v>
      </c>
    </row>
    <row r="3034" spans="1:6" x14ac:dyDescent="0.3">
      <c r="A3034">
        <v>52</v>
      </c>
      <c r="B3034">
        <v>87.51</v>
      </c>
      <c r="C3034">
        <f t="shared" si="188"/>
        <v>4550.5200000000004</v>
      </c>
      <c r="D3034">
        <f t="shared" si="189"/>
        <v>2704</v>
      </c>
      <c r="E3034">
        <f t="shared" si="190"/>
        <v>7658.0001000000011</v>
      </c>
      <c r="F3034">
        <f t="shared" si="191"/>
        <v>2704</v>
      </c>
    </row>
    <row r="3035" spans="1:6" x14ac:dyDescent="0.3">
      <c r="A3035">
        <v>78</v>
      </c>
      <c r="B3035">
        <v>93.15</v>
      </c>
      <c r="C3035">
        <f t="shared" si="188"/>
        <v>7265.7000000000007</v>
      </c>
      <c r="D3035">
        <f t="shared" si="189"/>
        <v>6084</v>
      </c>
      <c r="E3035">
        <f t="shared" si="190"/>
        <v>8676.9225000000006</v>
      </c>
      <c r="F3035">
        <f t="shared" si="191"/>
        <v>6084</v>
      </c>
    </row>
    <row r="3036" spans="1:6" x14ac:dyDescent="0.3">
      <c r="A3036">
        <v>22</v>
      </c>
      <c r="B3036">
        <v>64.87</v>
      </c>
      <c r="C3036">
        <f t="shared" si="188"/>
        <v>1427.14</v>
      </c>
      <c r="D3036">
        <f t="shared" si="189"/>
        <v>484</v>
      </c>
      <c r="E3036">
        <f t="shared" si="190"/>
        <v>4208.1169000000009</v>
      </c>
      <c r="F3036">
        <f t="shared" si="191"/>
        <v>484</v>
      </c>
    </row>
    <row r="3037" spans="1:6" x14ac:dyDescent="0.3">
      <c r="A3037">
        <v>33</v>
      </c>
      <c r="B3037">
        <v>90.68</v>
      </c>
      <c r="C3037">
        <f t="shared" si="188"/>
        <v>2992.44</v>
      </c>
      <c r="D3037">
        <f t="shared" si="189"/>
        <v>1089</v>
      </c>
      <c r="E3037">
        <f t="shared" si="190"/>
        <v>8222.8624000000018</v>
      </c>
      <c r="F3037">
        <f t="shared" si="191"/>
        <v>1089</v>
      </c>
    </row>
    <row r="3038" spans="1:6" x14ac:dyDescent="0.3">
      <c r="A3038">
        <v>40</v>
      </c>
      <c r="B3038">
        <v>104.64</v>
      </c>
      <c r="C3038">
        <f t="shared" si="188"/>
        <v>4185.6000000000004</v>
      </c>
      <c r="D3038">
        <f t="shared" si="189"/>
        <v>1600</v>
      </c>
      <c r="E3038">
        <f t="shared" si="190"/>
        <v>10949.5296</v>
      </c>
      <c r="F3038">
        <f t="shared" si="191"/>
        <v>1600</v>
      </c>
    </row>
    <row r="3039" spans="1:6" x14ac:dyDescent="0.3">
      <c r="A3039">
        <v>20</v>
      </c>
      <c r="B3039">
        <v>92.44</v>
      </c>
      <c r="C3039">
        <f t="shared" si="188"/>
        <v>1848.8</v>
      </c>
      <c r="D3039">
        <f t="shared" si="189"/>
        <v>400</v>
      </c>
      <c r="E3039">
        <f t="shared" si="190"/>
        <v>8545.1535999999996</v>
      </c>
      <c r="F3039">
        <f t="shared" si="191"/>
        <v>400</v>
      </c>
    </row>
    <row r="3040" spans="1:6" x14ac:dyDescent="0.3">
      <c r="A3040">
        <v>19</v>
      </c>
      <c r="B3040">
        <v>120.46</v>
      </c>
      <c r="C3040">
        <f t="shared" si="188"/>
        <v>2288.7399999999998</v>
      </c>
      <c r="D3040">
        <f t="shared" si="189"/>
        <v>361</v>
      </c>
      <c r="E3040">
        <f t="shared" si="190"/>
        <v>14510.611599999998</v>
      </c>
      <c r="F3040">
        <f t="shared" si="191"/>
        <v>361</v>
      </c>
    </row>
    <row r="3041" spans="1:6" x14ac:dyDescent="0.3">
      <c r="A3041">
        <v>25</v>
      </c>
      <c r="B3041">
        <v>89.87</v>
      </c>
      <c r="C3041">
        <f t="shared" si="188"/>
        <v>2246.75</v>
      </c>
      <c r="D3041">
        <f t="shared" si="189"/>
        <v>625</v>
      </c>
      <c r="E3041">
        <f t="shared" si="190"/>
        <v>8076.6169000000009</v>
      </c>
      <c r="F3041">
        <f t="shared" si="191"/>
        <v>625</v>
      </c>
    </row>
    <row r="3042" spans="1:6" x14ac:dyDescent="0.3">
      <c r="A3042">
        <v>23</v>
      </c>
      <c r="B3042">
        <v>105.28</v>
      </c>
      <c r="C3042">
        <f t="shared" si="188"/>
        <v>2421.44</v>
      </c>
      <c r="D3042">
        <f t="shared" si="189"/>
        <v>529</v>
      </c>
      <c r="E3042">
        <f t="shared" si="190"/>
        <v>11083.8784</v>
      </c>
      <c r="F3042">
        <f t="shared" si="191"/>
        <v>529</v>
      </c>
    </row>
    <row r="3043" spans="1:6" x14ac:dyDescent="0.3">
      <c r="A3043">
        <v>28</v>
      </c>
      <c r="B3043">
        <v>131.80000000000001</v>
      </c>
      <c r="C3043">
        <f t="shared" si="188"/>
        <v>3690.4000000000005</v>
      </c>
      <c r="D3043">
        <f t="shared" si="189"/>
        <v>784</v>
      </c>
      <c r="E3043">
        <f t="shared" si="190"/>
        <v>17371.240000000002</v>
      </c>
      <c r="F3043">
        <f t="shared" si="191"/>
        <v>784</v>
      </c>
    </row>
    <row r="3044" spans="1:6" x14ac:dyDescent="0.3">
      <c r="A3044">
        <v>6</v>
      </c>
      <c r="B3044">
        <v>66.33</v>
      </c>
      <c r="C3044">
        <f t="shared" si="188"/>
        <v>397.98</v>
      </c>
      <c r="D3044">
        <f t="shared" si="189"/>
        <v>36</v>
      </c>
      <c r="E3044">
        <f t="shared" si="190"/>
        <v>4399.6688999999997</v>
      </c>
      <c r="F3044">
        <f t="shared" si="191"/>
        <v>36</v>
      </c>
    </row>
    <row r="3045" spans="1:6" x14ac:dyDescent="0.3">
      <c r="A3045">
        <v>37</v>
      </c>
      <c r="B3045">
        <v>101.07</v>
      </c>
      <c r="C3045">
        <f t="shared" si="188"/>
        <v>3739.5899999999997</v>
      </c>
      <c r="D3045">
        <f t="shared" si="189"/>
        <v>1369</v>
      </c>
      <c r="E3045">
        <f t="shared" si="190"/>
        <v>10215.144899999999</v>
      </c>
      <c r="F3045">
        <f t="shared" si="191"/>
        <v>1369</v>
      </c>
    </row>
    <row r="3046" spans="1:6" x14ac:dyDescent="0.3">
      <c r="A3046">
        <v>10</v>
      </c>
      <c r="B3046">
        <v>83.37</v>
      </c>
      <c r="C3046">
        <f t="shared" si="188"/>
        <v>833.7</v>
      </c>
      <c r="D3046">
        <f t="shared" si="189"/>
        <v>100</v>
      </c>
      <c r="E3046">
        <f t="shared" si="190"/>
        <v>6950.5569000000005</v>
      </c>
      <c r="F3046">
        <f t="shared" si="191"/>
        <v>100</v>
      </c>
    </row>
    <row r="3047" spans="1:6" x14ac:dyDescent="0.3">
      <c r="A3047">
        <v>34</v>
      </c>
      <c r="B3047">
        <v>79.8</v>
      </c>
      <c r="C3047">
        <f t="shared" si="188"/>
        <v>2713.2</v>
      </c>
      <c r="D3047">
        <f t="shared" si="189"/>
        <v>1156</v>
      </c>
      <c r="E3047">
        <f t="shared" si="190"/>
        <v>6368.04</v>
      </c>
      <c r="F3047">
        <f t="shared" si="191"/>
        <v>1156</v>
      </c>
    </row>
    <row r="3048" spans="1:6" x14ac:dyDescent="0.3">
      <c r="A3048">
        <v>60</v>
      </c>
      <c r="B3048">
        <v>103.17</v>
      </c>
      <c r="C3048">
        <f t="shared" si="188"/>
        <v>6190.2</v>
      </c>
      <c r="D3048">
        <f t="shared" si="189"/>
        <v>3600</v>
      </c>
      <c r="E3048">
        <f t="shared" si="190"/>
        <v>10644.0489</v>
      </c>
      <c r="F3048">
        <f t="shared" si="191"/>
        <v>3600</v>
      </c>
    </row>
    <row r="3049" spans="1:6" x14ac:dyDescent="0.3">
      <c r="A3049">
        <v>22</v>
      </c>
      <c r="B3049">
        <v>62.52</v>
      </c>
      <c r="C3049">
        <f t="shared" si="188"/>
        <v>1375.44</v>
      </c>
      <c r="D3049">
        <f t="shared" si="189"/>
        <v>484</v>
      </c>
      <c r="E3049">
        <f t="shared" si="190"/>
        <v>3908.7504000000004</v>
      </c>
      <c r="F3049">
        <f t="shared" si="191"/>
        <v>484</v>
      </c>
    </row>
    <row r="3050" spans="1:6" x14ac:dyDescent="0.3">
      <c r="A3050">
        <v>62</v>
      </c>
      <c r="B3050">
        <v>75.78</v>
      </c>
      <c r="C3050">
        <f t="shared" si="188"/>
        <v>4698.3599999999997</v>
      </c>
      <c r="D3050">
        <f t="shared" si="189"/>
        <v>3844</v>
      </c>
      <c r="E3050">
        <f t="shared" si="190"/>
        <v>5742.6084000000001</v>
      </c>
      <c r="F3050">
        <f t="shared" si="191"/>
        <v>3844</v>
      </c>
    </row>
    <row r="3051" spans="1:6" x14ac:dyDescent="0.3">
      <c r="A3051">
        <v>52</v>
      </c>
      <c r="B3051">
        <v>110.36</v>
      </c>
      <c r="C3051">
        <f t="shared" si="188"/>
        <v>5738.72</v>
      </c>
      <c r="D3051">
        <f t="shared" si="189"/>
        <v>2704</v>
      </c>
      <c r="E3051">
        <f t="shared" si="190"/>
        <v>12179.329599999999</v>
      </c>
      <c r="F3051">
        <f t="shared" si="191"/>
        <v>2704</v>
      </c>
    </row>
    <row r="3052" spans="1:6" x14ac:dyDescent="0.3">
      <c r="A3052">
        <v>61</v>
      </c>
      <c r="B3052">
        <v>140.07</v>
      </c>
      <c r="C3052">
        <f t="shared" si="188"/>
        <v>8544.27</v>
      </c>
      <c r="D3052">
        <f t="shared" si="189"/>
        <v>3721</v>
      </c>
      <c r="E3052">
        <f t="shared" si="190"/>
        <v>19619.604899999998</v>
      </c>
      <c r="F3052">
        <f t="shared" si="191"/>
        <v>3721</v>
      </c>
    </row>
    <row r="3053" spans="1:6" x14ac:dyDescent="0.3">
      <c r="A3053">
        <v>10</v>
      </c>
      <c r="B3053">
        <v>84.86</v>
      </c>
      <c r="C3053">
        <f t="shared" si="188"/>
        <v>848.6</v>
      </c>
      <c r="D3053">
        <f t="shared" si="189"/>
        <v>100</v>
      </c>
      <c r="E3053">
        <f t="shared" si="190"/>
        <v>7201.2196000000004</v>
      </c>
      <c r="F3053">
        <f t="shared" si="191"/>
        <v>100</v>
      </c>
    </row>
    <row r="3054" spans="1:6" x14ac:dyDescent="0.3">
      <c r="A3054">
        <v>36</v>
      </c>
      <c r="B3054">
        <v>106.85</v>
      </c>
      <c r="C3054">
        <f t="shared" si="188"/>
        <v>3846.6</v>
      </c>
      <c r="D3054">
        <f t="shared" si="189"/>
        <v>1296</v>
      </c>
      <c r="E3054">
        <f t="shared" si="190"/>
        <v>11416.922499999999</v>
      </c>
      <c r="F3054">
        <f t="shared" si="191"/>
        <v>1296</v>
      </c>
    </row>
    <row r="3055" spans="1:6" x14ac:dyDescent="0.3">
      <c r="A3055">
        <v>29</v>
      </c>
      <c r="B3055">
        <v>102.07</v>
      </c>
      <c r="C3055">
        <f t="shared" si="188"/>
        <v>2960.0299999999997</v>
      </c>
      <c r="D3055">
        <f t="shared" si="189"/>
        <v>841</v>
      </c>
      <c r="E3055">
        <f t="shared" si="190"/>
        <v>10418.284899999999</v>
      </c>
      <c r="F3055">
        <f t="shared" si="191"/>
        <v>841</v>
      </c>
    </row>
    <row r="3056" spans="1:6" x14ac:dyDescent="0.3">
      <c r="A3056">
        <v>69</v>
      </c>
      <c r="B3056">
        <v>202.38</v>
      </c>
      <c r="C3056">
        <f t="shared" si="188"/>
        <v>13964.22</v>
      </c>
      <c r="D3056">
        <f t="shared" si="189"/>
        <v>4761</v>
      </c>
      <c r="E3056">
        <f t="shared" si="190"/>
        <v>40957.664400000001</v>
      </c>
      <c r="F3056">
        <f t="shared" si="191"/>
        <v>4761</v>
      </c>
    </row>
    <row r="3057" spans="1:6" x14ac:dyDescent="0.3">
      <c r="A3057">
        <v>62</v>
      </c>
      <c r="B3057">
        <v>67.069999999999993</v>
      </c>
      <c r="C3057">
        <f t="shared" si="188"/>
        <v>4158.3399999999992</v>
      </c>
      <c r="D3057">
        <f t="shared" si="189"/>
        <v>3844</v>
      </c>
      <c r="E3057">
        <f t="shared" si="190"/>
        <v>4498.3848999999991</v>
      </c>
      <c r="F3057">
        <f t="shared" si="191"/>
        <v>3844</v>
      </c>
    </row>
    <row r="3058" spans="1:6" x14ac:dyDescent="0.3">
      <c r="A3058">
        <v>62</v>
      </c>
      <c r="B3058">
        <v>73.7</v>
      </c>
      <c r="C3058">
        <f t="shared" si="188"/>
        <v>4569.4000000000005</v>
      </c>
      <c r="D3058">
        <f t="shared" si="189"/>
        <v>3844</v>
      </c>
      <c r="E3058">
        <f t="shared" si="190"/>
        <v>5431.6900000000005</v>
      </c>
      <c r="F3058">
        <f t="shared" si="191"/>
        <v>3844</v>
      </c>
    </row>
    <row r="3059" spans="1:6" x14ac:dyDescent="0.3">
      <c r="A3059">
        <v>79</v>
      </c>
      <c r="B3059">
        <v>77.59</v>
      </c>
      <c r="C3059">
        <f t="shared" si="188"/>
        <v>6129.6100000000006</v>
      </c>
      <c r="D3059">
        <f t="shared" si="189"/>
        <v>6241</v>
      </c>
      <c r="E3059">
        <f t="shared" si="190"/>
        <v>6020.2081000000007</v>
      </c>
      <c r="F3059">
        <f t="shared" si="191"/>
        <v>6241</v>
      </c>
    </row>
    <row r="3060" spans="1:6" x14ac:dyDescent="0.3">
      <c r="A3060">
        <v>13</v>
      </c>
      <c r="B3060">
        <v>69.16</v>
      </c>
      <c r="C3060">
        <f t="shared" si="188"/>
        <v>899.07999999999993</v>
      </c>
      <c r="D3060">
        <f t="shared" si="189"/>
        <v>169</v>
      </c>
      <c r="E3060">
        <f t="shared" si="190"/>
        <v>4783.1055999999999</v>
      </c>
      <c r="F3060">
        <f t="shared" si="191"/>
        <v>169</v>
      </c>
    </row>
    <row r="3061" spans="1:6" x14ac:dyDescent="0.3">
      <c r="A3061">
        <v>38</v>
      </c>
      <c r="B3061">
        <v>91.44</v>
      </c>
      <c r="C3061">
        <f t="shared" si="188"/>
        <v>3474.72</v>
      </c>
      <c r="D3061">
        <f t="shared" si="189"/>
        <v>1444</v>
      </c>
      <c r="E3061">
        <f t="shared" si="190"/>
        <v>8361.2736000000004</v>
      </c>
      <c r="F3061">
        <f t="shared" si="191"/>
        <v>1444</v>
      </c>
    </row>
    <row r="3062" spans="1:6" x14ac:dyDescent="0.3">
      <c r="A3062">
        <v>49</v>
      </c>
      <c r="B3062">
        <v>215.81</v>
      </c>
      <c r="C3062">
        <f t="shared" si="188"/>
        <v>10574.69</v>
      </c>
      <c r="D3062">
        <f t="shared" si="189"/>
        <v>2401</v>
      </c>
      <c r="E3062">
        <f t="shared" si="190"/>
        <v>46573.956100000003</v>
      </c>
      <c r="F3062">
        <f t="shared" si="191"/>
        <v>2401</v>
      </c>
    </row>
    <row r="3063" spans="1:6" x14ac:dyDescent="0.3">
      <c r="A3063">
        <v>41</v>
      </c>
      <c r="B3063">
        <v>65.400000000000006</v>
      </c>
      <c r="C3063">
        <f t="shared" si="188"/>
        <v>2681.4</v>
      </c>
      <c r="D3063">
        <f t="shared" si="189"/>
        <v>1681</v>
      </c>
      <c r="E3063">
        <f t="shared" si="190"/>
        <v>4277.1600000000008</v>
      </c>
      <c r="F3063">
        <f t="shared" si="191"/>
        <v>1681</v>
      </c>
    </row>
    <row r="3064" spans="1:6" x14ac:dyDescent="0.3">
      <c r="A3064">
        <v>56</v>
      </c>
      <c r="B3064">
        <v>139.72</v>
      </c>
      <c r="C3064">
        <f t="shared" si="188"/>
        <v>7824.32</v>
      </c>
      <c r="D3064">
        <f t="shared" si="189"/>
        <v>3136</v>
      </c>
      <c r="E3064">
        <f t="shared" si="190"/>
        <v>19521.678400000001</v>
      </c>
      <c r="F3064">
        <f t="shared" si="191"/>
        <v>3136</v>
      </c>
    </row>
    <row r="3065" spans="1:6" x14ac:dyDescent="0.3">
      <c r="A3065">
        <v>8</v>
      </c>
      <c r="B3065">
        <v>72.81</v>
      </c>
      <c r="C3065">
        <f t="shared" si="188"/>
        <v>582.48</v>
      </c>
      <c r="D3065">
        <f t="shared" si="189"/>
        <v>64</v>
      </c>
      <c r="E3065">
        <f t="shared" si="190"/>
        <v>5301.2961000000005</v>
      </c>
      <c r="F3065">
        <f t="shared" si="191"/>
        <v>64</v>
      </c>
    </row>
    <row r="3066" spans="1:6" x14ac:dyDescent="0.3">
      <c r="A3066">
        <v>24</v>
      </c>
      <c r="B3066">
        <v>149.16999999999999</v>
      </c>
      <c r="C3066">
        <f t="shared" si="188"/>
        <v>3580.08</v>
      </c>
      <c r="D3066">
        <f t="shared" si="189"/>
        <v>576</v>
      </c>
      <c r="E3066">
        <f t="shared" si="190"/>
        <v>22251.688899999997</v>
      </c>
      <c r="F3066">
        <f t="shared" si="191"/>
        <v>576</v>
      </c>
    </row>
    <row r="3067" spans="1:6" x14ac:dyDescent="0.3">
      <c r="A3067">
        <v>61</v>
      </c>
      <c r="B3067">
        <v>125.74</v>
      </c>
      <c r="C3067">
        <f t="shared" si="188"/>
        <v>7670.1399999999994</v>
      </c>
      <c r="D3067">
        <f t="shared" si="189"/>
        <v>3721</v>
      </c>
      <c r="E3067">
        <f t="shared" si="190"/>
        <v>15810.547599999998</v>
      </c>
      <c r="F3067">
        <f t="shared" si="191"/>
        <v>3721</v>
      </c>
    </row>
    <row r="3068" spans="1:6" x14ac:dyDescent="0.3">
      <c r="A3068">
        <v>40</v>
      </c>
      <c r="B3068">
        <v>90.21</v>
      </c>
      <c r="C3068">
        <f t="shared" si="188"/>
        <v>3608.3999999999996</v>
      </c>
      <c r="D3068">
        <f t="shared" si="189"/>
        <v>1600</v>
      </c>
      <c r="E3068">
        <f t="shared" si="190"/>
        <v>8137.8440999999984</v>
      </c>
      <c r="F3068">
        <f t="shared" si="191"/>
        <v>1600</v>
      </c>
    </row>
    <row r="3069" spans="1:6" x14ac:dyDescent="0.3">
      <c r="A3069">
        <v>22</v>
      </c>
      <c r="B3069">
        <v>139.47999999999999</v>
      </c>
      <c r="C3069">
        <f t="shared" si="188"/>
        <v>3068.56</v>
      </c>
      <c r="D3069">
        <f t="shared" si="189"/>
        <v>484</v>
      </c>
      <c r="E3069">
        <f t="shared" si="190"/>
        <v>19454.670399999995</v>
      </c>
      <c r="F3069">
        <f t="shared" si="191"/>
        <v>484</v>
      </c>
    </row>
    <row r="3070" spans="1:6" x14ac:dyDescent="0.3">
      <c r="A3070">
        <v>80</v>
      </c>
      <c r="B3070">
        <v>90.77</v>
      </c>
      <c r="C3070">
        <f t="shared" si="188"/>
        <v>7261.5999999999995</v>
      </c>
      <c r="D3070">
        <f t="shared" si="189"/>
        <v>6400</v>
      </c>
      <c r="E3070">
        <f t="shared" si="190"/>
        <v>8239.1929</v>
      </c>
      <c r="F3070">
        <f t="shared" si="191"/>
        <v>6400</v>
      </c>
    </row>
    <row r="3071" spans="1:6" x14ac:dyDescent="0.3">
      <c r="A3071">
        <v>60</v>
      </c>
      <c r="B3071">
        <v>220.24</v>
      </c>
      <c r="C3071">
        <f t="shared" si="188"/>
        <v>13214.400000000001</v>
      </c>
      <c r="D3071">
        <f t="shared" si="189"/>
        <v>3600</v>
      </c>
      <c r="E3071">
        <f t="shared" si="190"/>
        <v>48505.657600000006</v>
      </c>
      <c r="F3071">
        <f t="shared" si="191"/>
        <v>3600</v>
      </c>
    </row>
    <row r="3072" spans="1:6" x14ac:dyDescent="0.3">
      <c r="A3072">
        <v>57</v>
      </c>
      <c r="B3072">
        <v>81.42</v>
      </c>
      <c r="C3072">
        <f t="shared" si="188"/>
        <v>4640.9400000000005</v>
      </c>
      <c r="D3072">
        <f t="shared" si="189"/>
        <v>3249</v>
      </c>
      <c r="E3072">
        <f t="shared" si="190"/>
        <v>6629.2164000000002</v>
      </c>
      <c r="F3072">
        <f t="shared" si="191"/>
        <v>3249</v>
      </c>
    </row>
    <row r="3073" spans="1:6" x14ac:dyDescent="0.3">
      <c r="A3073">
        <v>55</v>
      </c>
      <c r="B3073">
        <v>102.36</v>
      </c>
      <c r="C3073">
        <f t="shared" si="188"/>
        <v>5629.8</v>
      </c>
      <c r="D3073">
        <f t="shared" si="189"/>
        <v>3025</v>
      </c>
      <c r="E3073">
        <f t="shared" si="190"/>
        <v>10477.569600000001</v>
      </c>
      <c r="F3073">
        <f t="shared" si="191"/>
        <v>3025</v>
      </c>
    </row>
    <row r="3074" spans="1:6" x14ac:dyDescent="0.3">
      <c r="A3074">
        <v>39</v>
      </c>
      <c r="B3074">
        <v>82.85</v>
      </c>
      <c r="C3074">
        <f t="shared" si="188"/>
        <v>3231.1499999999996</v>
      </c>
      <c r="D3074">
        <f t="shared" si="189"/>
        <v>1521</v>
      </c>
      <c r="E3074">
        <f t="shared" si="190"/>
        <v>6864.1224999999995</v>
      </c>
      <c r="F3074">
        <f t="shared" si="191"/>
        <v>1521</v>
      </c>
    </row>
    <row r="3075" spans="1:6" x14ac:dyDescent="0.3">
      <c r="A3075">
        <v>51</v>
      </c>
      <c r="B3075">
        <v>102.11</v>
      </c>
      <c r="C3075">
        <f t="shared" ref="C3075:C3138" si="192">A3075*B3075</f>
        <v>5207.6099999999997</v>
      </c>
      <c r="D3075">
        <f t="shared" ref="D3075:D3138" si="193">A3075*A3075</f>
        <v>2601</v>
      </c>
      <c r="E3075">
        <f t="shared" ref="E3075:E3138" si="194">B3075*B3075</f>
        <v>10426.4521</v>
      </c>
      <c r="F3075">
        <f t="shared" ref="F3075:F3138" si="195">A3075^2</f>
        <v>2601</v>
      </c>
    </row>
    <row r="3076" spans="1:6" x14ac:dyDescent="0.3">
      <c r="A3076">
        <v>47</v>
      </c>
      <c r="B3076">
        <v>195.61</v>
      </c>
      <c r="C3076">
        <f t="shared" si="192"/>
        <v>9193.67</v>
      </c>
      <c r="D3076">
        <f t="shared" si="193"/>
        <v>2209</v>
      </c>
      <c r="E3076">
        <f t="shared" si="194"/>
        <v>38263.272100000002</v>
      </c>
      <c r="F3076">
        <f t="shared" si="195"/>
        <v>2209</v>
      </c>
    </row>
    <row r="3077" spans="1:6" x14ac:dyDescent="0.3">
      <c r="A3077">
        <v>77</v>
      </c>
      <c r="B3077">
        <v>80.92</v>
      </c>
      <c r="C3077">
        <f t="shared" si="192"/>
        <v>6230.84</v>
      </c>
      <c r="D3077">
        <f t="shared" si="193"/>
        <v>5929</v>
      </c>
      <c r="E3077">
        <f t="shared" si="194"/>
        <v>6548.0464000000002</v>
      </c>
      <c r="F3077">
        <f t="shared" si="195"/>
        <v>5929</v>
      </c>
    </row>
    <row r="3078" spans="1:6" x14ac:dyDescent="0.3">
      <c r="A3078">
        <v>32</v>
      </c>
      <c r="B3078">
        <v>71.8</v>
      </c>
      <c r="C3078">
        <f t="shared" si="192"/>
        <v>2297.6</v>
      </c>
      <c r="D3078">
        <f t="shared" si="193"/>
        <v>1024</v>
      </c>
      <c r="E3078">
        <f t="shared" si="194"/>
        <v>5155.24</v>
      </c>
      <c r="F3078">
        <f t="shared" si="195"/>
        <v>1024</v>
      </c>
    </row>
    <row r="3079" spans="1:6" x14ac:dyDescent="0.3">
      <c r="A3079">
        <v>45</v>
      </c>
      <c r="B3079">
        <v>88.47</v>
      </c>
      <c r="C3079">
        <f t="shared" si="192"/>
        <v>3981.15</v>
      </c>
      <c r="D3079">
        <f t="shared" si="193"/>
        <v>2025</v>
      </c>
      <c r="E3079">
        <f t="shared" si="194"/>
        <v>7826.9408999999996</v>
      </c>
      <c r="F3079">
        <f t="shared" si="195"/>
        <v>2025</v>
      </c>
    </row>
    <row r="3080" spans="1:6" x14ac:dyDescent="0.3">
      <c r="A3080">
        <v>49</v>
      </c>
      <c r="B3080">
        <v>67.680000000000007</v>
      </c>
      <c r="C3080">
        <f t="shared" si="192"/>
        <v>3316.32</v>
      </c>
      <c r="D3080">
        <f t="shared" si="193"/>
        <v>2401</v>
      </c>
      <c r="E3080">
        <f t="shared" si="194"/>
        <v>4580.5824000000011</v>
      </c>
      <c r="F3080">
        <f t="shared" si="195"/>
        <v>2401</v>
      </c>
    </row>
    <row r="3081" spans="1:6" x14ac:dyDescent="0.3">
      <c r="A3081">
        <v>13</v>
      </c>
      <c r="B3081">
        <v>98.65</v>
      </c>
      <c r="C3081">
        <f t="shared" si="192"/>
        <v>1282.45</v>
      </c>
      <c r="D3081">
        <f t="shared" si="193"/>
        <v>169</v>
      </c>
      <c r="E3081">
        <f t="shared" si="194"/>
        <v>9731.8225000000002</v>
      </c>
      <c r="F3081">
        <f t="shared" si="195"/>
        <v>169</v>
      </c>
    </row>
    <row r="3082" spans="1:6" x14ac:dyDescent="0.3">
      <c r="A3082">
        <v>74</v>
      </c>
      <c r="B3082">
        <v>83.58</v>
      </c>
      <c r="C3082">
        <f t="shared" si="192"/>
        <v>6184.92</v>
      </c>
      <c r="D3082">
        <f t="shared" si="193"/>
        <v>5476</v>
      </c>
      <c r="E3082">
        <f t="shared" si="194"/>
        <v>6985.6163999999999</v>
      </c>
      <c r="F3082">
        <f t="shared" si="195"/>
        <v>5476</v>
      </c>
    </row>
    <row r="3083" spans="1:6" x14ac:dyDescent="0.3">
      <c r="A3083">
        <v>72</v>
      </c>
      <c r="B3083">
        <v>104.04</v>
      </c>
      <c r="C3083">
        <f t="shared" si="192"/>
        <v>7490.88</v>
      </c>
      <c r="D3083">
        <f t="shared" si="193"/>
        <v>5184</v>
      </c>
      <c r="E3083">
        <f t="shared" si="194"/>
        <v>10824.321600000001</v>
      </c>
      <c r="F3083">
        <f t="shared" si="195"/>
        <v>5184</v>
      </c>
    </row>
    <row r="3084" spans="1:6" x14ac:dyDescent="0.3">
      <c r="A3084">
        <v>57</v>
      </c>
      <c r="B3084">
        <v>69.400000000000006</v>
      </c>
      <c r="C3084">
        <f t="shared" si="192"/>
        <v>3955.8</v>
      </c>
      <c r="D3084">
        <f t="shared" si="193"/>
        <v>3249</v>
      </c>
      <c r="E3084">
        <f t="shared" si="194"/>
        <v>4816.3600000000006</v>
      </c>
      <c r="F3084">
        <f t="shared" si="195"/>
        <v>3249</v>
      </c>
    </row>
    <row r="3085" spans="1:6" x14ac:dyDescent="0.3">
      <c r="A3085">
        <v>51</v>
      </c>
      <c r="B3085">
        <v>106.22</v>
      </c>
      <c r="C3085">
        <f t="shared" si="192"/>
        <v>5417.22</v>
      </c>
      <c r="D3085">
        <f t="shared" si="193"/>
        <v>2601</v>
      </c>
      <c r="E3085">
        <f t="shared" si="194"/>
        <v>11282.688399999999</v>
      </c>
      <c r="F3085">
        <f t="shared" si="195"/>
        <v>2601</v>
      </c>
    </row>
    <row r="3086" spans="1:6" x14ac:dyDescent="0.3">
      <c r="A3086">
        <v>55</v>
      </c>
      <c r="B3086">
        <v>112.46</v>
      </c>
      <c r="C3086">
        <f t="shared" si="192"/>
        <v>6185.2999999999993</v>
      </c>
      <c r="D3086">
        <f t="shared" si="193"/>
        <v>3025</v>
      </c>
      <c r="E3086">
        <f t="shared" si="194"/>
        <v>12647.251599999998</v>
      </c>
      <c r="F3086">
        <f t="shared" si="195"/>
        <v>3025</v>
      </c>
    </row>
    <row r="3087" spans="1:6" x14ac:dyDescent="0.3">
      <c r="A3087">
        <v>73</v>
      </c>
      <c r="B3087">
        <v>72.42</v>
      </c>
      <c r="C3087">
        <f t="shared" si="192"/>
        <v>5286.66</v>
      </c>
      <c r="D3087">
        <f t="shared" si="193"/>
        <v>5329</v>
      </c>
      <c r="E3087">
        <f t="shared" si="194"/>
        <v>5244.6563999999998</v>
      </c>
      <c r="F3087">
        <f t="shared" si="195"/>
        <v>5329</v>
      </c>
    </row>
    <row r="3088" spans="1:6" x14ac:dyDescent="0.3">
      <c r="A3088">
        <v>12</v>
      </c>
      <c r="B3088">
        <v>96.73</v>
      </c>
      <c r="C3088">
        <f t="shared" si="192"/>
        <v>1160.76</v>
      </c>
      <c r="D3088">
        <f t="shared" si="193"/>
        <v>144</v>
      </c>
      <c r="E3088">
        <f t="shared" si="194"/>
        <v>9356.6929</v>
      </c>
      <c r="F3088">
        <f t="shared" si="195"/>
        <v>144</v>
      </c>
    </row>
    <row r="3089" spans="1:6" x14ac:dyDescent="0.3">
      <c r="A3089">
        <v>6</v>
      </c>
      <c r="B3089">
        <v>107.4</v>
      </c>
      <c r="C3089">
        <f t="shared" si="192"/>
        <v>644.40000000000009</v>
      </c>
      <c r="D3089">
        <f t="shared" si="193"/>
        <v>36</v>
      </c>
      <c r="E3089">
        <f t="shared" si="194"/>
        <v>11534.760000000002</v>
      </c>
      <c r="F3089">
        <f t="shared" si="195"/>
        <v>36</v>
      </c>
    </row>
    <row r="3090" spans="1:6" x14ac:dyDescent="0.3">
      <c r="A3090">
        <v>76</v>
      </c>
      <c r="B3090">
        <v>267.61</v>
      </c>
      <c r="C3090">
        <f t="shared" si="192"/>
        <v>20338.36</v>
      </c>
      <c r="D3090">
        <f t="shared" si="193"/>
        <v>5776</v>
      </c>
      <c r="E3090">
        <f t="shared" si="194"/>
        <v>71615.112100000013</v>
      </c>
      <c r="F3090">
        <f t="shared" si="195"/>
        <v>5776</v>
      </c>
    </row>
    <row r="3091" spans="1:6" x14ac:dyDescent="0.3">
      <c r="A3091">
        <v>38</v>
      </c>
      <c r="B3091">
        <v>109.46</v>
      </c>
      <c r="C3091">
        <f t="shared" si="192"/>
        <v>4159.4799999999996</v>
      </c>
      <c r="D3091">
        <f t="shared" si="193"/>
        <v>1444</v>
      </c>
      <c r="E3091">
        <f t="shared" si="194"/>
        <v>11981.491599999999</v>
      </c>
      <c r="F3091">
        <f t="shared" si="195"/>
        <v>1444</v>
      </c>
    </row>
    <row r="3092" spans="1:6" x14ac:dyDescent="0.3">
      <c r="A3092">
        <v>50</v>
      </c>
      <c r="B3092">
        <v>120.05</v>
      </c>
      <c r="C3092">
        <f t="shared" si="192"/>
        <v>6002.5</v>
      </c>
      <c r="D3092">
        <f t="shared" si="193"/>
        <v>2500</v>
      </c>
      <c r="E3092">
        <f t="shared" si="194"/>
        <v>14412.002499999999</v>
      </c>
      <c r="F3092">
        <f t="shared" si="195"/>
        <v>2500</v>
      </c>
    </row>
    <row r="3093" spans="1:6" x14ac:dyDescent="0.3">
      <c r="A3093">
        <v>75</v>
      </c>
      <c r="B3093">
        <v>106.33</v>
      </c>
      <c r="C3093">
        <f t="shared" si="192"/>
        <v>7974.75</v>
      </c>
      <c r="D3093">
        <f t="shared" si="193"/>
        <v>5625</v>
      </c>
      <c r="E3093">
        <f t="shared" si="194"/>
        <v>11306.0689</v>
      </c>
      <c r="F3093">
        <f t="shared" si="195"/>
        <v>5625</v>
      </c>
    </row>
    <row r="3094" spans="1:6" x14ac:dyDescent="0.3">
      <c r="A3094">
        <v>1.1599999999999999</v>
      </c>
      <c r="B3094">
        <v>97.28</v>
      </c>
      <c r="C3094">
        <f t="shared" si="192"/>
        <v>112.84479999999999</v>
      </c>
      <c r="D3094">
        <f t="shared" si="193"/>
        <v>1.3455999999999999</v>
      </c>
      <c r="E3094">
        <f t="shared" si="194"/>
        <v>9463.3984</v>
      </c>
      <c r="F3094">
        <f t="shared" si="195"/>
        <v>1.3455999999999999</v>
      </c>
    </row>
    <row r="3095" spans="1:6" x14ac:dyDescent="0.3">
      <c r="A3095">
        <v>32</v>
      </c>
      <c r="B3095">
        <v>83.13</v>
      </c>
      <c r="C3095">
        <f t="shared" si="192"/>
        <v>2660.16</v>
      </c>
      <c r="D3095">
        <f t="shared" si="193"/>
        <v>1024</v>
      </c>
      <c r="E3095">
        <f t="shared" si="194"/>
        <v>6910.5968999999996</v>
      </c>
      <c r="F3095">
        <f t="shared" si="195"/>
        <v>1024</v>
      </c>
    </row>
    <row r="3096" spans="1:6" x14ac:dyDescent="0.3">
      <c r="A3096">
        <v>12</v>
      </c>
      <c r="B3096">
        <v>97.35</v>
      </c>
      <c r="C3096">
        <f t="shared" si="192"/>
        <v>1168.1999999999998</v>
      </c>
      <c r="D3096">
        <f t="shared" si="193"/>
        <v>144</v>
      </c>
      <c r="E3096">
        <f t="shared" si="194"/>
        <v>9477.0224999999991</v>
      </c>
      <c r="F3096">
        <f t="shared" si="195"/>
        <v>144</v>
      </c>
    </row>
    <row r="3097" spans="1:6" x14ac:dyDescent="0.3">
      <c r="A3097">
        <v>32</v>
      </c>
      <c r="B3097">
        <v>79.540000000000006</v>
      </c>
      <c r="C3097">
        <f t="shared" si="192"/>
        <v>2545.2800000000002</v>
      </c>
      <c r="D3097">
        <f t="shared" si="193"/>
        <v>1024</v>
      </c>
      <c r="E3097">
        <f t="shared" si="194"/>
        <v>6326.6116000000011</v>
      </c>
      <c r="F3097">
        <f t="shared" si="195"/>
        <v>1024</v>
      </c>
    </row>
    <row r="3098" spans="1:6" x14ac:dyDescent="0.3">
      <c r="A3098">
        <v>13</v>
      </c>
      <c r="B3098">
        <v>76.55</v>
      </c>
      <c r="C3098">
        <f t="shared" si="192"/>
        <v>995.15</v>
      </c>
      <c r="D3098">
        <f t="shared" si="193"/>
        <v>169</v>
      </c>
      <c r="E3098">
        <f t="shared" si="194"/>
        <v>5859.9024999999992</v>
      </c>
      <c r="F3098">
        <f t="shared" si="195"/>
        <v>169</v>
      </c>
    </row>
    <row r="3099" spans="1:6" x14ac:dyDescent="0.3">
      <c r="A3099">
        <v>1.32</v>
      </c>
      <c r="B3099">
        <v>56.11</v>
      </c>
      <c r="C3099">
        <f t="shared" si="192"/>
        <v>74.065200000000004</v>
      </c>
      <c r="D3099">
        <f t="shared" si="193"/>
        <v>1.7424000000000002</v>
      </c>
      <c r="E3099">
        <f t="shared" si="194"/>
        <v>3148.3321000000001</v>
      </c>
      <c r="F3099">
        <f t="shared" si="195"/>
        <v>1.7424000000000002</v>
      </c>
    </row>
    <row r="3100" spans="1:6" x14ac:dyDescent="0.3">
      <c r="A3100">
        <v>63</v>
      </c>
      <c r="B3100">
        <v>91.36</v>
      </c>
      <c r="C3100">
        <f t="shared" si="192"/>
        <v>5755.68</v>
      </c>
      <c r="D3100">
        <f t="shared" si="193"/>
        <v>3969</v>
      </c>
      <c r="E3100">
        <f t="shared" si="194"/>
        <v>8346.6496000000006</v>
      </c>
      <c r="F3100">
        <f t="shared" si="195"/>
        <v>3969</v>
      </c>
    </row>
    <row r="3101" spans="1:6" x14ac:dyDescent="0.3">
      <c r="A3101">
        <v>29</v>
      </c>
      <c r="B3101">
        <v>79.27</v>
      </c>
      <c r="C3101">
        <f t="shared" si="192"/>
        <v>2298.83</v>
      </c>
      <c r="D3101">
        <f t="shared" si="193"/>
        <v>841</v>
      </c>
      <c r="E3101">
        <f t="shared" si="194"/>
        <v>6283.7328999999991</v>
      </c>
      <c r="F3101">
        <f t="shared" si="195"/>
        <v>841</v>
      </c>
    </row>
    <row r="3102" spans="1:6" x14ac:dyDescent="0.3">
      <c r="A3102">
        <v>53</v>
      </c>
      <c r="B3102">
        <v>113.21</v>
      </c>
      <c r="C3102">
        <f t="shared" si="192"/>
        <v>6000.13</v>
      </c>
      <c r="D3102">
        <f t="shared" si="193"/>
        <v>2809</v>
      </c>
      <c r="E3102">
        <f t="shared" si="194"/>
        <v>12816.504099999998</v>
      </c>
      <c r="F3102">
        <f t="shared" si="195"/>
        <v>2809</v>
      </c>
    </row>
    <row r="3103" spans="1:6" x14ac:dyDescent="0.3">
      <c r="A3103">
        <v>49</v>
      </c>
      <c r="B3103">
        <v>105.99</v>
      </c>
      <c r="C3103">
        <f t="shared" si="192"/>
        <v>5193.5099999999993</v>
      </c>
      <c r="D3103">
        <f t="shared" si="193"/>
        <v>2401</v>
      </c>
      <c r="E3103">
        <f t="shared" si="194"/>
        <v>11233.880099999998</v>
      </c>
      <c r="F3103">
        <f t="shared" si="195"/>
        <v>2401</v>
      </c>
    </row>
    <row r="3104" spans="1:6" x14ac:dyDescent="0.3">
      <c r="A3104">
        <v>81</v>
      </c>
      <c r="B3104">
        <v>59.93</v>
      </c>
      <c r="C3104">
        <f t="shared" si="192"/>
        <v>4854.33</v>
      </c>
      <c r="D3104">
        <f t="shared" si="193"/>
        <v>6561</v>
      </c>
      <c r="E3104">
        <f t="shared" si="194"/>
        <v>3591.6048999999998</v>
      </c>
      <c r="F3104">
        <f t="shared" si="195"/>
        <v>6561</v>
      </c>
    </row>
    <row r="3105" spans="1:6" x14ac:dyDescent="0.3">
      <c r="A3105">
        <v>66</v>
      </c>
      <c r="B3105">
        <v>88.83</v>
      </c>
      <c r="C3105">
        <f t="shared" si="192"/>
        <v>5862.78</v>
      </c>
      <c r="D3105">
        <f t="shared" si="193"/>
        <v>4356</v>
      </c>
      <c r="E3105">
        <f t="shared" si="194"/>
        <v>7890.7689</v>
      </c>
      <c r="F3105">
        <f t="shared" si="195"/>
        <v>4356</v>
      </c>
    </row>
    <row r="3106" spans="1:6" x14ac:dyDescent="0.3">
      <c r="A3106">
        <v>42</v>
      </c>
      <c r="B3106">
        <v>73.37</v>
      </c>
      <c r="C3106">
        <f t="shared" si="192"/>
        <v>3081.54</v>
      </c>
      <c r="D3106">
        <f t="shared" si="193"/>
        <v>1764</v>
      </c>
      <c r="E3106">
        <f t="shared" si="194"/>
        <v>5383.1569000000009</v>
      </c>
      <c r="F3106">
        <f t="shared" si="195"/>
        <v>1764</v>
      </c>
    </row>
    <row r="3107" spans="1:6" x14ac:dyDescent="0.3">
      <c r="A3107">
        <v>61</v>
      </c>
      <c r="B3107">
        <v>115.42</v>
      </c>
      <c r="C3107">
        <f t="shared" si="192"/>
        <v>7040.62</v>
      </c>
      <c r="D3107">
        <f t="shared" si="193"/>
        <v>3721</v>
      </c>
      <c r="E3107">
        <f t="shared" si="194"/>
        <v>13321.776400000001</v>
      </c>
      <c r="F3107">
        <f t="shared" si="195"/>
        <v>3721</v>
      </c>
    </row>
    <row r="3108" spans="1:6" x14ac:dyDescent="0.3">
      <c r="A3108">
        <v>52</v>
      </c>
      <c r="B3108">
        <v>71.930000000000007</v>
      </c>
      <c r="C3108">
        <f t="shared" si="192"/>
        <v>3740.3600000000006</v>
      </c>
      <c r="D3108">
        <f t="shared" si="193"/>
        <v>2704</v>
      </c>
      <c r="E3108">
        <f t="shared" si="194"/>
        <v>5173.9249000000009</v>
      </c>
      <c r="F3108">
        <f t="shared" si="195"/>
        <v>2704</v>
      </c>
    </row>
    <row r="3109" spans="1:6" x14ac:dyDescent="0.3">
      <c r="A3109">
        <v>8</v>
      </c>
      <c r="B3109">
        <v>96.43</v>
      </c>
      <c r="C3109">
        <f t="shared" si="192"/>
        <v>771.44</v>
      </c>
      <c r="D3109">
        <f t="shared" si="193"/>
        <v>64</v>
      </c>
      <c r="E3109">
        <f t="shared" si="194"/>
        <v>9298.7449000000015</v>
      </c>
      <c r="F3109">
        <f t="shared" si="195"/>
        <v>64</v>
      </c>
    </row>
    <row r="3110" spans="1:6" x14ac:dyDescent="0.3">
      <c r="A3110">
        <v>82</v>
      </c>
      <c r="B3110">
        <v>161.94999999999999</v>
      </c>
      <c r="C3110">
        <f t="shared" si="192"/>
        <v>13279.9</v>
      </c>
      <c r="D3110">
        <f t="shared" si="193"/>
        <v>6724</v>
      </c>
      <c r="E3110">
        <f t="shared" si="194"/>
        <v>26227.802499999998</v>
      </c>
      <c r="F3110">
        <f t="shared" si="195"/>
        <v>6724</v>
      </c>
    </row>
    <row r="3111" spans="1:6" x14ac:dyDescent="0.3">
      <c r="A3111">
        <v>43</v>
      </c>
      <c r="B3111">
        <v>104.55</v>
      </c>
      <c r="C3111">
        <f t="shared" si="192"/>
        <v>4495.6499999999996</v>
      </c>
      <c r="D3111">
        <f t="shared" si="193"/>
        <v>1849</v>
      </c>
      <c r="E3111">
        <f t="shared" si="194"/>
        <v>10930.702499999999</v>
      </c>
      <c r="F3111">
        <f t="shared" si="195"/>
        <v>1849</v>
      </c>
    </row>
    <row r="3112" spans="1:6" x14ac:dyDescent="0.3">
      <c r="A3112">
        <v>4</v>
      </c>
      <c r="B3112">
        <v>71.25</v>
      </c>
      <c r="C3112">
        <f t="shared" si="192"/>
        <v>285</v>
      </c>
      <c r="D3112">
        <f t="shared" si="193"/>
        <v>16</v>
      </c>
      <c r="E3112">
        <f t="shared" si="194"/>
        <v>5076.5625</v>
      </c>
      <c r="F3112">
        <f t="shared" si="195"/>
        <v>16</v>
      </c>
    </row>
    <row r="3113" spans="1:6" x14ac:dyDescent="0.3">
      <c r="A3113">
        <v>58</v>
      </c>
      <c r="B3113">
        <v>160.87</v>
      </c>
      <c r="C3113">
        <f t="shared" si="192"/>
        <v>9330.4600000000009</v>
      </c>
      <c r="D3113">
        <f t="shared" si="193"/>
        <v>3364</v>
      </c>
      <c r="E3113">
        <f t="shared" si="194"/>
        <v>25879.156900000002</v>
      </c>
      <c r="F3113">
        <f t="shared" si="195"/>
        <v>3364</v>
      </c>
    </row>
    <row r="3114" spans="1:6" x14ac:dyDescent="0.3">
      <c r="A3114">
        <v>45</v>
      </c>
      <c r="B3114">
        <v>82.02</v>
      </c>
      <c r="C3114">
        <f t="shared" si="192"/>
        <v>3690.8999999999996</v>
      </c>
      <c r="D3114">
        <f t="shared" si="193"/>
        <v>2025</v>
      </c>
      <c r="E3114">
        <f t="shared" si="194"/>
        <v>6727.2803999999996</v>
      </c>
      <c r="F3114">
        <f t="shared" si="195"/>
        <v>2025</v>
      </c>
    </row>
    <row r="3115" spans="1:6" x14ac:dyDescent="0.3">
      <c r="A3115">
        <v>62</v>
      </c>
      <c r="B3115">
        <v>78.02</v>
      </c>
      <c r="C3115">
        <f t="shared" si="192"/>
        <v>4837.24</v>
      </c>
      <c r="D3115">
        <f t="shared" si="193"/>
        <v>3844</v>
      </c>
      <c r="E3115">
        <f t="shared" si="194"/>
        <v>6087.1203999999998</v>
      </c>
      <c r="F3115">
        <f t="shared" si="195"/>
        <v>3844</v>
      </c>
    </row>
    <row r="3116" spans="1:6" x14ac:dyDescent="0.3">
      <c r="A3116">
        <v>42</v>
      </c>
      <c r="B3116">
        <v>115.21</v>
      </c>
      <c r="C3116">
        <f t="shared" si="192"/>
        <v>4838.82</v>
      </c>
      <c r="D3116">
        <f t="shared" si="193"/>
        <v>1764</v>
      </c>
      <c r="E3116">
        <f t="shared" si="194"/>
        <v>13273.344099999998</v>
      </c>
      <c r="F3116">
        <f t="shared" si="195"/>
        <v>1764</v>
      </c>
    </row>
    <row r="3117" spans="1:6" x14ac:dyDescent="0.3">
      <c r="A3117">
        <v>72</v>
      </c>
      <c r="B3117">
        <v>65.12</v>
      </c>
      <c r="C3117">
        <f t="shared" si="192"/>
        <v>4688.6400000000003</v>
      </c>
      <c r="D3117">
        <f t="shared" si="193"/>
        <v>5184</v>
      </c>
      <c r="E3117">
        <f t="shared" si="194"/>
        <v>4240.6144000000004</v>
      </c>
      <c r="F3117">
        <f t="shared" si="195"/>
        <v>5184</v>
      </c>
    </row>
    <row r="3118" spans="1:6" x14ac:dyDescent="0.3">
      <c r="A3118">
        <v>26</v>
      </c>
      <c r="B3118">
        <v>143.33000000000001</v>
      </c>
      <c r="C3118">
        <f t="shared" si="192"/>
        <v>3726.5800000000004</v>
      </c>
      <c r="D3118">
        <f t="shared" si="193"/>
        <v>676</v>
      </c>
      <c r="E3118">
        <f t="shared" si="194"/>
        <v>20543.488900000004</v>
      </c>
      <c r="F3118">
        <f t="shared" si="195"/>
        <v>676</v>
      </c>
    </row>
    <row r="3119" spans="1:6" x14ac:dyDescent="0.3">
      <c r="A3119">
        <v>9</v>
      </c>
      <c r="B3119">
        <v>80.55</v>
      </c>
      <c r="C3119">
        <f t="shared" si="192"/>
        <v>724.94999999999993</v>
      </c>
      <c r="D3119">
        <f t="shared" si="193"/>
        <v>81</v>
      </c>
      <c r="E3119">
        <f t="shared" si="194"/>
        <v>6488.3024999999998</v>
      </c>
      <c r="F3119">
        <f t="shared" si="195"/>
        <v>81</v>
      </c>
    </row>
    <row r="3120" spans="1:6" x14ac:dyDescent="0.3">
      <c r="A3120">
        <v>31</v>
      </c>
      <c r="B3120">
        <v>88.2</v>
      </c>
      <c r="C3120">
        <f t="shared" si="192"/>
        <v>2734.2000000000003</v>
      </c>
      <c r="D3120">
        <f t="shared" si="193"/>
        <v>961</v>
      </c>
      <c r="E3120">
        <f t="shared" si="194"/>
        <v>7779.2400000000007</v>
      </c>
      <c r="F3120">
        <f t="shared" si="195"/>
        <v>961</v>
      </c>
    </row>
    <row r="3121" spans="1:6" x14ac:dyDescent="0.3">
      <c r="A3121">
        <v>20</v>
      </c>
      <c r="B3121">
        <v>147.41999999999999</v>
      </c>
      <c r="C3121">
        <f t="shared" si="192"/>
        <v>2948.3999999999996</v>
      </c>
      <c r="D3121">
        <f t="shared" si="193"/>
        <v>400</v>
      </c>
      <c r="E3121">
        <f t="shared" si="194"/>
        <v>21732.656399999996</v>
      </c>
      <c r="F3121">
        <f t="shared" si="195"/>
        <v>400</v>
      </c>
    </row>
    <row r="3122" spans="1:6" x14ac:dyDescent="0.3">
      <c r="A3122">
        <v>22</v>
      </c>
      <c r="B3122">
        <v>86.53</v>
      </c>
      <c r="C3122">
        <f t="shared" si="192"/>
        <v>1903.66</v>
      </c>
      <c r="D3122">
        <f t="shared" si="193"/>
        <v>484</v>
      </c>
      <c r="E3122">
        <f t="shared" si="194"/>
        <v>7487.4409000000005</v>
      </c>
      <c r="F3122">
        <f t="shared" si="195"/>
        <v>484</v>
      </c>
    </row>
    <row r="3123" spans="1:6" x14ac:dyDescent="0.3">
      <c r="A3123">
        <v>23</v>
      </c>
      <c r="B3123">
        <v>91.95</v>
      </c>
      <c r="C3123">
        <f t="shared" si="192"/>
        <v>2114.85</v>
      </c>
      <c r="D3123">
        <f t="shared" si="193"/>
        <v>529</v>
      </c>
      <c r="E3123">
        <f t="shared" si="194"/>
        <v>8454.8024999999998</v>
      </c>
      <c r="F3123">
        <f t="shared" si="195"/>
        <v>529</v>
      </c>
    </row>
    <row r="3124" spans="1:6" x14ac:dyDescent="0.3">
      <c r="A3124">
        <v>57</v>
      </c>
      <c r="B3124">
        <v>63.72</v>
      </c>
      <c r="C3124">
        <f t="shared" si="192"/>
        <v>3632.04</v>
      </c>
      <c r="D3124">
        <f t="shared" si="193"/>
        <v>3249</v>
      </c>
      <c r="E3124">
        <f t="shared" si="194"/>
        <v>4060.2383999999997</v>
      </c>
      <c r="F3124">
        <f t="shared" si="195"/>
        <v>3249</v>
      </c>
    </row>
    <row r="3125" spans="1:6" x14ac:dyDescent="0.3">
      <c r="A3125">
        <v>52</v>
      </c>
      <c r="B3125">
        <v>63.78</v>
      </c>
      <c r="C3125">
        <f t="shared" si="192"/>
        <v>3316.56</v>
      </c>
      <c r="D3125">
        <f t="shared" si="193"/>
        <v>2704</v>
      </c>
      <c r="E3125">
        <f t="shared" si="194"/>
        <v>4067.8884000000003</v>
      </c>
      <c r="F3125">
        <f t="shared" si="195"/>
        <v>2704</v>
      </c>
    </row>
    <row r="3126" spans="1:6" x14ac:dyDescent="0.3">
      <c r="A3126">
        <v>64</v>
      </c>
      <c r="B3126">
        <v>55.64</v>
      </c>
      <c r="C3126">
        <f t="shared" si="192"/>
        <v>3560.96</v>
      </c>
      <c r="D3126">
        <f t="shared" si="193"/>
        <v>4096</v>
      </c>
      <c r="E3126">
        <f t="shared" si="194"/>
        <v>3095.8096</v>
      </c>
      <c r="F3126">
        <f t="shared" si="195"/>
        <v>4096</v>
      </c>
    </row>
    <row r="3127" spans="1:6" x14ac:dyDescent="0.3">
      <c r="A3127">
        <v>26</v>
      </c>
      <c r="B3127">
        <v>88.88</v>
      </c>
      <c r="C3127">
        <f t="shared" si="192"/>
        <v>2310.88</v>
      </c>
      <c r="D3127">
        <f t="shared" si="193"/>
        <v>676</v>
      </c>
      <c r="E3127">
        <f t="shared" si="194"/>
        <v>7899.6543999999994</v>
      </c>
      <c r="F3127">
        <f t="shared" si="195"/>
        <v>676</v>
      </c>
    </row>
    <row r="3128" spans="1:6" x14ac:dyDescent="0.3">
      <c r="A3128">
        <v>54</v>
      </c>
      <c r="B3128">
        <v>114.61</v>
      </c>
      <c r="C3128">
        <f t="shared" si="192"/>
        <v>6188.94</v>
      </c>
      <c r="D3128">
        <f t="shared" si="193"/>
        <v>2916</v>
      </c>
      <c r="E3128">
        <f t="shared" si="194"/>
        <v>13135.4521</v>
      </c>
      <c r="F3128">
        <f t="shared" si="195"/>
        <v>2916</v>
      </c>
    </row>
    <row r="3129" spans="1:6" x14ac:dyDescent="0.3">
      <c r="A3129">
        <v>32</v>
      </c>
      <c r="B3129">
        <v>56.08</v>
      </c>
      <c r="C3129">
        <f t="shared" si="192"/>
        <v>1794.56</v>
      </c>
      <c r="D3129">
        <f t="shared" si="193"/>
        <v>1024</v>
      </c>
      <c r="E3129">
        <f t="shared" si="194"/>
        <v>3144.9663999999998</v>
      </c>
      <c r="F3129">
        <f t="shared" si="195"/>
        <v>1024</v>
      </c>
    </row>
    <row r="3130" spans="1:6" x14ac:dyDescent="0.3">
      <c r="A3130">
        <v>66</v>
      </c>
      <c r="B3130">
        <v>59.62</v>
      </c>
      <c r="C3130">
        <f t="shared" si="192"/>
        <v>3934.9199999999996</v>
      </c>
      <c r="D3130">
        <f t="shared" si="193"/>
        <v>4356</v>
      </c>
      <c r="E3130">
        <f t="shared" si="194"/>
        <v>3554.5443999999998</v>
      </c>
      <c r="F3130">
        <f t="shared" si="195"/>
        <v>4356</v>
      </c>
    </row>
    <row r="3131" spans="1:6" x14ac:dyDescent="0.3">
      <c r="A3131">
        <v>13</v>
      </c>
      <c r="B3131">
        <v>75.849999999999994</v>
      </c>
      <c r="C3131">
        <f t="shared" si="192"/>
        <v>986.05</v>
      </c>
      <c r="D3131">
        <f t="shared" si="193"/>
        <v>169</v>
      </c>
      <c r="E3131">
        <f t="shared" si="194"/>
        <v>5753.2224999999989</v>
      </c>
      <c r="F3131">
        <f t="shared" si="195"/>
        <v>169</v>
      </c>
    </row>
    <row r="3132" spans="1:6" x14ac:dyDescent="0.3">
      <c r="A3132">
        <v>77</v>
      </c>
      <c r="B3132">
        <v>176.71</v>
      </c>
      <c r="C3132">
        <f t="shared" si="192"/>
        <v>13606.67</v>
      </c>
      <c r="D3132">
        <f t="shared" si="193"/>
        <v>5929</v>
      </c>
      <c r="E3132">
        <f t="shared" si="194"/>
        <v>31226.424100000004</v>
      </c>
      <c r="F3132">
        <f t="shared" si="195"/>
        <v>5929</v>
      </c>
    </row>
    <row r="3133" spans="1:6" x14ac:dyDescent="0.3">
      <c r="A3133">
        <v>18</v>
      </c>
      <c r="B3133">
        <v>80.069999999999993</v>
      </c>
      <c r="C3133">
        <f t="shared" si="192"/>
        <v>1441.2599999999998</v>
      </c>
      <c r="D3133">
        <f t="shared" si="193"/>
        <v>324</v>
      </c>
      <c r="E3133">
        <f t="shared" si="194"/>
        <v>6411.2048999999988</v>
      </c>
      <c r="F3133">
        <f t="shared" si="195"/>
        <v>324</v>
      </c>
    </row>
    <row r="3134" spans="1:6" x14ac:dyDescent="0.3">
      <c r="A3134">
        <v>11</v>
      </c>
      <c r="B3134">
        <v>56.33</v>
      </c>
      <c r="C3134">
        <f t="shared" si="192"/>
        <v>619.63</v>
      </c>
      <c r="D3134">
        <f t="shared" si="193"/>
        <v>121</v>
      </c>
      <c r="E3134">
        <f t="shared" si="194"/>
        <v>3173.0688999999998</v>
      </c>
      <c r="F3134">
        <f t="shared" si="195"/>
        <v>121</v>
      </c>
    </row>
    <row r="3135" spans="1:6" x14ac:dyDescent="0.3">
      <c r="A3135">
        <v>16</v>
      </c>
      <c r="B3135">
        <v>87.16</v>
      </c>
      <c r="C3135">
        <f t="shared" si="192"/>
        <v>1394.56</v>
      </c>
      <c r="D3135">
        <f t="shared" si="193"/>
        <v>256</v>
      </c>
      <c r="E3135">
        <f t="shared" si="194"/>
        <v>7596.8655999999992</v>
      </c>
      <c r="F3135">
        <f t="shared" si="195"/>
        <v>256</v>
      </c>
    </row>
    <row r="3136" spans="1:6" x14ac:dyDescent="0.3">
      <c r="A3136">
        <v>73</v>
      </c>
      <c r="B3136">
        <v>102.46</v>
      </c>
      <c r="C3136">
        <f t="shared" si="192"/>
        <v>7479.58</v>
      </c>
      <c r="D3136">
        <f t="shared" si="193"/>
        <v>5329</v>
      </c>
      <c r="E3136">
        <f t="shared" si="194"/>
        <v>10498.051599999999</v>
      </c>
      <c r="F3136">
        <f t="shared" si="195"/>
        <v>5329</v>
      </c>
    </row>
    <row r="3137" spans="1:6" x14ac:dyDescent="0.3">
      <c r="A3137">
        <v>44</v>
      </c>
      <c r="B3137">
        <v>84.1</v>
      </c>
      <c r="C3137">
        <f t="shared" si="192"/>
        <v>3700.3999999999996</v>
      </c>
      <c r="D3137">
        <f t="shared" si="193"/>
        <v>1936</v>
      </c>
      <c r="E3137">
        <f t="shared" si="194"/>
        <v>7072.8099999999995</v>
      </c>
      <c r="F3137">
        <f t="shared" si="195"/>
        <v>1936</v>
      </c>
    </row>
    <row r="3138" spans="1:6" x14ac:dyDescent="0.3">
      <c r="A3138">
        <v>36</v>
      </c>
      <c r="B3138">
        <v>161</v>
      </c>
      <c r="C3138">
        <f t="shared" si="192"/>
        <v>5796</v>
      </c>
      <c r="D3138">
        <f t="shared" si="193"/>
        <v>1296</v>
      </c>
      <c r="E3138">
        <f t="shared" si="194"/>
        <v>25921</v>
      </c>
      <c r="F3138">
        <f t="shared" si="195"/>
        <v>1296</v>
      </c>
    </row>
    <row r="3139" spans="1:6" x14ac:dyDescent="0.3">
      <c r="A3139">
        <v>10</v>
      </c>
      <c r="B3139">
        <v>70.7</v>
      </c>
      <c r="C3139">
        <f t="shared" ref="C3139:C3202" si="196">A3139*B3139</f>
        <v>707</v>
      </c>
      <c r="D3139">
        <f t="shared" ref="D3139:D3202" si="197">A3139*A3139</f>
        <v>100</v>
      </c>
      <c r="E3139">
        <f t="shared" ref="E3139:E3202" si="198">B3139*B3139</f>
        <v>4998.4900000000007</v>
      </c>
      <c r="F3139">
        <f t="shared" ref="F3139:F3202" si="199">A3139^2</f>
        <v>100</v>
      </c>
    </row>
    <row r="3140" spans="1:6" x14ac:dyDescent="0.3">
      <c r="A3140">
        <v>54</v>
      </c>
      <c r="B3140">
        <v>81.260000000000005</v>
      </c>
      <c r="C3140">
        <f t="shared" si="196"/>
        <v>4388.04</v>
      </c>
      <c r="D3140">
        <f t="shared" si="197"/>
        <v>2916</v>
      </c>
      <c r="E3140">
        <f t="shared" si="198"/>
        <v>6603.1876000000011</v>
      </c>
      <c r="F3140">
        <f t="shared" si="199"/>
        <v>2916</v>
      </c>
    </row>
    <row r="3141" spans="1:6" x14ac:dyDescent="0.3">
      <c r="A3141">
        <v>42</v>
      </c>
      <c r="B3141">
        <v>157.66999999999999</v>
      </c>
      <c r="C3141">
        <f t="shared" si="196"/>
        <v>6622.1399999999994</v>
      </c>
      <c r="D3141">
        <f t="shared" si="197"/>
        <v>1764</v>
      </c>
      <c r="E3141">
        <f t="shared" si="198"/>
        <v>24859.828899999997</v>
      </c>
      <c r="F3141">
        <f t="shared" si="199"/>
        <v>1764</v>
      </c>
    </row>
    <row r="3142" spans="1:6" x14ac:dyDescent="0.3">
      <c r="A3142">
        <v>52</v>
      </c>
      <c r="B3142">
        <v>89.59</v>
      </c>
      <c r="C3142">
        <f t="shared" si="196"/>
        <v>4658.68</v>
      </c>
      <c r="D3142">
        <f t="shared" si="197"/>
        <v>2704</v>
      </c>
      <c r="E3142">
        <f t="shared" si="198"/>
        <v>8026.3681000000006</v>
      </c>
      <c r="F3142">
        <f t="shared" si="199"/>
        <v>2704</v>
      </c>
    </row>
    <row r="3143" spans="1:6" x14ac:dyDescent="0.3">
      <c r="A3143">
        <v>32</v>
      </c>
      <c r="B3143">
        <v>64.02</v>
      </c>
      <c r="C3143">
        <f t="shared" si="196"/>
        <v>2048.64</v>
      </c>
      <c r="D3143">
        <f t="shared" si="197"/>
        <v>1024</v>
      </c>
      <c r="E3143">
        <f t="shared" si="198"/>
        <v>4098.5603999999994</v>
      </c>
      <c r="F3143">
        <f t="shared" si="199"/>
        <v>1024</v>
      </c>
    </row>
    <row r="3144" spans="1:6" x14ac:dyDescent="0.3">
      <c r="A3144">
        <v>43</v>
      </c>
      <c r="B3144">
        <v>110.69</v>
      </c>
      <c r="C3144">
        <f t="shared" si="196"/>
        <v>4759.67</v>
      </c>
      <c r="D3144">
        <f t="shared" si="197"/>
        <v>1849</v>
      </c>
      <c r="E3144">
        <f t="shared" si="198"/>
        <v>12252.276099999999</v>
      </c>
      <c r="F3144">
        <f t="shared" si="199"/>
        <v>1849</v>
      </c>
    </row>
    <row r="3145" spans="1:6" x14ac:dyDescent="0.3">
      <c r="A3145">
        <v>28</v>
      </c>
      <c r="B3145">
        <v>71.97</v>
      </c>
      <c r="C3145">
        <f t="shared" si="196"/>
        <v>2015.1599999999999</v>
      </c>
      <c r="D3145">
        <f t="shared" si="197"/>
        <v>784</v>
      </c>
      <c r="E3145">
        <f t="shared" si="198"/>
        <v>5179.6808999999994</v>
      </c>
      <c r="F3145">
        <f t="shared" si="199"/>
        <v>784</v>
      </c>
    </row>
    <row r="3146" spans="1:6" x14ac:dyDescent="0.3">
      <c r="A3146">
        <v>79</v>
      </c>
      <c r="B3146">
        <v>82.07</v>
      </c>
      <c r="C3146">
        <f t="shared" si="196"/>
        <v>6483.53</v>
      </c>
      <c r="D3146">
        <f t="shared" si="197"/>
        <v>6241</v>
      </c>
      <c r="E3146">
        <f t="shared" si="198"/>
        <v>6735.4848999999986</v>
      </c>
      <c r="F3146">
        <f t="shared" si="199"/>
        <v>6241</v>
      </c>
    </row>
    <row r="3147" spans="1:6" x14ac:dyDescent="0.3">
      <c r="A3147">
        <v>11</v>
      </c>
      <c r="B3147">
        <v>65.069999999999993</v>
      </c>
      <c r="C3147">
        <f t="shared" si="196"/>
        <v>715.77</v>
      </c>
      <c r="D3147">
        <f t="shared" si="197"/>
        <v>121</v>
      </c>
      <c r="E3147">
        <f t="shared" si="198"/>
        <v>4234.1048999999994</v>
      </c>
      <c r="F3147">
        <f t="shared" si="199"/>
        <v>121</v>
      </c>
    </row>
    <row r="3148" spans="1:6" x14ac:dyDescent="0.3">
      <c r="A3148">
        <v>75</v>
      </c>
      <c r="B3148">
        <v>207.62</v>
      </c>
      <c r="C3148">
        <f t="shared" si="196"/>
        <v>15571.5</v>
      </c>
      <c r="D3148">
        <f t="shared" si="197"/>
        <v>5625</v>
      </c>
      <c r="E3148">
        <f t="shared" si="198"/>
        <v>43106.064400000003</v>
      </c>
      <c r="F3148">
        <f t="shared" si="199"/>
        <v>5625</v>
      </c>
    </row>
    <row r="3149" spans="1:6" x14ac:dyDescent="0.3">
      <c r="A3149">
        <v>55</v>
      </c>
      <c r="B3149">
        <v>108.64</v>
      </c>
      <c r="C3149">
        <f t="shared" si="196"/>
        <v>5975.2</v>
      </c>
      <c r="D3149">
        <f t="shared" si="197"/>
        <v>3025</v>
      </c>
      <c r="E3149">
        <f t="shared" si="198"/>
        <v>11802.649600000001</v>
      </c>
      <c r="F3149">
        <f t="shared" si="199"/>
        <v>3025</v>
      </c>
    </row>
    <row r="3150" spans="1:6" x14ac:dyDescent="0.3">
      <c r="A3150">
        <v>78</v>
      </c>
      <c r="B3150">
        <v>201.58</v>
      </c>
      <c r="C3150">
        <f t="shared" si="196"/>
        <v>15723.240000000002</v>
      </c>
      <c r="D3150">
        <f t="shared" si="197"/>
        <v>6084</v>
      </c>
      <c r="E3150">
        <f t="shared" si="198"/>
        <v>40634.496400000004</v>
      </c>
      <c r="F3150">
        <f t="shared" si="199"/>
        <v>6084</v>
      </c>
    </row>
    <row r="3151" spans="1:6" x14ac:dyDescent="0.3">
      <c r="A3151">
        <v>48</v>
      </c>
      <c r="B3151">
        <v>116.2</v>
      </c>
      <c r="C3151">
        <f t="shared" si="196"/>
        <v>5577.6</v>
      </c>
      <c r="D3151">
        <f t="shared" si="197"/>
        <v>2304</v>
      </c>
      <c r="E3151">
        <f t="shared" si="198"/>
        <v>13502.44</v>
      </c>
      <c r="F3151">
        <f t="shared" si="199"/>
        <v>2304</v>
      </c>
    </row>
    <row r="3152" spans="1:6" x14ac:dyDescent="0.3">
      <c r="A3152">
        <v>73</v>
      </c>
      <c r="B3152">
        <v>231.43</v>
      </c>
      <c r="C3152">
        <f t="shared" si="196"/>
        <v>16894.39</v>
      </c>
      <c r="D3152">
        <f t="shared" si="197"/>
        <v>5329</v>
      </c>
      <c r="E3152">
        <f t="shared" si="198"/>
        <v>53559.844900000004</v>
      </c>
      <c r="F3152">
        <f t="shared" si="199"/>
        <v>5329</v>
      </c>
    </row>
    <row r="3153" spans="1:6" x14ac:dyDescent="0.3">
      <c r="A3153">
        <v>56</v>
      </c>
      <c r="B3153">
        <v>112.62</v>
      </c>
      <c r="C3153">
        <f t="shared" si="196"/>
        <v>6306.72</v>
      </c>
      <c r="D3153">
        <f t="shared" si="197"/>
        <v>3136</v>
      </c>
      <c r="E3153">
        <f t="shared" si="198"/>
        <v>12683.264400000002</v>
      </c>
      <c r="F3153">
        <f t="shared" si="199"/>
        <v>3136</v>
      </c>
    </row>
    <row r="3154" spans="1:6" x14ac:dyDescent="0.3">
      <c r="A3154">
        <v>54</v>
      </c>
      <c r="B3154">
        <v>220.26</v>
      </c>
      <c r="C3154">
        <f t="shared" si="196"/>
        <v>11894.039999999999</v>
      </c>
      <c r="D3154">
        <f t="shared" si="197"/>
        <v>2916</v>
      </c>
      <c r="E3154">
        <f t="shared" si="198"/>
        <v>48514.467599999996</v>
      </c>
      <c r="F3154">
        <f t="shared" si="199"/>
        <v>2916</v>
      </c>
    </row>
    <row r="3155" spans="1:6" x14ac:dyDescent="0.3">
      <c r="A3155">
        <v>55</v>
      </c>
      <c r="B3155">
        <v>84.37</v>
      </c>
      <c r="C3155">
        <f t="shared" si="196"/>
        <v>4640.3500000000004</v>
      </c>
      <c r="D3155">
        <f t="shared" si="197"/>
        <v>3025</v>
      </c>
      <c r="E3155">
        <f t="shared" si="198"/>
        <v>7118.2969000000012</v>
      </c>
      <c r="F3155">
        <f t="shared" si="199"/>
        <v>3025</v>
      </c>
    </row>
    <row r="3156" spans="1:6" x14ac:dyDescent="0.3">
      <c r="A3156">
        <v>65</v>
      </c>
      <c r="B3156">
        <v>82.83</v>
      </c>
      <c r="C3156">
        <f t="shared" si="196"/>
        <v>5383.95</v>
      </c>
      <c r="D3156">
        <f t="shared" si="197"/>
        <v>4225</v>
      </c>
      <c r="E3156">
        <f t="shared" si="198"/>
        <v>6860.8089</v>
      </c>
      <c r="F3156">
        <f t="shared" si="199"/>
        <v>4225</v>
      </c>
    </row>
    <row r="3157" spans="1:6" x14ac:dyDescent="0.3">
      <c r="A3157">
        <v>69</v>
      </c>
      <c r="B3157">
        <v>102.48</v>
      </c>
      <c r="C3157">
        <f t="shared" si="196"/>
        <v>7071.12</v>
      </c>
      <c r="D3157">
        <f t="shared" si="197"/>
        <v>4761</v>
      </c>
      <c r="E3157">
        <f t="shared" si="198"/>
        <v>10502.1504</v>
      </c>
      <c r="F3157">
        <f t="shared" si="199"/>
        <v>4761</v>
      </c>
    </row>
    <row r="3158" spans="1:6" x14ac:dyDescent="0.3">
      <c r="A3158">
        <v>29</v>
      </c>
      <c r="B3158">
        <v>69.12</v>
      </c>
      <c r="C3158">
        <f t="shared" si="196"/>
        <v>2004.48</v>
      </c>
      <c r="D3158">
        <f t="shared" si="197"/>
        <v>841</v>
      </c>
      <c r="E3158">
        <f t="shared" si="198"/>
        <v>4777.5744000000004</v>
      </c>
      <c r="F3158">
        <f t="shared" si="199"/>
        <v>841</v>
      </c>
    </row>
    <row r="3159" spans="1:6" x14ac:dyDescent="0.3">
      <c r="A3159">
        <v>64</v>
      </c>
      <c r="B3159">
        <v>211.12</v>
      </c>
      <c r="C3159">
        <f t="shared" si="196"/>
        <v>13511.68</v>
      </c>
      <c r="D3159">
        <f t="shared" si="197"/>
        <v>4096</v>
      </c>
      <c r="E3159">
        <f t="shared" si="198"/>
        <v>44571.654399999999</v>
      </c>
      <c r="F3159">
        <f t="shared" si="199"/>
        <v>4096</v>
      </c>
    </row>
    <row r="3160" spans="1:6" x14ac:dyDescent="0.3">
      <c r="A3160">
        <v>16</v>
      </c>
      <c r="B3160">
        <v>95.38</v>
      </c>
      <c r="C3160">
        <f t="shared" si="196"/>
        <v>1526.08</v>
      </c>
      <c r="D3160">
        <f t="shared" si="197"/>
        <v>256</v>
      </c>
      <c r="E3160">
        <f t="shared" si="198"/>
        <v>9097.3444</v>
      </c>
      <c r="F3160">
        <f t="shared" si="199"/>
        <v>256</v>
      </c>
    </row>
    <row r="3161" spans="1:6" x14ac:dyDescent="0.3">
      <c r="A3161">
        <v>75</v>
      </c>
      <c r="B3161">
        <v>108.72</v>
      </c>
      <c r="C3161">
        <f t="shared" si="196"/>
        <v>8154</v>
      </c>
      <c r="D3161">
        <f t="shared" si="197"/>
        <v>5625</v>
      </c>
      <c r="E3161">
        <f t="shared" si="198"/>
        <v>11820.038399999999</v>
      </c>
      <c r="F3161">
        <f t="shared" si="199"/>
        <v>5625</v>
      </c>
    </row>
    <row r="3162" spans="1:6" x14ac:dyDescent="0.3">
      <c r="A3162">
        <v>17</v>
      </c>
      <c r="B3162">
        <v>88.65</v>
      </c>
      <c r="C3162">
        <f t="shared" si="196"/>
        <v>1507.0500000000002</v>
      </c>
      <c r="D3162">
        <f t="shared" si="197"/>
        <v>289</v>
      </c>
      <c r="E3162">
        <f t="shared" si="198"/>
        <v>7858.8225000000011</v>
      </c>
      <c r="F3162">
        <f t="shared" si="199"/>
        <v>289</v>
      </c>
    </row>
    <row r="3163" spans="1:6" x14ac:dyDescent="0.3">
      <c r="A3163">
        <v>42</v>
      </c>
      <c r="B3163">
        <v>177.91</v>
      </c>
      <c r="C3163">
        <f t="shared" si="196"/>
        <v>7472.22</v>
      </c>
      <c r="D3163">
        <f t="shared" si="197"/>
        <v>1764</v>
      </c>
      <c r="E3163">
        <f t="shared" si="198"/>
        <v>31651.968099999998</v>
      </c>
      <c r="F3163">
        <f t="shared" si="199"/>
        <v>1764</v>
      </c>
    </row>
    <row r="3164" spans="1:6" x14ac:dyDescent="0.3">
      <c r="A3164">
        <v>78</v>
      </c>
      <c r="B3164">
        <v>90.19</v>
      </c>
      <c r="C3164">
        <f t="shared" si="196"/>
        <v>7034.82</v>
      </c>
      <c r="D3164">
        <f t="shared" si="197"/>
        <v>6084</v>
      </c>
      <c r="E3164">
        <f t="shared" si="198"/>
        <v>8134.2360999999992</v>
      </c>
      <c r="F3164">
        <f t="shared" si="199"/>
        <v>6084</v>
      </c>
    </row>
    <row r="3165" spans="1:6" x14ac:dyDescent="0.3">
      <c r="A3165">
        <v>24</v>
      </c>
      <c r="B3165">
        <v>73.78</v>
      </c>
      <c r="C3165">
        <f t="shared" si="196"/>
        <v>1770.72</v>
      </c>
      <c r="D3165">
        <f t="shared" si="197"/>
        <v>576</v>
      </c>
      <c r="E3165">
        <f t="shared" si="198"/>
        <v>5443.4884000000002</v>
      </c>
      <c r="F3165">
        <f t="shared" si="199"/>
        <v>576</v>
      </c>
    </row>
    <row r="3166" spans="1:6" x14ac:dyDescent="0.3">
      <c r="A3166">
        <v>68</v>
      </c>
      <c r="B3166">
        <v>82.85</v>
      </c>
      <c r="C3166">
        <f t="shared" si="196"/>
        <v>5633.7999999999993</v>
      </c>
      <c r="D3166">
        <f t="shared" si="197"/>
        <v>4624</v>
      </c>
      <c r="E3166">
        <f t="shared" si="198"/>
        <v>6864.1224999999995</v>
      </c>
      <c r="F3166">
        <f t="shared" si="199"/>
        <v>4624</v>
      </c>
    </row>
    <row r="3167" spans="1:6" x14ac:dyDescent="0.3">
      <c r="A3167">
        <v>50</v>
      </c>
      <c r="B3167">
        <v>59.48</v>
      </c>
      <c r="C3167">
        <f t="shared" si="196"/>
        <v>2974</v>
      </c>
      <c r="D3167">
        <f t="shared" si="197"/>
        <v>2500</v>
      </c>
      <c r="E3167">
        <f t="shared" si="198"/>
        <v>3537.8703999999998</v>
      </c>
      <c r="F3167">
        <f t="shared" si="199"/>
        <v>2500</v>
      </c>
    </row>
    <row r="3168" spans="1:6" x14ac:dyDescent="0.3">
      <c r="A3168">
        <v>52</v>
      </c>
      <c r="B3168">
        <v>75.77</v>
      </c>
      <c r="C3168">
        <f t="shared" si="196"/>
        <v>3940.04</v>
      </c>
      <c r="D3168">
        <f t="shared" si="197"/>
        <v>2704</v>
      </c>
      <c r="E3168">
        <f t="shared" si="198"/>
        <v>5741.0928999999996</v>
      </c>
      <c r="F3168">
        <f t="shared" si="199"/>
        <v>2704</v>
      </c>
    </row>
    <row r="3169" spans="1:6" x14ac:dyDescent="0.3">
      <c r="A3169">
        <v>82</v>
      </c>
      <c r="B3169">
        <v>80.959999999999994</v>
      </c>
      <c r="C3169">
        <f t="shared" si="196"/>
        <v>6638.7199999999993</v>
      </c>
      <c r="D3169">
        <f t="shared" si="197"/>
        <v>6724</v>
      </c>
      <c r="E3169">
        <f t="shared" si="198"/>
        <v>6554.5215999999991</v>
      </c>
      <c r="F3169">
        <f t="shared" si="199"/>
        <v>6724</v>
      </c>
    </row>
    <row r="3170" spans="1:6" x14ac:dyDescent="0.3">
      <c r="A3170">
        <v>56</v>
      </c>
      <c r="B3170">
        <v>82.4</v>
      </c>
      <c r="C3170">
        <f t="shared" si="196"/>
        <v>4614.4000000000005</v>
      </c>
      <c r="D3170">
        <f t="shared" si="197"/>
        <v>3136</v>
      </c>
      <c r="E3170">
        <f t="shared" si="198"/>
        <v>6789.7600000000011</v>
      </c>
      <c r="F3170">
        <f t="shared" si="199"/>
        <v>3136</v>
      </c>
    </row>
    <row r="3171" spans="1:6" x14ac:dyDescent="0.3">
      <c r="A3171">
        <v>56</v>
      </c>
      <c r="B3171">
        <v>78.930000000000007</v>
      </c>
      <c r="C3171">
        <f t="shared" si="196"/>
        <v>4420.08</v>
      </c>
      <c r="D3171">
        <f t="shared" si="197"/>
        <v>3136</v>
      </c>
      <c r="E3171">
        <f t="shared" si="198"/>
        <v>6229.9449000000013</v>
      </c>
      <c r="F3171">
        <f t="shared" si="199"/>
        <v>3136</v>
      </c>
    </row>
    <row r="3172" spans="1:6" x14ac:dyDescent="0.3">
      <c r="A3172">
        <v>18</v>
      </c>
      <c r="B3172">
        <v>80.59</v>
      </c>
      <c r="C3172">
        <f t="shared" si="196"/>
        <v>1450.6200000000001</v>
      </c>
      <c r="D3172">
        <f t="shared" si="197"/>
        <v>324</v>
      </c>
      <c r="E3172">
        <f t="shared" si="198"/>
        <v>6494.7481000000007</v>
      </c>
      <c r="F3172">
        <f t="shared" si="199"/>
        <v>324</v>
      </c>
    </row>
    <row r="3173" spans="1:6" x14ac:dyDescent="0.3">
      <c r="A3173">
        <v>33</v>
      </c>
      <c r="B3173">
        <v>70.59</v>
      </c>
      <c r="C3173">
        <f t="shared" si="196"/>
        <v>2329.4700000000003</v>
      </c>
      <c r="D3173">
        <f t="shared" si="197"/>
        <v>1089</v>
      </c>
      <c r="E3173">
        <f t="shared" si="198"/>
        <v>4982.9481000000005</v>
      </c>
      <c r="F3173">
        <f t="shared" si="199"/>
        <v>1089</v>
      </c>
    </row>
    <row r="3174" spans="1:6" x14ac:dyDescent="0.3">
      <c r="A3174">
        <v>57</v>
      </c>
      <c r="B3174">
        <v>98.57</v>
      </c>
      <c r="C3174">
        <f t="shared" si="196"/>
        <v>5618.49</v>
      </c>
      <c r="D3174">
        <f t="shared" si="197"/>
        <v>3249</v>
      </c>
      <c r="E3174">
        <f t="shared" si="198"/>
        <v>9716.044899999999</v>
      </c>
      <c r="F3174">
        <f t="shared" si="199"/>
        <v>3249</v>
      </c>
    </row>
    <row r="3175" spans="1:6" x14ac:dyDescent="0.3">
      <c r="A3175">
        <v>30</v>
      </c>
      <c r="B3175">
        <v>61.87</v>
      </c>
      <c r="C3175">
        <f t="shared" si="196"/>
        <v>1856.1</v>
      </c>
      <c r="D3175">
        <f t="shared" si="197"/>
        <v>900</v>
      </c>
      <c r="E3175">
        <f t="shared" si="198"/>
        <v>3827.8968999999997</v>
      </c>
      <c r="F3175">
        <f t="shared" si="199"/>
        <v>900</v>
      </c>
    </row>
    <row r="3176" spans="1:6" x14ac:dyDescent="0.3">
      <c r="A3176">
        <v>52</v>
      </c>
      <c r="B3176">
        <v>68.88</v>
      </c>
      <c r="C3176">
        <f t="shared" si="196"/>
        <v>3581.7599999999998</v>
      </c>
      <c r="D3176">
        <f t="shared" si="197"/>
        <v>2704</v>
      </c>
      <c r="E3176">
        <f t="shared" si="198"/>
        <v>4744.4543999999996</v>
      </c>
      <c r="F3176">
        <f t="shared" si="199"/>
        <v>2704</v>
      </c>
    </row>
    <row r="3177" spans="1:6" x14ac:dyDescent="0.3">
      <c r="A3177">
        <v>3</v>
      </c>
      <c r="B3177">
        <v>66.25</v>
      </c>
      <c r="C3177">
        <f t="shared" si="196"/>
        <v>198.75</v>
      </c>
      <c r="D3177">
        <f t="shared" si="197"/>
        <v>9</v>
      </c>
      <c r="E3177">
        <f t="shared" si="198"/>
        <v>4389.0625</v>
      </c>
      <c r="F3177">
        <f t="shared" si="199"/>
        <v>9</v>
      </c>
    </row>
    <row r="3178" spans="1:6" x14ac:dyDescent="0.3">
      <c r="A3178">
        <v>39</v>
      </c>
      <c r="B3178">
        <v>84.18</v>
      </c>
      <c r="C3178">
        <f t="shared" si="196"/>
        <v>3283.0200000000004</v>
      </c>
      <c r="D3178">
        <f t="shared" si="197"/>
        <v>1521</v>
      </c>
      <c r="E3178">
        <f t="shared" si="198"/>
        <v>7086.2724000000007</v>
      </c>
      <c r="F3178">
        <f t="shared" si="199"/>
        <v>1521</v>
      </c>
    </row>
    <row r="3179" spans="1:6" x14ac:dyDescent="0.3">
      <c r="A3179">
        <v>44</v>
      </c>
      <c r="B3179">
        <v>69.23</v>
      </c>
      <c r="C3179">
        <f t="shared" si="196"/>
        <v>3046.1200000000003</v>
      </c>
      <c r="D3179">
        <f t="shared" si="197"/>
        <v>1936</v>
      </c>
      <c r="E3179">
        <f t="shared" si="198"/>
        <v>4792.7929000000004</v>
      </c>
      <c r="F3179">
        <f t="shared" si="199"/>
        <v>1936</v>
      </c>
    </row>
    <row r="3180" spans="1:6" x14ac:dyDescent="0.3">
      <c r="A3180">
        <v>33</v>
      </c>
      <c r="B3180">
        <v>73.2</v>
      </c>
      <c r="C3180">
        <f t="shared" si="196"/>
        <v>2415.6</v>
      </c>
      <c r="D3180">
        <f t="shared" si="197"/>
        <v>1089</v>
      </c>
      <c r="E3180">
        <f t="shared" si="198"/>
        <v>5358.2400000000007</v>
      </c>
      <c r="F3180">
        <f t="shared" si="199"/>
        <v>1089</v>
      </c>
    </row>
    <row r="3181" spans="1:6" x14ac:dyDescent="0.3">
      <c r="A3181">
        <v>24</v>
      </c>
      <c r="B3181">
        <v>103.45</v>
      </c>
      <c r="C3181">
        <f t="shared" si="196"/>
        <v>2482.8000000000002</v>
      </c>
      <c r="D3181">
        <f t="shared" si="197"/>
        <v>576</v>
      </c>
      <c r="E3181">
        <f t="shared" si="198"/>
        <v>10701.9025</v>
      </c>
      <c r="F3181">
        <f t="shared" si="199"/>
        <v>576</v>
      </c>
    </row>
    <row r="3182" spans="1:6" x14ac:dyDescent="0.3">
      <c r="A3182">
        <v>24</v>
      </c>
      <c r="B3182">
        <v>104.86</v>
      </c>
      <c r="C3182">
        <f t="shared" si="196"/>
        <v>2516.64</v>
      </c>
      <c r="D3182">
        <f t="shared" si="197"/>
        <v>576</v>
      </c>
      <c r="E3182">
        <f t="shared" si="198"/>
        <v>10995.6196</v>
      </c>
      <c r="F3182">
        <f t="shared" si="199"/>
        <v>576</v>
      </c>
    </row>
    <row r="3183" spans="1:6" x14ac:dyDescent="0.3">
      <c r="A3183">
        <v>54</v>
      </c>
      <c r="B3183">
        <v>90.3</v>
      </c>
      <c r="C3183">
        <f t="shared" si="196"/>
        <v>4876.2</v>
      </c>
      <c r="D3183">
        <f t="shared" si="197"/>
        <v>2916</v>
      </c>
      <c r="E3183">
        <f t="shared" si="198"/>
        <v>8154.0899999999992</v>
      </c>
      <c r="F3183">
        <f t="shared" si="199"/>
        <v>2916</v>
      </c>
    </row>
    <row r="3184" spans="1:6" x14ac:dyDescent="0.3">
      <c r="A3184">
        <v>72</v>
      </c>
      <c r="B3184">
        <v>90.87</v>
      </c>
      <c r="C3184">
        <f t="shared" si="196"/>
        <v>6542.64</v>
      </c>
      <c r="D3184">
        <f t="shared" si="197"/>
        <v>5184</v>
      </c>
      <c r="E3184">
        <f t="shared" si="198"/>
        <v>8257.3569000000007</v>
      </c>
      <c r="F3184">
        <f t="shared" si="199"/>
        <v>5184</v>
      </c>
    </row>
    <row r="3185" spans="1:6" x14ac:dyDescent="0.3">
      <c r="A3185">
        <v>37</v>
      </c>
      <c r="B3185">
        <v>76.209999999999994</v>
      </c>
      <c r="C3185">
        <f t="shared" si="196"/>
        <v>2819.77</v>
      </c>
      <c r="D3185">
        <f t="shared" si="197"/>
        <v>1369</v>
      </c>
      <c r="E3185">
        <f t="shared" si="198"/>
        <v>5807.9640999999992</v>
      </c>
      <c r="F3185">
        <f t="shared" si="199"/>
        <v>1369</v>
      </c>
    </row>
    <row r="3186" spans="1:6" x14ac:dyDescent="0.3">
      <c r="A3186">
        <v>36</v>
      </c>
      <c r="B3186">
        <v>74.14</v>
      </c>
      <c r="C3186">
        <f t="shared" si="196"/>
        <v>2669.04</v>
      </c>
      <c r="D3186">
        <f t="shared" si="197"/>
        <v>1296</v>
      </c>
      <c r="E3186">
        <f t="shared" si="198"/>
        <v>5496.7395999999999</v>
      </c>
      <c r="F3186">
        <f t="shared" si="199"/>
        <v>1296</v>
      </c>
    </row>
    <row r="3187" spans="1:6" x14ac:dyDescent="0.3">
      <c r="A3187">
        <v>22</v>
      </c>
      <c r="B3187">
        <v>87.25</v>
      </c>
      <c r="C3187">
        <f t="shared" si="196"/>
        <v>1919.5</v>
      </c>
      <c r="D3187">
        <f t="shared" si="197"/>
        <v>484</v>
      </c>
      <c r="E3187">
        <f t="shared" si="198"/>
        <v>7612.5625</v>
      </c>
      <c r="F3187">
        <f t="shared" si="199"/>
        <v>484</v>
      </c>
    </row>
    <row r="3188" spans="1:6" x14ac:dyDescent="0.3">
      <c r="A3188">
        <v>68</v>
      </c>
      <c r="B3188">
        <v>215.33</v>
      </c>
      <c r="C3188">
        <f t="shared" si="196"/>
        <v>14642.44</v>
      </c>
      <c r="D3188">
        <f t="shared" si="197"/>
        <v>4624</v>
      </c>
      <c r="E3188">
        <f t="shared" si="198"/>
        <v>46367.008900000008</v>
      </c>
      <c r="F3188">
        <f t="shared" si="199"/>
        <v>4624</v>
      </c>
    </row>
    <row r="3189" spans="1:6" x14ac:dyDescent="0.3">
      <c r="A3189">
        <v>24</v>
      </c>
      <c r="B3189">
        <v>88.38</v>
      </c>
      <c r="C3189">
        <f t="shared" si="196"/>
        <v>2121.12</v>
      </c>
      <c r="D3189">
        <f t="shared" si="197"/>
        <v>576</v>
      </c>
      <c r="E3189">
        <f t="shared" si="198"/>
        <v>7811.0243999999993</v>
      </c>
      <c r="F3189">
        <f t="shared" si="199"/>
        <v>576</v>
      </c>
    </row>
    <row r="3190" spans="1:6" x14ac:dyDescent="0.3">
      <c r="A3190">
        <v>35</v>
      </c>
      <c r="B3190">
        <v>104.4</v>
      </c>
      <c r="C3190">
        <f t="shared" si="196"/>
        <v>3654</v>
      </c>
      <c r="D3190">
        <f t="shared" si="197"/>
        <v>1225</v>
      </c>
      <c r="E3190">
        <f t="shared" si="198"/>
        <v>10899.36</v>
      </c>
      <c r="F3190">
        <f t="shared" si="199"/>
        <v>1225</v>
      </c>
    </row>
    <row r="3191" spans="1:6" x14ac:dyDescent="0.3">
      <c r="A3191">
        <v>32</v>
      </c>
      <c r="B3191">
        <v>104.92</v>
      </c>
      <c r="C3191">
        <f t="shared" si="196"/>
        <v>3357.44</v>
      </c>
      <c r="D3191">
        <f t="shared" si="197"/>
        <v>1024</v>
      </c>
      <c r="E3191">
        <f t="shared" si="198"/>
        <v>11008.206400000001</v>
      </c>
      <c r="F3191">
        <f t="shared" si="199"/>
        <v>1024</v>
      </c>
    </row>
    <row r="3192" spans="1:6" x14ac:dyDescent="0.3">
      <c r="A3192">
        <v>52</v>
      </c>
      <c r="B3192">
        <v>106.54</v>
      </c>
      <c r="C3192">
        <f t="shared" si="196"/>
        <v>5540.08</v>
      </c>
      <c r="D3192">
        <f t="shared" si="197"/>
        <v>2704</v>
      </c>
      <c r="E3192">
        <f t="shared" si="198"/>
        <v>11350.771600000002</v>
      </c>
      <c r="F3192">
        <f t="shared" si="199"/>
        <v>2704</v>
      </c>
    </row>
    <row r="3193" spans="1:6" x14ac:dyDescent="0.3">
      <c r="A3193">
        <v>21</v>
      </c>
      <c r="B3193">
        <v>62.91</v>
      </c>
      <c r="C3193">
        <f t="shared" si="196"/>
        <v>1321.11</v>
      </c>
      <c r="D3193">
        <f t="shared" si="197"/>
        <v>441</v>
      </c>
      <c r="E3193">
        <f t="shared" si="198"/>
        <v>3957.6680999999994</v>
      </c>
      <c r="F3193">
        <f t="shared" si="199"/>
        <v>441</v>
      </c>
    </row>
    <row r="3194" spans="1:6" x14ac:dyDescent="0.3">
      <c r="A3194">
        <v>82</v>
      </c>
      <c r="B3194">
        <v>61.47</v>
      </c>
      <c r="C3194">
        <f t="shared" si="196"/>
        <v>5040.54</v>
      </c>
      <c r="D3194">
        <f t="shared" si="197"/>
        <v>6724</v>
      </c>
      <c r="E3194">
        <f t="shared" si="198"/>
        <v>3778.5608999999999</v>
      </c>
      <c r="F3194">
        <f t="shared" si="199"/>
        <v>6724</v>
      </c>
    </row>
    <row r="3195" spans="1:6" x14ac:dyDescent="0.3">
      <c r="A3195">
        <v>33</v>
      </c>
      <c r="B3195">
        <v>88.5</v>
      </c>
      <c r="C3195">
        <f t="shared" si="196"/>
        <v>2920.5</v>
      </c>
      <c r="D3195">
        <f t="shared" si="197"/>
        <v>1089</v>
      </c>
      <c r="E3195">
        <f t="shared" si="198"/>
        <v>7832.25</v>
      </c>
      <c r="F3195">
        <f t="shared" si="199"/>
        <v>1089</v>
      </c>
    </row>
    <row r="3196" spans="1:6" x14ac:dyDescent="0.3">
      <c r="A3196">
        <v>62</v>
      </c>
      <c r="B3196">
        <v>107.61</v>
      </c>
      <c r="C3196">
        <f t="shared" si="196"/>
        <v>6671.82</v>
      </c>
      <c r="D3196">
        <f t="shared" si="197"/>
        <v>3844</v>
      </c>
      <c r="E3196">
        <f t="shared" si="198"/>
        <v>11579.9121</v>
      </c>
      <c r="F3196">
        <f t="shared" si="199"/>
        <v>3844</v>
      </c>
    </row>
    <row r="3197" spans="1:6" x14ac:dyDescent="0.3">
      <c r="A3197">
        <v>57</v>
      </c>
      <c r="B3197">
        <v>90.77</v>
      </c>
      <c r="C3197">
        <f t="shared" si="196"/>
        <v>5173.8899999999994</v>
      </c>
      <c r="D3197">
        <f t="shared" si="197"/>
        <v>3249</v>
      </c>
      <c r="E3197">
        <f t="shared" si="198"/>
        <v>8239.1929</v>
      </c>
      <c r="F3197">
        <f t="shared" si="199"/>
        <v>3249</v>
      </c>
    </row>
    <row r="3198" spans="1:6" x14ac:dyDescent="0.3">
      <c r="A3198">
        <v>14</v>
      </c>
      <c r="B3198">
        <v>137.91</v>
      </c>
      <c r="C3198">
        <f t="shared" si="196"/>
        <v>1930.74</v>
      </c>
      <c r="D3198">
        <f t="shared" si="197"/>
        <v>196</v>
      </c>
      <c r="E3198">
        <f t="shared" si="198"/>
        <v>19019.168099999999</v>
      </c>
      <c r="F3198">
        <f t="shared" si="199"/>
        <v>196</v>
      </c>
    </row>
    <row r="3199" spans="1:6" x14ac:dyDescent="0.3">
      <c r="A3199">
        <v>60</v>
      </c>
      <c r="B3199">
        <v>212.02</v>
      </c>
      <c r="C3199">
        <f t="shared" si="196"/>
        <v>12721.2</v>
      </c>
      <c r="D3199">
        <f t="shared" si="197"/>
        <v>3600</v>
      </c>
      <c r="E3199">
        <f t="shared" si="198"/>
        <v>44952.480400000008</v>
      </c>
      <c r="F3199">
        <f t="shared" si="199"/>
        <v>3600</v>
      </c>
    </row>
    <row r="3200" spans="1:6" x14ac:dyDescent="0.3">
      <c r="A3200">
        <v>63</v>
      </c>
      <c r="B3200">
        <v>228.2</v>
      </c>
      <c r="C3200">
        <f t="shared" si="196"/>
        <v>14376.599999999999</v>
      </c>
      <c r="D3200">
        <f t="shared" si="197"/>
        <v>3969</v>
      </c>
      <c r="E3200">
        <f t="shared" si="198"/>
        <v>52075.24</v>
      </c>
      <c r="F3200">
        <f t="shared" si="199"/>
        <v>3969</v>
      </c>
    </row>
    <row r="3201" spans="1:6" x14ac:dyDescent="0.3">
      <c r="A3201">
        <v>50</v>
      </c>
      <c r="B3201">
        <v>92.15</v>
      </c>
      <c r="C3201">
        <f t="shared" si="196"/>
        <v>4607.5</v>
      </c>
      <c r="D3201">
        <f t="shared" si="197"/>
        <v>2500</v>
      </c>
      <c r="E3201">
        <f t="shared" si="198"/>
        <v>8491.6225000000013</v>
      </c>
      <c r="F3201">
        <f t="shared" si="199"/>
        <v>2500</v>
      </c>
    </row>
    <row r="3202" spans="1:6" x14ac:dyDescent="0.3">
      <c r="A3202">
        <v>12</v>
      </c>
      <c r="B3202">
        <v>126.32</v>
      </c>
      <c r="C3202">
        <f t="shared" si="196"/>
        <v>1515.84</v>
      </c>
      <c r="D3202">
        <f t="shared" si="197"/>
        <v>144</v>
      </c>
      <c r="E3202">
        <f t="shared" si="198"/>
        <v>15956.742399999999</v>
      </c>
      <c r="F3202">
        <f t="shared" si="199"/>
        <v>144</v>
      </c>
    </row>
    <row r="3203" spans="1:6" x14ac:dyDescent="0.3">
      <c r="A3203">
        <v>80</v>
      </c>
      <c r="B3203">
        <v>94.96</v>
      </c>
      <c r="C3203">
        <f t="shared" ref="C3203:C3266" si="200">A3203*B3203</f>
        <v>7596.7999999999993</v>
      </c>
      <c r="D3203">
        <f t="shared" ref="D3203:D3266" si="201">A3203*A3203</f>
        <v>6400</v>
      </c>
      <c r="E3203">
        <f t="shared" ref="E3203:E3266" si="202">B3203*B3203</f>
        <v>9017.4015999999992</v>
      </c>
      <c r="F3203">
        <f t="shared" ref="F3203:F3266" si="203">A3203^2</f>
        <v>6400</v>
      </c>
    </row>
    <row r="3204" spans="1:6" x14ac:dyDescent="0.3">
      <c r="A3204">
        <v>74</v>
      </c>
      <c r="B3204">
        <v>89.52</v>
      </c>
      <c r="C3204">
        <f t="shared" si="200"/>
        <v>6624.48</v>
      </c>
      <c r="D3204">
        <f t="shared" si="201"/>
        <v>5476</v>
      </c>
      <c r="E3204">
        <f t="shared" si="202"/>
        <v>8013.8303999999989</v>
      </c>
      <c r="F3204">
        <f t="shared" si="203"/>
        <v>5476</v>
      </c>
    </row>
    <row r="3205" spans="1:6" x14ac:dyDescent="0.3">
      <c r="A3205">
        <v>46</v>
      </c>
      <c r="B3205">
        <v>66.59</v>
      </c>
      <c r="C3205">
        <f t="shared" si="200"/>
        <v>3063.1400000000003</v>
      </c>
      <c r="D3205">
        <f t="shared" si="201"/>
        <v>2116</v>
      </c>
      <c r="E3205">
        <f t="shared" si="202"/>
        <v>4434.2281000000003</v>
      </c>
      <c r="F3205">
        <f t="shared" si="203"/>
        <v>2116</v>
      </c>
    </row>
    <row r="3206" spans="1:6" x14ac:dyDescent="0.3">
      <c r="A3206">
        <v>66</v>
      </c>
      <c r="B3206">
        <v>80.099999999999994</v>
      </c>
      <c r="C3206">
        <f t="shared" si="200"/>
        <v>5286.5999999999995</v>
      </c>
      <c r="D3206">
        <f t="shared" si="201"/>
        <v>4356</v>
      </c>
      <c r="E3206">
        <f t="shared" si="202"/>
        <v>6416.0099999999993</v>
      </c>
      <c r="F3206">
        <f t="shared" si="203"/>
        <v>4356</v>
      </c>
    </row>
    <row r="3207" spans="1:6" x14ac:dyDescent="0.3">
      <c r="A3207">
        <v>26</v>
      </c>
      <c r="B3207">
        <v>73.72</v>
      </c>
      <c r="C3207">
        <f t="shared" si="200"/>
        <v>1916.72</v>
      </c>
      <c r="D3207">
        <f t="shared" si="201"/>
        <v>676</v>
      </c>
      <c r="E3207">
        <f t="shared" si="202"/>
        <v>5434.6383999999998</v>
      </c>
      <c r="F3207">
        <f t="shared" si="203"/>
        <v>676</v>
      </c>
    </row>
    <row r="3208" spans="1:6" x14ac:dyDescent="0.3">
      <c r="A3208">
        <v>70</v>
      </c>
      <c r="B3208">
        <v>90.49</v>
      </c>
      <c r="C3208">
        <f t="shared" si="200"/>
        <v>6334.2999999999993</v>
      </c>
      <c r="D3208">
        <f t="shared" si="201"/>
        <v>4900</v>
      </c>
      <c r="E3208">
        <f t="shared" si="202"/>
        <v>8188.4400999999989</v>
      </c>
      <c r="F3208">
        <f t="shared" si="203"/>
        <v>4900</v>
      </c>
    </row>
    <row r="3209" spans="1:6" x14ac:dyDescent="0.3">
      <c r="A3209">
        <v>62</v>
      </c>
      <c r="B3209">
        <v>92.99</v>
      </c>
      <c r="C3209">
        <f t="shared" si="200"/>
        <v>5765.38</v>
      </c>
      <c r="D3209">
        <f t="shared" si="201"/>
        <v>3844</v>
      </c>
      <c r="E3209">
        <f t="shared" si="202"/>
        <v>8647.1400999999987</v>
      </c>
      <c r="F3209">
        <f t="shared" si="203"/>
        <v>3844</v>
      </c>
    </row>
    <row r="3210" spans="1:6" x14ac:dyDescent="0.3">
      <c r="A3210">
        <v>15</v>
      </c>
      <c r="B3210">
        <v>62.57</v>
      </c>
      <c r="C3210">
        <f t="shared" si="200"/>
        <v>938.55</v>
      </c>
      <c r="D3210">
        <f t="shared" si="201"/>
        <v>225</v>
      </c>
      <c r="E3210">
        <f t="shared" si="202"/>
        <v>3915.0048999999999</v>
      </c>
      <c r="F3210">
        <f t="shared" si="203"/>
        <v>225</v>
      </c>
    </row>
    <row r="3211" spans="1:6" x14ac:dyDescent="0.3">
      <c r="A3211">
        <v>67</v>
      </c>
      <c r="B3211">
        <v>65.510000000000005</v>
      </c>
      <c r="C3211">
        <f t="shared" si="200"/>
        <v>4389.17</v>
      </c>
      <c r="D3211">
        <f t="shared" si="201"/>
        <v>4489</v>
      </c>
      <c r="E3211">
        <f t="shared" si="202"/>
        <v>4291.5601000000006</v>
      </c>
      <c r="F3211">
        <f t="shared" si="203"/>
        <v>4489</v>
      </c>
    </row>
    <row r="3212" spans="1:6" x14ac:dyDescent="0.3">
      <c r="A3212">
        <v>63</v>
      </c>
      <c r="B3212">
        <v>95.29</v>
      </c>
      <c r="C3212">
        <f t="shared" si="200"/>
        <v>6003.27</v>
      </c>
      <c r="D3212">
        <f t="shared" si="201"/>
        <v>3969</v>
      </c>
      <c r="E3212">
        <f t="shared" si="202"/>
        <v>9080.1841000000004</v>
      </c>
      <c r="F3212">
        <f t="shared" si="203"/>
        <v>3969</v>
      </c>
    </row>
    <row r="3213" spans="1:6" x14ac:dyDescent="0.3">
      <c r="A3213">
        <v>42</v>
      </c>
      <c r="B3213">
        <v>83.7</v>
      </c>
      <c r="C3213">
        <f t="shared" si="200"/>
        <v>3515.4</v>
      </c>
      <c r="D3213">
        <f t="shared" si="201"/>
        <v>1764</v>
      </c>
      <c r="E3213">
        <f t="shared" si="202"/>
        <v>7005.6900000000005</v>
      </c>
      <c r="F3213">
        <f t="shared" si="203"/>
        <v>1764</v>
      </c>
    </row>
    <row r="3214" spans="1:6" x14ac:dyDescent="0.3">
      <c r="A3214">
        <v>49</v>
      </c>
      <c r="B3214">
        <v>63.16</v>
      </c>
      <c r="C3214">
        <f t="shared" si="200"/>
        <v>3094.8399999999997</v>
      </c>
      <c r="D3214">
        <f t="shared" si="201"/>
        <v>2401</v>
      </c>
      <c r="E3214">
        <f t="shared" si="202"/>
        <v>3989.1855999999998</v>
      </c>
      <c r="F3214">
        <f t="shared" si="203"/>
        <v>2401</v>
      </c>
    </row>
    <row r="3215" spans="1:6" x14ac:dyDescent="0.3">
      <c r="A3215">
        <v>78</v>
      </c>
      <c r="B3215">
        <v>87.77</v>
      </c>
      <c r="C3215">
        <f t="shared" si="200"/>
        <v>6846.0599999999995</v>
      </c>
      <c r="D3215">
        <f t="shared" si="201"/>
        <v>6084</v>
      </c>
      <c r="E3215">
        <f t="shared" si="202"/>
        <v>7703.5728999999992</v>
      </c>
      <c r="F3215">
        <f t="shared" si="203"/>
        <v>6084</v>
      </c>
    </row>
    <row r="3216" spans="1:6" x14ac:dyDescent="0.3">
      <c r="A3216">
        <v>31</v>
      </c>
      <c r="B3216">
        <v>87.23</v>
      </c>
      <c r="C3216">
        <f t="shared" si="200"/>
        <v>2704.13</v>
      </c>
      <c r="D3216">
        <f t="shared" si="201"/>
        <v>961</v>
      </c>
      <c r="E3216">
        <f t="shared" si="202"/>
        <v>7609.072900000001</v>
      </c>
      <c r="F3216">
        <f t="shared" si="203"/>
        <v>961</v>
      </c>
    </row>
    <row r="3217" spans="1:6" x14ac:dyDescent="0.3">
      <c r="A3217">
        <v>67</v>
      </c>
      <c r="B3217">
        <v>260.85000000000002</v>
      </c>
      <c r="C3217">
        <f t="shared" si="200"/>
        <v>17476.95</v>
      </c>
      <c r="D3217">
        <f t="shared" si="201"/>
        <v>4489</v>
      </c>
      <c r="E3217">
        <f t="shared" si="202"/>
        <v>68042.722500000018</v>
      </c>
      <c r="F3217">
        <f t="shared" si="203"/>
        <v>4489</v>
      </c>
    </row>
    <row r="3218" spans="1:6" x14ac:dyDescent="0.3">
      <c r="A3218">
        <v>52</v>
      </c>
      <c r="B3218">
        <v>104.45</v>
      </c>
      <c r="C3218">
        <f t="shared" si="200"/>
        <v>5431.4000000000005</v>
      </c>
      <c r="D3218">
        <f t="shared" si="201"/>
        <v>2704</v>
      </c>
      <c r="E3218">
        <f t="shared" si="202"/>
        <v>10909.8025</v>
      </c>
      <c r="F3218">
        <f t="shared" si="203"/>
        <v>2704</v>
      </c>
    </row>
    <row r="3219" spans="1:6" x14ac:dyDescent="0.3">
      <c r="A3219">
        <v>61</v>
      </c>
      <c r="B3219">
        <v>87.52</v>
      </c>
      <c r="C3219">
        <f t="shared" si="200"/>
        <v>5338.7199999999993</v>
      </c>
      <c r="D3219">
        <f t="shared" si="201"/>
        <v>3721</v>
      </c>
      <c r="E3219">
        <f t="shared" si="202"/>
        <v>7659.750399999999</v>
      </c>
      <c r="F3219">
        <f t="shared" si="203"/>
        <v>3721</v>
      </c>
    </row>
    <row r="3220" spans="1:6" x14ac:dyDescent="0.3">
      <c r="A3220">
        <v>41</v>
      </c>
      <c r="B3220">
        <v>113.65</v>
      </c>
      <c r="C3220">
        <f t="shared" si="200"/>
        <v>4659.6500000000005</v>
      </c>
      <c r="D3220">
        <f t="shared" si="201"/>
        <v>1681</v>
      </c>
      <c r="E3220">
        <f t="shared" si="202"/>
        <v>12916.322500000002</v>
      </c>
      <c r="F3220">
        <f t="shared" si="203"/>
        <v>1681</v>
      </c>
    </row>
    <row r="3221" spans="1:6" x14ac:dyDescent="0.3">
      <c r="A3221">
        <v>73</v>
      </c>
      <c r="B3221">
        <v>65.930000000000007</v>
      </c>
      <c r="C3221">
        <f t="shared" si="200"/>
        <v>4812.8900000000003</v>
      </c>
      <c r="D3221">
        <f t="shared" si="201"/>
        <v>5329</v>
      </c>
      <c r="E3221">
        <f t="shared" si="202"/>
        <v>4346.764900000001</v>
      </c>
      <c r="F3221">
        <f t="shared" si="203"/>
        <v>5329</v>
      </c>
    </row>
    <row r="3222" spans="1:6" x14ac:dyDescent="0.3">
      <c r="A3222">
        <v>64</v>
      </c>
      <c r="B3222">
        <v>93.78</v>
      </c>
      <c r="C3222">
        <f t="shared" si="200"/>
        <v>6001.92</v>
      </c>
      <c r="D3222">
        <f t="shared" si="201"/>
        <v>4096</v>
      </c>
      <c r="E3222">
        <f t="shared" si="202"/>
        <v>8794.6884000000009</v>
      </c>
      <c r="F3222">
        <f t="shared" si="203"/>
        <v>4096</v>
      </c>
    </row>
    <row r="3223" spans="1:6" x14ac:dyDescent="0.3">
      <c r="A3223">
        <v>65</v>
      </c>
      <c r="B3223">
        <v>223.9</v>
      </c>
      <c r="C3223">
        <f t="shared" si="200"/>
        <v>14553.5</v>
      </c>
      <c r="D3223">
        <f t="shared" si="201"/>
        <v>4225</v>
      </c>
      <c r="E3223">
        <f t="shared" si="202"/>
        <v>50131.21</v>
      </c>
      <c r="F3223">
        <f t="shared" si="203"/>
        <v>4225</v>
      </c>
    </row>
    <row r="3224" spans="1:6" x14ac:dyDescent="0.3">
      <c r="A3224">
        <v>81</v>
      </c>
      <c r="B3224">
        <v>77.540000000000006</v>
      </c>
      <c r="C3224">
        <f t="shared" si="200"/>
        <v>6280.7400000000007</v>
      </c>
      <c r="D3224">
        <f t="shared" si="201"/>
        <v>6561</v>
      </c>
      <c r="E3224">
        <f t="shared" si="202"/>
        <v>6012.4516000000012</v>
      </c>
      <c r="F3224">
        <f t="shared" si="203"/>
        <v>6561</v>
      </c>
    </row>
    <row r="3225" spans="1:6" x14ac:dyDescent="0.3">
      <c r="A3225">
        <v>47</v>
      </c>
      <c r="B3225">
        <v>93.18</v>
      </c>
      <c r="C3225">
        <f t="shared" si="200"/>
        <v>4379.46</v>
      </c>
      <c r="D3225">
        <f t="shared" si="201"/>
        <v>2209</v>
      </c>
      <c r="E3225">
        <f t="shared" si="202"/>
        <v>8682.5124000000014</v>
      </c>
      <c r="F3225">
        <f t="shared" si="203"/>
        <v>2209</v>
      </c>
    </row>
    <row r="3226" spans="1:6" x14ac:dyDescent="0.3">
      <c r="A3226">
        <v>40</v>
      </c>
      <c r="B3226">
        <v>169.74</v>
      </c>
      <c r="C3226">
        <f t="shared" si="200"/>
        <v>6789.6</v>
      </c>
      <c r="D3226">
        <f t="shared" si="201"/>
        <v>1600</v>
      </c>
      <c r="E3226">
        <f t="shared" si="202"/>
        <v>28811.667600000004</v>
      </c>
      <c r="F3226">
        <f t="shared" si="203"/>
        <v>1600</v>
      </c>
    </row>
    <row r="3227" spans="1:6" x14ac:dyDescent="0.3">
      <c r="A3227">
        <v>46</v>
      </c>
      <c r="B3227">
        <v>101.93</v>
      </c>
      <c r="C3227">
        <f t="shared" si="200"/>
        <v>4688.7800000000007</v>
      </c>
      <c r="D3227">
        <f t="shared" si="201"/>
        <v>2116</v>
      </c>
      <c r="E3227">
        <f t="shared" si="202"/>
        <v>10389.724900000001</v>
      </c>
      <c r="F3227">
        <f t="shared" si="203"/>
        <v>2116</v>
      </c>
    </row>
    <row r="3228" spans="1:6" x14ac:dyDescent="0.3">
      <c r="A3228">
        <v>2</v>
      </c>
      <c r="B3228">
        <v>125.03</v>
      </c>
      <c r="C3228">
        <f t="shared" si="200"/>
        <v>250.06</v>
      </c>
      <c r="D3228">
        <f t="shared" si="201"/>
        <v>4</v>
      </c>
      <c r="E3228">
        <f t="shared" si="202"/>
        <v>15632.500900000001</v>
      </c>
      <c r="F3228">
        <f t="shared" si="203"/>
        <v>4</v>
      </c>
    </row>
    <row r="3229" spans="1:6" x14ac:dyDescent="0.3">
      <c r="A3229">
        <v>56</v>
      </c>
      <c r="B3229">
        <v>82.25</v>
      </c>
      <c r="C3229">
        <f t="shared" si="200"/>
        <v>4606</v>
      </c>
      <c r="D3229">
        <f t="shared" si="201"/>
        <v>3136</v>
      </c>
      <c r="E3229">
        <f t="shared" si="202"/>
        <v>6765.0625</v>
      </c>
      <c r="F3229">
        <f t="shared" si="203"/>
        <v>3136</v>
      </c>
    </row>
    <row r="3230" spans="1:6" x14ac:dyDescent="0.3">
      <c r="A3230">
        <v>54</v>
      </c>
      <c r="B3230">
        <v>85.81</v>
      </c>
      <c r="C3230">
        <f t="shared" si="200"/>
        <v>4633.74</v>
      </c>
      <c r="D3230">
        <f t="shared" si="201"/>
        <v>2916</v>
      </c>
      <c r="E3230">
        <f t="shared" si="202"/>
        <v>7363.3561</v>
      </c>
      <c r="F3230">
        <f t="shared" si="203"/>
        <v>2916</v>
      </c>
    </row>
    <row r="3231" spans="1:6" x14ac:dyDescent="0.3">
      <c r="A3231">
        <v>26</v>
      </c>
      <c r="B3231">
        <v>85.27</v>
      </c>
      <c r="C3231">
        <f t="shared" si="200"/>
        <v>2217.02</v>
      </c>
      <c r="D3231">
        <f t="shared" si="201"/>
        <v>676</v>
      </c>
      <c r="E3231">
        <f t="shared" si="202"/>
        <v>7270.9728999999998</v>
      </c>
      <c r="F3231">
        <f t="shared" si="203"/>
        <v>676</v>
      </c>
    </row>
    <row r="3232" spans="1:6" x14ac:dyDescent="0.3">
      <c r="A3232">
        <v>45</v>
      </c>
      <c r="B3232">
        <v>86.06</v>
      </c>
      <c r="C3232">
        <f t="shared" si="200"/>
        <v>3872.7000000000003</v>
      </c>
      <c r="D3232">
        <f t="shared" si="201"/>
        <v>2025</v>
      </c>
      <c r="E3232">
        <f t="shared" si="202"/>
        <v>7406.3236000000006</v>
      </c>
      <c r="F3232">
        <f t="shared" si="203"/>
        <v>2025</v>
      </c>
    </row>
    <row r="3233" spans="1:6" x14ac:dyDescent="0.3">
      <c r="A3233">
        <v>57</v>
      </c>
      <c r="B3233">
        <v>104.36</v>
      </c>
      <c r="C3233">
        <f t="shared" si="200"/>
        <v>5948.5199999999995</v>
      </c>
      <c r="D3233">
        <f t="shared" si="201"/>
        <v>3249</v>
      </c>
      <c r="E3233">
        <f t="shared" si="202"/>
        <v>10891.009599999999</v>
      </c>
      <c r="F3233">
        <f t="shared" si="203"/>
        <v>3249</v>
      </c>
    </row>
    <row r="3234" spans="1:6" x14ac:dyDescent="0.3">
      <c r="A3234">
        <v>78</v>
      </c>
      <c r="B3234">
        <v>78.290000000000006</v>
      </c>
      <c r="C3234">
        <f t="shared" si="200"/>
        <v>6106.6200000000008</v>
      </c>
      <c r="D3234">
        <f t="shared" si="201"/>
        <v>6084</v>
      </c>
      <c r="E3234">
        <f t="shared" si="202"/>
        <v>6129.3241000000007</v>
      </c>
      <c r="F3234">
        <f t="shared" si="203"/>
        <v>6084</v>
      </c>
    </row>
    <row r="3235" spans="1:6" x14ac:dyDescent="0.3">
      <c r="A3235">
        <v>2</v>
      </c>
      <c r="B3235">
        <v>93.55</v>
      </c>
      <c r="C3235">
        <f t="shared" si="200"/>
        <v>187.1</v>
      </c>
      <c r="D3235">
        <f t="shared" si="201"/>
        <v>4</v>
      </c>
      <c r="E3235">
        <f t="shared" si="202"/>
        <v>8751.6024999999991</v>
      </c>
      <c r="F3235">
        <f t="shared" si="203"/>
        <v>4</v>
      </c>
    </row>
    <row r="3236" spans="1:6" x14ac:dyDescent="0.3">
      <c r="A3236">
        <v>76</v>
      </c>
      <c r="B3236">
        <v>207.96</v>
      </c>
      <c r="C3236">
        <f t="shared" si="200"/>
        <v>15804.960000000001</v>
      </c>
      <c r="D3236">
        <f t="shared" si="201"/>
        <v>5776</v>
      </c>
      <c r="E3236">
        <f t="shared" si="202"/>
        <v>43247.361600000004</v>
      </c>
      <c r="F3236">
        <f t="shared" si="203"/>
        <v>5776</v>
      </c>
    </row>
    <row r="3237" spans="1:6" x14ac:dyDescent="0.3">
      <c r="A3237">
        <v>51</v>
      </c>
      <c r="B3237">
        <v>105.52</v>
      </c>
      <c r="C3237">
        <f t="shared" si="200"/>
        <v>5381.5199999999995</v>
      </c>
      <c r="D3237">
        <f t="shared" si="201"/>
        <v>2601</v>
      </c>
      <c r="E3237">
        <f t="shared" si="202"/>
        <v>11134.470399999998</v>
      </c>
      <c r="F3237">
        <f t="shared" si="203"/>
        <v>2601</v>
      </c>
    </row>
    <row r="3238" spans="1:6" x14ac:dyDescent="0.3">
      <c r="A3238">
        <v>54</v>
      </c>
      <c r="B3238">
        <v>109.27</v>
      </c>
      <c r="C3238">
        <f t="shared" si="200"/>
        <v>5900.58</v>
      </c>
      <c r="D3238">
        <f t="shared" si="201"/>
        <v>2916</v>
      </c>
      <c r="E3238">
        <f t="shared" si="202"/>
        <v>11939.9329</v>
      </c>
      <c r="F3238">
        <f t="shared" si="203"/>
        <v>2916</v>
      </c>
    </row>
    <row r="3239" spans="1:6" x14ac:dyDescent="0.3">
      <c r="A3239">
        <v>36</v>
      </c>
      <c r="B3239">
        <v>91.34</v>
      </c>
      <c r="C3239">
        <f t="shared" si="200"/>
        <v>3288.2400000000002</v>
      </c>
      <c r="D3239">
        <f t="shared" si="201"/>
        <v>1296</v>
      </c>
      <c r="E3239">
        <f t="shared" si="202"/>
        <v>8342.9956000000002</v>
      </c>
      <c r="F3239">
        <f t="shared" si="203"/>
        <v>1296</v>
      </c>
    </row>
    <row r="3240" spans="1:6" x14ac:dyDescent="0.3">
      <c r="A3240">
        <v>57</v>
      </c>
      <c r="B3240">
        <v>176.78</v>
      </c>
      <c r="C3240">
        <f t="shared" si="200"/>
        <v>10076.460000000001</v>
      </c>
      <c r="D3240">
        <f t="shared" si="201"/>
        <v>3249</v>
      </c>
      <c r="E3240">
        <f t="shared" si="202"/>
        <v>31251.168399999999</v>
      </c>
      <c r="F3240">
        <f t="shared" si="203"/>
        <v>3249</v>
      </c>
    </row>
    <row r="3241" spans="1:6" x14ac:dyDescent="0.3">
      <c r="A3241">
        <v>25</v>
      </c>
      <c r="B3241">
        <v>67.73</v>
      </c>
      <c r="C3241">
        <f t="shared" si="200"/>
        <v>1693.25</v>
      </c>
      <c r="D3241">
        <f t="shared" si="201"/>
        <v>625</v>
      </c>
      <c r="E3241">
        <f t="shared" si="202"/>
        <v>4587.3529000000008</v>
      </c>
      <c r="F3241">
        <f t="shared" si="203"/>
        <v>625</v>
      </c>
    </row>
    <row r="3242" spans="1:6" x14ac:dyDescent="0.3">
      <c r="A3242">
        <v>7</v>
      </c>
      <c r="B3242">
        <v>73.27</v>
      </c>
      <c r="C3242">
        <f t="shared" si="200"/>
        <v>512.89</v>
      </c>
      <c r="D3242">
        <f t="shared" si="201"/>
        <v>49</v>
      </c>
      <c r="E3242">
        <f t="shared" si="202"/>
        <v>5368.4928999999993</v>
      </c>
      <c r="F3242">
        <f t="shared" si="203"/>
        <v>49</v>
      </c>
    </row>
    <row r="3243" spans="1:6" x14ac:dyDescent="0.3">
      <c r="A3243">
        <v>76</v>
      </c>
      <c r="B3243">
        <v>70.290000000000006</v>
      </c>
      <c r="C3243">
        <f t="shared" si="200"/>
        <v>5342.0400000000009</v>
      </c>
      <c r="D3243">
        <f t="shared" si="201"/>
        <v>5776</v>
      </c>
      <c r="E3243">
        <f t="shared" si="202"/>
        <v>4940.6841000000013</v>
      </c>
      <c r="F3243">
        <f t="shared" si="203"/>
        <v>5776</v>
      </c>
    </row>
    <row r="3244" spans="1:6" x14ac:dyDescent="0.3">
      <c r="A3244">
        <v>45</v>
      </c>
      <c r="B3244">
        <v>91.47</v>
      </c>
      <c r="C3244">
        <f t="shared" si="200"/>
        <v>4116.1499999999996</v>
      </c>
      <c r="D3244">
        <f t="shared" si="201"/>
        <v>2025</v>
      </c>
      <c r="E3244">
        <f t="shared" si="202"/>
        <v>8366.7608999999993</v>
      </c>
      <c r="F3244">
        <f t="shared" si="203"/>
        <v>2025</v>
      </c>
    </row>
    <row r="3245" spans="1:6" x14ac:dyDescent="0.3">
      <c r="A3245">
        <v>66</v>
      </c>
      <c r="B3245">
        <v>205.01</v>
      </c>
      <c r="C3245">
        <f t="shared" si="200"/>
        <v>13530.66</v>
      </c>
      <c r="D3245">
        <f t="shared" si="201"/>
        <v>4356</v>
      </c>
      <c r="E3245">
        <f t="shared" si="202"/>
        <v>42029.100099999996</v>
      </c>
      <c r="F3245">
        <f t="shared" si="203"/>
        <v>4356</v>
      </c>
    </row>
    <row r="3246" spans="1:6" x14ac:dyDescent="0.3">
      <c r="A3246">
        <v>45</v>
      </c>
      <c r="B3246">
        <v>73.87</v>
      </c>
      <c r="C3246">
        <f t="shared" si="200"/>
        <v>3324.15</v>
      </c>
      <c r="D3246">
        <f t="shared" si="201"/>
        <v>2025</v>
      </c>
      <c r="E3246">
        <f t="shared" si="202"/>
        <v>5456.7769000000008</v>
      </c>
      <c r="F3246">
        <f t="shared" si="203"/>
        <v>2025</v>
      </c>
    </row>
    <row r="3247" spans="1:6" x14ac:dyDescent="0.3">
      <c r="A3247">
        <v>79</v>
      </c>
      <c r="B3247">
        <v>64.44</v>
      </c>
      <c r="C3247">
        <f t="shared" si="200"/>
        <v>5090.76</v>
      </c>
      <c r="D3247">
        <f t="shared" si="201"/>
        <v>6241</v>
      </c>
      <c r="E3247">
        <f t="shared" si="202"/>
        <v>4152.5135999999993</v>
      </c>
      <c r="F3247">
        <f t="shared" si="203"/>
        <v>6241</v>
      </c>
    </row>
    <row r="3248" spans="1:6" x14ac:dyDescent="0.3">
      <c r="A3248">
        <v>25</v>
      </c>
      <c r="B3248">
        <v>111.65</v>
      </c>
      <c r="C3248">
        <f t="shared" si="200"/>
        <v>2791.25</v>
      </c>
      <c r="D3248">
        <f t="shared" si="201"/>
        <v>625</v>
      </c>
      <c r="E3248">
        <f t="shared" si="202"/>
        <v>12465.722500000002</v>
      </c>
      <c r="F3248">
        <f t="shared" si="203"/>
        <v>625</v>
      </c>
    </row>
    <row r="3249" spans="1:6" x14ac:dyDescent="0.3">
      <c r="A3249">
        <v>53</v>
      </c>
      <c r="B3249">
        <v>90.65</v>
      </c>
      <c r="C3249">
        <f t="shared" si="200"/>
        <v>4804.4500000000007</v>
      </c>
      <c r="D3249">
        <f t="shared" si="201"/>
        <v>2809</v>
      </c>
      <c r="E3249">
        <f t="shared" si="202"/>
        <v>8217.4225000000006</v>
      </c>
      <c r="F3249">
        <f t="shared" si="203"/>
        <v>2809</v>
      </c>
    </row>
    <row r="3250" spans="1:6" x14ac:dyDescent="0.3">
      <c r="A3250">
        <v>35</v>
      </c>
      <c r="B3250">
        <v>94.2</v>
      </c>
      <c r="C3250">
        <f t="shared" si="200"/>
        <v>3297</v>
      </c>
      <c r="D3250">
        <f t="shared" si="201"/>
        <v>1225</v>
      </c>
      <c r="E3250">
        <f t="shared" si="202"/>
        <v>8873.6400000000012</v>
      </c>
      <c r="F3250">
        <f t="shared" si="203"/>
        <v>1225</v>
      </c>
    </row>
    <row r="3251" spans="1:6" x14ac:dyDescent="0.3">
      <c r="A3251">
        <v>78</v>
      </c>
      <c r="B3251">
        <v>56.95</v>
      </c>
      <c r="C3251">
        <f t="shared" si="200"/>
        <v>4442.1000000000004</v>
      </c>
      <c r="D3251">
        <f t="shared" si="201"/>
        <v>6084</v>
      </c>
      <c r="E3251">
        <f t="shared" si="202"/>
        <v>3243.3025000000002</v>
      </c>
      <c r="F3251">
        <f t="shared" si="203"/>
        <v>6084</v>
      </c>
    </row>
    <row r="3252" spans="1:6" x14ac:dyDescent="0.3">
      <c r="A3252">
        <v>32</v>
      </c>
      <c r="B3252">
        <v>92.37</v>
      </c>
      <c r="C3252">
        <f t="shared" si="200"/>
        <v>2955.84</v>
      </c>
      <c r="D3252">
        <f t="shared" si="201"/>
        <v>1024</v>
      </c>
      <c r="E3252">
        <f t="shared" si="202"/>
        <v>8532.2169000000013</v>
      </c>
      <c r="F3252">
        <f t="shared" si="203"/>
        <v>1024</v>
      </c>
    </row>
    <row r="3253" spans="1:6" x14ac:dyDescent="0.3">
      <c r="A3253">
        <v>0.56000000000000005</v>
      </c>
      <c r="B3253">
        <v>127.23</v>
      </c>
      <c r="C3253">
        <f t="shared" si="200"/>
        <v>71.248800000000003</v>
      </c>
      <c r="D3253">
        <f t="shared" si="201"/>
        <v>0.31360000000000005</v>
      </c>
      <c r="E3253">
        <f t="shared" si="202"/>
        <v>16187.472900000001</v>
      </c>
      <c r="F3253">
        <f t="shared" si="203"/>
        <v>0.31360000000000005</v>
      </c>
    </row>
    <row r="3254" spans="1:6" x14ac:dyDescent="0.3">
      <c r="A3254">
        <v>26</v>
      </c>
      <c r="B3254">
        <v>191.78</v>
      </c>
      <c r="C3254">
        <f t="shared" si="200"/>
        <v>4986.28</v>
      </c>
      <c r="D3254">
        <f t="shared" si="201"/>
        <v>676</v>
      </c>
      <c r="E3254">
        <f t="shared" si="202"/>
        <v>36779.568400000004</v>
      </c>
      <c r="F3254">
        <f t="shared" si="203"/>
        <v>676</v>
      </c>
    </row>
    <row r="3255" spans="1:6" x14ac:dyDescent="0.3">
      <c r="A3255">
        <v>34</v>
      </c>
      <c r="B3255">
        <v>86.36</v>
      </c>
      <c r="C3255">
        <f t="shared" si="200"/>
        <v>2936.24</v>
      </c>
      <c r="D3255">
        <f t="shared" si="201"/>
        <v>1156</v>
      </c>
      <c r="E3255">
        <f t="shared" si="202"/>
        <v>7458.0496000000003</v>
      </c>
      <c r="F3255">
        <f t="shared" si="203"/>
        <v>1156</v>
      </c>
    </row>
    <row r="3256" spans="1:6" x14ac:dyDescent="0.3">
      <c r="A3256">
        <v>65</v>
      </c>
      <c r="B3256">
        <v>82.72</v>
      </c>
      <c r="C3256">
        <f t="shared" si="200"/>
        <v>5376.8</v>
      </c>
      <c r="D3256">
        <f t="shared" si="201"/>
        <v>4225</v>
      </c>
      <c r="E3256">
        <f t="shared" si="202"/>
        <v>6842.5983999999999</v>
      </c>
      <c r="F3256">
        <f t="shared" si="203"/>
        <v>4225</v>
      </c>
    </row>
    <row r="3257" spans="1:6" x14ac:dyDescent="0.3">
      <c r="A3257">
        <v>15</v>
      </c>
      <c r="B3257">
        <v>113.57</v>
      </c>
      <c r="C3257">
        <f t="shared" si="200"/>
        <v>1703.55</v>
      </c>
      <c r="D3257">
        <f t="shared" si="201"/>
        <v>225</v>
      </c>
      <c r="E3257">
        <f t="shared" si="202"/>
        <v>12898.144899999999</v>
      </c>
      <c r="F3257">
        <f t="shared" si="203"/>
        <v>225</v>
      </c>
    </row>
    <row r="3258" spans="1:6" x14ac:dyDescent="0.3">
      <c r="A3258">
        <v>17</v>
      </c>
      <c r="B3258">
        <v>89.58</v>
      </c>
      <c r="C3258">
        <f t="shared" si="200"/>
        <v>1522.86</v>
      </c>
      <c r="D3258">
        <f t="shared" si="201"/>
        <v>289</v>
      </c>
      <c r="E3258">
        <f t="shared" si="202"/>
        <v>8024.5763999999999</v>
      </c>
      <c r="F3258">
        <f t="shared" si="203"/>
        <v>289</v>
      </c>
    </row>
    <row r="3259" spans="1:6" x14ac:dyDescent="0.3">
      <c r="A3259">
        <v>71</v>
      </c>
      <c r="B3259">
        <v>91.85</v>
      </c>
      <c r="C3259">
        <f t="shared" si="200"/>
        <v>6521.3499999999995</v>
      </c>
      <c r="D3259">
        <f t="shared" si="201"/>
        <v>5041</v>
      </c>
      <c r="E3259">
        <f t="shared" si="202"/>
        <v>8436.4224999999988</v>
      </c>
      <c r="F3259">
        <f t="shared" si="203"/>
        <v>5041</v>
      </c>
    </row>
    <row r="3260" spans="1:6" x14ac:dyDescent="0.3">
      <c r="A3260">
        <v>42</v>
      </c>
      <c r="B3260">
        <v>88.89</v>
      </c>
      <c r="C3260">
        <f t="shared" si="200"/>
        <v>3733.38</v>
      </c>
      <c r="D3260">
        <f t="shared" si="201"/>
        <v>1764</v>
      </c>
      <c r="E3260">
        <f t="shared" si="202"/>
        <v>7901.4321</v>
      </c>
      <c r="F3260">
        <f t="shared" si="203"/>
        <v>1764</v>
      </c>
    </row>
    <row r="3261" spans="1:6" x14ac:dyDescent="0.3">
      <c r="A3261">
        <v>30</v>
      </c>
      <c r="B3261">
        <v>79.55</v>
      </c>
      <c r="C3261">
        <f t="shared" si="200"/>
        <v>2386.5</v>
      </c>
      <c r="D3261">
        <f t="shared" si="201"/>
        <v>900</v>
      </c>
      <c r="E3261">
        <f t="shared" si="202"/>
        <v>6328.2024999999994</v>
      </c>
      <c r="F3261">
        <f t="shared" si="203"/>
        <v>900</v>
      </c>
    </row>
    <row r="3262" spans="1:6" x14ac:dyDescent="0.3">
      <c r="A3262">
        <v>75</v>
      </c>
      <c r="B3262">
        <v>108.62</v>
      </c>
      <c r="C3262">
        <f t="shared" si="200"/>
        <v>8146.5</v>
      </c>
      <c r="D3262">
        <f t="shared" si="201"/>
        <v>5625</v>
      </c>
      <c r="E3262">
        <f t="shared" si="202"/>
        <v>11798.304400000001</v>
      </c>
      <c r="F3262">
        <f t="shared" si="203"/>
        <v>5625</v>
      </c>
    </row>
    <row r="3263" spans="1:6" x14ac:dyDescent="0.3">
      <c r="A3263">
        <v>9</v>
      </c>
      <c r="B3263">
        <v>78.239999999999995</v>
      </c>
      <c r="C3263">
        <f t="shared" si="200"/>
        <v>704.16</v>
      </c>
      <c r="D3263">
        <f t="shared" si="201"/>
        <v>81</v>
      </c>
      <c r="E3263">
        <f t="shared" si="202"/>
        <v>6121.4975999999988</v>
      </c>
      <c r="F3263">
        <f t="shared" si="203"/>
        <v>81</v>
      </c>
    </row>
    <row r="3264" spans="1:6" x14ac:dyDescent="0.3">
      <c r="A3264">
        <v>47</v>
      </c>
      <c r="B3264">
        <v>88.49</v>
      </c>
      <c r="C3264">
        <f t="shared" si="200"/>
        <v>4159.03</v>
      </c>
      <c r="D3264">
        <f t="shared" si="201"/>
        <v>2209</v>
      </c>
      <c r="E3264">
        <f t="shared" si="202"/>
        <v>7830.4800999999989</v>
      </c>
      <c r="F3264">
        <f t="shared" si="203"/>
        <v>2209</v>
      </c>
    </row>
    <row r="3265" spans="1:6" x14ac:dyDescent="0.3">
      <c r="A3265">
        <v>75</v>
      </c>
      <c r="B3265">
        <v>91.85</v>
      </c>
      <c r="C3265">
        <f t="shared" si="200"/>
        <v>6888.75</v>
      </c>
      <c r="D3265">
        <f t="shared" si="201"/>
        <v>5625</v>
      </c>
      <c r="E3265">
        <f t="shared" si="202"/>
        <v>8436.4224999999988</v>
      </c>
      <c r="F3265">
        <f t="shared" si="203"/>
        <v>5625</v>
      </c>
    </row>
    <row r="3266" spans="1:6" x14ac:dyDescent="0.3">
      <c r="A3266">
        <v>61</v>
      </c>
      <c r="B3266">
        <v>72.010000000000005</v>
      </c>
      <c r="C3266">
        <f t="shared" si="200"/>
        <v>4392.6100000000006</v>
      </c>
      <c r="D3266">
        <f t="shared" si="201"/>
        <v>3721</v>
      </c>
      <c r="E3266">
        <f t="shared" si="202"/>
        <v>5185.4401000000007</v>
      </c>
      <c r="F3266">
        <f t="shared" si="203"/>
        <v>3721</v>
      </c>
    </row>
    <row r="3267" spans="1:6" x14ac:dyDescent="0.3">
      <c r="A3267">
        <v>61</v>
      </c>
      <c r="B3267">
        <v>81.96</v>
      </c>
      <c r="C3267">
        <f t="shared" ref="C3267:C3330" si="204">A3267*B3267</f>
        <v>4999.5599999999995</v>
      </c>
      <c r="D3267">
        <f t="shared" ref="D3267:D3330" si="205">A3267*A3267</f>
        <v>3721</v>
      </c>
      <c r="E3267">
        <f t="shared" ref="E3267:E3330" si="206">B3267*B3267</f>
        <v>6717.4415999999992</v>
      </c>
      <c r="F3267">
        <f t="shared" ref="F3267:F3330" si="207">A3267^2</f>
        <v>3721</v>
      </c>
    </row>
    <row r="3268" spans="1:6" x14ac:dyDescent="0.3">
      <c r="A3268">
        <v>27</v>
      </c>
      <c r="B3268">
        <v>70.56</v>
      </c>
      <c r="C3268">
        <f t="shared" si="204"/>
        <v>1905.1200000000001</v>
      </c>
      <c r="D3268">
        <f t="shared" si="205"/>
        <v>729</v>
      </c>
      <c r="E3268">
        <f t="shared" si="206"/>
        <v>4978.7136</v>
      </c>
      <c r="F3268">
        <f t="shared" si="207"/>
        <v>729</v>
      </c>
    </row>
    <row r="3269" spans="1:6" x14ac:dyDescent="0.3">
      <c r="A3269">
        <v>55</v>
      </c>
      <c r="B3269">
        <v>71.02</v>
      </c>
      <c r="C3269">
        <f t="shared" si="204"/>
        <v>3906.1</v>
      </c>
      <c r="D3269">
        <f t="shared" si="205"/>
        <v>3025</v>
      </c>
      <c r="E3269">
        <f t="shared" si="206"/>
        <v>5043.8403999999991</v>
      </c>
      <c r="F3269">
        <f t="shared" si="207"/>
        <v>3025</v>
      </c>
    </row>
    <row r="3270" spans="1:6" x14ac:dyDescent="0.3">
      <c r="A3270">
        <v>2</v>
      </c>
      <c r="B3270">
        <v>99.75</v>
      </c>
      <c r="C3270">
        <f t="shared" si="204"/>
        <v>199.5</v>
      </c>
      <c r="D3270">
        <f t="shared" si="205"/>
        <v>4</v>
      </c>
      <c r="E3270">
        <f t="shared" si="206"/>
        <v>9950.0625</v>
      </c>
      <c r="F3270">
        <f t="shared" si="207"/>
        <v>4</v>
      </c>
    </row>
    <row r="3271" spans="1:6" x14ac:dyDescent="0.3">
      <c r="A3271">
        <v>51</v>
      </c>
      <c r="B3271">
        <v>127.2</v>
      </c>
      <c r="C3271">
        <f t="shared" si="204"/>
        <v>6487.2</v>
      </c>
      <c r="D3271">
        <f t="shared" si="205"/>
        <v>2601</v>
      </c>
      <c r="E3271">
        <f t="shared" si="206"/>
        <v>16179.84</v>
      </c>
      <c r="F3271">
        <f t="shared" si="207"/>
        <v>2601</v>
      </c>
    </row>
    <row r="3272" spans="1:6" x14ac:dyDescent="0.3">
      <c r="A3272">
        <v>45</v>
      </c>
      <c r="B3272">
        <v>69.760000000000005</v>
      </c>
      <c r="C3272">
        <f t="shared" si="204"/>
        <v>3139.2000000000003</v>
      </c>
      <c r="D3272">
        <f t="shared" si="205"/>
        <v>2025</v>
      </c>
      <c r="E3272">
        <f t="shared" si="206"/>
        <v>4866.4576000000006</v>
      </c>
      <c r="F3272">
        <f t="shared" si="207"/>
        <v>2025</v>
      </c>
    </row>
    <row r="3273" spans="1:6" x14ac:dyDescent="0.3">
      <c r="A3273">
        <v>36</v>
      </c>
      <c r="B3273">
        <v>74.63</v>
      </c>
      <c r="C3273">
        <f t="shared" si="204"/>
        <v>2686.68</v>
      </c>
      <c r="D3273">
        <f t="shared" si="205"/>
        <v>1296</v>
      </c>
      <c r="E3273">
        <f t="shared" si="206"/>
        <v>5569.6368999999995</v>
      </c>
      <c r="F3273">
        <f t="shared" si="207"/>
        <v>1296</v>
      </c>
    </row>
    <row r="3274" spans="1:6" x14ac:dyDescent="0.3">
      <c r="A3274">
        <v>46</v>
      </c>
      <c r="B3274">
        <v>102.27</v>
      </c>
      <c r="C3274">
        <f t="shared" si="204"/>
        <v>4704.42</v>
      </c>
      <c r="D3274">
        <f t="shared" si="205"/>
        <v>2116</v>
      </c>
      <c r="E3274">
        <f t="shared" si="206"/>
        <v>10459.152899999999</v>
      </c>
      <c r="F3274">
        <f t="shared" si="207"/>
        <v>2116</v>
      </c>
    </row>
    <row r="3275" spans="1:6" x14ac:dyDescent="0.3">
      <c r="A3275">
        <v>48</v>
      </c>
      <c r="B3275">
        <v>73.56</v>
      </c>
      <c r="C3275">
        <f t="shared" si="204"/>
        <v>3530.88</v>
      </c>
      <c r="D3275">
        <f t="shared" si="205"/>
        <v>2304</v>
      </c>
      <c r="E3275">
        <f t="shared" si="206"/>
        <v>5411.0736000000006</v>
      </c>
      <c r="F3275">
        <f t="shared" si="207"/>
        <v>2304</v>
      </c>
    </row>
    <row r="3276" spans="1:6" x14ac:dyDescent="0.3">
      <c r="A3276">
        <v>79</v>
      </c>
      <c r="B3276">
        <v>57.77</v>
      </c>
      <c r="C3276">
        <f t="shared" si="204"/>
        <v>4563.83</v>
      </c>
      <c r="D3276">
        <f t="shared" si="205"/>
        <v>6241</v>
      </c>
      <c r="E3276">
        <f t="shared" si="206"/>
        <v>3337.3729000000003</v>
      </c>
      <c r="F3276">
        <f t="shared" si="207"/>
        <v>6241</v>
      </c>
    </row>
    <row r="3277" spans="1:6" x14ac:dyDescent="0.3">
      <c r="A3277">
        <v>50</v>
      </c>
      <c r="B3277">
        <v>151.25</v>
      </c>
      <c r="C3277">
        <f t="shared" si="204"/>
        <v>7562.5</v>
      </c>
      <c r="D3277">
        <f t="shared" si="205"/>
        <v>2500</v>
      </c>
      <c r="E3277">
        <f t="shared" si="206"/>
        <v>22876.5625</v>
      </c>
      <c r="F3277">
        <f t="shared" si="207"/>
        <v>2500</v>
      </c>
    </row>
    <row r="3278" spans="1:6" x14ac:dyDescent="0.3">
      <c r="A3278">
        <v>79</v>
      </c>
      <c r="B3278">
        <v>78.319999999999993</v>
      </c>
      <c r="C3278">
        <f t="shared" si="204"/>
        <v>6187.28</v>
      </c>
      <c r="D3278">
        <f t="shared" si="205"/>
        <v>6241</v>
      </c>
      <c r="E3278">
        <f t="shared" si="206"/>
        <v>6134.0223999999989</v>
      </c>
      <c r="F3278">
        <f t="shared" si="207"/>
        <v>6241</v>
      </c>
    </row>
    <row r="3279" spans="1:6" x14ac:dyDescent="0.3">
      <c r="A3279">
        <v>32</v>
      </c>
      <c r="B3279">
        <v>71.5</v>
      </c>
      <c r="C3279">
        <f t="shared" si="204"/>
        <v>2288</v>
      </c>
      <c r="D3279">
        <f t="shared" si="205"/>
        <v>1024</v>
      </c>
      <c r="E3279">
        <f t="shared" si="206"/>
        <v>5112.25</v>
      </c>
      <c r="F3279">
        <f t="shared" si="207"/>
        <v>1024</v>
      </c>
    </row>
    <row r="3280" spans="1:6" x14ac:dyDescent="0.3">
      <c r="A3280">
        <v>36</v>
      </c>
      <c r="B3280">
        <v>84.7</v>
      </c>
      <c r="C3280">
        <f t="shared" si="204"/>
        <v>3049.2000000000003</v>
      </c>
      <c r="D3280">
        <f t="shared" si="205"/>
        <v>1296</v>
      </c>
      <c r="E3280">
        <f t="shared" si="206"/>
        <v>7174.09</v>
      </c>
      <c r="F3280">
        <f t="shared" si="207"/>
        <v>1296</v>
      </c>
    </row>
    <row r="3281" spans="1:6" x14ac:dyDescent="0.3">
      <c r="A3281">
        <v>27</v>
      </c>
      <c r="B3281">
        <v>127.28</v>
      </c>
      <c r="C3281">
        <f t="shared" si="204"/>
        <v>3436.56</v>
      </c>
      <c r="D3281">
        <f t="shared" si="205"/>
        <v>729</v>
      </c>
      <c r="E3281">
        <f t="shared" si="206"/>
        <v>16200.198400000001</v>
      </c>
      <c r="F3281">
        <f t="shared" si="207"/>
        <v>729</v>
      </c>
    </row>
    <row r="3282" spans="1:6" x14ac:dyDescent="0.3">
      <c r="A3282">
        <v>22</v>
      </c>
      <c r="B3282">
        <v>80.72</v>
      </c>
      <c r="C3282">
        <f t="shared" si="204"/>
        <v>1775.84</v>
      </c>
      <c r="D3282">
        <f t="shared" si="205"/>
        <v>484</v>
      </c>
      <c r="E3282">
        <f t="shared" si="206"/>
        <v>6515.7183999999997</v>
      </c>
      <c r="F3282">
        <f t="shared" si="207"/>
        <v>484</v>
      </c>
    </row>
    <row r="3283" spans="1:6" x14ac:dyDescent="0.3">
      <c r="A3283">
        <v>5</v>
      </c>
      <c r="B3283">
        <v>73.92</v>
      </c>
      <c r="C3283">
        <f t="shared" si="204"/>
        <v>369.6</v>
      </c>
      <c r="D3283">
        <f t="shared" si="205"/>
        <v>25</v>
      </c>
      <c r="E3283">
        <f t="shared" si="206"/>
        <v>5464.1664000000001</v>
      </c>
      <c r="F3283">
        <f t="shared" si="207"/>
        <v>25</v>
      </c>
    </row>
    <row r="3284" spans="1:6" x14ac:dyDescent="0.3">
      <c r="A3284">
        <v>9</v>
      </c>
      <c r="B3284">
        <v>93.24</v>
      </c>
      <c r="C3284">
        <f t="shared" si="204"/>
        <v>839.16</v>
      </c>
      <c r="D3284">
        <f t="shared" si="205"/>
        <v>81</v>
      </c>
      <c r="E3284">
        <f t="shared" si="206"/>
        <v>8693.6975999999995</v>
      </c>
      <c r="F3284">
        <f t="shared" si="207"/>
        <v>81</v>
      </c>
    </row>
    <row r="3285" spans="1:6" x14ac:dyDescent="0.3">
      <c r="A3285">
        <v>31</v>
      </c>
      <c r="B3285">
        <v>72.599999999999994</v>
      </c>
      <c r="C3285">
        <f t="shared" si="204"/>
        <v>2250.6</v>
      </c>
      <c r="D3285">
        <f t="shared" si="205"/>
        <v>961</v>
      </c>
      <c r="E3285">
        <f t="shared" si="206"/>
        <v>5270.7599999999993</v>
      </c>
      <c r="F3285">
        <f t="shared" si="207"/>
        <v>961</v>
      </c>
    </row>
    <row r="3286" spans="1:6" x14ac:dyDescent="0.3">
      <c r="A3286">
        <v>26</v>
      </c>
      <c r="B3286">
        <v>69.77</v>
      </c>
      <c r="C3286">
        <f t="shared" si="204"/>
        <v>1814.02</v>
      </c>
      <c r="D3286">
        <f t="shared" si="205"/>
        <v>676</v>
      </c>
      <c r="E3286">
        <f t="shared" si="206"/>
        <v>4867.8528999999999</v>
      </c>
      <c r="F3286">
        <f t="shared" si="207"/>
        <v>676</v>
      </c>
    </row>
    <row r="3287" spans="1:6" x14ac:dyDescent="0.3">
      <c r="A3287">
        <v>43</v>
      </c>
      <c r="B3287">
        <v>84.43</v>
      </c>
      <c r="C3287">
        <f t="shared" si="204"/>
        <v>3630.4900000000002</v>
      </c>
      <c r="D3287">
        <f t="shared" si="205"/>
        <v>1849</v>
      </c>
      <c r="E3287">
        <f t="shared" si="206"/>
        <v>7128.4249000000009</v>
      </c>
      <c r="F3287">
        <f t="shared" si="207"/>
        <v>1849</v>
      </c>
    </row>
    <row r="3288" spans="1:6" x14ac:dyDescent="0.3">
      <c r="A3288">
        <v>33</v>
      </c>
      <c r="B3288">
        <v>84.13</v>
      </c>
      <c r="C3288">
        <f t="shared" si="204"/>
        <v>2776.29</v>
      </c>
      <c r="D3288">
        <f t="shared" si="205"/>
        <v>1089</v>
      </c>
      <c r="E3288">
        <f t="shared" si="206"/>
        <v>7077.8568999999989</v>
      </c>
      <c r="F3288">
        <f t="shared" si="207"/>
        <v>1089</v>
      </c>
    </row>
    <row r="3289" spans="1:6" x14ac:dyDescent="0.3">
      <c r="A3289">
        <v>34</v>
      </c>
      <c r="B3289">
        <v>81.540000000000006</v>
      </c>
      <c r="C3289">
        <f t="shared" si="204"/>
        <v>2772.36</v>
      </c>
      <c r="D3289">
        <f t="shared" si="205"/>
        <v>1156</v>
      </c>
      <c r="E3289">
        <f t="shared" si="206"/>
        <v>6648.7716000000009</v>
      </c>
      <c r="F3289">
        <f t="shared" si="207"/>
        <v>1156</v>
      </c>
    </row>
    <row r="3290" spans="1:6" x14ac:dyDescent="0.3">
      <c r="A3290">
        <v>66</v>
      </c>
      <c r="B3290">
        <v>57.17</v>
      </c>
      <c r="C3290">
        <f t="shared" si="204"/>
        <v>3773.2200000000003</v>
      </c>
      <c r="D3290">
        <f t="shared" si="205"/>
        <v>4356</v>
      </c>
      <c r="E3290">
        <f t="shared" si="206"/>
        <v>3268.4089000000004</v>
      </c>
      <c r="F3290">
        <f t="shared" si="207"/>
        <v>4356</v>
      </c>
    </row>
    <row r="3291" spans="1:6" x14ac:dyDescent="0.3">
      <c r="A3291">
        <v>44</v>
      </c>
      <c r="B3291">
        <v>86.15</v>
      </c>
      <c r="C3291">
        <f t="shared" si="204"/>
        <v>3790.6000000000004</v>
      </c>
      <c r="D3291">
        <f t="shared" si="205"/>
        <v>1936</v>
      </c>
      <c r="E3291">
        <f t="shared" si="206"/>
        <v>7421.8225000000011</v>
      </c>
      <c r="F3291">
        <f t="shared" si="207"/>
        <v>1936</v>
      </c>
    </row>
    <row r="3292" spans="1:6" x14ac:dyDescent="0.3">
      <c r="A3292">
        <v>56</v>
      </c>
      <c r="B3292">
        <v>163.02000000000001</v>
      </c>
      <c r="C3292">
        <f t="shared" si="204"/>
        <v>9129.1200000000008</v>
      </c>
      <c r="D3292">
        <f t="shared" si="205"/>
        <v>3136</v>
      </c>
      <c r="E3292">
        <f t="shared" si="206"/>
        <v>26575.520400000005</v>
      </c>
      <c r="F3292">
        <f t="shared" si="207"/>
        <v>3136</v>
      </c>
    </row>
    <row r="3293" spans="1:6" x14ac:dyDescent="0.3">
      <c r="A3293">
        <v>67</v>
      </c>
      <c r="B3293">
        <v>110.41</v>
      </c>
      <c r="C3293">
        <f t="shared" si="204"/>
        <v>7397.4699999999993</v>
      </c>
      <c r="D3293">
        <f t="shared" si="205"/>
        <v>4489</v>
      </c>
      <c r="E3293">
        <f t="shared" si="206"/>
        <v>12190.3681</v>
      </c>
      <c r="F3293">
        <f t="shared" si="207"/>
        <v>4489</v>
      </c>
    </row>
    <row r="3294" spans="1:6" x14ac:dyDescent="0.3">
      <c r="A3294">
        <v>18</v>
      </c>
      <c r="B3294">
        <v>102.58</v>
      </c>
      <c r="C3294">
        <f t="shared" si="204"/>
        <v>1846.44</v>
      </c>
      <c r="D3294">
        <f t="shared" si="205"/>
        <v>324</v>
      </c>
      <c r="E3294">
        <f t="shared" si="206"/>
        <v>10522.6564</v>
      </c>
      <c r="F3294">
        <f t="shared" si="207"/>
        <v>324</v>
      </c>
    </row>
    <row r="3295" spans="1:6" x14ac:dyDescent="0.3">
      <c r="A3295">
        <v>55</v>
      </c>
      <c r="B3295">
        <v>90.97</v>
      </c>
      <c r="C3295">
        <f t="shared" si="204"/>
        <v>5003.3500000000004</v>
      </c>
      <c r="D3295">
        <f t="shared" si="205"/>
        <v>3025</v>
      </c>
      <c r="E3295">
        <f t="shared" si="206"/>
        <v>8275.5409</v>
      </c>
      <c r="F3295">
        <f t="shared" si="207"/>
        <v>3025</v>
      </c>
    </row>
    <row r="3296" spans="1:6" x14ac:dyDescent="0.3">
      <c r="A3296">
        <v>61</v>
      </c>
      <c r="B3296">
        <v>140.96</v>
      </c>
      <c r="C3296">
        <f t="shared" si="204"/>
        <v>8598.5600000000013</v>
      </c>
      <c r="D3296">
        <f t="shared" si="205"/>
        <v>3721</v>
      </c>
      <c r="E3296">
        <f t="shared" si="206"/>
        <v>19869.721600000001</v>
      </c>
      <c r="F3296">
        <f t="shared" si="207"/>
        <v>3721</v>
      </c>
    </row>
    <row r="3297" spans="1:6" x14ac:dyDescent="0.3">
      <c r="A3297">
        <v>0.08</v>
      </c>
      <c r="B3297">
        <v>70.33</v>
      </c>
      <c r="C3297">
        <f t="shared" si="204"/>
        <v>5.6264000000000003</v>
      </c>
      <c r="D3297">
        <f t="shared" si="205"/>
        <v>6.4000000000000003E-3</v>
      </c>
      <c r="E3297">
        <f t="shared" si="206"/>
        <v>4946.3089</v>
      </c>
      <c r="F3297">
        <f t="shared" si="207"/>
        <v>6.4000000000000003E-3</v>
      </c>
    </row>
    <row r="3298" spans="1:6" x14ac:dyDescent="0.3">
      <c r="A3298">
        <v>48</v>
      </c>
      <c r="B3298">
        <v>64.180000000000007</v>
      </c>
      <c r="C3298">
        <f t="shared" si="204"/>
        <v>3080.6400000000003</v>
      </c>
      <c r="D3298">
        <f t="shared" si="205"/>
        <v>2304</v>
      </c>
      <c r="E3298">
        <f t="shared" si="206"/>
        <v>4119.0724000000009</v>
      </c>
      <c r="F3298">
        <f t="shared" si="207"/>
        <v>2304</v>
      </c>
    </row>
    <row r="3299" spans="1:6" x14ac:dyDescent="0.3">
      <c r="A3299">
        <v>44</v>
      </c>
      <c r="B3299">
        <v>127.57</v>
      </c>
      <c r="C3299">
        <f t="shared" si="204"/>
        <v>5613.08</v>
      </c>
      <c r="D3299">
        <f t="shared" si="205"/>
        <v>1936</v>
      </c>
      <c r="E3299">
        <f t="shared" si="206"/>
        <v>16274.104899999998</v>
      </c>
      <c r="F3299">
        <f t="shared" si="207"/>
        <v>1936</v>
      </c>
    </row>
    <row r="3300" spans="1:6" x14ac:dyDescent="0.3">
      <c r="A3300">
        <v>68</v>
      </c>
      <c r="B3300">
        <v>109.23</v>
      </c>
      <c r="C3300">
        <f t="shared" si="204"/>
        <v>7427.64</v>
      </c>
      <c r="D3300">
        <f t="shared" si="205"/>
        <v>4624</v>
      </c>
      <c r="E3300">
        <f t="shared" si="206"/>
        <v>11931.1929</v>
      </c>
      <c r="F3300">
        <f t="shared" si="207"/>
        <v>4624</v>
      </c>
    </row>
    <row r="3301" spans="1:6" x14ac:dyDescent="0.3">
      <c r="A3301">
        <v>52</v>
      </c>
      <c r="B3301">
        <v>124.49</v>
      </c>
      <c r="C3301">
        <f t="shared" si="204"/>
        <v>6473.48</v>
      </c>
      <c r="D3301">
        <f t="shared" si="205"/>
        <v>2704</v>
      </c>
      <c r="E3301">
        <f t="shared" si="206"/>
        <v>15497.7601</v>
      </c>
      <c r="F3301">
        <f t="shared" si="207"/>
        <v>2704</v>
      </c>
    </row>
    <row r="3302" spans="1:6" x14ac:dyDescent="0.3">
      <c r="A3302">
        <v>15</v>
      </c>
      <c r="B3302">
        <v>142.82</v>
      </c>
      <c r="C3302">
        <f t="shared" si="204"/>
        <v>2142.2999999999997</v>
      </c>
      <c r="D3302">
        <f t="shared" si="205"/>
        <v>225</v>
      </c>
      <c r="E3302">
        <f t="shared" si="206"/>
        <v>20397.552399999997</v>
      </c>
      <c r="F3302">
        <f t="shared" si="207"/>
        <v>225</v>
      </c>
    </row>
    <row r="3303" spans="1:6" x14ac:dyDescent="0.3">
      <c r="A3303">
        <v>2</v>
      </c>
      <c r="B3303">
        <v>75.69</v>
      </c>
      <c r="C3303">
        <f t="shared" si="204"/>
        <v>151.38</v>
      </c>
      <c r="D3303">
        <f t="shared" si="205"/>
        <v>4</v>
      </c>
      <c r="E3303">
        <f t="shared" si="206"/>
        <v>5728.9760999999999</v>
      </c>
      <c r="F3303">
        <f t="shared" si="207"/>
        <v>4</v>
      </c>
    </row>
    <row r="3304" spans="1:6" x14ac:dyDescent="0.3">
      <c r="A3304">
        <v>60</v>
      </c>
      <c r="B3304">
        <v>74.08</v>
      </c>
      <c r="C3304">
        <f t="shared" si="204"/>
        <v>4444.8</v>
      </c>
      <c r="D3304">
        <f t="shared" si="205"/>
        <v>3600</v>
      </c>
      <c r="E3304">
        <f t="shared" si="206"/>
        <v>5487.8463999999994</v>
      </c>
      <c r="F3304">
        <f t="shared" si="207"/>
        <v>3600</v>
      </c>
    </row>
    <row r="3305" spans="1:6" x14ac:dyDescent="0.3">
      <c r="A3305">
        <v>37</v>
      </c>
      <c r="B3305">
        <v>75.98</v>
      </c>
      <c r="C3305">
        <f t="shared" si="204"/>
        <v>2811.26</v>
      </c>
      <c r="D3305">
        <f t="shared" si="205"/>
        <v>1369</v>
      </c>
      <c r="E3305">
        <f t="shared" si="206"/>
        <v>5772.9604000000008</v>
      </c>
      <c r="F3305">
        <f t="shared" si="207"/>
        <v>1369</v>
      </c>
    </row>
    <row r="3306" spans="1:6" x14ac:dyDescent="0.3">
      <c r="A3306">
        <v>5</v>
      </c>
      <c r="B3306">
        <v>57.8</v>
      </c>
      <c r="C3306">
        <f t="shared" si="204"/>
        <v>289</v>
      </c>
      <c r="D3306">
        <f t="shared" si="205"/>
        <v>25</v>
      </c>
      <c r="E3306">
        <f t="shared" si="206"/>
        <v>3340.8399999999997</v>
      </c>
      <c r="F3306">
        <f t="shared" si="207"/>
        <v>25</v>
      </c>
    </row>
    <row r="3307" spans="1:6" x14ac:dyDescent="0.3">
      <c r="A3307">
        <v>25</v>
      </c>
      <c r="B3307">
        <v>76.44</v>
      </c>
      <c r="C3307">
        <f t="shared" si="204"/>
        <v>1911</v>
      </c>
      <c r="D3307">
        <f t="shared" si="205"/>
        <v>625</v>
      </c>
      <c r="E3307">
        <f t="shared" si="206"/>
        <v>5843.0735999999997</v>
      </c>
      <c r="F3307">
        <f t="shared" si="207"/>
        <v>625</v>
      </c>
    </row>
    <row r="3308" spans="1:6" x14ac:dyDescent="0.3">
      <c r="A3308">
        <v>52</v>
      </c>
      <c r="B3308">
        <v>214.43</v>
      </c>
      <c r="C3308">
        <f t="shared" si="204"/>
        <v>11150.36</v>
      </c>
      <c r="D3308">
        <f t="shared" si="205"/>
        <v>2704</v>
      </c>
      <c r="E3308">
        <f t="shared" si="206"/>
        <v>45980.224900000001</v>
      </c>
      <c r="F3308">
        <f t="shared" si="207"/>
        <v>2704</v>
      </c>
    </row>
    <row r="3309" spans="1:6" x14ac:dyDescent="0.3">
      <c r="A3309">
        <v>79</v>
      </c>
      <c r="B3309">
        <v>79.03</v>
      </c>
      <c r="C3309">
        <f t="shared" si="204"/>
        <v>6243.37</v>
      </c>
      <c r="D3309">
        <f t="shared" si="205"/>
        <v>6241</v>
      </c>
      <c r="E3309">
        <f t="shared" si="206"/>
        <v>6245.7408999999998</v>
      </c>
      <c r="F3309">
        <f t="shared" si="207"/>
        <v>6241</v>
      </c>
    </row>
    <row r="3310" spans="1:6" x14ac:dyDescent="0.3">
      <c r="A3310">
        <v>61</v>
      </c>
      <c r="B3310">
        <v>66.459999999999994</v>
      </c>
      <c r="C3310">
        <f t="shared" si="204"/>
        <v>4054.0599999999995</v>
      </c>
      <c r="D3310">
        <f t="shared" si="205"/>
        <v>3721</v>
      </c>
      <c r="E3310">
        <f t="shared" si="206"/>
        <v>4416.931599999999</v>
      </c>
      <c r="F3310">
        <f t="shared" si="207"/>
        <v>3721</v>
      </c>
    </row>
    <row r="3311" spans="1:6" x14ac:dyDescent="0.3">
      <c r="A3311">
        <v>36</v>
      </c>
      <c r="B3311">
        <v>56.42</v>
      </c>
      <c r="C3311">
        <f t="shared" si="204"/>
        <v>2031.1200000000001</v>
      </c>
      <c r="D3311">
        <f t="shared" si="205"/>
        <v>1296</v>
      </c>
      <c r="E3311">
        <f t="shared" si="206"/>
        <v>3183.2164000000002</v>
      </c>
      <c r="F3311">
        <f t="shared" si="207"/>
        <v>1296</v>
      </c>
    </row>
    <row r="3312" spans="1:6" x14ac:dyDescent="0.3">
      <c r="A3312">
        <v>34</v>
      </c>
      <c r="B3312">
        <v>112.72</v>
      </c>
      <c r="C3312">
        <f t="shared" si="204"/>
        <v>3832.48</v>
      </c>
      <c r="D3312">
        <f t="shared" si="205"/>
        <v>1156</v>
      </c>
      <c r="E3312">
        <f t="shared" si="206"/>
        <v>12705.7984</v>
      </c>
      <c r="F3312">
        <f t="shared" si="207"/>
        <v>1156</v>
      </c>
    </row>
    <row r="3313" spans="1:6" x14ac:dyDescent="0.3">
      <c r="A3313">
        <v>2</v>
      </c>
      <c r="B3313">
        <v>114.02</v>
      </c>
      <c r="C3313">
        <f t="shared" si="204"/>
        <v>228.04</v>
      </c>
      <c r="D3313">
        <f t="shared" si="205"/>
        <v>4</v>
      </c>
      <c r="E3313">
        <f t="shared" si="206"/>
        <v>13000.560399999998</v>
      </c>
      <c r="F3313">
        <f t="shared" si="207"/>
        <v>4</v>
      </c>
    </row>
    <row r="3314" spans="1:6" x14ac:dyDescent="0.3">
      <c r="A3314">
        <v>43</v>
      </c>
      <c r="B3314">
        <v>72.33</v>
      </c>
      <c r="C3314">
        <f t="shared" si="204"/>
        <v>3110.19</v>
      </c>
      <c r="D3314">
        <f t="shared" si="205"/>
        <v>1849</v>
      </c>
      <c r="E3314">
        <f t="shared" si="206"/>
        <v>5231.6288999999997</v>
      </c>
      <c r="F3314">
        <f t="shared" si="207"/>
        <v>1849</v>
      </c>
    </row>
    <row r="3315" spans="1:6" x14ac:dyDescent="0.3">
      <c r="A3315">
        <v>1.48</v>
      </c>
      <c r="B3315">
        <v>55.59</v>
      </c>
      <c r="C3315">
        <f t="shared" si="204"/>
        <v>82.273200000000003</v>
      </c>
      <c r="D3315">
        <f t="shared" si="205"/>
        <v>2.1903999999999999</v>
      </c>
      <c r="E3315">
        <f t="shared" si="206"/>
        <v>3090.2481000000002</v>
      </c>
      <c r="F3315">
        <f t="shared" si="207"/>
        <v>2.1903999999999999</v>
      </c>
    </row>
    <row r="3316" spans="1:6" x14ac:dyDescent="0.3">
      <c r="A3316">
        <v>49</v>
      </c>
      <c r="B3316">
        <v>73.48</v>
      </c>
      <c r="C3316">
        <f t="shared" si="204"/>
        <v>3600.52</v>
      </c>
      <c r="D3316">
        <f t="shared" si="205"/>
        <v>2401</v>
      </c>
      <c r="E3316">
        <f t="shared" si="206"/>
        <v>5399.3104000000003</v>
      </c>
      <c r="F3316">
        <f t="shared" si="207"/>
        <v>2401</v>
      </c>
    </row>
    <row r="3317" spans="1:6" x14ac:dyDescent="0.3">
      <c r="A3317">
        <v>2</v>
      </c>
      <c r="B3317">
        <v>105.05</v>
      </c>
      <c r="C3317">
        <f t="shared" si="204"/>
        <v>210.1</v>
      </c>
      <c r="D3317">
        <f t="shared" si="205"/>
        <v>4</v>
      </c>
      <c r="E3317">
        <f t="shared" si="206"/>
        <v>11035.502499999999</v>
      </c>
      <c r="F3317">
        <f t="shared" si="207"/>
        <v>4</v>
      </c>
    </row>
    <row r="3318" spans="1:6" x14ac:dyDescent="0.3">
      <c r="A3318">
        <v>82</v>
      </c>
      <c r="B3318">
        <v>84.78</v>
      </c>
      <c r="C3318">
        <f t="shared" si="204"/>
        <v>6951.96</v>
      </c>
      <c r="D3318">
        <f t="shared" si="205"/>
        <v>6724</v>
      </c>
      <c r="E3318">
        <f t="shared" si="206"/>
        <v>7187.6484</v>
      </c>
      <c r="F3318">
        <f t="shared" si="207"/>
        <v>6724</v>
      </c>
    </row>
    <row r="3319" spans="1:6" x14ac:dyDescent="0.3">
      <c r="A3319">
        <v>81</v>
      </c>
      <c r="B3319">
        <v>164.77</v>
      </c>
      <c r="C3319">
        <f t="shared" si="204"/>
        <v>13346.37</v>
      </c>
      <c r="D3319">
        <f t="shared" si="205"/>
        <v>6561</v>
      </c>
      <c r="E3319">
        <f t="shared" si="206"/>
        <v>27149.152900000005</v>
      </c>
      <c r="F3319">
        <f t="shared" si="207"/>
        <v>6561</v>
      </c>
    </row>
    <row r="3320" spans="1:6" x14ac:dyDescent="0.3">
      <c r="A3320">
        <v>81</v>
      </c>
      <c r="B3320">
        <v>220.64</v>
      </c>
      <c r="C3320">
        <f t="shared" si="204"/>
        <v>17871.84</v>
      </c>
      <c r="D3320">
        <f t="shared" si="205"/>
        <v>6561</v>
      </c>
      <c r="E3320">
        <f t="shared" si="206"/>
        <v>48682.009599999998</v>
      </c>
      <c r="F3320">
        <f t="shared" si="207"/>
        <v>6561</v>
      </c>
    </row>
    <row r="3321" spans="1:6" x14ac:dyDescent="0.3">
      <c r="A3321">
        <v>1.08</v>
      </c>
      <c r="B3321">
        <v>159.38999999999999</v>
      </c>
      <c r="C3321">
        <f t="shared" si="204"/>
        <v>172.1412</v>
      </c>
      <c r="D3321">
        <f t="shared" si="205"/>
        <v>1.1664000000000001</v>
      </c>
      <c r="E3321">
        <f t="shared" si="206"/>
        <v>25405.172099999996</v>
      </c>
      <c r="F3321">
        <f t="shared" si="207"/>
        <v>1.1664000000000001</v>
      </c>
    </row>
    <row r="3322" spans="1:6" x14ac:dyDescent="0.3">
      <c r="A3322">
        <v>60</v>
      </c>
      <c r="B3322">
        <v>69.53</v>
      </c>
      <c r="C3322">
        <f t="shared" si="204"/>
        <v>4171.8</v>
      </c>
      <c r="D3322">
        <f t="shared" si="205"/>
        <v>3600</v>
      </c>
      <c r="E3322">
        <f t="shared" si="206"/>
        <v>4834.4209000000001</v>
      </c>
      <c r="F3322">
        <f t="shared" si="207"/>
        <v>3600</v>
      </c>
    </row>
    <row r="3323" spans="1:6" x14ac:dyDescent="0.3">
      <c r="A3323">
        <v>1.88</v>
      </c>
      <c r="B3323">
        <v>81.42</v>
      </c>
      <c r="C3323">
        <f t="shared" si="204"/>
        <v>153.06960000000001</v>
      </c>
      <c r="D3323">
        <f t="shared" si="205"/>
        <v>3.5343999999999998</v>
      </c>
      <c r="E3323">
        <f t="shared" si="206"/>
        <v>6629.2164000000002</v>
      </c>
      <c r="F3323">
        <f t="shared" si="207"/>
        <v>3.5343999999999998</v>
      </c>
    </row>
    <row r="3324" spans="1:6" x14ac:dyDescent="0.3">
      <c r="A3324">
        <v>58</v>
      </c>
      <c r="B3324">
        <v>83.93</v>
      </c>
      <c r="C3324">
        <f t="shared" si="204"/>
        <v>4867.9400000000005</v>
      </c>
      <c r="D3324">
        <f t="shared" si="205"/>
        <v>3364</v>
      </c>
      <c r="E3324">
        <f t="shared" si="206"/>
        <v>7044.2449000000015</v>
      </c>
      <c r="F3324">
        <f t="shared" si="207"/>
        <v>3364</v>
      </c>
    </row>
    <row r="3325" spans="1:6" x14ac:dyDescent="0.3">
      <c r="A3325">
        <v>8</v>
      </c>
      <c r="B3325">
        <v>98.9</v>
      </c>
      <c r="C3325">
        <f t="shared" si="204"/>
        <v>791.2</v>
      </c>
      <c r="D3325">
        <f t="shared" si="205"/>
        <v>64</v>
      </c>
      <c r="E3325">
        <f t="shared" si="206"/>
        <v>9781.2100000000009</v>
      </c>
      <c r="F3325">
        <f t="shared" si="207"/>
        <v>64</v>
      </c>
    </row>
    <row r="3326" spans="1:6" x14ac:dyDescent="0.3">
      <c r="A3326">
        <v>9</v>
      </c>
      <c r="B3326">
        <v>82.64</v>
      </c>
      <c r="C3326">
        <f t="shared" si="204"/>
        <v>743.76</v>
      </c>
      <c r="D3326">
        <f t="shared" si="205"/>
        <v>81</v>
      </c>
      <c r="E3326">
        <f t="shared" si="206"/>
        <v>6829.3696</v>
      </c>
      <c r="F3326">
        <f t="shared" si="207"/>
        <v>81</v>
      </c>
    </row>
    <row r="3327" spans="1:6" x14ac:dyDescent="0.3">
      <c r="A3327">
        <v>34</v>
      </c>
      <c r="B3327">
        <v>112.54</v>
      </c>
      <c r="C3327">
        <f t="shared" si="204"/>
        <v>3826.36</v>
      </c>
      <c r="D3327">
        <f t="shared" si="205"/>
        <v>1156</v>
      </c>
      <c r="E3327">
        <f t="shared" si="206"/>
        <v>12665.251600000001</v>
      </c>
      <c r="F3327">
        <f t="shared" si="207"/>
        <v>1156</v>
      </c>
    </row>
    <row r="3328" spans="1:6" x14ac:dyDescent="0.3">
      <c r="A3328">
        <v>23</v>
      </c>
      <c r="B3328">
        <v>75.25</v>
      </c>
      <c r="C3328">
        <f t="shared" si="204"/>
        <v>1730.75</v>
      </c>
      <c r="D3328">
        <f t="shared" si="205"/>
        <v>529</v>
      </c>
      <c r="E3328">
        <f t="shared" si="206"/>
        <v>5662.5625</v>
      </c>
      <c r="F3328">
        <f t="shared" si="207"/>
        <v>529</v>
      </c>
    </row>
    <row r="3329" spans="1:6" x14ac:dyDescent="0.3">
      <c r="A3329">
        <v>74</v>
      </c>
      <c r="B3329">
        <v>204.77</v>
      </c>
      <c r="C3329">
        <f t="shared" si="204"/>
        <v>15152.980000000001</v>
      </c>
      <c r="D3329">
        <f t="shared" si="205"/>
        <v>5476</v>
      </c>
      <c r="E3329">
        <f t="shared" si="206"/>
        <v>41930.752900000007</v>
      </c>
      <c r="F3329">
        <f t="shared" si="207"/>
        <v>5476</v>
      </c>
    </row>
    <row r="3330" spans="1:6" x14ac:dyDescent="0.3">
      <c r="A3330">
        <v>72</v>
      </c>
      <c r="B3330">
        <v>63.86</v>
      </c>
      <c r="C3330">
        <f t="shared" si="204"/>
        <v>4597.92</v>
      </c>
      <c r="D3330">
        <f t="shared" si="205"/>
        <v>5184</v>
      </c>
      <c r="E3330">
        <f t="shared" si="206"/>
        <v>4078.0996</v>
      </c>
      <c r="F3330">
        <f t="shared" si="207"/>
        <v>5184</v>
      </c>
    </row>
    <row r="3331" spans="1:6" x14ac:dyDescent="0.3">
      <c r="A3331">
        <v>47</v>
      </c>
      <c r="B3331">
        <v>72.2</v>
      </c>
      <c r="C3331">
        <f t="shared" ref="C3331:C3394" si="208">A3331*B3331</f>
        <v>3393.4</v>
      </c>
      <c r="D3331">
        <f t="shared" ref="D3331:D3394" si="209">A3331*A3331</f>
        <v>2209</v>
      </c>
      <c r="E3331">
        <f t="shared" ref="E3331:E3394" si="210">B3331*B3331</f>
        <v>5212.84</v>
      </c>
      <c r="F3331">
        <f t="shared" ref="F3331:F3394" si="211">A3331^2</f>
        <v>2209</v>
      </c>
    </row>
    <row r="3332" spans="1:6" x14ac:dyDescent="0.3">
      <c r="A3332">
        <v>56</v>
      </c>
      <c r="B3332">
        <v>80.08</v>
      </c>
      <c r="C3332">
        <f t="shared" si="208"/>
        <v>4484.4799999999996</v>
      </c>
      <c r="D3332">
        <f t="shared" si="209"/>
        <v>3136</v>
      </c>
      <c r="E3332">
        <f t="shared" si="210"/>
        <v>6412.8063999999995</v>
      </c>
      <c r="F3332">
        <f t="shared" si="211"/>
        <v>3136</v>
      </c>
    </row>
    <row r="3333" spans="1:6" x14ac:dyDescent="0.3">
      <c r="A3333">
        <v>5</v>
      </c>
      <c r="B3333">
        <v>101.61</v>
      </c>
      <c r="C3333">
        <f t="shared" si="208"/>
        <v>508.05</v>
      </c>
      <c r="D3333">
        <f t="shared" si="209"/>
        <v>25</v>
      </c>
      <c r="E3333">
        <f t="shared" si="210"/>
        <v>10324.5921</v>
      </c>
      <c r="F3333">
        <f t="shared" si="211"/>
        <v>25</v>
      </c>
    </row>
    <row r="3334" spans="1:6" x14ac:dyDescent="0.3">
      <c r="A3334">
        <v>27</v>
      </c>
      <c r="B3334">
        <v>114.32</v>
      </c>
      <c r="C3334">
        <f t="shared" si="208"/>
        <v>3086.64</v>
      </c>
      <c r="D3334">
        <f t="shared" si="209"/>
        <v>729</v>
      </c>
      <c r="E3334">
        <f t="shared" si="210"/>
        <v>13069.062399999999</v>
      </c>
      <c r="F3334">
        <f t="shared" si="211"/>
        <v>729</v>
      </c>
    </row>
    <row r="3335" spans="1:6" x14ac:dyDescent="0.3">
      <c r="A3335">
        <v>38</v>
      </c>
      <c r="B3335">
        <v>80.819999999999993</v>
      </c>
      <c r="C3335">
        <f t="shared" si="208"/>
        <v>3071.16</v>
      </c>
      <c r="D3335">
        <f t="shared" si="209"/>
        <v>1444</v>
      </c>
      <c r="E3335">
        <f t="shared" si="210"/>
        <v>6531.8723999999993</v>
      </c>
      <c r="F3335">
        <f t="shared" si="211"/>
        <v>1444</v>
      </c>
    </row>
    <row r="3336" spans="1:6" x14ac:dyDescent="0.3">
      <c r="A3336">
        <v>13</v>
      </c>
      <c r="B3336">
        <v>90.6</v>
      </c>
      <c r="C3336">
        <f t="shared" si="208"/>
        <v>1177.8</v>
      </c>
      <c r="D3336">
        <f t="shared" si="209"/>
        <v>169</v>
      </c>
      <c r="E3336">
        <f t="shared" si="210"/>
        <v>8208.3599999999988</v>
      </c>
      <c r="F3336">
        <f t="shared" si="211"/>
        <v>169</v>
      </c>
    </row>
    <row r="3337" spans="1:6" x14ac:dyDescent="0.3">
      <c r="A3337">
        <v>41</v>
      </c>
      <c r="B3337">
        <v>93.67</v>
      </c>
      <c r="C3337">
        <f t="shared" si="208"/>
        <v>3840.4700000000003</v>
      </c>
      <c r="D3337">
        <f t="shared" si="209"/>
        <v>1681</v>
      </c>
      <c r="E3337">
        <f t="shared" si="210"/>
        <v>8774.0689000000002</v>
      </c>
      <c r="F3337">
        <f t="shared" si="211"/>
        <v>1681</v>
      </c>
    </row>
    <row r="3338" spans="1:6" x14ac:dyDescent="0.3">
      <c r="A3338">
        <v>50</v>
      </c>
      <c r="B3338">
        <v>87.15</v>
      </c>
      <c r="C3338">
        <f t="shared" si="208"/>
        <v>4357.5</v>
      </c>
      <c r="D3338">
        <f t="shared" si="209"/>
        <v>2500</v>
      </c>
      <c r="E3338">
        <f t="shared" si="210"/>
        <v>7595.1225000000013</v>
      </c>
      <c r="F3338">
        <f t="shared" si="211"/>
        <v>2500</v>
      </c>
    </row>
    <row r="3339" spans="1:6" x14ac:dyDescent="0.3">
      <c r="A3339">
        <v>41</v>
      </c>
      <c r="B3339">
        <v>80.72</v>
      </c>
      <c r="C3339">
        <f t="shared" si="208"/>
        <v>3309.52</v>
      </c>
      <c r="D3339">
        <f t="shared" si="209"/>
        <v>1681</v>
      </c>
      <c r="E3339">
        <f t="shared" si="210"/>
        <v>6515.7183999999997</v>
      </c>
      <c r="F3339">
        <f t="shared" si="211"/>
        <v>1681</v>
      </c>
    </row>
    <row r="3340" spans="1:6" x14ac:dyDescent="0.3">
      <c r="A3340">
        <v>6</v>
      </c>
      <c r="B3340">
        <v>83.16</v>
      </c>
      <c r="C3340">
        <f t="shared" si="208"/>
        <v>498.96</v>
      </c>
      <c r="D3340">
        <f t="shared" si="209"/>
        <v>36</v>
      </c>
      <c r="E3340">
        <f t="shared" si="210"/>
        <v>6915.5855999999994</v>
      </c>
      <c r="F3340">
        <f t="shared" si="211"/>
        <v>36</v>
      </c>
    </row>
    <row r="3341" spans="1:6" x14ac:dyDescent="0.3">
      <c r="A3341">
        <v>62</v>
      </c>
      <c r="B3341">
        <v>98.14</v>
      </c>
      <c r="C3341">
        <f t="shared" si="208"/>
        <v>6084.68</v>
      </c>
      <c r="D3341">
        <f t="shared" si="209"/>
        <v>3844</v>
      </c>
      <c r="E3341">
        <f t="shared" si="210"/>
        <v>9631.4596000000001</v>
      </c>
      <c r="F3341">
        <f t="shared" si="211"/>
        <v>3844</v>
      </c>
    </row>
    <row r="3342" spans="1:6" x14ac:dyDescent="0.3">
      <c r="A3342">
        <v>4</v>
      </c>
      <c r="B3342">
        <v>83.13</v>
      </c>
      <c r="C3342">
        <f t="shared" si="208"/>
        <v>332.52</v>
      </c>
      <c r="D3342">
        <f t="shared" si="209"/>
        <v>16</v>
      </c>
      <c r="E3342">
        <f t="shared" si="210"/>
        <v>6910.5968999999996</v>
      </c>
      <c r="F3342">
        <f t="shared" si="211"/>
        <v>16</v>
      </c>
    </row>
    <row r="3343" spans="1:6" x14ac:dyDescent="0.3">
      <c r="A3343">
        <v>59</v>
      </c>
      <c r="B3343">
        <v>134.24</v>
      </c>
      <c r="C3343">
        <f t="shared" si="208"/>
        <v>7920.1600000000008</v>
      </c>
      <c r="D3343">
        <f t="shared" si="209"/>
        <v>3481</v>
      </c>
      <c r="E3343">
        <f t="shared" si="210"/>
        <v>18020.377600000003</v>
      </c>
      <c r="F3343">
        <f t="shared" si="211"/>
        <v>3481</v>
      </c>
    </row>
    <row r="3344" spans="1:6" x14ac:dyDescent="0.3">
      <c r="A3344">
        <v>63</v>
      </c>
      <c r="B3344">
        <v>248.37</v>
      </c>
      <c r="C3344">
        <f t="shared" si="208"/>
        <v>15647.31</v>
      </c>
      <c r="D3344">
        <f t="shared" si="209"/>
        <v>3969</v>
      </c>
      <c r="E3344">
        <f t="shared" si="210"/>
        <v>61687.656900000002</v>
      </c>
      <c r="F3344">
        <f t="shared" si="211"/>
        <v>3969</v>
      </c>
    </row>
    <row r="3345" spans="1:6" x14ac:dyDescent="0.3">
      <c r="A3345">
        <v>9</v>
      </c>
      <c r="B3345">
        <v>61.75</v>
      </c>
      <c r="C3345">
        <f t="shared" si="208"/>
        <v>555.75</v>
      </c>
      <c r="D3345">
        <f t="shared" si="209"/>
        <v>81</v>
      </c>
      <c r="E3345">
        <f t="shared" si="210"/>
        <v>3813.0625</v>
      </c>
      <c r="F3345">
        <f t="shared" si="211"/>
        <v>81</v>
      </c>
    </row>
    <row r="3346" spans="1:6" x14ac:dyDescent="0.3">
      <c r="A3346">
        <v>41</v>
      </c>
      <c r="B3346">
        <v>70.55</v>
      </c>
      <c r="C3346">
        <f t="shared" si="208"/>
        <v>2892.5499999999997</v>
      </c>
      <c r="D3346">
        <f t="shared" si="209"/>
        <v>1681</v>
      </c>
      <c r="E3346">
        <f t="shared" si="210"/>
        <v>4977.3024999999998</v>
      </c>
      <c r="F3346">
        <f t="shared" si="211"/>
        <v>1681</v>
      </c>
    </row>
    <row r="3347" spans="1:6" x14ac:dyDescent="0.3">
      <c r="A3347">
        <v>72</v>
      </c>
      <c r="B3347">
        <v>124.38</v>
      </c>
      <c r="C3347">
        <f t="shared" si="208"/>
        <v>8955.36</v>
      </c>
      <c r="D3347">
        <f t="shared" si="209"/>
        <v>5184</v>
      </c>
      <c r="E3347">
        <f t="shared" si="210"/>
        <v>15470.384399999999</v>
      </c>
      <c r="F3347">
        <f t="shared" si="211"/>
        <v>5184</v>
      </c>
    </row>
    <row r="3348" spans="1:6" x14ac:dyDescent="0.3">
      <c r="A3348">
        <v>45</v>
      </c>
      <c r="B3348">
        <v>92.21</v>
      </c>
      <c r="C3348">
        <f t="shared" si="208"/>
        <v>4149.45</v>
      </c>
      <c r="D3348">
        <f t="shared" si="209"/>
        <v>2025</v>
      </c>
      <c r="E3348">
        <f t="shared" si="210"/>
        <v>8502.6840999999986</v>
      </c>
      <c r="F3348">
        <f t="shared" si="211"/>
        <v>2025</v>
      </c>
    </row>
    <row r="3349" spans="1:6" x14ac:dyDescent="0.3">
      <c r="A3349">
        <v>80</v>
      </c>
      <c r="B3349">
        <v>148.72</v>
      </c>
      <c r="C3349">
        <f t="shared" si="208"/>
        <v>11897.6</v>
      </c>
      <c r="D3349">
        <f t="shared" si="209"/>
        <v>6400</v>
      </c>
      <c r="E3349">
        <f t="shared" si="210"/>
        <v>22117.6384</v>
      </c>
      <c r="F3349">
        <f t="shared" si="211"/>
        <v>6400</v>
      </c>
    </row>
    <row r="3350" spans="1:6" x14ac:dyDescent="0.3">
      <c r="A3350">
        <v>19</v>
      </c>
      <c r="B3350">
        <v>79.25</v>
      </c>
      <c r="C3350">
        <f t="shared" si="208"/>
        <v>1505.75</v>
      </c>
      <c r="D3350">
        <f t="shared" si="209"/>
        <v>361</v>
      </c>
      <c r="E3350">
        <f t="shared" si="210"/>
        <v>6280.5625</v>
      </c>
      <c r="F3350">
        <f t="shared" si="211"/>
        <v>361</v>
      </c>
    </row>
    <row r="3351" spans="1:6" x14ac:dyDescent="0.3">
      <c r="A3351">
        <v>37</v>
      </c>
      <c r="B3351">
        <v>82.09</v>
      </c>
      <c r="C3351">
        <f t="shared" si="208"/>
        <v>3037.33</v>
      </c>
      <c r="D3351">
        <f t="shared" si="209"/>
        <v>1369</v>
      </c>
      <c r="E3351">
        <f t="shared" si="210"/>
        <v>6738.7681000000002</v>
      </c>
      <c r="F3351">
        <f t="shared" si="211"/>
        <v>1369</v>
      </c>
    </row>
    <row r="3352" spans="1:6" x14ac:dyDescent="0.3">
      <c r="A3352">
        <v>58</v>
      </c>
      <c r="B3352">
        <v>194.53</v>
      </c>
      <c r="C3352">
        <f t="shared" si="208"/>
        <v>11282.74</v>
      </c>
      <c r="D3352">
        <f t="shared" si="209"/>
        <v>3364</v>
      </c>
      <c r="E3352">
        <f t="shared" si="210"/>
        <v>37841.920899999997</v>
      </c>
      <c r="F3352">
        <f t="shared" si="211"/>
        <v>3364</v>
      </c>
    </row>
    <row r="3353" spans="1:6" x14ac:dyDescent="0.3">
      <c r="A3353">
        <v>77</v>
      </c>
      <c r="B3353">
        <v>98.84</v>
      </c>
      <c r="C3353">
        <f t="shared" si="208"/>
        <v>7610.68</v>
      </c>
      <c r="D3353">
        <f t="shared" si="209"/>
        <v>5929</v>
      </c>
      <c r="E3353">
        <f t="shared" si="210"/>
        <v>9769.3456000000006</v>
      </c>
      <c r="F3353">
        <f t="shared" si="211"/>
        <v>5929</v>
      </c>
    </row>
    <row r="3354" spans="1:6" x14ac:dyDescent="0.3">
      <c r="A3354">
        <v>38</v>
      </c>
      <c r="B3354">
        <v>135.74</v>
      </c>
      <c r="C3354">
        <f t="shared" si="208"/>
        <v>5158.1200000000008</v>
      </c>
      <c r="D3354">
        <f t="shared" si="209"/>
        <v>1444</v>
      </c>
      <c r="E3354">
        <f t="shared" si="210"/>
        <v>18425.347600000001</v>
      </c>
      <c r="F3354">
        <f t="shared" si="211"/>
        <v>1444</v>
      </c>
    </row>
    <row r="3355" spans="1:6" x14ac:dyDescent="0.3">
      <c r="A3355">
        <v>49</v>
      </c>
      <c r="B3355">
        <v>66.55</v>
      </c>
      <c r="C3355">
        <f t="shared" si="208"/>
        <v>3260.95</v>
      </c>
      <c r="D3355">
        <f t="shared" si="209"/>
        <v>2401</v>
      </c>
      <c r="E3355">
        <f t="shared" si="210"/>
        <v>4428.9024999999992</v>
      </c>
      <c r="F3355">
        <f t="shared" si="211"/>
        <v>2401</v>
      </c>
    </row>
    <row r="3356" spans="1:6" x14ac:dyDescent="0.3">
      <c r="A3356">
        <v>20</v>
      </c>
      <c r="B3356">
        <v>115.69</v>
      </c>
      <c r="C3356">
        <f t="shared" si="208"/>
        <v>2313.8000000000002</v>
      </c>
      <c r="D3356">
        <f t="shared" si="209"/>
        <v>400</v>
      </c>
      <c r="E3356">
        <f t="shared" si="210"/>
        <v>13384.176099999999</v>
      </c>
      <c r="F3356">
        <f t="shared" si="211"/>
        <v>400</v>
      </c>
    </row>
    <row r="3357" spans="1:6" x14ac:dyDescent="0.3">
      <c r="A3357">
        <v>23</v>
      </c>
      <c r="B3357">
        <v>67.760000000000005</v>
      </c>
      <c r="C3357">
        <f t="shared" si="208"/>
        <v>1558.48</v>
      </c>
      <c r="D3357">
        <f t="shared" si="209"/>
        <v>529</v>
      </c>
      <c r="E3357">
        <f t="shared" si="210"/>
        <v>4591.4176000000007</v>
      </c>
      <c r="F3357">
        <f t="shared" si="211"/>
        <v>529</v>
      </c>
    </row>
    <row r="3358" spans="1:6" x14ac:dyDescent="0.3">
      <c r="A3358">
        <v>55</v>
      </c>
      <c r="B3358">
        <v>88.65</v>
      </c>
      <c r="C3358">
        <f t="shared" si="208"/>
        <v>4875.75</v>
      </c>
      <c r="D3358">
        <f t="shared" si="209"/>
        <v>3025</v>
      </c>
      <c r="E3358">
        <f t="shared" si="210"/>
        <v>7858.8225000000011</v>
      </c>
      <c r="F3358">
        <f t="shared" si="211"/>
        <v>3025</v>
      </c>
    </row>
    <row r="3359" spans="1:6" x14ac:dyDescent="0.3">
      <c r="A3359">
        <v>16</v>
      </c>
      <c r="B3359">
        <v>106.11</v>
      </c>
      <c r="C3359">
        <f t="shared" si="208"/>
        <v>1697.76</v>
      </c>
      <c r="D3359">
        <f t="shared" si="209"/>
        <v>256</v>
      </c>
      <c r="E3359">
        <f t="shared" si="210"/>
        <v>11259.3321</v>
      </c>
      <c r="F3359">
        <f t="shared" si="211"/>
        <v>256</v>
      </c>
    </row>
    <row r="3360" spans="1:6" x14ac:dyDescent="0.3">
      <c r="A3360">
        <v>81</v>
      </c>
      <c r="B3360">
        <v>95.49</v>
      </c>
      <c r="C3360">
        <f t="shared" si="208"/>
        <v>7734.69</v>
      </c>
      <c r="D3360">
        <f t="shared" si="209"/>
        <v>6561</v>
      </c>
      <c r="E3360">
        <f t="shared" si="210"/>
        <v>9118.3400999999994</v>
      </c>
      <c r="F3360">
        <f t="shared" si="211"/>
        <v>6561</v>
      </c>
    </row>
    <row r="3361" spans="1:6" x14ac:dyDescent="0.3">
      <c r="A3361">
        <v>23</v>
      </c>
      <c r="B3361">
        <v>59.07</v>
      </c>
      <c r="C3361">
        <f t="shared" si="208"/>
        <v>1358.61</v>
      </c>
      <c r="D3361">
        <f t="shared" si="209"/>
        <v>529</v>
      </c>
      <c r="E3361">
        <f t="shared" si="210"/>
        <v>3489.2649000000001</v>
      </c>
      <c r="F3361">
        <f t="shared" si="211"/>
        <v>529</v>
      </c>
    </row>
    <row r="3362" spans="1:6" x14ac:dyDescent="0.3">
      <c r="A3362">
        <v>82</v>
      </c>
      <c r="B3362">
        <v>228.92</v>
      </c>
      <c r="C3362">
        <f t="shared" si="208"/>
        <v>18771.439999999999</v>
      </c>
      <c r="D3362">
        <f t="shared" si="209"/>
        <v>6724</v>
      </c>
      <c r="E3362">
        <f t="shared" si="210"/>
        <v>52404.366399999992</v>
      </c>
      <c r="F3362">
        <f t="shared" si="211"/>
        <v>6724</v>
      </c>
    </row>
    <row r="3363" spans="1:6" x14ac:dyDescent="0.3">
      <c r="A3363">
        <v>48</v>
      </c>
      <c r="B3363">
        <v>62.89</v>
      </c>
      <c r="C3363">
        <f t="shared" si="208"/>
        <v>3018.7200000000003</v>
      </c>
      <c r="D3363">
        <f t="shared" si="209"/>
        <v>2304</v>
      </c>
      <c r="E3363">
        <f t="shared" si="210"/>
        <v>3955.1521000000002</v>
      </c>
      <c r="F3363">
        <f t="shared" si="211"/>
        <v>2304</v>
      </c>
    </row>
    <row r="3364" spans="1:6" x14ac:dyDescent="0.3">
      <c r="A3364">
        <v>56</v>
      </c>
      <c r="B3364">
        <v>96.84</v>
      </c>
      <c r="C3364">
        <f t="shared" si="208"/>
        <v>5423.04</v>
      </c>
      <c r="D3364">
        <f t="shared" si="209"/>
        <v>3136</v>
      </c>
      <c r="E3364">
        <f t="shared" si="210"/>
        <v>9377.9856</v>
      </c>
      <c r="F3364">
        <f t="shared" si="211"/>
        <v>3136</v>
      </c>
    </row>
    <row r="3365" spans="1:6" x14ac:dyDescent="0.3">
      <c r="A3365">
        <v>61</v>
      </c>
      <c r="B3365">
        <v>81.25</v>
      </c>
      <c r="C3365">
        <f t="shared" si="208"/>
        <v>4956.25</v>
      </c>
      <c r="D3365">
        <f t="shared" si="209"/>
        <v>3721</v>
      </c>
      <c r="E3365">
        <f t="shared" si="210"/>
        <v>6601.5625</v>
      </c>
      <c r="F3365">
        <f t="shared" si="211"/>
        <v>3721</v>
      </c>
    </row>
    <row r="3366" spans="1:6" x14ac:dyDescent="0.3">
      <c r="A3366">
        <v>43</v>
      </c>
      <c r="B3366">
        <v>92.71</v>
      </c>
      <c r="C3366">
        <f t="shared" si="208"/>
        <v>3986.5299999999997</v>
      </c>
      <c r="D3366">
        <f t="shared" si="209"/>
        <v>1849</v>
      </c>
      <c r="E3366">
        <f t="shared" si="210"/>
        <v>8595.1440999999995</v>
      </c>
      <c r="F3366">
        <f t="shared" si="211"/>
        <v>1849</v>
      </c>
    </row>
    <row r="3367" spans="1:6" x14ac:dyDescent="0.3">
      <c r="A3367">
        <v>39</v>
      </c>
      <c r="B3367">
        <v>85.59</v>
      </c>
      <c r="C3367">
        <f t="shared" si="208"/>
        <v>3338.01</v>
      </c>
      <c r="D3367">
        <f t="shared" si="209"/>
        <v>1521</v>
      </c>
      <c r="E3367">
        <f t="shared" si="210"/>
        <v>7325.6481000000003</v>
      </c>
      <c r="F3367">
        <f t="shared" si="211"/>
        <v>1521</v>
      </c>
    </row>
    <row r="3368" spans="1:6" x14ac:dyDescent="0.3">
      <c r="A3368">
        <v>22</v>
      </c>
      <c r="B3368">
        <v>89.06</v>
      </c>
      <c r="C3368">
        <f t="shared" si="208"/>
        <v>1959.3200000000002</v>
      </c>
      <c r="D3368">
        <f t="shared" si="209"/>
        <v>484</v>
      </c>
      <c r="E3368">
        <f t="shared" si="210"/>
        <v>7931.6836000000003</v>
      </c>
      <c r="F3368">
        <f t="shared" si="211"/>
        <v>484</v>
      </c>
    </row>
    <row r="3369" spans="1:6" x14ac:dyDescent="0.3">
      <c r="A3369">
        <v>41</v>
      </c>
      <c r="B3369">
        <v>87.44</v>
      </c>
      <c r="C3369">
        <f t="shared" si="208"/>
        <v>3585.04</v>
      </c>
      <c r="D3369">
        <f t="shared" si="209"/>
        <v>1681</v>
      </c>
      <c r="E3369">
        <f t="shared" si="210"/>
        <v>7645.7536</v>
      </c>
      <c r="F3369">
        <f t="shared" si="211"/>
        <v>1681</v>
      </c>
    </row>
    <row r="3370" spans="1:6" x14ac:dyDescent="0.3">
      <c r="A3370">
        <v>37</v>
      </c>
      <c r="B3370">
        <v>64.069999999999993</v>
      </c>
      <c r="C3370">
        <f t="shared" si="208"/>
        <v>2370.5899999999997</v>
      </c>
      <c r="D3370">
        <f t="shared" si="209"/>
        <v>1369</v>
      </c>
      <c r="E3370">
        <f t="shared" si="210"/>
        <v>4104.964899999999</v>
      </c>
      <c r="F3370">
        <f t="shared" si="211"/>
        <v>1369</v>
      </c>
    </row>
    <row r="3371" spans="1:6" x14ac:dyDescent="0.3">
      <c r="A3371">
        <v>65</v>
      </c>
      <c r="B3371">
        <v>79.39</v>
      </c>
      <c r="C3371">
        <f t="shared" si="208"/>
        <v>5160.3500000000004</v>
      </c>
      <c r="D3371">
        <f t="shared" si="209"/>
        <v>4225</v>
      </c>
      <c r="E3371">
        <f t="shared" si="210"/>
        <v>6302.7721000000001</v>
      </c>
      <c r="F3371">
        <f t="shared" si="211"/>
        <v>4225</v>
      </c>
    </row>
    <row r="3372" spans="1:6" x14ac:dyDescent="0.3">
      <c r="A3372">
        <v>8</v>
      </c>
      <c r="B3372">
        <v>67.84</v>
      </c>
      <c r="C3372">
        <f t="shared" si="208"/>
        <v>542.72</v>
      </c>
      <c r="D3372">
        <f t="shared" si="209"/>
        <v>64</v>
      </c>
      <c r="E3372">
        <f t="shared" si="210"/>
        <v>4602.2656000000006</v>
      </c>
      <c r="F3372">
        <f t="shared" si="211"/>
        <v>64</v>
      </c>
    </row>
    <row r="3373" spans="1:6" x14ac:dyDescent="0.3">
      <c r="A3373">
        <v>51</v>
      </c>
      <c r="B3373">
        <v>81.73</v>
      </c>
      <c r="C3373">
        <f t="shared" si="208"/>
        <v>4168.2300000000005</v>
      </c>
      <c r="D3373">
        <f t="shared" si="209"/>
        <v>2601</v>
      </c>
      <c r="E3373">
        <f t="shared" si="210"/>
        <v>6679.7929000000004</v>
      </c>
      <c r="F3373">
        <f t="shared" si="211"/>
        <v>2601</v>
      </c>
    </row>
    <row r="3374" spans="1:6" x14ac:dyDescent="0.3">
      <c r="A3374">
        <v>63</v>
      </c>
      <c r="B3374">
        <v>105.52</v>
      </c>
      <c r="C3374">
        <f t="shared" si="208"/>
        <v>6647.7599999999993</v>
      </c>
      <c r="D3374">
        <f t="shared" si="209"/>
        <v>3969</v>
      </c>
      <c r="E3374">
        <f t="shared" si="210"/>
        <v>11134.470399999998</v>
      </c>
      <c r="F3374">
        <f t="shared" si="211"/>
        <v>3969</v>
      </c>
    </row>
    <row r="3375" spans="1:6" x14ac:dyDescent="0.3">
      <c r="A3375">
        <v>48</v>
      </c>
      <c r="B3375">
        <v>77.55</v>
      </c>
      <c r="C3375">
        <f t="shared" si="208"/>
        <v>3722.3999999999996</v>
      </c>
      <c r="D3375">
        <f t="shared" si="209"/>
        <v>2304</v>
      </c>
      <c r="E3375">
        <f t="shared" si="210"/>
        <v>6014.0024999999996</v>
      </c>
      <c r="F3375">
        <f t="shared" si="211"/>
        <v>2304</v>
      </c>
    </row>
    <row r="3376" spans="1:6" x14ac:dyDescent="0.3">
      <c r="A3376">
        <v>17</v>
      </c>
      <c r="B3376">
        <v>127.42</v>
      </c>
      <c r="C3376">
        <f t="shared" si="208"/>
        <v>2166.14</v>
      </c>
      <c r="D3376">
        <f t="shared" si="209"/>
        <v>289</v>
      </c>
      <c r="E3376">
        <f t="shared" si="210"/>
        <v>16235.856400000001</v>
      </c>
      <c r="F3376">
        <f t="shared" si="211"/>
        <v>289</v>
      </c>
    </row>
    <row r="3377" spans="1:6" x14ac:dyDescent="0.3">
      <c r="A3377">
        <v>53</v>
      </c>
      <c r="B3377">
        <v>227.68</v>
      </c>
      <c r="C3377">
        <f t="shared" si="208"/>
        <v>12067.04</v>
      </c>
      <c r="D3377">
        <f t="shared" si="209"/>
        <v>2809</v>
      </c>
      <c r="E3377">
        <f t="shared" si="210"/>
        <v>51838.182400000005</v>
      </c>
      <c r="F3377">
        <f t="shared" si="211"/>
        <v>2809</v>
      </c>
    </row>
    <row r="3378" spans="1:6" x14ac:dyDescent="0.3">
      <c r="A3378">
        <v>75</v>
      </c>
      <c r="B3378">
        <v>226.73</v>
      </c>
      <c r="C3378">
        <f t="shared" si="208"/>
        <v>17004.75</v>
      </c>
      <c r="D3378">
        <f t="shared" si="209"/>
        <v>5625</v>
      </c>
      <c r="E3378">
        <f t="shared" si="210"/>
        <v>51406.492899999997</v>
      </c>
      <c r="F3378">
        <f t="shared" si="211"/>
        <v>5625</v>
      </c>
    </row>
    <row r="3379" spans="1:6" x14ac:dyDescent="0.3">
      <c r="A3379">
        <v>51</v>
      </c>
      <c r="B3379">
        <v>89.74</v>
      </c>
      <c r="C3379">
        <f t="shared" si="208"/>
        <v>4576.74</v>
      </c>
      <c r="D3379">
        <f t="shared" si="209"/>
        <v>2601</v>
      </c>
      <c r="E3379">
        <f t="shared" si="210"/>
        <v>8053.2675999999992</v>
      </c>
      <c r="F3379">
        <f t="shared" si="211"/>
        <v>2601</v>
      </c>
    </row>
    <row r="3380" spans="1:6" x14ac:dyDescent="0.3">
      <c r="A3380">
        <v>51</v>
      </c>
      <c r="B3380">
        <v>219.17</v>
      </c>
      <c r="C3380">
        <f t="shared" si="208"/>
        <v>11177.67</v>
      </c>
      <c r="D3380">
        <f t="shared" si="209"/>
        <v>2601</v>
      </c>
      <c r="E3380">
        <f t="shared" si="210"/>
        <v>48035.488899999997</v>
      </c>
      <c r="F3380">
        <f t="shared" si="211"/>
        <v>2601</v>
      </c>
    </row>
    <row r="3381" spans="1:6" x14ac:dyDescent="0.3">
      <c r="A3381">
        <v>41</v>
      </c>
      <c r="B3381">
        <v>74.849999999999994</v>
      </c>
      <c r="C3381">
        <f t="shared" si="208"/>
        <v>3068.85</v>
      </c>
      <c r="D3381">
        <f t="shared" si="209"/>
        <v>1681</v>
      </c>
      <c r="E3381">
        <f t="shared" si="210"/>
        <v>5602.5224999999991</v>
      </c>
      <c r="F3381">
        <f t="shared" si="211"/>
        <v>1681</v>
      </c>
    </row>
    <row r="3382" spans="1:6" x14ac:dyDescent="0.3">
      <c r="A3382">
        <v>75</v>
      </c>
      <c r="B3382">
        <v>55.96</v>
      </c>
      <c r="C3382">
        <f t="shared" si="208"/>
        <v>4197</v>
      </c>
      <c r="D3382">
        <f t="shared" si="209"/>
        <v>5625</v>
      </c>
      <c r="E3382">
        <f t="shared" si="210"/>
        <v>3131.5216</v>
      </c>
      <c r="F3382">
        <f t="shared" si="211"/>
        <v>5625</v>
      </c>
    </row>
    <row r="3383" spans="1:6" x14ac:dyDescent="0.3">
      <c r="A3383">
        <v>57</v>
      </c>
      <c r="B3383">
        <v>215.92</v>
      </c>
      <c r="C3383">
        <f t="shared" si="208"/>
        <v>12307.439999999999</v>
      </c>
      <c r="D3383">
        <f t="shared" si="209"/>
        <v>3249</v>
      </c>
      <c r="E3383">
        <f t="shared" si="210"/>
        <v>46621.446399999993</v>
      </c>
      <c r="F3383">
        <f t="shared" si="211"/>
        <v>3249</v>
      </c>
    </row>
    <row r="3384" spans="1:6" x14ac:dyDescent="0.3">
      <c r="A3384">
        <v>33</v>
      </c>
      <c r="B3384">
        <v>84.4</v>
      </c>
      <c r="C3384">
        <f t="shared" si="208"/>
        <v>2785.2000000000003</v>
      </c>
      <c r="D3384">
        <f t="shared" si="209"/>
        <v>1089</v>
      </c>
      <c r="E3384">
        <f t="shared" si="210"/>
        <v>7123.3600000000006</v>
      </c>
      <c r="F3384">
        <f t="shared" si="211"/>
        <v>1089</v>
      </c>
    </row>
    <row r="3385" spans="1:6" x14ac:dyDescent="0.3">
      <c r="A3385">
        <v>72</v>
      </c>
      <c r="B3385">
        <v>104.05</v>
      </c>
      <c r="C3385">
        <f t="shared" si="208"/>
        <v>7491.5999999999995</v>
      </c>
      <c r="D3385">
        <f t="shared" si="209"/>
        <v>5184</v>
      </c>
      <c r="E3385">
        <f t="shared" si="210"/>
        <v>10826.4025</v>
      </c>
      <c r="F3385">
        <f t="shared" si="211"/>
        <v>5184</v>
      </c>
    </row>
    <row r="3386" spans="1:6" x14ac:dyDescent="0.3">
      <c r="A3386">
        <v>52</v>
      </c>
      <c r="B3386">
        <v>62.54</v>
      </c>
      <c r="C3386">
        <f t="shared" si="208"/>
        <v>3252.08</v>
      </c>
      <c r="D3386">
        <f t="shared" si="209"/>
        <v>2704</v>
      </c>
      <c r="E3386">
        <f t="shared" si="210"/>
        <v>3911.2516000000001</v>
      </c>
      <c r="F3386">
        <f t="shared" si="211"/>
        <v>2704</v>
      </c>
    </row>
    <row r="3387" spans="1:6" x14ac:dyDescent="0.3">
      <c r="A3387">
        <v>11</v>
      </c>
      <c r="B3387">
        <v>87.54</v>
      </c>
      <c r="C3387">
        <f t="shared" si="208"/>
        <v>962.94</v>
      </c>
      <c r="D3387">
        <f t="shared" si="209"/>
        <v>121</v>
      </c>
      <c r="E3387">
        <f t="shared" si="210"/>
        <v>7663.2516000000014</v>
      </c>
      <c r="F3387">
        <f t="shared" si="211"/>
        <v>121</v>
      </c>
    </row>
    <row r="3388" spans="1:6" x14ac:dyDescent="0.3">
      <c r="A3388">
        <v>28</v>
      </c>
      <c r="B3388">
        <v>76.81</v>
      </c>
      <c r="C3388">
        <f t="shared" si="208"/>
        <v>2150.6800000000003</v>
      </c>
      <c r="D3388">
        <f t="shared" si="209"/>
        <v>784</v>
      </c>
      <c r="E3388">
        <f t="shared" si="210"/>
        <v>5899.7761</v>
      </c>
      <c r="F3388">
        <f t="shared" si="211"/>
        <v>784</v>
      </c>
    </row>
    <row r="3389" spans="1:6" x14ac:dyDescent="0.3">
      <c r="A3389">
        <v>78</v>
      </c>
      <c r="B3389">
        <v>198.12</v>
      </c>
      <c r="C3389">
        <f t="shared" si="208"/>
        <v>15453.36</v>
      </c>
      <c r="D3389">
        <f t="shared" si="209"/>
        <v>6084</v>
      </c>
      <c r="E3389">
        <f t="shared" si="210"/>
        <v>39251.534400000004</v>
      </c>
      <c r="F3389">
        <f t="shared" si="211"/>
        <v>6084</v>
      </c>
    </row>
    <row r="3390" spans="1:6" x14ac:dyDescent="0.3">
      <c r="A3390">
        <v>82</v>
      </c>
      <c r="B3390">
        <v>78</v>
      </c>
      <c r="C3390">
        <f t="shared" si="208"/>
        <v>6396</v>
      </c>
      <c r="D3390">
        <f t="shared" si="209"/>
        <v>6724</v>
      </c>
      <c r="E3390">
        <f t="shared" si="210"/>
        <v>6084</v>
      </c>
      <c r="F3390">
        <f t="shared" si="211"/>
        <v>6724</v>
      </c>
    </row>
    <row r="3391" spans="1:6" x14ac:dyDescent="0.3">
      <c r="A3391">
        <v>74</v>
      </c>
      <c r="B3391">
        <v>79.44</v>
      </c>
      <c r="C3391">
        <f t="shared" si="208"/>
        <v>5878.5599999999995</v>
      </c>
      <c r="D3391">
        <f t="shared" si="209"/>
        <v>5476</v>
      </c>
      <c r="E3391">
        <f t="shared" si="210"/>
        <v>6310.7136</v>
      </c>
      <c r="F3391">
        <f t="shared" si="211"/>
        <v>5476</v>
      </c>
    </row>
    <row r="3392" spans="1:6" x14ac:dyDescent="0.3">
      <c r="A3392">
        <v>31</v>
      </c>
      <c r="B3392">
        <v>75.819999999999993</v>
      </c>
      <c r="C3392">
        <f t="shared" si="208"/>
        <v>2350.4199999999996</v>
      </c>
      <c r="D3392">
        <f t="shared" si="209"/>
        <v>961</v>
      </c>
      <c r="E3392">
        <f t="shared" si="210"/>
        <v>5748.6723999999986</v>
      </c>
      <c r="F3392">
        <f t="shared" si="211"/>
        <v>961</v>
      </c>
    </row>
    <row r="3393" spans="1:6" x14ac:dyDescent="0.3">
      <c r="A3393">
        <v>53</v>
      </c>
      <c r="B3393">
        <v>240.86</v>
      </c>
      <c r="C3393">
        <f t="shared" si="208"/>
        <v>12765.58</v>
      </c>
      <c r="D3393">
        <f t="shared" si="209"/>
        <v>2809</v>
      </c>
      <c r="E3393">
        <f t="shared" si="210"/>
        <v>58013.539600000004</v>
      </c>
      <c r="F3393">
        <f t="shared" si="211"/>
        <v>2809</v>
      </c>
    </row>
    <row r="3394" spans="1:6" x14ac:dyDescent="0.3">
      <c r="A3394">
        <v>0.24</v>
      </c>
      <c r="B3394">
        <v>89.28</v>
      </c>
      <c r="C3394">
        <f t="shared" si="208"/>
        <v>21.427199999999999</v>
      </c>
      <c r="D3394">
        <f t="shared" si="209"/>
        <v>5.7599999999999998E-2</v>
      </c>
      <c r="E3394">
        <f t="shared" si="210"/>
        <v>7970.9184000000005</v>
      </c>
      <c r="F3394">
        <f t="shared" si="211"/>
        <v>5.7599999999999998E-2</v>
      </c>
    </row>
    <row r="3395" spans="1:6" x14ac:dyDescent="0.3">
      <c r="A3395">
        <v>67</v>
      </c>
      <c r="B3395">
        <v>263.56</v>
      </c>
      <c r="C3395">
        <f t="shared" ref="C3395:C3458" si="212">A3395*B3395</f>
        <v>17658.52</v>
      </c>
      <c r="D3395">
        <f t="shared" ref="D3395:D3458" si="213">A3395*A3395</f>
        <v>4489</v>
      </c>
      <c r="E3395">
        <f t="shared" ref="E3395:E3458" si="214">B3395*B3395</f>
        <v>69463.873600000006</v>
      </c>
      <c r="F3395">
        <f t="shared" ref="F3395:F3458" si="215">A3395^2</f>
        <v>4489</v>
      </c>
    </row>
    <row r="3396" spans="1:6" x14ac:dyDescent="0.3">
      <c r="A3396">
        <v>17</v>
      </c>
      <c r="B3396">
        <v>81.13</v>
      </c>
      <c r="C3396">
        <f t="shared" si="212"/>
        <v>1379.21</v>
      </c>
      <c r="D3396">
        <f t="shared" si="213"/>
        <v>289</v>
      </c>
      <c r="E3396">
        <f t="shared" si="214"/>
        <v>6582.0768999999991</v>
      </c>
      <c r="F3396">
        <f t="shared" si="215"/>
        <v>289</v>
      </c>
    </row>
    <row r="3397" spans="1:6" x14ac:dyDescent="0.3">
      <c r="A3397">
        <v>29</v>
      </c>
      <c r="B3397">
        <v>118.44</v>
      </c>
      <c r="C3397">
        <f t="shared" si="212"/>
        <v>3434.7599999999998</v>
      </c>
      <c r="D3397">
        <f t="shared" si="213"/>
        <v>841</v>
      </c>
      <c r="E3397">
        <f t="shared" si="214"/>
        <v>14028.033599999999</v>
      </c>
      <c r="F3397">
        <f t="shared" si="215"/>
        <v>841</v>
      </c>
    </row>
    <row r="3398" spans="1:6" x14ac:dyDescent="0.3">
      <c r="A3398">
        <v>56</v>
      </c>
      <c r="B3398">
        <v>97.37</v>
      </c>
      <c r="C3398">
        <f t="shared" si="212"/>
        <v>5452.72</v>
      </c>
      <c r="D3398">
        <f t="shared" si="213"/>
        <v>3136</v>
      </c>
      <c r="E3398">
        <f t="shared" si="214"/>
        <v>9480.9169000000002</v>
      </c>
      <c r="F3398">
        <f t="shared" si="215"/>
        <v>3136</v>
      </c>
    </row>
    <row r="3399" spans="1:6" x14ac:dyDescent="0.3">
      <c r="A3399">
        <v>15</v>
      </c>
      <c r="B3399">
        <v>80.510000000000005</v>
      </c>
      <c r="C3399">
        <f t="shared" si="212"/>
        <v>1207.6500000000001</v>
      </c>
      <c r="D3399">
        <f t="shared" si="213"/>
        <v>225</v>
      </c>
      <c r="E3399">
        <f t="shared" si="214"/>
        <v>6481.8601000000008</v>
      </c>
      <c r="F3399">
        <f t="shared" si="215"/>
        <v>225</v>
      </c>
    </row>
    <row r="3400" spans="1:6" x14ac:dyDescent="0.3">
      <c r="A3400">
        <v>29</v>
      </c>
      <c r="B3400">
        <v>78.88</v>
      </c>
      <c r="C3400">
        <f t="shared" si="212"/>
        <v>2287.52</v>
      </c>
      <c r="D3400">
        <f t="shared" si="213"/>
        <v>841</v>
      </c>
      <c r="E3400">
        <f t="shared" si="214"/>
        <v>6222.0543999999991</v>
      </c>
      <c r="F3400">
        <f t="shared" si="215"/>
        <v>841</v>
      </c>
    </row>
    <row r="3401" spans="1:6" x14ac:dyDescent="0.3">
      <c r="A3401">
        <v>79</v>
      </c>
      <c r="B3401">
        <v>83.61</v>
      </c>
      <c r="C3401">
        <f t="shared" si="212"/>
        <v>6605.19</v>
      </c>
      <c r="D3401">
        <f t="shared" si="213"/>
        <v>6241</v>
      </c>
      <c r="E3401">
        <f t="shared" si="214"/>
        <v>6990.6320999999998</v>
      </c>
      <c r="F3401">
        <f t="shared" si="215"/>
        <v>6241</v>
      </c>
    </row>
    <row r="3402" spans="1:6" x14ac:dyDescent="0.3">
      <c r="A3402">
        <v>82</v>
      </c>
      <c r="B3402">
        <v>73.19</v>
      </c>
      <c r="C3402">
        <f t="shared" si="212"/>
        <v>6001.58</v>
      </c>
      <c r="D3402">
        <f t="shared" si="213"/>
        <v>6724</v>
      </c>
      <c r="E3402">
        <f t="shared" si="214"/>
        <v>5356.7761</v>
      </c>
      <c r="F3402">
        <f t="shared" si="215"/>
        <v>6724</v>
      </c>
    </row>
    <row r="3403" spans="1:6" x14ac:dyDescent="0.3">
      <c r="A3403">
        <v>17</v>
      </c>
      <c r="B3403">
        <v>68.91</v>
      </c>
      <c r="C3403">
        <f t="shared" si="212"/>
        <v>1171.47</v>
      </c>
      <c r="D3403">
        <f t="shared" si="213"/>
        <v>289</v>
      </c>
      <c r="E3403">
        <f t="shared" si="214"/>
        <v>4748.5880999999999</v>
      </c>
      <c r="F3403">
        <f t="shared" si="215"/>
        <v>289</v>
      </c>
    </row>
    <row r="3404" spans="1:6" x14ac:dyDescent="0.3">
      <c r="A3404">
        <v>8</v>
      </c>
      <c r="B3404">
        <v>104.3</v>
      </c>
      <c r="C3404">
        <f t="shared" si="212"/>
        <v>834.4</v>
      </c>
      <c r="D3404">
        <f t="shared" si="213"/>
        <v>64</v>
      </c>
      <c r="E3404">
        <f t="shared" si="214"/>
        <v>10878.49</v>
      </c>
      <c r="F3404">
        <f t="shared" si="215"/>
        <v>64</v>
      </c>
    </row>
    <row r="3405" spans="1:6" x14ac:dyDescent="0.3">
      <c r="A3405">
        <v>23</v>
      </c>
      <c r="B3405">
        <v>87.87</v>
      </c>
      <c r="C3405">
        <f t="shared" si="212"/>
        <v>2021.0100000000002</v>
      </c>
      <c r="D3405">
        <f t="shared" si="213"/>
        <v>529</v>
      </c>
      <c r="E3405">
        <f t="shared" si="214"/>
        <v>7721.1369000000004</v>
      </c>
      <c r="F3405">
        <f t="shared" si="215"/>
        <v>529</v>
      </c>
    </row>
    <row r="3406" spans="1:6" x14ac:dyDescent="0.3">
      <c r="A3406">
        <v>36</v>
      </c>
      <c r="B3406">
        <v>96.7</v>
      </c>
      <c r="C3406">
        <f t="shared" si="212"/>
        <v>3481.2000000000003</v>
      </c>
      <c r="D3406">
        <f t="shared" si="213"/>
        <v>1296</v>
      </c>
      <c r="E3406">
        <f t="shared" si="214"/>
        <v>9350.8900000000012</v>
      </c>
      <c r="F3406">
        <f t="shared" si="215"/>
        <v>1296</v>
      </c>
    </row>
    <row r="3407" spans="1:6" x14ac:dyDescent="0.3">
      <c r="A3407">
        <v>47</v>
      </c>
      <c r="B3407">
        <v>91.05</v>
      </c>
      <c r="C3407">
        <f t="shared" si="212"/>
        <v>4279.3499999999995</v>
      </c>
      <c r="D3407">
        <f t="shared" si="213"/>
        <v>2209</v>
      </c>
      <c r="E3407">
        <f t="shared" si="214"/>
        <v>8290.1024999999991</v>
      </c>
      <c r="F3407">
        <f t="shared" si="215"/>
        <v>2209</v>
      </c>
    </row>
    <row r="3408" spans="1:6" x14ac:dyDescent="0.3">
      <c r="A3408">
        <v>24</v>
      </c>
      <c r="B3408">
        <v>200.14</v>
      </c>
      <c r="C3408">
        <f t="shared" si="212"/>
        <v>4803.3599999999997</v>
      </c>
      <c r="D3408">
        <f t="shared" si="213"/>
        <v>576</v>
      </c>
      <c r="E3408">
        <f t="shared" si="214"/>
        <v>40056.019599999992</v>
      </c>
      <c r="F3408">
        <f t="shared" si="215"/>
        <v>576</v>
      </c>
    </row>
    <row r="3409" spans="1:6" x14ac:dyDescent="0.3">
      <c r="A3409">
        <v>60</v>
      </c>
      <c r="B3409">
        <v>73.040000000000006</v>
      </c>
      <c r="C3409">
        <f t="shared" si="212"/>
        <v>4382.4000000000005</v>
      </c>
      <c r="D3409">
        <f t="shared" si="213"/>
        <v>3600</v>
      </c>
      <c r="E3409">
        <f t="shared" si="214"/>
        <v>5334.8416000000007</v>
      </c>
      <c r="F3409">
        <f t="shared" si="215"/>
        <v>3600</v>
      </c>
    </row>
    <row r="3410" spans="1:6" x14ac:dyDescent="0.3">
      <c r="A3410">
        <v>63</v>
      </c>
      <c r="B3410">
        <v>85.81</v>
      </c>
      <c r="C3410">
        <f t="shared" si="212"/>
        <v>5406.03</v>
      </c>
      <c r="D3410">
        <f t="shared" si="213"/>
        <v>3969</v>
      </c>
      <c r="E3410">
        <f t="shared" si="214"/>
        <v>7363.3561</v>
      </c>
      <c r="F3410">
        <f t="shared" si="215"/>
        <v>3969</v>
      </c>
    </row>
    <row r="3411" spans="1:6" x14ac:dyDescent="0.3">
      <c r="A3411">
        <v>44</v>
      </c>
      <c r="B3411">
        <v>65.41</v>
      </c>
      <c r="C3411">
        <f t="shared" si="212"/>
        <v>2878.04</v>
      </c>
      <c r="D3411">
        <f t="shared" si="213"/>
        <v>1936</v>
      </c>
      <c r="E3411">
        <f t="shared" si="214"/>
        <v>4278.4680999999991</v>
      </c>
      <c r="F3411">
        <f t="shared" si="215"/>
        <v>1936</v>
      </c>
    </row>
    <row r="3412" spans="1:6" x14ac:dyDescent="0.3">
      <c r="A3412">
        <v>38</v>
      </c>
      <c r="B3412">
        <v>108.68</v>
      </c>
      <c r="C3412">
        <f t="shared" si="212"/>
        <v>4129.84</v>
      </c>
      <c r="D3412">
        <f t="shared" si="213"/>
        <v>1444</v>
      </c>
      <c r="E3412">
        <f t="shared" si="214"/>
        <v>11811.342400000001</v>
      </c>
      <c r="F3412">
        <f t="shared" si="215"/>
        <v>1444</v>
      </c>
    </row>
    <row r="3413" spans="1:6" x14ac:dyDescent="0.3">
      <c r="A3413">
        <v>26</v>
      </c>
      <c r="B3413">
        <v>88.79</v>
      </c>
      <c r="C3413">
        <f t="shared" si="212"/>
        <v>2308.54</v>
      </c>
      <c r="D3413">
        <f t="shared" si="213"/>
        <v>676</v>
      </c>
      <c r="E3413">
        <f t="shared" si="214"/>
        <v>7883.6641000000009</v>
      </c>
      <c r="F3413">
        <f t="shared" si="215"/>
        <v>676</v>
      </c>
    </row>
    <row r="3414" spans="1:6" x14ac:dyDescent="0.3">
      <c r="A3414">
        <v>18</v>
      </c>
      <c r="B3414">
        <v>107.82</v>
      </c>
      <c r="C3414">
        <f t="shared" si="212"/>
        <v>1940.7599999999998</v>
      </c>
      <c r="D3414">
        <f t="shared" si="213"/>
        <v>324</v>
      </c>
      <c r="E3414">
        <f t="shared" si="214"/>
        <v>11625.152399999999</v>
      </c>
      <c r="F3414">
        <f t="shared" si="215"/>
        <v>324</v>
      </c>
    </row>
    <row r="3415" spans="1:6" x14ac:dyDescent="0.3">
      <c r="A3415">
        <v>18</v>
      </c>
      <c r="B3415">
        <v>97.39</v>
      </c>
      <c r="C3415">
        <f t="shared" si="212"/>
        <v>1753.02</v>
      </c>
      <c r="D3415">
        <f t="shared" si="213"/>
        <v>324</v>
      </c>
      <c r="E3415">
        <f t="shared" si="214"/>
        <v>9484.812100000001</v>
      </c>
      <c r="F3415">
        <f t="shared" si="215"/>
        <v>324</v>
      </c>
    </row>
    <row r="3416" spans="1:6" x14ac:dyDescent="0.3">
      <c r="A3416">
        <v>13</v>
      </c>
      <c r="B3416">
        <v>141.09</v>
      </c>
      <c r="C3416">
        <f t="shared" si="212"/>
        <v>1834.17</v>
      </c>
      <c r="D3416">
        <f t="shared" si="213"/>
        <v>169</v>
      </c>
      <c r="E3416">
        <f t="shared" si="214"/>
        <v>19906.3881</v>
      </c>
      <c r="F3416">
        <f t="shared" si="215"/>
        <v>169</v>
      </c>
    </row>
    <row r="3417" spans="1:6" x14ac:dyDescent="0.3">
      <c r="A3417">
        <v>13</v>
      </c>
      <c r="B3417">
        <v>122.38</v>
      </c>
      <c r="C3417">
        <f t="shared" si="212"/>
        <v>1590.94</v>
      </c>
      <c r="D3417">
        <f t="shared" si="213"/>
        <v>169</v>
      </c>
      <c r="E3417">
        <f t="shared" si="214"/>
        <v>14976.864399999999</v>
      </c>
      <c r="F3417">
        <f t="shared" si="215"/>
        <v>169</v>
      </c>
    </row>
    <row r="3418" spans="1:6" x14ac:dyDescent="0.3">
      <c r="A3418">
        <v>47</v>
      </c>
      <c r="B3418">
        <v>77.91</v>
      </c>
      <c r="C3418">
        <f t="shared" si="212"/>
        <v>3661.77</v>
      </c>
      <c r="D3418">
        <f t="shared" si="213"/>
        <v>2209</v>
      </c>
      <c r="E3418">
        <f t="shared" si="214"/>
        <v>6069.9680999999991</v>
      </c>
      <c r="F3418">
        <f t="shared" si="215"/>
        <v>2209</v>
      </c>
    </row>
    <row r="3419" spans="1:6" x14ac:dyDescent="0.3">
      <c r="A3419">
        <v>80</v>
      </c>
      <c r="B3419">
        <v>103.6</v>
      </c>
      <c r="C3419">
        <f t="shared" si="212"/>
        <v>8288</v>
      </c>
      <c r="D3419">
        <f t="shared" si="213"/>
        <v>6400</v>
      </c>
      <c r="E3419">
        <f t="shared" si="214"/>
        <v>10732.96</v>
      </c>
      <c r="F3419">
        <f t="shared" si="215"/>
        <v>6400</v>
      </c>
    </row>
    <row r="3420" spans="1:6" x14ac:dyDescent="0.3">
      <c r="A3420">
        <v>24</v>
      </c>
      <c r="B3420">
        <v>159.69999999999999</v>
      </c>
      <c r="C3420">
        <f t="shared" si="212"/>
        <v>3832.7999999999997</v>
      </c>
      <c r="D3420">
        <f t="shared" si="213"/>
        <v>576</v>
      </c>
      <c r="E3420">
        <f t="shared" si="214"/>
        <v>25504.089999999997</v>
      </c>
      <c r="F3420">
        <f t="shared" si="215"/>
        <v>576</v>
      </c>
    </row>
    <row r="3421" spans="1:6" x14ac:dyDescent="0.3">
      <c r="A3421">
        <v>72</v>
      </c>
      <c r="B3421">
        <v>118.22</v>
      </c>
      <c r="C3421">
        <f t="shared" si="212"/>
        <v>8511.84</v>
      </c>
      <c r="D3421">
        <f t="shared" si="213"/>
        <v>5184</v>
      </c>
      <c r="E3421">
        <f t="shared" si="214"/>
        <v>13975.9684</v>
      </c>
      <c r="F3421">
        <f t="shared" si="215"/>
        <v>5184</v>
      </c>
    </row>
    <row r="3422" spans="1:6" x14ac:dyDescent="0.3">
      <c r="A3422">
        <v>5</v>
      </c>
      <c r="B3422">
        <v>84.5</v>
      </c>
      <c r="C3422">
        <f t="shared" si="212"/>
        <v>422.5</v>
      </c>
      <c r="D3422">
        <f t="shared" si="213"/>
        <v>25</v>
      </c>
      <c r="E3422">
        <f t="shared" si="214"/>
        <v>7140.25</v>
      </c>
      <c r="F3422">
        <f t="shared" si="215"/>
        <v>25</v>
      </c>
    </row>
    <row r="3423" spans="1:6" x14ac:dyDescent="0.3">
      <c r="A3423">
        <v>51</v>
      </c>
      <c r="B3423">
        <v>85.59</v>
      </c>
      <c r="C3423">
        <f t="shared" si="212"/>
        <v>4365.09</v>
      </c>
      <c r="D3423">
        <f t="shared" si="213"/>
        <v>2601</v>
      </c>
      <c r="E3423">
        <f t="shared" si="214"/>
        <v>7325.6481000000003</v>
      </c>
      <c r="F3423">
        <f t="shared" si="215"/>
        <v>2601</v>
      </c>
    </row>
    <row r="3424" spans="1:6" x14ac:dyDescent="0.3">
      <c r="A3424">
        <v>82</v>
      </c>
      <c r="B3424">
        <v>84.42</v>
      </c>
      <c r="C3424">
        <f t="shared" si="212"/>
        <v>6922.4400000000005</v>
      </c>
      <c r="D3424">
        <f t="shared" si="213"/>
        <v>6724</v>
      </c>
      <c r="E3424">
        <f t="shared" si="214"/>
        <v>7126.7364000000007</v>
      </c>
      <c r="F3424">
        <f t="shared" si="215"/>
        <v>6724</v>
      </c>
    </row>
    <row r="3425" spans="1:6" x14ac:dyDescent="0.3">
      <c r="A3425">
        <v>5</v>
      </c>
      <c r="B3425">
        <v>100.98</v>
      </c>
      <c r="C3425">
        <f t="shared" si="212"/>
        <v>504.90000000000003</v>
      </c>
      <c r="D3425">
        <f t="shared" si="213"/>
        <v>25</v>
      </c>
      <c r="E3425">
        <f t="shared" si="214"/>
        <v>10196.9604</v>
      </c>
      <c r="F3425">
        <f t="shared" si="215"/>
        <v>25</v>
      </c>
    </row>
    <row r="3426" spans="1:6" x14ac:dyDescent="0.3">
      <c r="A3426">
        <v>66</v>
      </c>
      <c r="B3426">
        <v>81.11</v>
      </c>
      <c r="C3426">
        <f t="shared" si="212"/>
        <v>5353.26</v>
      </c>
      <c r="D3426">
        <f t="shared" si="213"/>
        <v>4356</v>
      </c>
      <c r="E3426">
        <f t="shared" si="214"/>
        <v>6578.8320999999996</v>
      </c>
      <c r="F3426">
        <f t="shared" si="215"/>
        <v>4356</v>
      </c>
    </row>
    <row r="3427" spans="1:6" x14ac:dyDescent="0.3">
      <c r="A3427">
        <v>53</v>
      </c>
      <c r="B3427">
        <v>235.45</v>
      </c>
      <c r="C3427">
        <f t="shared" si="212"/>
        <v>12478.849999999999</v>
      </c>
      <c r="D3427">
        <f t="shared" si="213"/>
        <v>2809</v>
      </c>
      <c r="E3427">
        <f t="shared" si="214"/>
        <v>55436.702499999992</v>
      </c>
      <c r="F3427">
        <f t="shared" si="215"/>
        <v>2809</v>
      </c>
    </row>
    <row r="3428" spans="1:6" x14ac:dyDescent="0.3">
      <c r="A3428">
        <v>15</v>
      </c>
      <c r="B3428">
        <v>79.2</v>
      </c>
      <c r="C3428">
        <f t="shared" si="212"/>
        <v>1188</v>
      </c>
      <c r="D3428">
        <f t="shared" si="213"/>
        <v>225</v>
      </c>
      <c r="E3428">
        <f t="shared" si="214"/>
        <v>6272.64</v>
      </c>
      <c r="F3428">
        <f t="shared" si="215"/>
        <v>225</v>
      </c>
    </row>
    <row r="3429" spans="1:6" x14ac:dyDescent="0.3">
      <c r="A3429">
        <v>53</v>
      </c>
      <c r="B3429">
        <v>207.71</v>
      </c>
      <c r="C3429">
        <f t="shared" si="212"/>
        <v>11008.630000000001</v>
      </c>
      <c r="D3429">
        <f t="shared" si="213"/>
        <v>2809</v>
      </c>
      <c r="E3429">
        <f t="shared" si="214"/>
        <v>43143.444100000001</v>
      </c>
      <c r="F3429">
        <f t="shared" si="215"/>
        <v>2809</v>
      </c>
    </row>
    <row r="3430" spans="1:6" x14ac:dyDescent="0.3">
      <c r="A3430">
        <v>78</v>
      </c>
      <c r="B3430">
        <v>99.84</v>
      </c>
      <c r="C3430">
        <f t="shared" si="212"/>
        <v>7787.52</v>
      </c>
      <c r="D3430">
        <f t="shared" si="213"/>
        <v>6084</v>
      </c>
      <c r="E3430">
        <f t="shared" si="214"/>
        <v>9968.0256000000008</v>
      </c>
      <c r="F3430">
        <f t="shared" si="215"/>
        <v>6084</v>
      </c>
    </row>
    <row r="3431" spans="1:6" x14ac:dyDescent="0.3">
      <c r="A3431">
        <v>62</v>
      </c>
      <c r="B3431">
        <v>98.05</v>
      </c>
      <c r="C3431">
        <f t="shared" si="212"/>
        <v>6079.0999999999995</v>
      </c>
      <c r="D3431">
        <f t="shared" si="213"/>
        <v>3844</v>
      </c>
      <c r="E3431">
        <f t="shared" si="214"/>
        <v>9613.8024999999998</v>
      </c>
      <c r="F3431">
        <f t="shared" si="215"/>
        <v>3844</v>
      </c>
    </row>
    <row r="3432" spans="1:6" x14ac:dyDescent="0.3">
      <c r="A3432">
        <v>41</v>
      </c>
      <c r="B3432">
        <v>105.9</v>
      </c>
      <c r="C3432">
        <f t="shared" si="212"/>
        <v>4341.9000000000005</v>
      </c>
      <c r="D3432">
        <f t="shared" si="213"/>
        <v>1681</v>
      </c>
      <c r="E3432">
        <f t="shared" si="214"/>
        <v>11214.810000000001</v>
      </c>
      <c r="F3432">
        <f t="shared" si="215"/>
        <v>1681</v>
      </c>
    </row>
    <row r="3433" spans="1:6" x14ac:dyDescent="0.3">
      <c r="A3433">
        <v>49</v>
      </c>
      <c r="B3433">
        <v>107.55</v>
      </c>
      <c r="C3433">
        <f t="shared" si="212"/>
        <v>5269.95</v>
      </c>
      <c r="D3433">
        <f t="shared" si="213"/>
        <v>2401</v>
      </c>
      <c r="E3433">
        <f t="shared" si="214"/>
        <v>11567.002499999999</v>
      </c>
      <c r="F3433">
        <f t="shared" si="215"/>
        <v>2401</v>
      </c>
    </row>
    <row r="3434" spans="1:6" x14ac:dyDescent="0.3">
      <c r="A3434">
        <v>41</v>
      </c>
      <c r="B3434">
        <v>146.21</v>
      </c>
      <c r="C3434">
        <f t="shared" si="212"/>
        <v>5994.6100000000006</v>
      </c>
      <c r="D3434">
        <f t="shared" si="213"/>
        <v>1681</v>
      </c>
      <c r="E3434">
        <f t="shared" si="214"/>
        <v>21377.364100000003</v>
      </c>
      <c r="F3434">
        <f t="shared" si="215"/>
        <v>1681</v>
      </c>
    </row>
    <row r="3435" spans="1:6" x14ac:dyDescent="0.3">
      <c r="A3435">
        <v>78</v>
      </c>
      <c r="B3435">
        <v>79.94</v>
      </c>
      <c r="C3435">
        <f t="shared" si="212"/>
        <v>6235.32</v>
      </c>
      <c r="D3435">
        <f t="shared" si="213"/>
        <v>6084</v>
      </c>
      <c r="E3435">
        <f t="shared" si="214"/>
        <v>6390.4035999999996</v>
      </c>
      <c r="F3435">
        <f t="shared" si="215"/>
        <v>6084</v>
      </c>
    </row>
    <row r="3436" spans="1:6" x14ac:dyDescent="0.3">
      <c r="A3436">
        <v>14</v>
      </c>
      <c r="B3436">
        <v>72.28</v>
      </c>
      <c r="C3436">
        <f t="shared" si="212"/>
        <v>1011.9200000000001</v>
      </c>
      <c r="D3436">
        <f t="shared" si="213"/>
        <v>196</v>
      </c>
      <c r="E3436">
        <f t="shared" si="214"/>
        <v>5224.3984</v>
      </c>
      <c r="F3436">
        <f t="shared" si="215"/>
        <v>196</v>
      </c>
    </row>
    <row r="3437" spans="1:6" x14ac:dyDescent="0.3">
      <c r="A3437">
        <v>1.48</v>
      </c>
      <c r="B3437">
        <v>123.1</v>
      </c>
      <c r="C3437">
        <f t="shared" si="212"/>
        <v>182.18799999999999</v>
      </c>
      <c r="D3437">
        <f t="shared" si="213"/>
        <v>2.1903999999999999</v>
      </c>
      <c r="E3437">
        <f t="shared" si="214"/>
        <v>15153.609999999999</v>
      </c>
      <c r="F3437">
        <f t="shared" si="215"/>
        <v>2.1903999999999999</v>
      </c>
    </row>
    <row r="3438" spans="1:6" x14ac:dyDescent="0.3">
      <c r="A3438">
        <v>71</v>
      </c>
      <c r="B3438">
        <v>67.06</v>
      </c>
      <c r="C3438">
        <f t="shared" si="212"/>
        <v>4761.26</v>
      </c>
      <c r="D3438">
        <f t="shared" si="213"/>
        <v>5041</v>
      </c>
      <c r="E3438">
        <f t="shared" si="214"/>
        <v>4497.0436</v>
      </c>
      <c r="F3438">
        <f t="shared" si="215"/>
        <v>5041</v>
      </c>
    </row>
    <row r="3439" spans="1:6" x14ac:dyDescent="0.3">
      <c r="A3439">
        <v>32</v>
      </c>
      <c r="B3439">
        <v>82.68</v>
      </c>
      <c r="C3439">
        <f t="shared" si="212"/>
        <v>2645.76</v>
      </c>
      <c r="D3439">
        <f t="shared" si="213"/>
        <v>1024</v>
      </c>
      <c r="E3439">
        <f t="shared" si="214"/>
        <v>6835.9824000000008</v>
      </c>
      <c r="F3439">
        <f t="shared" si="215"/>
        <v>1024</v>
      </c>
    </row>
    <row r="3440" spans="1:6" x14ac:dyDescent="0.3">
      <c r="A3440">
        <v>16</v>
      </c>
      <c r="B3440">
        <v>125.89</v>
      </c>
      <c r="C3440">
        <f t="shared" si="212"/>
        <v>2014.24</v>
      </c>
      <c r="D3440">
        <f t="shared" si="213"/>
        <v>256</v>
      </c>
      <c r="E3440">
        <f t="shared" si="214"/>
        <v>15848.292100000001</v>
      </c>
      <c r="F3440">
        <f t="shared" si="215"/>
        <v>256</v>
      </c>
    </row>
    <row r="3441" spans="1:6" x14ac:dyDescent="0.3">
      <c r="A3441">
        <v>68</v>
      </c>
      <c r="B3441">
        <v>228.05</v>
      </c>
      <c r="C3441">
        <f t="shared" si="212"/>
        <v>15507.400000000001</v>
      </c>
      <c r="D3441">
        <f t="shared" si="213"/>
        <v>4624</v>
      </c>
      <c r="E3441">
        <f t="shared" si="214"/>
        <v>52006.802500000005</v>
      </c>
      <c r="F3441">
        <f t="shared" si="215"/>
        <v>4624</v>
      </c>
    </row>
    <row r="3442" spans="1:6" x14ac:dyDescent="0.3">
      <c r="A3442">
        <v>0.56000000000000005</v>
      </c>
      <c r="B3442">
        <v>98.23</v>
      </c>
      <c r="C3442">
        <f t="shared" si="212"/>
        <v>55.008800000000008</v>
      </c>
      <c r="D3442">
        <f t="shared" si="213"/>
        <v>0.31360000000000005</v>
      </c>
      <c r="E3442">
        <f t="shared" si="214"/>
        <v>9649.1329000000005</v>
      </c>
      <c r="F3442">
        <f t="shared" si="215"/>
        <v>0.31360000000000005</v>
      </c>
    </row>
    <row r="3443" spans="1:6" x14ac:dyDescent="0.3">
      <c r="A3443">
        <v>59</v>
      </c>
      <c r="B3443">
        <v>90.06</v>
      </c>
      <c r="C3443">
        <f t="shared" si="212"/>
        <v>5313.54</v>
      </c>
      <c r="D3443">
        <f t="shared" si="213"/>
        <v>3481</v>
      </c>
      <c r="E3443">
        <f t="shared" si="214"/>
        <v>8110.8036000000002</v>
      </c>
      <c r="F3443">
        <f t="shared" si="215"/>
        <v>3481</v>
      </c>
    </row>
    <row r="3444" spans="1:6" x14ac:dyDescent="0.3">
      <c r="A3444">
        <v>32</v>
      </c>
      <c r="B3444">
        <v>119.9</v>
      </c>
      <c r="C3444">
        <f t="shared" si="212"/>
        <v>3836.8</v>
      </c>
      <c r="D3444">
        <f t="shared" si="213"/>
        <v>1024</v>
      </c>
      <c r="E3444">
        <f t="shared" si="214"/>
        <v>14376.010000000002</v>
      </c>
      <c r="F3444">
        <f t="shared" si="215"/>
        <v>1024</v>
      </c>
    </row>
    <row r="3445" spans="1:6" x14ac:dyDescent="0.3">
      <c r="A3445">
        <v>58</v>
      </c>
      <c r="B3445">
        <v>94.53</v>
      </c>
      <c r="C3445">
        <f t="shared" si="212"/>
        <v>5482.74</v>
      </c>
      <c r="D3445">
        <f t="shared" si="213"/>
        <v>3364</v>
      </c>
      <c r="E3445">
        <f t="shared" si="214"/>
        <v>8935.920900000001</v>
      </c>
      <c r="F3445">
        <f t="shared" si="215"/>
        <v>3364</v>
      </c>
    </row>
    <row r="3446" spans="1:6" x14ac:dyDescent="0.3">
      <c r="A3446">
        <v>40</v>
      </c>
      <c r="B3446">
        <v>64.66</v>
      </c>
      <c r="C3446">
        <f t="shared" si="212"/>
        <v>2586.3999999999996</v>
      </c>
      <c r="D3446">
        <f t="shared" si="213"/>
        <v>1600</v>
      </c>
      <c r="E3446">
        <f t="shared" si="214"/>
        <v>4180.9155999999994</v>
      </c>
      <c r="F3446">
        <f t="shared" si="215"/>
        <v>1600</v>
      </c>
    </row>
    <row r="3447" spans="1:6" x14ac:dyDescent="0.3">
      <c r="A3447">
        <v>41</v>
      </c>
      <c r="B3447">
        <v>103.79</v>
      </c>
      <c r="C3447">
        <f t="shared" si="212"/>
        <v>4255.3900000000003</v>
      </c>
      <c r="D3447">
        <f t="shared" si="213"/>
        <v>1681</v>
      </c>
      <c r="E3447">
        <f t="shared" si="214"/>
        <v>10772.364100000001</v>
      </c>
      <c r="F3447">
        <f t="shared" si="215"/>
        <v>1681</v>
      </c>
    </row>
    <row r="3448" spans="1:6" x14ac:dyDescent="0.3">
      <c r="A3448">
        <v>21</v>
      </c>
      <c r="B3448">
        <v>88.51</v>
      </c>
      <c r="C3448">
        <f t="shared" si="212"/>
        <v>1858.71</v>
      </c>
      <c r="D3448">
        <f t="shared" si="213"/>
        <v>441</v>
      </c>
      <c r="E3448">
        <f t="shared" si="214"/>
        <v>7834.0201000000006</v>
      </c>
      <c r="F3448">
        <f t="shared" si="215"/>
        <v>441</v>
      </c>
    </row>
    <row r="3449" spans="1:6" x14ac:dyDescent="0.3">
      <c r="A3449">
        <v>1.88</v>
      </c>
      <c r="B3449">
        <v>97.26</v>
      </c>
      <c r="C3449">
        <f t="shared" si="212"/>
        <v>182.84880000000001</v>
      </c>
      <c r="D3449">
        <f t="shared" si="213"/>
        <v>3.5343999999999998</v>
      </c>
      <c r="E3449">
        <f t="shared" si="214"/>
        <v>9459.5076000000008</v>
      </c>
      <c r="F3449">
        <f t="shared" si="215"/>
        <v>3.5343999999999998</v>
      </c>
    </row>
    <row r="3450" spans="1:6" x14ac:dyDescent="0.3">
      <c r="A3450">
        <v>55</v>
      </c>
      <c r="B3450">
        <v>92.59</v>
      </c>
      <c r="C3450">
        <f t="shared" si="212"/>
        <v>5092.45</v>
      </c>
      <c r="D3450">
        <f t="shared" si="213"/>
        <v>3025</v>
      </c>
      <c r="E3450">
        <f t="shared" si="214"/>
        <v>8572.9081000000006</v>
      </c>
      <c r="F3450">
        <f t="shared" si="215"/>
        <v>3025</v>
      </c>
    </row>
    <row r="3451" spans="1:6" x14ac:dyDescent="0.3">
      <c r="A3451">
        <v>67</v>
      </c>
      <c r="B3451">
        <v>102.89</v>
      </c>
      <c r="C3451">
        <f t="shared" si="212"/>
        <v>6893.63</v>
      </c>
      <c r="D3451">
        <f t="shared" si="213"/>
        <v>4489</v>
      </c>
      <c r="E3451">
        <f t="shared" si="214"/>
        <v>10586.3521</v>
      </c>
      <c r="F3451">
        <f t="shared" si="215"/>
        <v>4489</v>
      </c>
    </row>
    <row r="3452" spans="1:6" x14ac:dyDescent="0.3">
      <c r="A3452">
        <v>49</v>
      </c>
      <c r="B3452">
        <v>92.26</v>
      </c>
      <c r="C3452">
        <f t="shared" si="212"/>
        <v>4520.7400000000007</v>
      </c>
      <c r="D3452">
        <f t="shared" si="213"/>
        <v>2401</v>
      </c>
      <c r="E3452">
        <f t="shared" si="214"/>
        <v>8511.9076000000005</v>
      </c>
      <c r="F3452">
        <f t="shared" si="215"/>
        <v>2401</v>
      </c>
    </row>
    <row r="3453" spans="1:6" x14ac:dyDescent="0.3">
      <c r="A3453">
        <v>42</v>
      </c>
      <c r="B3453">
        <v>80</v>
      </c>
      <c r="C3453">
        <f t="shared" si="212"/>
        <v>3360</v>
      </c>
      <c r="D3453">
        <f t="shared" si="213"/>
        <v>1764</v>
      </c>
      <c r="E3453">
        <f t="shared" si="214"/>
        <v>6400</v>
      </c>
      <c r="F3453">
        <f t="shared" si="215"/>
        <v>1764</v>
      </c>
    </row>
    <row r="3454" spans="1:6" x14ac:dyDescent="0.3">
      <c r="A3454">
        <v>54</v>
      </c>
      <c r="B3454">
        <v>56.75</v>
      </c>
      <c r="C3454">
        <f t="shared" si="212"/>
        <v>3064.5</v>
      </c>
      <c r="D3454">
        <f t="shared" si="213"/>
        <v>2916</v>
      </c>
      <c r="E3454">
        <f t="shared" si="214"/>
        <v>3220.5625</v>
      </c>
      <c r="F3454">
        <f t="shared" si="215"/>
        <v>2916</v>
      </c>
    </row>
    <row r="3455" spans="1:6" x14ac:dyDescent="0.3">
      <c r="A3455">
        <v>25</v>
      </c>
      <c r="B3455">
        <v>104.66</v>
      </c>
      <c r="C3455">
        <f t="shared" si="212"/>
        <v>2616.5</v>
      </c>
      <c r="D3455">
        <f t="shared" si="213"/>
        <v>625</v>
      </c>
      <c r="E3455">
        <f t="shared" si="214"/>
        <v>10953.7156</v>
      </c>
      <c r="F3455">
        <f t="shared" si="215"/>
        <v>625</v>
      </c>
    </row>
    <row r="3456" spans="1:6" x14ac:dyDescent="0.3">
      <c r="A3456">
        <v>62</v>
      </c>
      <c r="B3456">
        <v>60.39</v>
      </c>
      <c r="C3456">
        <f t="shared" si="212"/>
        <v>3744.18</v>
      </c>
      <c r="D3456">
        <f t="shared" si="213"/>
        <v>3844</v>
      </c>
      <c r="E3456">
        <f t="shared" si="214"/>
        <v>3646.9521</v>
      </c>
      <c r="F3456">
        <f t="shared" si="215"/>
        <v>3844</v>
      </c>
    </row>
    <row r="3457" spans="1:6" x14ac:dyDescent="0.3">
      <c r="A3457">
        <v>75</v>
      </c>
      <c r="B3457">
        <v>223.14</v>
      </c>
      <c r="C3457">
        <f t="shared" si="212"/>
        <v>16735.5</v>
      </c>
      <c r="D3457">
        <f t="shared" si="213"/>
        <v>5625</v>
      </c>
      <c r="E3457">
        <f t="shared" si="214"/>
        <v>49791.459599999995</v>
      </c>
      <c r="F3457">
        <f t="shared" si="215"/>
        <v>5625</v>
      </c>
    </row>
    <row r="3458" spans="1:6" x14ac:dyDescent="0.3">
      <c r="A3458">
        <v>72</v>
      </c>
      <c r="B3458">
        <v>105.51</v>
      </c>
      <c r="C3458">
        <f t="shared" si="212"/>
        <v>7596.72</v>
      </c>
      <c r="D3458">
        <f t="shared" si="213"/>
        <v>5184</v>
      </c>
      <c r="E3458">
        <f t="shared" si="214"/>
        <v>11132.360100000002</v>
      </c>
      <c r="F3458">
        <f t="shared" si="215"/>
        <v>5184</v>
      </c>
    </row>
    <row r="3459" spans="1:6" x14ac:dyDescent="0.3">
      <c r="A3459">
        <v>14</v>
      </c>
      <c r="B3459">
        <v>83.42</v>
      </c>
      <c r="C3459">
        <f t="shared" ref="C3459:C3522" si="216">A3459*B3459</f>
        <v>1167.8800000000001</v>
      </c>
      <c r="D3459">
        <f t="shared" ref="D3459:D3522" si="217">A3459*A3459</f>
        <v>196</v>
      </c>
      <c r="E3459">
        <f t="shared" ref="E3459:E3522" si="218">B3459*B3459</f>
        <v>6958.8964000000005</v>
      </c>
      <c r="F3459">
        <f t="shared" ref="F3459:F3522" si="219">A3459^2</f>
        <v>196</v>
      </c>
    </row>
    <row r="3460" spans="1:6" x14ac:dyDescent="0.3">
      <c r="A3460">
        <v>38</v>
      </c>
      <c r="B3460">
        <v>71.06</v>
      </c>
      <c r="C3460">
        <f t="shared" si="216"/>
        <v>2700.28</v>
      </c>
      <c r="D3460">
        <f t="shared" si="217"/>
        <v>1444</v>
      </c>
      <c r="E3460">
        <f t="shared" si="218"/>
        <v>5049.5236000000004</v>
      </c>
      <c r="F3460">
        <f t="shared" si="219"/>
        <v>1444</v>
      </c>
    </row>
    <row r="3461" spans="1:6" x14ac:dyDescent="0.3">
      <c r="A3461">
        <v>59</v>
      </c>
      <c r="B3461">
        <v>101.24</v>
      </c>
      <c r="C3461">
        <f t="shared" si="216"/>
        <v>5973.16</v>
      </c>
      <c r="D3461">
        <f t="shared" si="217"/>
        <v>3481</v>
      </c>
      <c r="E3461">
        <f t="shared" si="218"/>
        <v>10249.5376</v>
      </c>
      <c r="F3461">
        <f t="shared" si="219"/>
        <v>3481</v>
      </c>
    </row>
    <row r="3462" spans="1:6" x14ac:dyDescent="0.3">
      <c r="A3462">
        <v>23</v>
      </c>
      <c r="B3462">
        <v>91.19</v>
      </c>
      <c r="C3462">
        <f t="shared" si="216"/>
        <v>2097.37</v>
      </c>
      <c r="D3462">
        <f t="shared" si="217"/>
        <v>529</v>
      </c>
      <c r="E3462">
        <f t="shared" si="218"/>
        <v>8315.6160999999993</v>
      </c>
      <c r="F3462">
        <f t="shared" si="219"/>
        <v>529</v>
      </c>
    </row>
    <row r="3463" spans="1:6" x14ac:dyDescent="0.3">
      <c r="A3463">
        <v>63</v>
      </c>
      <c r="B3463">
        <v>174.43</v>
      </c>
      <c r="C3463">
        <f t="shared" si="216"/>
        <v>10989.09</v>
      </c>
      <c r="D3463">
        <f t="shared" si="217"/>
        <v>3969</v>
      </c>
      <c r="E3463">
        <f t="shared" si="218"/>
        <v>30425.824900000003</v>
      </c>
      <c r="F3463">
        <f t="shared" si="219"/>
        <v>3969</v>
      </c>
    </row>
    <row r="3464" spans="1:6" x14ac:dyDescent="0.3">
      <c r="A3464">
        <v>82</v>
      </c>
      <c r="B3464">
        <v>214.51</v>
      </c>
      <c r="C3464">
        <f t="shared" si="216"/>
        <v>17589.82</v>
      </c>
      <c r="D3464">
        <f t="shared" si="217"/>
        <v>6724</v>
      </c>
      <c r="E3464">
        <f t="shared" si="218"/>
        <v>46014.540099999998</v>
      </c>
      <c r="F3464">
        <f t="shared" si="219"/>
        <v>6724</v>
      </c>
    </row>
    <row r="3465" spans="1:6" x14ac:dyDescent="0.3">
      <c r="A3465">
        <v>34</v>
      </c>
      <c r="B3465">
        <v>72.64</v>
      </c>
      <c r="C3465">
        <f t="shared" si="216"/>
        <v>2469.7600000000002</v>
      </c>
      <c r="D3465">
        <f t="shared" si="217"/>
        <v>1156</v>
      </c>
      <c r="E3465">
        <f t="shared" si="218"/>
        <v>5276.5695999999998</v>
      </c>
      <c r="F3465">
        <f t="shared" si="219"/>
        <v>1156</v>
      </c>
    </row>
    <row r="3466" spans="1:6" x14ac:dyDescent="0.3">
      <c r="A3466">
        <v>8</v>
      </c>
      <c r="B3466">
        <v>62.69</v>
      </c>
      <c r="C3466">
        <f t="shared" si="216"/>
        <v>501.52</v>
      </c>
      <c r="D3466">
        <f t="shared" si="217"/>
        <v>64</v>
      </c>
      <c r="E3466">
        <f t="shared" si="218"/>
        <v>3930.0360999999998</v>
      </c>
      <c r="F3466">
        <f t="shared" si="219"/>
        <v>64</v>
      </c>
    </row>
    <row r="3467" spans="1:6" x14ac:dyDescent="0.3">
      <c r="A3467">
        <v>28</v>
      </c>
      <c r="B3467">
        <v>141.16</v>
      </c>
      <c r="C3467">
        <f t="shared" si="216"/>
        <v>3952.48</v>
      </c>
      <c r="D3467">
        <f t="shared" si="217"/>
        <v>784</v>
      </c>
      <c r="E3467">
        <f t="shared" si="218"/>
        <v>19926.1456</v>
      </c>
      <c r="F3467">
        <f t="shared" si="219"/>
        <v>784</v>
      </c>
    </row>
    <row r="3468" spans="1:6" x14ac:dyDescent="0.3">
      <c r="A3468">
        <v>49</v>
      </c>
      <c r="B3468">
        <v>89.61</v>
      </c>
      <c r="C3468">
        <f t="shared" si="216"/>
        <v>4390.8900000000003</v>
      </c>
      <c r="D3468">
        <f t="shared" si="217"/>
        <v>2401</v>
      </c>
      <c r="E3468">
        <f t="shared" si="218"/>
        <v>8029.9520999999995</v>
      </c>
      <c r="F3468">
        <f t="shared" si="219"/>
        <v>2401</v>
      </c>
    </row>
    <row r="3469" spans="1:6" x14ac:dyDescent="0.3">
      <c r="A3469">
        <v>24</v>
      </c>
      <c r="B3469">
        <v>76.42</v>
      </c>
      <c r="C3469">
        <f t="shared" si="216"/>
        <v>1834.08</v>
      </c>
      <c r="D3469">
        <f t="shared" si="217"/>
        <v>576</v>
      </c>
      <c r="E3469">
        <f t="shared" si="218"/>
        <v>5840.0164000000004</v>
      </c>
      <c r="F3469">
        <f t="shared" si="219"/>
        <v>576</v>
      </c>
    </row>
    <row r="3470" spans="1:6" x14ac:dyDescent="0.3">
      <c r="A3470">
        <v>17</v>
      </c>
      <c r="B3470">
        <v>124.38</v>
      </c>
      <c r="C3470">
        <f t="shared" si="216"/>
        <v>2114.46</v>
      </c>
      <c r="D3470">
        <f t="shared" si="217"/>
        <v>289</v>
      </c>
      <c r="E3470">
        <f t="shared" si="218"/>
        <v>15470.384399999999</v>
      </c>
      <c r="F3470">
        <f t="shared" si="219"/>
        <v>289</v>
      </c>
    </row>
    <row r="3471" spans="1:6" x14ac:dyDescent="0.3">
      <c r="A3471">
        <v>69</v>
      </c>
      <c r="B3471">
        <v>111.81</v>
      </c>
      <c r="C3471">
        <f t="shared" si="216"/>
        <v>7714.89</v>
      </c>
      <c r="D3471">
        <f t="shared" si="217"/>
        <v>4761</v>
      </c>
      <c r="E3471">
        <f t="shared" si="218"/>
        <v>12501.4761</v>
      </c>
      <c r="F3471">
        <f t="shared" si="219"/>
        <v>4761</v>
      </c>
    </row>
    <row r="3472" spans="1:6" x14ac:dyDescent="0.3">
      <c r="A3472">
        <v>58</v>
      </c>
      <c r="B3472">
        <v>57.57</v>
      </c>
      <c r="C3472">
        <f t="shared" si="216"/>
        <v>3339.06</v>
      </c>
      <c r="D3472">
        <f t="shared" si="217"/>
        <v>3364</v>
      </c>
      <c r="E3472">
        <f t="shared" si="218"/>
        <v>3314.3049000000001</v>
      </c>
      <c r="F3472">
        <f t="shared" si="219"/>
        <v>3364</v>
      </c>
    </row>
    <row r="3473" spans="1:6" x14ac:dyDescent="0.3">
      <c r="A3473">
        <v>50</v>
      </c>
      <c r="B3473">
        <v>77.819999999999993</v>
      </c>
      <c r="C3473">
        <f t="shared" si="216"/>
        <v>3890.9999999999995</v>
      </c>
      <c r="D3473">
        <f t="shared" si="217"/>
        <v>2500</v>
      </c>
      <c r="E3473">
        <f t="shared" si="218"/>
        <v>6055.9523999999992</v>
      </c>
      <c r="F3473">
        <f t="shared" si="219"/>
        <v>2500</v>
      </c>
    </row>
    <row r="3474" spans="1:6" x14ac:dyDescent="0.3">
      <c r="A3474">
        <v>5</v>
      </c>
      <c r="B3474">
        <v>60.09</v>
      </c>
      <c r="C3474">
        <f t="shared" si="216"/>
        <v>300.45000000000005</v>
      </c>
      <c r="D3474">
        <f t="shared" si="217"/>
        <v>25</v>
      </c>
      <c r="E3474">
        <f t="shared" si="218"/>
        <v>3610.8081000000002</v>
      </c>
      <c r="F3474">
        <f t="shared" si="219"/>
        <v>25</v>
      </c>
    </row>
    <row r="3475" spans="1:6" x14ac:dyDescent="0.3">
      <c r="A3475">
        <v>34</v>
      </c>
      <c r="B3475">
        <v>91.02</v>
      </c>
      <c r="C3475">
        <f t="shared" si="216"/>
        <v>3094.68</v>
      </c>
      <c r="D3475">
        <f t="shared" si="217"/>
        <v>1156</v>
      </c>
      <c r="E3475">
        <f t="shared" si="218"/>
        <v>8284.6403999999984</v>
      </c>
      <c r="F3475">
        <f t="shared" si="219"/>
        <v>1156</v>
      </c>
    </row>
    <row r="3476" spans="1:6" x14ac:dyDescent="0.3">
      <c r="A3476">
        <v>64</v>
      </c>
      <c r="B3476">
        <v>65.459999999999994</v>
      </c>
      <c r="C3476">
        <f t="shared" si="216"/>
        <v>4189.4399999999996</v>
      </c>
      <c r="D3476">
        <f t="shared" si="217"/>
        <v>4096</v>
      </c>
      <c r="E3476">
        <f t="shared" si="218"/>
        <v>4285.0115999999989</v>
      </c>
      <c r="F3476">
        <f t="shared" si="219"/>
        <v>4096</v>
      </c>
    </row>
    <row r="3477" spans="1:6" x14ac:dyDescent="0.3">
      <c r="A3477">
        <v>47</v>
      </c>
      <c r="B3477">
        <v>131.19</v>
      </c>
      <c r="C3477">
        <f t="shared" si="216"/>
        <v>6165.93</v>
      </c>
      <c r="D3477">
        <f t="shared" si="217"/>
        <v>2209</v>
      </c>
      <c r="E3477">
        <f t="shared" si="218"/>
        <v>17210.8161</v>
      </c>
      <c r="F3477">
        <f t="shared" si="219"/>
        <v>2209</v>
      </c>
    </row>
    <row r="3478" spans="1:6" x14ac:dyDescent="0.3">
      <c r="A3478">
        <v>61</v>
      </c>
      <c r="B3478">
        <v>79.89</v>
      </c>
      <c r="C3478">
        <f t="shared" si="216"/>
        <v>4873.29</v>
      </c>
      <c r="D3478">
        <f t="shared" si="217"/>
        <v>3721</v>
      </c>
      <c r="E3478">
        <f t="shared" si="218"/>
        <v>6382.4121000000005</v>
      </c>
      <c r="F3478">
        <f t="shared" si="219"/>
        <v>3721</v>
      </c>
    </row>
    <row r="3479" spans="1:6" x14ac:dyDescent="0.3">
      <c r="A3479">
        <v>14</v>
      </c>
      <c r="B3479">
        <v>74.540000000000006</v>
      </c>
      <c r="C3479">
        <f t="shared" si="216"/>
        <v>1043.5600000000002</v>
      </c>
      <c r="D3479">
        <f t="shared" si="217"/>
        <v>196</v>
      </c>
      <c r="E3479">
        <f t="shared" si="218"/>
        <v>5556.2116000000005</v>
      </c>
      <c r="F3479">
        <f t="shared" si="219"/>
        <v>196</v>
      </c>
    </row>
    <row r="3480" spans="1:6" x14ac:dyDescent="0.3">
      <c r="A3480">
        <v>57</v>
      </c>
      <c r="B3480">
        <v>231.31</v>
      </c>
      <c r="C3480">
        <f t="shared" si="216"/>
        <v>13184.67</v>
      </c>
      <c r="D3480">
        <f t="shared" si="217"/>
        <v>3249</v>
      </c>
      <c r="E3480">
        <f t="shared" si="218"/>
        <v>53504.316100000004</v>
      </c>
      <c r="F3480">
        <f t="shared" si="219"/>
        <v>3249</v>
      </c>
    </row>
    <row r="3481" spans="1:6" x14ac:dyDescent="0.3">
      <c r="A3481">
        <v>53</v>
      </c>
      <c r="B3481">
        <v>91.57</v>
      </c>
      <c r="C3481">
        <f t="shared" si="216"/>
        <v>4853.21</v>
      </c>
      <c r="D3481">
        <f t="shared" si="217"/>
        <v>2809</v>
      </c>
      <c r="E3481">
        <f t="shared" si="218"/>
        <v>8385.0648999999994</v>
      </c>
      <c r="F3481">
        <f t="shared" si="219"/>
        <v>2809</v>
      </c>
    </row>
    <row r="3482" spans="1:6" x14ac:dyDescent="0.3">
      <c r="A3482">
        <v>67</v>
      </c>
      <c r="B3482">
        <v>238.78</v>
      </c>
      <c r="C3482">
        <f t="shared" si="216"/>
        <v>15998.26</v>
      </c>
      <c r="D3482">
        <f t="shared" si="217"/>
        <v>4489</v>
      </c>
      <c r="E3482">
        <f t="shared" si="218"/>
        <v>57015.888400000003</v>
      </c>
      <c r="F3482">
        <f t="shared" si="219"/>
        <v>4489</v>
      </c>
    </row>
    <row r="3483" spans="1:6" x14ac:dyDescent="0.3">
      <c r="A3483">
        <v>57</v>
      </c>
      <c r="B3483">
        <v>87.18</v>
      </c>
      <c r="C3483">
        <f t="shared" si="216"/>
        <v>4969.26</v>
      </c>
      <c r="D3483">
        <f t="shared" si="217"/>
        <v>3249</v>
      </c>
      <c r="E3483">
        <f t="shared" si="218"/>
        <v>7600.3524000000016</v>
      </c>
      <c r="F3483">
        <f t="shared" si="219"/>
        <v>3249</v>
      </c>
    </row>
    <row r="3484" spans="1:6" x14ac:dyDescent="0.3">
      <c r="A3484">
        <v>38</v>
      </c>
      <c r="B3484">
        <v>78.94</v>
      </c>
      <c r="C3484">
        <f t="shared" si="216"/>
        <v>2999.72</v>
      </c>
      <c r="D3484">
        <f t="shared" si="217"/>
        <v>1444</v>
      </c>
      <c r="E3484">
        <f t="shared" si="218"/>
        <v>6231.5235999999995</v>
      </c>
      <c r="F3484">
        <f t="shared" si="219"/>
        <v>1444</v>
      </c>
    </row>
    <row r="3485" spans="1:6" x14ac:dyDescent="0.3">
      <c r="A3485">
        <v>13</v>
      </c>
      <c r="B3485">
        <v>69.010000000000005</v>
      </c>
      <c r="C3485">
        <f t="shared" si="216"/>
        <v>897.13000000000011</v>
      </c>
      <c r="D3485">
        <f t="shared" si="217"/>
        <v>169</v>
      </c>
      <c r="E3485">
        <f t="shared" si="218"/>
        <v>4762.3801000000003</v>
      </c>
      <c r="F3485">
        <f t="shared" si="219"/>
        <v>169</v>
      </c>
    </row>
    <row r="3486" spans="1:6" x14ac:dyDescent="0.3">
      <c r="A3486">
        <v>37</v>
      </c>
      <c r="B3486">
        <v>110.28</v>
      </c>
      <c r="C3486">
        <f t="shared" si="216"/>
        <v>4080.36</v>
      </c>
      <c r="D3486">
        <f t="shared" si="217"/>
        <v>1369</v>
      </c>
      <c r="E3486">
        <f t="shared" si="218"/>
        <v>12161.678400000001</v>
      </c>
      <c r="F3486">
        <f t="shared" si="219"/>
        <v>1369</v>
      </c>
    </row>
    <row r="3487" spans="1:6" x14ac:dyDescent="0.3">
      <c r="A3487">
        <v>39</v>
      </c>
      <c r="B3487">
        <v>71.66</v>
      </c>
      <c r="C3487">
        <f t="shared" si="216"/>
        <v>2794.74</v>
      </c>
      <c r="D3487">
        <f t="shared" si="217"/>
        <v>1521</v>
      </c>
      <c r="E3487">
        <f t="shared" si="218"/>
        <v>5135.1555999999991</v>
      </c>
      <c r="F3487">
        <f t="shared" si="219"/>
        <v>1521</v>
      </c>
    </row>
    <row r="3488" spans="1:6" x14ac:dyDescent="0.3">
      <c r="A3488">
        <v>13</v>
      </c>
      <c r="B3488">
        <v>62.57</v>
      </c>
      <c r="C3488">
        <f t="shared" si="216"/>
        <v>813.41</v>
      </c>
      <c r="D3488">
        <f t="shared" si="217"/>
        <v>169</v>
      </c>
      <c r="E3488">
        <f t="shared" si="218"/>
        <v>3915.0048999999999</v>
      </c>
      <c r="F3488">
        <f t="shared" si="219"/>
        <v>169</v>
      </c>
    </row>
    <row r="3489" spans="1:6" x14ac:dyDescent="0.3">
      <c r="A3489">
        <v>57</v>
      </c>
      <c r="B3489">
        <v>83.64</v>
      </c>
      <c r="C3489">
        <f t="shared" si="216"/>
        <v>4767.4800000000005</v>
      </c>
      <c r="D3489">
        <f t="shared" si="217"/>
        <v>3249</v>
      </c>
      <c r="E3489">
        <f t="shared" si="218"/>
        <v>6995.6495999999997</v>
      </c>
      <c r="F3489">
        <f t="shared" si="219"/>
        <v>3249</v>
      </c>
    </row>
    <row r="3490" spans="1:6" x14ac:dyDescent="0.3">
      <c r="A3490">
        <v>11</v>
      </c>
      <c r="B3490">
        <v>107.18</v>
      </c>
      <c r="C3490">
        <f t="shared" si="216"/>
        <v>1178.98</v>
      </c>
      <c r="D3490">
        <f t="shared" si="217"/>
        <v>121</v>
      </c>
      <c r="E3490">
        <f t="shared" si="218"/>
        <v>11487.552400000002</v>
      </c>
      <c r="F3490">
        <f t="shared" si="219"/>
        <v>121</v>
      </c>
    </row>
    <row r="3491" spans="1:6" x14ac:dyDescent="0.3">
      <c r="A3491">
        <v>68</v>
      </c>
      <c r="B3491">
        <v>233.59</v>
      </c>
      <c r="C3491">
        <f t="shared" si="216"/>
        <v>15884.12</v>
      </c>
      <c r="D3491">
        <f t="shared" si="217"/>
        <v>4624</v>
      </c>
      <c r="E3491">
        <f t="shared" si="218"/>
        <v>54564.288100000005</v>
      </c>
      <c r="F3491">
        <f t="shared" si="219"/>
        <v>4624</v>
      </c>
    </row>
    <row r="3492" spans="1:6" x14ac:dyDescent="0.3">
      <c r="A3492">
        <v>79</v>
      </c>
      <c r="B3492">
        <v>84.88</v>
      </c>
      <c r="C3492">
        <f t="shared" si="216"/>
        <v>6705.5199999999995</v>
      </c>
      <c r="D3492">
        <f t="shared" si="217"/>
        <v>6241</v>
      </c>
      <c r="E3492">
        <f t="shared" si="218"/>
        <v>7204.6143999999995</v>
      </c>
      <c r="F3492">
        <f t="shared" si="219"/>
        <v>6241</v>
      </c>
    </row>
    <row r="3493" spans="1:6" x14ac:dyDescent="0.3">
      <c r="A3493">
        <v>24</v>
      </c>
      <c r="B3493">
        <v>97.95</v>
      </c>
      <c r="C3493">
        <f t="shared" si="216"/>
        <v>2350.8000000000002</v>
      </c>
      <c r="D3493">
        <f t="shared" si="217"/>
        <v>576</v>
      </c>
      <c r="E3493">
        <f t="shared" si="218"/>
        <v>9594.2025000000012</v>
      </c>
      <c r="F3493">
        <f t="shared" si="219"/>
        <v>576</v>
      </c>
    </row>
    <row r="3494" spans="1:6" x14ac:dyDescent="0.3">
      <c r="A3494">
        <v>44</v>
      </c>
      <c r="B3494">
        <v>58.19</v>
      </c>
      <c r="C3494">
        <f t="shared" si="216"/>
        <v>2560.3599999999997</v>
      </c>
      <c r="D3494">
        <f t="shared" si="217"/>
        <v>1936</v>
      </c>
      <c r="E3494">
        <f t="shared" si="218"/>
        <v>3386.0760999999998</v>
      </c>
      <c r="F3494">
        <f t="shared" si="219"/>
        <v>1936</v>
      </c>
    </row>
    <row r="3495" spans="1:6" x14ac:dyDescent="0.3">
      <c r="A3495">
        <v>46</v>
      </c>
      <c r="B3495">
        <v>70.11</v>
      </c>
      <c r="C3495">
        <f t="shared" si="216"/>
        <v>3225.06</v>
      </c>
      <c r="D3495">
        <f t="shared" si="217"/>
        <v>2116</v>
      </c>
      <c r="E3495">
        <f t="shared" si="218"/>
        <v>4915.4120999999996</v>
      </c>
      <c r="F3495">
        <f t="shared" si="219"/>
        <v>2116</v>
      </c>
    </row>
    <row r="3496" spans="1:6" x14ac:dyDescent="0.3">
      <c r="A3496">
        <v>66</v>
      </c>
      <c r="B3496">
        <v>112.77</v>
      </c>
      <c r="C3496">
        <f t="shared" si="216"/>
        <v>7442.82</v>
      </c>
      <c r="D3496">
        <f t="shared" si="217"/>
        <v>4356</v>
      </c>
      <c r="E3496">
        <f t="shared" si="218"/>
        <v>12717.072899999999</v>
      </c>
      <c r="F3496">
        <f t="shared" si="219"/>
        <v>4356</v>
      </c>
    </row>
    <row r="3497" spans="1:6" x14ac:dyDescent="0.3">
      <c r="A3497">
        <v>61</v>
      </c>
      <c r="B3497">
        <v>75.459999999999994</v>
      </c>
      <c r="C3497">
        <f t="shared" si="216"/>
        <v>4603.0599999999995</v>
      </c>
      <c r="D3497">
        <f t="shared" si="217"/>
        <v>3721</v>
      </c>
      <c r="E3497">
        <f t="shared" si="218"/>
        <v>5694.2115999999987</v>
      </c>
      <c r="F3497">
        <f t="shared" si="219"/>
        <v>3721</v>
      </c>
    </row>
    <row r="3498" spans="1:6" x14ac:dyDescent="0.3">
      <c r="A3498">
        <v>16</v>
      </c>
      <c r="B3498">
        <v>63.63</v>
      </c>
      <c r="C3498">
        <f t="shared" si="216"/>
        <v>1018.08</v>
      </c>
      <c r="D3498">
        <f t="shared" si="217"/>
        <v>256</v>
      </c>
      <c r="E3498">
        <f t="shared" si="218"/>
        <v>4048.7769000000003</v>
      </c>
      <c r="F3498">
        <f t="shared" si="219"/>
        <v>256</v>
      </c>
    </row>
    <row r="3499" spans="1:6" x14ac:dyDescent="0.3">
      <c r="A3499">
        <v>37</v>
      </c>
      <c r="B3499">
        <v>100.22</v>
      </c>
      <c r="C3499">
        <f t="shared" si="216"/>
        <v>3708.14</v>
      </c>
      <c r="D3499">
        <f t="shared" si="217"/>
        <v>1369</v>
      </c>
      <c r="E3499">
        <f t="shared" si="218"/>
        <v>10044.0484</v>
      </c>
      <c r="F3499">
        <f t="shared" si="219"/>
        <v>1369</v>
      </c>
    </row>
    <row r="3500" spans="1:6" x14ac:dyDescent="0.3">
      <c r="A3500">
        <v>43</v>
      </c>
      <c r="B3500">
        <v>81.77</v>
      </c>
      <c r="C3500">
        <f t="shared" si="216"/>
        <v>3516.1099999999997</v>
      </c>
      <c r="D3500">
        <f t="shared" si="217"/>
        <v>1849</v>
      </c>
      <c r="E3500">
        <f t="shared" si="218"/>
        <v>6686.3328999999994</v>
      </c>
      <c r="F3500">
        <f t="shared" si="219"/>
        <v>1849</v>
      </c>
    </row>
    <row r="3501" spans="1:6" x14ac:dyDescent="0.3">
      <c r="A3501">
        <v>27</v>
      </c>
      <c r="B3501">
        <v>94.25</v>
      </c>
      <c r="C3501">
        <f t="shared" si="216"/>
        <v>2544.75</v>
      </c>
      <c r="D3501">
        <f t="shared" si="217"/>
        <v>729</v>
      </c>
      <c r="E3501">
        <f t="shared" si="218"/>
        <v>8883.0625</v>
      </c>
      <c r="F3501">
        <f t="shared" si="219"/>
        <v>729</v>
      </c>
    </row>
    <row r="3502" spans="1:6" x14ac:dyDescent="0.3">
      <c r="A3502">
        <v>44</v>
      </c>
      <c r="B3502">
        <v>188.13</v>
      </c>
      <c r="C3502">
        <f t="shared" si="216"/>
        <v>8277.7199999999993</v>
      </c>
      <c r="D3502">
        <f t="shared" si="217"/>
        <v>1936</v>
      </c>
      <c r="E3502">
        <f t="shared" si="218"/>
        <v>35392.8969</v>
      </c>
      <c r="F3502">
        <f t="shared" si="219"/>
        <v>1936</v>
      </c>
    </row>
    <row r="3503" spans="1:6" x14ac:dyDescent="0.3">
      <c r="A3503">
        <v>14</v>
      </c>
      <c r="B3503">
        <v>164.7</v>
      </c>
      <c r="C3503">
        <f t="shared" si="216"/>
        <v>2305.7999999999997</v>
      </c>
      <c r="D3503">
        <f t="shared" si="217"/>
        <v>196</v>
      </c>
      <c r="E3503">
        <f t="shared" si="218"/>
        <v>27126.089999999997</v>
      </c>
      <c r="F3503">
        <f t="shared" si="219"/>
        <v>196</v>
      </c>
    </row>
    <row r="3504" spans="1:6" x14ac:dyDescent="0.3">
      <c r="A3504">
        <v>81</v>
      </c>
      <c r="B3504">
        <v>68.27</v>
      </c>
      <c r="C3504">
        <f t="shared" si="216"/>
        <v>5529.87</v>
      </c>
      <c r="D3504">
        <f t="shared" si="217"/>
        <v>6561</v>
      </c>
      <c r="E3504">
        <f t="shared" si="218"/>
        <v>4660.7928999999995</v>
      </c>
      <c r="F3504">
        <f t="shared" si="219"/>
        <v>6561</v>
      </c>
    </row>
    <row r="3505" spans="1:6" x14ac:dyDescent="0.3">
      <c r="A3505">
        <v>52</v>
      </c>
      <c r="B3505">
        <v>79.81</v>
      </c>
      <c r="C3505">
        <f t="shared" si="216"/>
        <v>4150.12</v>
      </c>
      <c r="D3505">
        <f t="shared" si="217"/>
        <v>2704</v>
      </c>
      <c r="E3505">
        <f t="shared" si="218"/>
        <v>6369.6361000000006</v>
      </c>
      <c r="F3505">
        <f t="shared" si="219"/>
        <v>2704</v>
      </c>
    </row>
    <row r="3506" spans="1:6" x14ac:dyDescent="0.3">
      <c r="A3506">
        <v>54</v>
      </c>
      <c r="B3506">
        <v>100.12</v>
      </c>
      <c r="C3506">
        <f t="shared" si="216"/>
        <v>5406.4800000000005</v>
      </c>
      <c r="D3506">
        <f t="shared" si="217"/>
        <v>2916</v>
      </c>
      <c r="E3506">
        <f t="shared" si="218"/>
        <v>10024.0144</v>
      </c>
      <c r="F3506">
        <f t="shared" si="219"/>
        <v>2916</v>
      </c>
    </row>
    <row r="3507" spans="1:6" x14ac:dyDescent="0.3">
      <c r="A3507">
        <v>77</v>
      </c>
      <c r="B3507">
        <v>151.22999999999999</v>
      </c>
      <c r="C3507">
        <f t="shared" si="216"/>
        <v>11644.71</v>
      </c>
      <c r="D3507">
        <f t="shared" si="217"/>
        <v>5929</v>
      </c>
      <c r="E3507">
        <f t="shared" si="218"/>
        <v>22870.512899999998</v>
      </c>
      <c r="F3507">
        <f t="shared" si="219"/>
        <v>5929</v>
      </c>
    </row>
    <row r="3508" spans="1:6" x14ac:dyDescent="0.3">
      <c r="A3508">
        <v>27</v>
      </c>
      <c r="B3508">
        <v>112.41</v>
      </c>
      <c r="C3508">
        <f t="shared" si="216"/>
        <v>3035.0699999999997</v>
      </c>
      <c r="D3508">
        <f t="shared" si="217"/>
        <v>729</v>
      </c>
      <c r="E3508">
        <f t="shared" si="218"/>
        <v>12636.008099999999</v>
      </c>
      <c r="F3508">
        <f t="shared" si="219"/>
        <v>729</v>
      </c>
    </row>
    <row r="3509" spans="1:6" x14ac:dyDescent="0.3">
      <c r="A3509">
        <v>35</v>
      </c>
      <c r="B3509">
        <v>205.97</v>
      </c>
      <c r="C3509">
        <f t="shared" si="216"/>
        <v>7208.95</v>
      </c>
      <c r="D3509">
        <f t="shared" si="217"/>
        <v>1225</v>
      </c>
      <c r="E3509">
        <f t="shared" si="218"/>
        <v>42423.640899999999</v>
      </c>
      <c r="F3509">
        <f t="shared" si="219"/>
        <v>1225</v>
      </c>
    </row>
    <row r="3510" spans="1:6" x14ac:dyDescent="0.3">
      <c r="A3510">
        <v>30</v>
      </c>
      <c r="B3510">
        <v>112.19</v>
      </c>
      <c r="C3510">
        <f t="shared" si="216"/>
        <v>3365.7</v>
      </c>
      <c r="D3510">
        <f t="shared" si="217"/>
        <v>900</v>
      </c>
      <c r="E3510">
        <f t="shared" si="218"/>
        <v>12586.596099999999</v>
      </c>
      <c r="F3510">
        <f t="shared" si="219"/>
        <v>900</v>
      </c>
    </row>
    <row r="3511" spans="1:6" x14ac:dyDescent="0.3">
      <c r="A3511">
        <v>48</v>
      </c>
      <c r="B3511">
        <v>71.930000000000007</v>
      </c>
      <c r="C3511">
        <f t="shared" si="216"/>
        <v>3452.6400000000003</v>
      </c>
      <c r="D3511">
        <f t="shared" si="217"/>
        <v>2304</v>
      </c>
      <c r="E3511">
        <f t="shared" si="218"/>
        <v>5173.9249000000009</v>
      </c>
      <c r="F3511">
        <f t="shared" si="219"/>
        <v>2304</v>
      </c>
    </row>
    <row r="3512" spans="1:6" x14ac:dyDescent="0.3">
      <c r="A3512">
        <v>15</v>
      </c>
      <c r="B3512">
        <v>190.89</v>
      </c>
      <c r="C3512">
        <f t="shared" si="216"/>
        <v>2863.35</v>
      </c>
      <c r="D3512">
        <f t="shared" si="217"/>
        <v>225</v>
      </c>
      <c r="E3512">
        <f t="shared" si="218"/>
        <v>36438.992099999996</v>
      </c>
      <c r="F3512">
        <f t="shared" si="219"/>
        <v>225</v>
      </c>
    </row>
    <row r="3513" spans="1:6" x14ac:dyDescent="0.3">
      <c r="A3513">
        <v>26</v>
      </c>
      <c r="B3513">
        <v>138.02000000000001</v>
      </c>
      <c r="C3513">
        <f t="shared" si="216"/>
        <v>3588.5200000000004</v>
      </c>
      <c r="D3513">
        <f t="shared" si="217"/>
        <v>676</v>
      </c>
      <c r="E3513">
        <f t="shared" si="218"/>
        <v>19049.520400000001</v>
      </c>
      <c r="F3513">
        <f t="shared" si="219"/>
        <v>676</v>
      </c>
    </row>
    <row r="3514" spans="1:6" x14ac:dyDescent="0.3">
      <c r="A3514">
        <v>38</v>
      </c>
      <c r="B3514">
        <v>66.16</v>
      </c>
      <c r="C3514">
        <f t="shared" si="216"/>
        <v>2514.08</v>
      </c>
      <c r="D3514">
        <f t="shared" si="217"/>
        <v>1444</v>
      </c>
      <c r="E3514">
        <f t="shared" si="218"/>
        <v>4377.1455999999998</v>
      </c>
      <c r="F3514">
        <f t="shared" si="219"/>
        <v>1444</v>
      </c>
    </row>
    <row r="3515" spans="1:6" x14ac:dyDescent="0.3">
      <c r="A3515">
        <v>29</v>
      </c>
      <c r="B3515">
        <v>105.73</v>
      </c>
      <c r="C3515">
        <f t="shared" si="216"/>
        <v>3066.17</v>
      </c>
      <c r="D3515">
        <f t="shared" si="217"/>
        <v>841</v>
      </c>
      <c r="E3515">
        <f t="shared" si="218"/>
        <v>11178.832900000001</v>
      </c>
      <c r="F3515">
        <f t="shared" si="219"/>
        <v>841</v>
      </c>
    </row>
    <row r="3516" spans="1:6" x14ac:dyDescent="0.3">
      <c r="A3516">
        <v>49</v>
      </c>
      <c r="B3516">
        <v>78.34</v>
      </c>
      <c r="C3516">
        <f t="shared" si="216"/>
        <v>3838.6600000000003</v>
      </c>
      <c r="D3516">
        <f t="shared" si="217"/>
        <v>2401</v>
      </c>
      <c r="E3516">
        <f t="shared" si="218"/>
        <v>6137.155600000001</v>
      </c>
      <c r="F3516">
        <f t="shared" si="219"/>
        <v>2401</v>
      </c>
    </row>
    <row r="3517" spans="1:6" x14ac:dyDescent="0.3">
      <c r="A3517">
        <v>55</v>
      </c>
      <c r="B3517">
        <v>102.1</v>
      </c>
      <c r="C3517">
        <f t="shared" si="216"/>
        <v>5615.5</v>
      </c>
      <c r="D3517">
        <f t="shared" si="217"/>
        <v>3025</v>
      </c>
      <c r="E3517">
        <f t="shared" si="218"/>
        <v>10424.409999999998</v>
      </c>
      <c r="F3517">
        <f t="shared" si="219"/>
        <v>3025</v>
      </c>
    </row>
    <row r="3518" spans="1:6" x14ac:dyDescent="0.3">
      <c r="A3518">
        <v>52</v>
      </c>
      <c r="B3518">
        <v>97.37</v>
      </c>
      <c r="C3518">
        <f t="shared" si="216"/>
        <v>5063.24</v>
      </c>
      <c r="D3518">
        <f t="shared" si="217"/>
        <v>2704</v>
      </c>
      <c r="E3518">
        <f t="shared" si="218"/>
        <v>9480.9169000000002</v>
      </c>
      <c r="F3518">
        <f t="shared" si="219"/>
        <v>2704</v>
      </c>
    </row>
    <row r="3519" spans="1:6" x14ac:dyDescent="0.3">
      <c r="A3519">
        <v>49</v>
      </c>
      <c r="B3519">
        <v>193.87</v>
      </c>
      <c r="C3519">
        <f t="shared" si="216"/>
        <v>9499.630000000001</v>
      </c>
      <c r="D3519">
        <f t="shared" si="217"/>
        <v>2401</v>
      </c>
      <c r="E3519">
        <f t="shared" si="218"/>
        <v>37585.5769</v>
      </c>
      <c r="F3519">
        <f t="shared" si="219"/>
        <v>2401</v>
      </c>
    </row>
    <row r="3520" spans="1:6" x14ac:dyDescent="0.3">
      <c r="A3520">
        <v>21</v>
      </c>
      <c r="B3520">
        <v>78.319999999999993</v>
      </c>
      <c r="C3520">
        <f t="shared" si="216"/>
        <v>1644.7199999999998</v>
      </c>
      <c r="D3520">
        <f t="shared" si="217"/>
        <v>441</v>
      </c>
      <c r="E3520">
        <f t="shared" si="218"/>
        <v>6134.0223999999989</v>
      </c>
      <c r="F3520">
        <f t="shared" si="219"/>
        <v>441</v>
      </c>
    </row>
    <row r="3521" spans="1:6" x14ac:dyDescent="0.3">
      <c r="A3521">
        <v>24</v>
      </c>
      <c r="B3521">
        <v>130</v>
      </c>
      <c r="C3521">
        <f t="shared" si="216"/>
        <v>3120</v>
      </c>
      <c r="D3521">
        <f t="shared" si="217"/>
        <v>576</v>
      </c>
      <c r="E3521">
        <f t="shared" si="218"/>
        <v>16900</v>
      </c>
      <c r="F3521">
        <f t="shared" si="219"/>
        <v>576</v>
      </c>
    </row>
    <row r="3522" spans="1:6" x14ac:dyDescent="0.3">
      <c r="A3522">
        <v>18</v>
      </c>
      <c r="B3522">
        <v>74</v>
      </c>
      <c r="C3522">
        <f t="shared" si="216"/>
        <v>1332</v>
      </c>
      <c r="D3522">
        <f t="shared" si="217"/>
        <v>324</v>
      </c>
      <c r="E3522">
        <f t="shared" si="218"/>
        <v>5476</v>
      </c>
      <c r="F3522">
        <f t="shared" si="219"/>
        <v>324</v>
      </c>
    </row>
    <row r="3523" spans="1:6" x14ac:dyDescent="0.3">
      <c r="A3523">
        <v>52</v>
      </c>
      <c r="B3523">
        <v>111.04</v>
      </c>
      <c r="C3523">
        <f t="shared" ref="C3523:C3586" si="220">A3523*B3523</f>
        <v>5774.08</v>
      </c>
      <c r="D3523">
        <f t="shared" ref="D3523:D3586" si="221">A3523*A3523</f>
        <v>2704</v>
      </c>
      <c r="E3523">
        <f t="shared" ref="E3523:E3586" si="222">B3523*B3523</f>
        <v>12329.881600000001</v>
      </c>
      <c r="F3523">
        <f t="shared" ref="F3523:F3586" si="223">A3523^2</f>
        <v>2704</v>
      </c>
    </row>
    <row r="3524" spans="1:6" x14ac:dyDescent="0.3">
      <c r="A3524">
        <v>70</v>
      </c>
      <c r="B3524">
        <v>214.77</v>
      </c>
      <c r="C3524">
        <f t="shared" si="220"/>
        <v>15033.900000000001</v>
      </c>
      <c r="D3524">
        <f t="shared" si="221"/>
        <v>4900</v>
      </c>
      <c r="E3524">
        <f t="shared" si="222"/>
        <v>46126.152900000001</v>
      </c>
      <c r="F3524">
        <f t="shared" si="223"/>
        <v>4900</v>
      </c>
    </row>
    <row r="3525" spans="1:6" x14ac:dyDescent="0.3">
      <c r="A3525">
        <v>51</v>
      </c>
      <c r="B3525">
        <v>97.25</v>
      </c>
      <c r="C3525">
        <f t="shared" si="220"/>
        <v>4959.75</v>
      </c>
      <c r="D3525">
        <f t="shared" si="221"/>
        <v>2601</v>
      </c>
      <c r="E3525">
        <f t="shared" si="222"/>
        <v>9457.5625</v>
      </c>
      <c r="F3525">
        <f t="shared" si="223"/>
        <v>2601</v>
      </c>
    </row>
    <row r="3526" spans="1:6" x14ac:dyDescent="0.3">
      <c r="A3526">
        <v>58</v>
      </c>
      <c r="B3526">
        <v>79.95</v>
      </c>
      <c r="C3526">
        <f t="shared" si="220"/>
        <v>4637.1000000000004</v>
      </c>
      <c r="D3526">
        <f t="shared" si="221"/>
        <v>3364</v>
      </c>
      <c r="E3526">
        <f t="shared" si="222"/>
        <v>6392.0025000000005</v>
      </c>
      <c r="F3526">
        <f t="shared" si="223"/>
        <v>3364</v>
      </c>
    </row>
    <row r="3527" spans="1:6" x14ac:dyDescent="0.3">
      <c r="A3527">
        <v>46</v>
      </c>
      <c r="B3527">
        <v>162.24</v>
      </c>
      <c r="C3527">
        <f t="shared" si="220"/>
        <v>7463.0400000000009</v>
      </c>
      <c r="D3527">
        <f t="shared" si="221"/>
        <v>2116</v>
      </c>
      <c r="E3527">
        <f t="shared" si="222"/>
        <v>26321.817600000002</v>
      </c>
      <c r="F3527">
        <f t="shared" si="223"/>
        <v>2116</v>
      </c>
    </row>
    <row r="3528" spans="1:6" x14ac:dyDescent="0.3">
      <c r="A3528">
        <v>79</v>
      </c>
      <c r="B3528">
        <v>74.36</v>
      </c>
      <c r="C3528">
        <f t="shared" si="220"/>
        <v>5874.44</v>
      </c>
      <c r="D3528">
        <f t="shared" si="221"/>
        <v>6241</v>
      </c>
      <c r="E3528">
        <f t="shared" si="222"/>
        <v>5529.4096</v>
      </c>
      <c r="F3528">
        <f t="shared" si="223"/>
        <v>6241</v>
      </c>
    </row>
    <row r="3529" spans="1:6" x14ac:dyDescent="0.3">
      <c r="A3529">
        <v>11</v>
      </c>
      <c r="B3529">
        <v>69.680000000000007</v>
      </c>
      <c r="C3529">
        <f t="shared" si="220"/>
        <v>766.48</v>
      </c>
      <c r="D3529">
        <f t="shared" si="221"/>
        <v>121</v>
      </c>
      <c r="E3529">
        <f t="shared" si="222"/>
        <v>4855.3024000000014</v>
      </c>
      <c r="F3529">
        <f t="shared" si="223"/>
        <v>121</v>
      </c>
    </row>
    <row r="3530" spans="1:6" x14ac:dyDescent="0.3">
      <c r="A3530">
        <v>61</v>
      </c>
      <c r="B3530">
        <v>98.35</v>
      </c>
      <c r="C3530">
        <f t="shared" si="220"/>
        <v>5999.3499999999995</v>
      </c>
      <c r="D3530">
        <f t="shared" si="221"/>
        <v>3721</v>
      </c>
      <c r="E3530">
        <f t="shared" si="222"/>
        <v>9672.722499999998</v>
      </c>
      <c r="F3530">
        <f t="shared" si="223"/>
        <v>3721</v>
      </c>
    </row>
    <row r="3531" spans="1:6" x14ac:dyDescent="0.3">
      <c r="A3531">
        <v>51</v>
      </c>
      <c r="B3531">
        <v>75.73</v>
      </c>
      <c r="C3531">
        <f t="shared" si="220"/>
        <v>3862.23</v>
      </c>
      <c r="D3531">
        <f t="shared" si="221"/>
        <v>2601</v>
      </c>
      <c r="E3531">
        <f t="shared" si="222"/>
        <v>5735.0329000000002</v>
      </c>
      <c r="F3531">
        <f t="shared" si="223"/>
        <v>2601</v>
      </c>
    </row>
    <row r="3532" spans="1:6" x14ac:dyDescent="0.3">
      <c r="A3532">
        <v>21</v>
      </c>
      <c r="B3532">
        <v>85.86</v>
      </c>
      <c r="C3532">
        <f t="shared" si="220"/>
        <v>1803.06</v>
      </c>
      <c r="D3532">
        <f t="shared" si="221"/>
        <v>441</v>
      </c>
      <c r="E3532">
        <f t="shared" si="222"/>
        <v>7371.9395999999997</v>
      </c>
      <c r="F3532">
        <f t="shared" si="223"/>
        <v>441</v>
      </c>
    </row>
    <row r="3533" spans="1:6" x14ac:dyDescent="0.3">
      <c r="A3533">
        <v>71</v>
      </c>
      <c r="B3533">
        <v>80.34</v>
      </c>
      <c r="C3533">
        <f t="shared" si="220"/>
        <v>5704.14</v>
      </c>
      <c r="D3533">
        <f t="shared" si="221"/>
        <v>5041</v>
      </c>
      <c r="E3533">
        <f t="shared" si="222"/>
        <v>6454.5156000000006</v>
      </c>
      <c r="F3533">
        <f t="shared" si="223"/>
        <v>5041</v>
      </c>
    </row>
    <row r="3534" spans="1:6" x14ac:dyDescent="0.3">
      <c r="A3534">
        <v>13</v>
      </c>
      <c r="B3534">
        <v>73.760000000000005</v>
      </c>
      <c r="C3534">
        <f t="shared" si="220"/>
        <v>958.88000000000011</v>
      </c>
      <c r="D3534">
        <f t="shared" si="221"/>
        <v>169</v>
      </c>
      <c r="E3534">
        <f t="shared" si="222"/>
        <v>5440.5376000000006</v>
      </c>
      <c r="F3534">
        <f t="shared" si="223"/>
        <v>169</v>
      </c>
    </row>
    <row r="3535" spans="1:6" x14ac:dyDescent="0.3">
      <c r="A3535">
        <v>16</v>
      </c>
      <c r="B3535">
        <v>94.96</v>
      </c>
      <c r="C3535">
        <f t="shared" si="220"/>
        <v>1519.36</v>
      </c>
      <c r="D3535">
        <f t="shared" si="221"/>
        <v>256</v>
      </c>
      <c r="E3535">
        <f t="shared" si="222"/>
        <v>9017.4015999999992</v>
      </c>
      <c r="F3535">
        <f t="shared" si="223"/>
        <v>256</v>
      </c>
    </row>
    <row r="3536" spans="1:6" x14ac:dyDescent="0.3">
      <c r="A3536">
        <v>61</v>
      </c>
      <c r="B3536">
        <v>108.18</v>
      </c>
      <c r="C3536">
        <f t="shared" si="220"/>
        <v>6598.9800000000005</v>
      </c>
      <c r="D3536">
        <f t="shared" si="221"/>
        <v>3721</v>
      </c>
      <c r="E3536">
        <f t="shared" si="222"/>
        <v>11702.912400000001</v>
      </c>
      <c r="F3536">
        <f t="shared" si="223"/>
        <v>3721</v>
      </c>
    </row>
    <row r="3537" spans="1:6" x14ac:dyDescent="0.3">
      <c r="A3537">
        <v>49</v>
      </c>
      <c r="B3537">
        <v>85.23</v>
      </c>
      <c r="C3537">
        <f t="shared" si="220"/>
        <v>4176.2700000000004</v>
      </c>
      <c r="D3537">
        <f t="shared" si="221"/>
        <v>2401</v>
      </c>
      <c r="E3537">
        <f t="shared" si="222"/>
        <v>7264.152900000001</v>
      </c>
      <c r="F3537">
        <f t="shared" si="223"/>
        <v>2401</v>
      </c>
    </row>
    <row r="3538" spans="1:6" x14ac:dyDescent="0.3">
      <c r="A3538">
        <v>65</v>
      </c>
      <c r="B3538">
        <v>189.88</v>
      </c>
      <c r="C3538">
        <f t="shared" si="220"/>
        <v>12342.199999999999</v>
      </c>
      <c r="D3538">
        <f t="shared" si="221"/>
        <v>4225</v>
      </c>
      <c r="E3538">
        <f t="shared" si="222"/>
        <v>36054.414400000001</v>
      </c>
      <c r="F3538">
        <f t="shared" si="223"/>
        <v>4225</v>
      </c>
    </row>
    <row r="3539" spans="1:6" x14ac:dyDescent="0.3">
      <c r="A3539">
        <v>40</v>
      </c>
      <c r="B3539">
        <v>197.11</v>
      </c>
      <c r="C3539">
        <f t="shared" si="220"/>
        <v>7884.4000000000005</v>
      </c>
      <c r="D3539">
        <f t="shared" si="221"/>
        <v>1600</v>
      </c>
      <c r="E3539">
        <f t="shared" si="222"/>
        <v>38852.352100000004</v>
      </c>
      <c r="F3539">
        <f t="shared" si="223"/>
        <v>1600</v>
      </c>
    </row>
    <row r="3540" spans="1:6" x14ac:dyDescent="0.3">
      <c r="A3540">
        <v>44</v>
      </c>
      <c r="B3540">
        <v>100.08</v>
      </c>
      <c r="C3540">
        <f t="shared" si="220"/>
        <v>4403.5199999999995</v>
      </c>
      <c r="D3540">
        <f t="shared" si="221"/>
        <v>1936</v>
      </c>
      <c r="E3540">
        <f t="shared" si="222"/>
        <v>10016.0064</v>
      </c>
      <c r="F3540">
        <f t="shared" si="223"/>
        <v>1936</v>
      </c>
    </row>
    <row r="3541" spans="1:6" x14ac:dyDescent="0.3">
      <c r="A3541">
        <v>11</v>
      </c>
      <c r="B3541">
        <v>68.62</v>
      </c>
      <c r="C3541">
        <f t="shared" si="220"/>
        <v>754.82</v>
      </c>
      <c r="D3541">
        <f t="shared" si="221"/>
        <v>121</v>
      </c>
      <c r="E3541">
        <f t="shared" si="222"/>
        <v>4708.7044000000005</v>
      </c>
      <c r="F3541">
        <f t="shared" si="223"/>
        <v>121</v>
      </c>
    </row>
    <row r="3542" spans="1:6" x14ac:dyDescent="0.3">
      <c r="A3542">
        <v>20</v>
      </c>
      <c r="B3542">
        <v>84.07</v>
      </c>
      <c r="C3542">
        <f t="shared" si="220"/>
        <v>1681.3999999999999</v>
      </c>
      <c r="D3542">
        <f t="shared" si="221"/>
        <v>400</v>
      </c>
      <c r="E3542">
        <f t="shared" si="222"/>
        <v>7067.7648999999992</v>
      </c>
      <c r="F3542">
        <f t="shared" si="223"/>
        <v>400</v>
      </c>
    </row>
    <row r="3543" spans="1:6" x14ac:dyDescent="0.3">
      <c r="A3543">
        <v>24</v>
      </c>
      <c r="B3543">
        <v>99.65</v>
      </c>
      <c r="C3543">
        <f t="shared" si="220"/>
        <v>2391.6000000000004</v>
      </c>
      <c r="D3543">
        <f t="shared" si="221"/>
        <v>576</v>
      </c>
      <c r="E3543">
        <f t="shared" si="222"/>
        <v>9930.1225000000013</v>
      </c>
      <c r="F3543">
        <f t="shared" si="223"/>
        <v>576</v>
      </c>
    </row>
    <row r="3544" spans="1:6" x14ac:dyDescent="0.3">
      <c r="A3544">
        <v>44</v>
      </c>
      <c r="B3544">
        <v>82.33</v>
      </c>
      <c r="C3544">
        <f t="shared" si="220"/>
        <v>3622.52</v>
      </c>
      <c r="D3544">
        <f t="shared" si="221"/>
        <v>1936</v>
      </c>
      <c r="E3544">
        <f t="shared" si="222"/>
        <v>6778.2289000000001</v>
      </c>
      <c r="F3544">
        <f t="shared" si="223"/>
        <v>1936</v>
      </c>
    </row>
    <row r="3545" spans="1:6" x14ac:dyDescent="0.3">
      <c r="A3545">
        <v>5</v>
      </c>
      <c r="B3545">
        <v>94.49</v>
      </c>
      <c r="C3545">
        <f t="shared" si="220"/>
        <v>472.45</v>
      </c>
      <c r="D3545">
        <f t="shared" si="221"/>
        <v>25</v>
      </c>
      <c r="E3545">
        <f t="shared" si="222"/>
        <v>8928.3600999999999</v>
      </c>
      <c r="F3545">
        <f t="shared" si="223"/>
        <v>25</v>
      </c>
    </row>
    <row r="3546" spans="1:6" x14ac:dyDescent="0.3">
      <c r="A3546">
        <v>41</v>
      </c>
      <c r="B3546">
        <v>108.71</v>
      </c>
      <c r="C3546">
        <f t="shared" si="220"/>
        <v>4457.1099999999997</v>
      </c>
      <c r="D3546">
        <f t="shared" si="221"/>
        <v>1681</v>
      </c>
      <c r="E3546">
        <f t="shared" si="222"/>
        <v>11817.864099999999</v>
      </c>
      <c r="F3546">
        <f t="shared" si="223"/>
        <v>1681</v>
      </c>
    </row>
    <row r="3547" spans="1:6" x14ac:dyDescent="0.3">
      <c r="A3547">
        <v>23</v>
      </c>
      <c r="B3547">
        <v>64.94</v>
      </c>
      <c r="C3547">
        <f t="shared" si="220"/>
        <v>1493.62</v>
      </c>
      <c r="D3547">
        <f t="shared" si="221"/>
        <v>529</v>
      </c>
      <c r="E3547">
        <f t="shared" si="222"/>
        <v>4217.2035999999998</v>
      </c>
      <c r="F3547">
        <f t="shared" si="223"/>
        <v>529</v>
      </c>
    </row>
    <row r="3548" spans="1:6" x14ac:dyDescent="0.3">
      <c r="A3548">
        <v>7</v>
      </c>
      <c r="B3548">
        <v>98.22</v>
      </c>
      <c r="C3548">
        <f t="shared" si="220"/>
        <v>687.54</v>
      </c>
      <c r="D3548">
        <f t="shared" si="221"/>
        <v>49</v>
      </c>
      <c r="E3548">
        <f t="shared" si="222"/>
        <v>9647.1684000000005</v>
      </c>
      <c r="F3548">
        <f t="shared" si="223"/>
        <v>49</v>
      </c>
    </row>
    <row r="3549" spans="1:6" x14ac:dyDescent="0.3">
      <c r="A3549">
        <v>74</v>
      </c>
      <c r="B3549">
        <v>83.5</v>
      </c>
      <c r="C3549">
        <f t="shared" si="220"/>
        <v>6179</v>
      </c>
      <c r="D3549">
        <f t="shared" si="221"/>
        <v>5476</v>
      </c>
      <c r="E3549">
        <f t="shared" si="222"/>
        <v>6972.25</v>
      </c>
      <c r="F3549">
        <f t="shared" si="223"/>
        <v>5476</v>
      </c>
    </row>
    <row r="3550" spans="1:6" x14ac:dyDescent="0.3">
      <c r="A3550">
        <v>61</v>
      </c>
      <c r="B3550">
        <v>192.47</v>
      </c>
      <c r="C3550">
        <f t="shared" si="220"/>
        <v>11740.67</v>
      </c>
      <c r="D3550">
        <f t="shared" si="221"/>
        <v>3721</v>
      </c>
      <c r="E3550">
        <f t="shared" si="222"/>
        <v>37044.700899999996</v>
      </c>
      <c r="F3550">
        <f t="shared" si="223"/>
        <v>3721</v>
      </c>
    </row>
    <row r="3551" spans="1:6" x14ac:dyDescent="0.3">
      <c r="A3551">
        <v>80</v>
      </c>
      <c r="B3551">
        <v>125.89</v>
      </c>
      <c r="C3551">
        <f t="shared" si="220"/>
        <v>10071.200000000001</v>
      </c>
      <c r="D3551">
        <f t="shared" si="221"/>
        <v>6400</v>
      </c>
      <c r="E3551">
        <f t="shared" si="222"/>
        <v>15848.292100000001</v>
      </c>
      <c r="F3551">
        <f t="shared" si="223"/>
        <v>6400</v>
      </c>
    </row>
    <row r="3552" spans="1:6" x14ac:dyDescent="0.3">
      <c r="A3552">
        <v>35</v>
      </c>
      <c r="B3552">
        <v>87.72</v>
      </c>
      <c r="C3552">
        <f t="shared" si="220"/>
        <v>3070.2</v>
      </c>
      <c r="D3552">
        <f t="shared" si="221"/>
        <v>1225</v>
      </c>
      <c r="E3552">
        <f t="shared" si="222"/>
        <v>7694.7983999999997</v>
      </c>
      <c r="F3552">
        <f t="shared" si="223"/>
        <v>1225</v>
      </c>
    </row>
    <row r="3553" spans="1:6" x14ac:dyDescent="0.3">
      <c r="A3553">
        <v>43</v>
      </c>
      <c r="B3553">
        <v>68.94</v>
      </c>
      <c r="C3553">
        <f t="shared" si="220"/>
        <v>2964.42</v>
      </c>
      <c r="D3553">
        <f t="shared" si="221"/>
        <v>1849</v>
      </c>
      <c r="E3553">
        <f t="shared" si="222"/>
        <v>4752.7235999999994</v>
      </c>
      <c r="F3553">
        <f t="shared" si="223"/>
        <v>1849</v>
      </c>
    </row>
    <row r="3554" spans="1:6" x14ac:dyDescent="0.3">
      <c r="A3554">
        <v>25</v>
      </c>
      <c r="B3554">
        <v>66.510000000000005</v>
      </c>
      <c r="C3554">
        <f t="shared" si="220"/>
        <v>1662.7500000000002</v>
      </c>
      <c r="D3554">
        <f t="shared" si="221"/>
        <v>625</v>
      </c>
      <c r="E3554">
        <f t="shared" si="222"/>
        <v>4423.580100000001</v>
      </c>
      <c r="F3554">
        <f t="shared" si="223"/>
        <v>625</v>
      </c>
    </row>
    <row r="3555" spans="1:6" x14ac:dyDescent="0.3">
      <c r="A3555">
        <v>72</v>
      </c>
      <c r="B3555">
        <v>85.82</v>
      </c>
      <c r="C3555">
        <f t="shared" si="220"/>
        <v>6179.0399999999991</v>
      </c>
      <c r="D3555">
        <f t="shared" si="221"/>
        <v>5184</v>
      </c>
      <c r="E3555">
        <f t="shared" si="222"/>
        <v>7365.0723999999991</v>
      </c>
      <c r="F3555">
        <f t="shared" si="223"/>
        <v>5184</v>
      </c>
    </row>
    <row r="3556" spans="1:6" x14ac:dyDescent="0.3">
      <c r="A3556">
        <v>45</v>
      </c>
      <c r="B3556">
        <v>87.47</v>
      </c>
      <c r="C3556">
        <f t="shared" si="220"/>
        <v>3936.15</v>
      </c>
      <c r="D3556">
        <f t="shared" si="221"/>
        <v>2025</v>
      </c>
      <c r="E3556">
        <f t="shared" si="222"/>
        <v>7651.0009</v>
      </c>
      <c r="F3556">
        <f t="shared" si="223"/>
        <v>2025</v>
      </c>
    </row>
    <row r="3557" spans="1:6" x14ac:dyDescent="0.3">
      <c r="A3557">
        <v>9</v>
      </c>
      <c r="B3557">
        <v>87.74</v>
      </c>
      <c r="C3557">
        <f t="shared" si="220"/>
        <v>789.66</v>
      </c>
      <c r="D3557">
        <f t="shared" si="221"/>
        <v>81</v>
      </c>
      <c r="E3557">
        <f t="shared" si="222"/>
        <v>7698.3075999999992</v>
      </c>
      <c r="F3557">
        <f t="shared" si="223"/>
        <v>81</v>
      </c>
    </row>
    <row r="3558" spans="1:6" x14ac:dyDescent="0.3">
      <c r="A3558">
        <v>33</v>
      </c>
      <c r="B3558">
        <v>85.12</v>
      </c>
      <c r="C3558">
        <f t="shared" si="220"/>
        <v>2808.96</v>
      </c>
      <c r="D3558">
        <f t="shared" si="221"/>
        <v>1089</v>
      </c>
      <c r="E3558">
        <f t="shared" si="222"/>
        <v>7245.4144000000006</v>
      </c>
      <c r="F3558">
        <f t="shared" si="223"/>
        <v>1089</v>
      </c>
    </row>
    <row r="3559" spans="1:6" x14ac:dyDescent="0.3">
      <c r="A3559">
        <v>53</v>
      </c>
      <c r="B3559">
        <v>103.37</v>
      </c>
      <c r="C3559">
        <f t="shared" si="220"/>
        <v>5478.6100000000006</v>
      </c>
      <c r="D3559">
        <f t="shared" si="221"/>
        <v>2809</v>
      </c>
      <c r="E3559">
        <f t="shared" si="222"/>
        <v>10685.356900000001</v>
      </c>
      <c r="F3559">
        <f t="shared" si="223"/>
        <v>2809</v>
      </c>
    </row>
    <row r="3560" spans="1:6" x14ac:dyDescent="0.3">
      <c r="A3560">
        <v>67</v>
      </c>
      <c r="B3560">
        <v>81.680000000000007</v>
      </c>
      <c r="C3560">
        <f t="shared" si="220"/>
        <v>5472.56</v>
      </c>
      <c r="D3560">
        <f t="shared" si="221"/>
        <v>4489</v>
      </c>
      <c r="E3560">
        <f t="shared" si="222"/>
        <v>6671.6224000000011</v>
      </c>
      <c r="F3560">
        <f t="shared" si="223"/>
        <v>4489</v>
      </c>
    </row>
    <row r="3561" spans="1:6" x14ac:dyDescent="0.3">
      <c r="A3561">
        <v>59</v>
      </c>
      <c r="B3561">
        <v>76.510000000000005</v>
      </c>
      <c r="C3561">
        <f t="shared" si="220"/>
        <v>4514.09</v>
      </c>
      <c r="D3561">
        <f t="shared" si="221"/>
        <v>3481</v>
      </c>
      <c r="E3561">
        <f t="shared" si="222"/>
        <v>5853.7801000000009</v>
      </c>
      <c r="F3561">
        <f t="shared" si="223"/>
        <v>3481</v>
      </c>
    </row>
    <row r="3562" spans="1:6" x14ac:dyDescent="0.3">
      <c r="A3562">
        <v>1.32</v>
      </c>
      <c r="B3562">
        <v>110.17</v>
      </c>
      <c r="C3562">
        <f t="shared" si="220"/>
        <v>145.42440000000002</v>
      </c>
      <c r="D3562">
        <f t="shared" si="221"/>
        <v>1.7424000000000002</v>
      </c>
      <c r="E3562">
        <f t="shared" si="222"/>
        <v>12137.428900000001</v>
      </c>
      <c r="F3562">
        <f t="shared" si="223"/>
        <v>1.7424000000000002</v>
      </c>
    </row>
    <row r="3563" spans="1:6" x14ac:dyDescent="0.3">
      <c r="A3563">
        <v>27</v>
      </c>
      <c r="B3563">
        <v>65.12</v>
      </c>
      <c r="C3563">
        <f t="shared" si="220"/>
        <v>1758.2400000000002</v>
      </c>
      <c r="D3563">
        <f t="shared" si="221"/>
        <v>729</v>
      </c>
      <c r="E3563">
        <f t="shared" si="222"/>
        <v>4240.6144000000004</v>
      </c>
      <c r="F3563">
        <f t="shared" si="223"/>
        <v>729</v>
      </c>
    </row>
    <row r="3564" spans="1:6" x14ac:dyDescent="0.3">
      <c r="A3564">
        <v>41</v>
      </c>
      <c r="B3564">
        <v>76.66</v>
      </c>
      <c r="C3564">
        <f t="shared" si="220"/>
        <v>3143.06</v>
      </c>
      <c r="D3564">
        <f t="shared" si="221"/>
        <v>1681</v>
      </c>
      <c r="E3564">
        <f t="shared" si="222"/>
        <v>5876.7555999999995</v>
      </c>
      <c r="F3564">
        <f t="shared" si="223"/>
        <v>1681</v>
      </c>
    </row>
    <row r="3565" spans="1:6" x14ac:dyDescent="0.3">
      <c r="A3565">
        <v>64</v>
      </c>
      <c r="B3565">
        <v>109.88</v>
      </c>
      <c r="C3565">
        <f t="shared" si="220"/>
        <v>7032.32</v>
      </c>
      <c r="D3565">
        <f t="shared" si="221"/>
        <v>4096</v>
      </c>
      <c r="E3565">
        <f t="shared" si="222"/>
        <v>12073.614399999999</v>
      </c>
      <c r="F3565">
        <f t="shared" si="223"/>
        <v>4096</v>
      </c>
    </row>
    <row r="3566" spans="1:6" x14ac:dyDescent="0.3">
      <c r="A3566">
        <v>55</v>
      </c>
      <c r="B3566">
        <v>199.38</v>
      </c>
      <c r="C3566">
        <f t="shared" si="220"/>
        <v>10965.9</v>
      </c>
      <c r="D3566">
        <f t="shared" si="221"/>
        <v>3025</v>
      </c>
      <c r="E3566">
        <f t="shared" si="222"/>
        <v>39752.384399999995</v>
      </c>
      <c r="F3566">
        <f t="shared" si="223"/>
        <v>3025</v>
      </c>
    </row>
    <row r="3567" spans="1:6" x14ac:dyDescent="0.3">
      <c r="A3567">
        <v>40</v>
      </c>
      <c r="B3567">
        <v>65.77</v>
      </c>
      <c r="C3567">
        <f t="shared" si="220"/>
        <v>2630.7999999999997</v>
      </c>
      <c r="D3567">
        <f t="shared" si="221"/>
        <v>1600</v>
      </c>
      <c r="E3567">
        <f t="shared" si="222"/>
        <v>4325.6928999999991</v>
      </c>
      <c r="F3567">
        <f t="shared" si="223"/>
        <v>1600</v>
      </c>
    </row>
    <row r="3568" spans="1:6" x14ac:dyDescent="0.3">
      <c r="A3568">
        <v>33</v>
      </c>
      <c r="B3568">
        <v>55.72</v>
      </c>
      <c r="C3568">
        <f t="shared" si="220"/>
        <v>1838.76</v>
      </c>
      <c r="D3568">
        <f t="shared" si="221"/>
        <v>1089</v>
      </c>
      <c r="E3568">
        <f t="shared" si="222"/>
        <v>3104.7183999999997</v>
      </c>
      <c r="F3568">
        <f t="shared" si="223"/>
        <v>1089</v>
      </c>
    </row>
    <row r="3569" spans="1:6" x14ac:dyDescent="0.3">
      <c r="A3569">
        <v>33</v>
      </c>
      <c r="B3569">
        <v>75.67</v>
      </c>
      <c r="C3569">
        <f t="shared" si="220"/>
        <v>2497.11</v>
      </c>
      <c r="D3569">
        <f t="shared" si="221"/>
        <v>1089</v>
      </c>
      <c r="E3569">
        <f t="shared" si="222"/>
        <v>5725.9489000000003</v>
      </c>
      <c r="F3569">
        <f t="shared" si="223"/>
        <v>1089</v>
      </c>
    </row>
    <row r="3570" spans="1:6" x14ac:dyDescent="0.3">
      <c r="A3570">
        <v>39</v>
      </c>
      <c r="B3570">
        <v>88.18</v>
      </c>
      <c r="C3570">
        <f t="shared" si="220"/>
        <v>3439.0200000000004</v>
      </c>
      <c r="D3570">
        <f t="shared" si="221"/>
        <v>1521</v>
      </c>
      <c r="E3570">
        <f t="shared" si="222"/>
        <v>7775.7124000000013</v>
      </c>
      <c r="F3570">
        <f t="shared" si="223"/>
        <v>1521</v>
      </c>
    </row>
    <row r="3571" spans="1:6" x14ac:dyDescent="0.3">
      <c r="A3571">
        <v>74</v>
      </c>
      <c r="B3571">
        <v>95.94</v>
      </c>
      <c r="C3571">
        <f t="shared" si="220"/>
        <v>7099.5599999999995</v>
      </c>
      <c r="D3571">
        <f t="shared" si="221"/>
        <v>5476</v>
      </c>
      <c r="E3571">
        <f t="shared" si="222"/>
        <v>9204.4835999999996</v>
      </c>
      <c r="F3571">
        <f t="shared" si="223"/>
        <v>5476</v>
      </c>
    </row>
    <row r="3572" spans="1:6" x14ac:dyDescent="0.3">
      <c r="A3572">
        <v>38</v>
      </c>
      <c r="B3572">
        <v>86.93</v>
      </c>
      <c r="C3572">
        <f t="shared" si="220"/>
        <v>3303.34</v>
      </c>
      <c r="D3572">
        <f t="shared" si="221"/>
        <v>1444</v>
      </c>
      <c r="E3572">
        <f t="shared" si="222"/>
        <v>7556.8249000000014</v>
      </c>
      <c r="F3572">
        <f t="shared" si="223"/>
        <v>1444</v>
      </c>
    </row>
    <row r="3573" spans="1:6" x14ac:dyDescent="0.3">
      <c r="A3573">
        <v>53</v>
      </c>
      <c r="B3573">
        <v>85.17</v>
      </c>
      <c r="C3573">
        <f t="shared" si="220"/>
        <v>4514.01</v>
      </c>
      <c r="D3573">
        <f t="shared" si="221"/>
        <v>2809</v>
      </c>
      <c r="E3573">
        <f t="shared" si="222"/>
        <v>7253.9288999999999</v>
      </c>
      <c r="F3573">
        <f t="shared" si="223"/>
        <v>2809</v>
      </c>
    </row>
    <row r="3574" spans="1:6" x14ac:dyDescent="0.3">
      <c r="A3574">
        <v>22</v>
      </c>
      <c r="B3574">
        <v>111.1</v>
      </c>
      <c r="C3574">
        <f t="shared" si="220"/>
        <v>2444.1999999999998</v>
      </c>
      <c r="D3574">
        <f t="shared" si="221"/>
        <v>484</v>
      </c>
      <c r="E3574">
        <f t="shared" si="222"/>
        <v>12343.21</v>
      </c>
      <c r="F3574">
        <f t="shared" si="223"/>
        <v>484</v>
      </c>
    </row>
    <row r="3575" spans="1:6" x14ac:dyDescent="0.3">
      <c r="A3575">
        <v>5</v>
      </c>
      <c r="B3575">
        <v>92</v>
      </c>
      <c r="C3575">
        <f t="shared" si="220"/>
        <v>460</v>
      </c>
      <c r="D3575">
        <f t="shared" si="221"/>
        <v>25</v>
      </c>
      <c r="E3575">
        <f t="shared" si="222"/>
        <v>8464</v>
      </c>
      <c r="F3575">
        <f t="shared" si="223"/>
        <v>25</v>
      </c>
    </row>
    <row r="3576" spans="1:6" x14ac:dyDescent="0.3">
      <c r="A3576">
        <v>24</v>
      </c>
      <c r="B3576">
        <v>97.47</v>
      </c>
      <c r="C3576">
        <f t="shared" si="220"/>
        <v>2339.2799999999997</v>
      </c>
      <c r="D3576">
        <f t="shared" si="221"/>
        <v>576</v>
      </c>
      <c r="E3576">
        <f t="shared" si="222"/>
        <v>9500.4009000000005</v>
      </c>
      <c r="F3576">
        <f t="shared" si="223"/>
        <v>576</v>
      </c>
    </row>
    <row r="3577" spans="1:6" x14ac:dyDescent="0.3">
      <c r="A3577">
        <v>27</v>
      </c>
      <c r="B3577">
        <v>79.209999999999994</v>
      </c>
      <c r="C3577">
        <f t="shared" si="220"/>
        <v>2138.6699999999996</v>
      </c>
      <c r="D3577">
        <f t="shared" si="221"/>
        <v>729</v>
      </c>
      <c r="E3577">
        <f t="shared" si="222"/>
        <v>6274.2240999999995</v>
      </c>
      <c r="F3577">
        <f t="shared" si="223"/>
        <v>729</v>
      </c>
    </row>
    <row r="3578" spans="1:6" x14ac:dyDescent="0.3">
      <c r="A3578">
        <v>41</v>
      </c>
      <c r="B3578">
        <v>83.97</v>
      </c>
      <c r="C3578">
        <f t="shared" si="220"/>
        <v>3442.77</v>
      </c>
      <c r="D3578">
        <f t="shared" si="221"/>
        <v>1681</v>
      </c>
      <c r="E3578">
        <f t="shared" si="222"/>
        <v>7050.9609</v>
      </c>
      <c r="F3578">
        <f t="shared" si="223"/>
        <v>1681</v>
      </c>
    </row>
    <row r="3579" spans="1:6" x14ac:dyDescent="0.3">
      <c r="A3579">
        <v>20</v>
      </c>
      <c r="B3579">
        <v>98.55</v>
      </c>
      <c r="C3579">
        <f t="shared" si="220"/>
        <v>1971</v>
      </c>
      <c r="D3579">
        <f t="shared" si="221"/>
        <v>400</v>
      </c>
      <c r="E3579">
        <f t="shared" si="222"/>
        <v>9712.1024999999991</v>
      </c>
      <c r="F3579">
        <f t="shared" si="223"/>
        <v>400</v>
      </c>
    </row>
    <row r="3580" spans="1:6" x14ac:dyDescent="0.3">
      <c r="A3580">
        <v>71</v>
      </c>
      <c r="B3580">
        <v>202.98</v>
      </c>
      <c r="C3580">
        <f t="shared" si="220"/>
        <v>14411.58</v>
      </c>
      <c r="D3580">
        <f t="shared" si="221"/>
        <v>5041</v>
      </c>
      <c r="E3580">
        <f t="shared" si="222"/>
        <v>41200.880399999995</v>
      </c>
      <c r="F3580">
        <f t="shared" si="223"/>
        <v>5041</v>
      </c>
    </row>
    <row r="3581" spans="1:6" x14ac:dyDescent="0.3">
      <c r="A3581">
        <v>65</v>
      </c>
      <c r="B3581">
        <v>60.7</v>
      </c>
      <c r="C3581">
        <f t="shared" si="220"/>
        <v>3945.5</v>
      </c>
      <c r="D3581">
        <f t="shared" si="221"/>
        <v>4225</v>
      </c>
      <c r="E3581">
        <f t="shared" si="222"/>
        <v>3684.4900000000002</v>
      </c>
      <c r="F3581">
        <f t="shared" si="223"/>
        <v>4225</v>
      </c>
    </row>
    <row r="3582" spans="1:6" x14ac:dyDescent="0.3">
      <c r="A3582">
        <v>38</v>
      </c>
      <c r="B3582">
        <v>92.22</v>
      </c>
      <c r="C3582">
        <f t="shared" si="220"/>
        <v>3504.36</v>
      </c>
      <c r="D3582">
        <f t="shared" si="221"/>
        <v>1444</v>
      </c>
      <c r="E3582">
        <f t="shared" si="222"/>
        <v>8504.5283999999992</v>
      </c>
      <c r="F3582">
        <f t="shared" si="223"/>
        <v>1444</v>
      </c>
    </row>
    <row r="3583" spans="1:6" x14ac:dyDescent="0.3">
      <c r="A3583">
        <v>25</v>
      </c>
      <c r="B3583">
        <v>79.94</v>
      </c>
      <c r="C3583">
        <f t="shared" si="220"/>
        <v>1998.5</v>
      </c>
      <c r="D3583">
        <f t="shared" si="221"/>
        <v>625</v>
      </c>
      <c r="E3583">
        <f t="shared" si="222"/>
        <v>6390.4035999999996</v>
      </c>
      <c r="F3583">
        <f t="shared" si="223"/>
        <v>625</v>
      </c>
    </row>
    <row r="3584" spans="1:6" x14ac:dyDescent="0.3">
      <c r="A3584">
        <v>53</v>
      </c>
      <c r="B3584">
        <v>83.68</v>
      </c>
      <c r="C3584">
        <f t="shared" si="220"/>
        <v>4435.04</v>
      </c>
      <c r="D3584">
        <f t="shared" si="221"/>
        <v>2809</v>
      </c>
      <c r="E3584">
        <f t="shared" si="222"/>
        <v>7002.3424000000014</v>
      </c>
      <c r="F3584">
        <f t="shared" si="223"/>
        <v>2809</v>
      </c>
    </row>
    <row r="3585" spans="1:6" x14ac:dyDescent="0.3">
      <c r="A3585">
        <v>50</v>
      </c>
      <c r="B3585">
        <v>69.92</v>
      </c>
      <c r="C3585">
        <f t="shared" si="220"/>
        <v>3496</v>
      </c>
      <c r="D3585">
        <f t="shared" si="221"/>
        <v>2500</v>
      </c>
      <c r="E3585">
        <f t="shared" si="222"/>
        <v>4888.8064000000004</v>
      </c>
      <c r="F3585">
        <f t="shared" si="223"/>
        <v>2500</v>
      </c>
    </row>
    <row r="3586" spans="1:6" x14ac:dyDescent="0.3">
      <c r="A3586">
        <v>1.24</v>
      </c>
      <c r="B3586">
        <v>136.96</v>
      </c>
      <c r="C3586">
        <f t="shared" si="220"/>
        <v>169.8304</v>
      </c>
      <c r="D3586">
        <f t="shared" si="221"/>
        <v>1.5376000000000001</v>
      </c>
      <c r="E3586">
        <f t="shared" si="222"/>
        <v>18758.0416</v>
      </c>
      <c r="F3586">
        <f t="shared" si="223"/>
        <v>1.5376000000000001</v>
      </c>
    </row>
    <row r="3587" spans="1:6" x14ac:dyDescent="0.3">
      <c r="A3587">
        <v>55</v>
      </c>
      <c r="B3587">
        <v>95.32</v>
      </c>
      <c r="C3587">
        <f t="shared" ref="C3587:C3650" si="224">A3587*B3587</f>
        <v>5242.5999999999995</v>
      </c>
      <c r="D3587">
        <f t="shared" ref="D3587:D3650" si="225">A3587*A3587</f>
        <v>3025</v>
      </c>
      <c r="E3587">
        <f t="shared" ref="E3587:E3650" si="226">B3587*B3587</f>
        <v>9085.902399999999</v>
      </c>
      <c r="F3587">
        <f t="shared" ref="F3587:F3650" si="227">A3587^2</f>
        <v>3025</v>
      </c>
    </row>
    <row r="3588" spans="1:6" x14ac:dyDescent="0.3">
      <c r="A3588">
        <v>38</v>
      </c>
      <c r="B3588">
        <v>107.78</v>
      </c>
      <c r="C3588">
        <f t="shared" si="224"/>
        <v>4095.64</v>
      </c>
      <c r="D3588">
        <f t="shared" si="225"/>
        <v>1444</v>
      </c>
      <c r="E3588">
        <f t="shared" si="226"/>
        <v>11616.528400000001</v>
      </c>
      <c r="F3588">
        <f t="shared" si="227"/>
        <v>1444</v>
      </c>
    </row>
    <row r="3589" spans="1:6" x14ac:dyDescent="0.3">
      <c r="A3589">
        <v>72</v>
      </c>
      <c r="B3589">
        <v>198.32</v>
      </c>
      <c r="C3589">
        <f t="shared" si="224"/>
        <v>14279.039999999999</v>
      </c>
      <c r="D3589">
        <f t="shared" si="225"/>
        <v>5184</v>
      </c>
      <c r="E3589">
        <f t="shared" si="226"/>
        <v>39330.822399999997</v>
      </c>
      <c r="F3589">
        <f t="shared" si="227"/>
        <v>5184</v>
      </c>
    </row>
    <row r="3590" spans="1:6" x14ac:dyDescent="0.3">
      <c r="A3590">
        <v>43</v>
      </c>
      <c r="B3590">
        <v>100.16</v>
      </c>
      <c r="C3590">
        <f t="shared" si="224"/>
        <v>4306.88</v>
      </c>
      <c r="D3590">
        <f t="shared" si="225"/>
        <v>1849</v>
      </c>
      <c r="E3590">
        <f t="shared" si="226"/>
        <v>10032.025599999999</v>
      </c>
      <c r="F3590">
        <f t="shared" si="227"/>
        <v>1849</v>
      </c>
    </row>
    <row r="3591" spans="1:6" x14ac:dyDescent="0.3">
      <c r="A3591">
        <v>30</v>
      </c>
      <c r="B3591">
        <v>96.02</v>
      </c>
      <c r="C3591">
        <f t="shared" si="224"/>
        <v>2880.6</v>
      </c>
      <c r="D3591">
        <f t="shared" si="225"/>
        <v>900</v>
      </c>
      <c r="E3591">
        <f t="shared" si="226"/>
        <v>9219.8403999999991</v>
      </c>
      <c r="F3591">
        <f t="shared" si="227"/>
        <v>900</v>
      </c>
    </row>
    <row r="3592" spans="1:6" x14ac:dyDescent="0.3">
      <c r="A3592">
        <v>69</v>
      </c>
      <c r="B3592">
        <v>112.69</v>
      </c>
      <c r="C3592">
        <f t="shared" si="224"/>
        <v>7775.61</v>
      </c>
      <c r="D3592">
        <f t="shared" si="225"/>
        <v>4761</v>
      </c>
      <c r="E3592">
        <f t="shared" si="226"/>
        <v>12699.036099999999</v>
      </c>
      <c r="F3592">
        <f t="shared" si="227"/>
        <v>4761</v>
      </c>
    </row>
    <row r="3593" spans="1:6" x14ac:dyDescent="0.3">
      <c r="A3593">
        <v>61</v>
      </c>
      <c r="B3593">
        <v>60.61</v>
      </c>
      <c r="C3593">
        <f t="shared" si="224"/>
        <v>3697.21</v>
      </c>
      <c r="D3593">
        <f t="shared" si="225"/>
        <v>3721</v>
      </c>
      <c r="E3593">
        <f t="shared" si="226"/>
        <v>3673.5720999999999</v>
      </c>
      <c r="F3593">
        <f t="shared" si="227"/>
        <v>3721</v>
      </c>
    </row>
    <row r="3594" spans="1:6" x14ac:dyDescent="0.3">
      <c r="A3594">
        <v>34</v>
      </c>
      <c r="B3594">
        <v>79.77</v>
      </c>
      <c r="C3594">
        <f t="shared" si="224"/>
        <v>2712.18</v>
      </c>
      <c r="D3594">
        <f t="shared" si="225"/>
        <v>1156</v>
      </c>
      <c r="E3594">
        <f t="shared" si="226"/>
        <v>6363.2528999999995</v>
      </c>
      <c r="F3594">
        <f t="shared" si="227"/>
        <v>1156</v>
      </c>
    </row>
    <row r="3595" spans="1:6" x14ac:dyDescent="0.3">
      <c r="A3595">
        <v>43</v>
      </c>
      <c r="B3595">
        <v>87.41</v>
      </c>
      <c r="C3595">
        <f t="shared" si="224"/>
        <v>3758.6299999999997</v>
      </c>
      <c r="D3595">
        <f t="shared" si="225"/>
        <v>1849</v>
      </c>
      <c r="E3595">
        <f t="shared" si="226"/>
        <v>7640.5080999999991</v>
      </c>
      <c r="F3595">
        <f t="shared" si="227"/>
        <v>1849</v>
      </c>
    </row>
    <row r="3596" spans="1:6" x14ac:dyDescent="0.3">
      <c r="A3596">
        <v>62</v>
      </c>
      <c r="B3596">
        <v>226.38</v>
      </c>
      <c r="C3596">
        <f t="shared" si="224"/>
        <v>14035.56</v>
      </c>
      <c r="D3596">
        <f t="shared" si="225"/>
        <v>3844</v>
      </c>
      <c r="E3596">
        <f t="shared" si="226"/>
        <v>51247.904399999999</v>
      </c>
      <c r="F3596">
        <f t="shared" si="227"/>
        <v>3844</v>
      </c>
    </row>
    <row r="3597" spans="1:6" x14ac:dyDescent="0.3">
      <c r="A3597">
        <v>48</v>
      </c>
      <c r="B3597">
        <v>124.64</v>
      </c>
      <c r="C3597">
        <f t="shared" si="224"/>
        <v>5982.72</v>
      </c>
      <c r="D3597">
        <f t="shared" si="225"/>
        <v>2304</v>
      </c>
      <c r="E3597">
        <f t="shared" si="226"/>
        <v>15535.1296</v>
      </c>
      <c r="F3597">
        <f t="shared" si="227"/>
        <v>2304</v>
      </c>
    </row>
    <row r="3598" spans="1:6" x14ac:dyDescent="0.3">
      <c r="A3598">
        <v>37</v>
      </c>
      <c r="B3598">
        <v>69.42</v>
      </c>
      <c r="C3598">
        <f t="shared" si="224"/>
        <v>2568.54</v>
      </c>
      <c r="D3598">
        <f t="shared" si="225"/>
        <v>1369</v>
      </c>
      <c r="E3598">
        <f t="shared" si="226"/>
        <v>4819.1364000000003</v>
      </c>
      <c r="F3598">
        <f t="shared" si="227"/>
        <v>1369</v>
      </c>
    </row>
    <row r="3599" spans="1:6" x14ac:dyDescent="0.3">
      <c r="A3599">
        <v>64</v>
      </c>
      <c r="B3599">
        <v>77.680000000000007</v>
      </c>
      <c r="C3599">
        <f t="shared" si="224"/>
        <v>4971.5200000000004</v>
      </c>
      <c r="D3599">
        <f t="shared" si="225"/>
        <v>4096</v>
      </c>
      <c r="E3599">
        <f t="shared" si="226"/>
        <v>6034.1824000000015</v>
      </c>
      <c r="F3599">
        <f t="shared" si="227"/>
        <v>4096</v>
      </c>
    </row>
    <row r="3600" spans="1:6" x14ac:dyDescent="0.3">
      <c r="A3600">
        <v>51</v>
      </c>
      <c r="B3600">
        <v>112.79</v>
      </c>
      <c r="C3600">
        <f t="shared" si="224"/>
        <v>5752.29</v>
      </c>
      <c r="D3600">
        <f t="shared" si="225"/>
        <v>2601</v>
      </c>
      <c r="E3600">
        <f t="shared" si="226"/>
        <v>12721.584100000002</v>
      </c>
      <c r="F3600">
        <f t="shared" si="227"/>
        <v>2601</v>
      </c>
    </row>
    <row r="3601" spans="1:6" x14ac:dyDescent="0.3">
      <c r="A3601">
        <v>69</v>
      </c>
      <c r="B3601">
        <v>236.79</v>
      </c>
      <c r="C3601">
        <f t="shared" si="224"/>
        <v>16338.51</v>
      </c>
      <c r="D3601">
        <f t="shared" si="225"/>
        <v>4761</v>
      </c>
      <c r="E3601">
        <f t="shared" si="226"/>
        <v>56069.504099999998</v>
      </c>
      <c r="F3601">
        <f t="shared" si="227"/>
        <v>4761</v>
      </c>
    </row>
    <row r="3602" spans="1:6" x14ac:dyDescent="0.3">
      <c r="A3602">
        <v>75</v>
      </c>
      <c r="B3602">
        <v>219.82</v>
      </c>
      <c r="C3602">
        <f t="shared" si="224"/>
        <v>16486.5</v>
      </c>
      <c r="D3602">
        <f t="shared" si="225"/>
        <v>5625</v>
      </c>
      <c r="E3602">
        <f t="shared" si="226"/>
        <v>48320.832399999999</v>
      </c>
      <c r="F3602">
        <f t="shared" si="227"/>
        <v>5625</v>
      </c>
    </row>
    <row r="3603" spans="1:6" x14ac:dyDescent="0.3">
      <c r="A3603">
        <v>27</v>
      </c>
      <c r="B3603">
        <v>82.05</v>
      </c>
      <c r="C3603">
        <f t="shared" si="224"/>
        <v>2215.35</v>
      </c>
      <c r="D3603">
        <f t="shared" si="225"/>
        <v>729</v>
      </c>
      <c r="E3603">
        <f t="shared" si="226"/>
        <v>6732.2024999999994</v>
      </c>
      <c r="F3603">
        <f t="shared" si="227"/>
        <v>729</v>
      </c>
    </row>
    <row r="3604" spans="1:6" x14ac:dyDescent="0.3">
      <c r="A3604">
        <v>49</v>
      </c>
      <c r="B3604">
        <v>104.08</v>
      </c>
      <c r="C3604">
        <f t="shared" si="224"/>
        <v>5099.92</v>
      </c>
      <c r="D3604">
        <f t="shared" si="225"/>
        <v>2401</v>
      </c>
      <c r="E3604">
        <f t="shared" si="226"/>
        <v>10832.6464</v>
      </c>
      <c r="F3604">
        <f t="shared" si="227"/>
        <v>2401</v>
      </c>
    </row>
    <row r="3605" spans="1:6" x14ac:dyDescent="0.3">
      <c r="A3605">
        <v>82</v>
      </c>
      <c r="B3605">
        <v>101.57</v>
      </c>
      <c r="C3605">
        <f t="shared" si="224"/>
        <v>8328.74</v>
      </c>
      <c r="D3605">
        <f t="shared" si="225"/>
        <v>6724</v>
      </c>
      <c r="E3605">
        <f t="shared" si="226"/>
        <v>10316.464899999999</v>
      </c>
      <c r="F3605">
        <f t="shared" si="227"/>
        <v>6724</v>
      </c>
    </row>
    <row r="3606" spans="1:6" x14ac:dyDescent="0.3">
      <c r="A3606">
        <v>36</v>
      </c>
      <c r="B3606">
        <v>71.319999999999993</v>
      </c>
      <c r="C3606">
        <f t="shared" si="224"/>
        <v>2567.5199999999995</v>
      </c>
      <c r="D3606">
        <f t="shared" si="225"/>
        <v>1296</v>
      </c>
      <c r="E3606">
        <f t="shared" si="226"/>
        <v>5086.5423999999994</v>
      </c>
      <c r="F3606">
        <f t="shared" si="227"/>
        <v>1296</v>
      </c>
    </row>
    <row r="3607" spans="1:6" x14ac:dyDescent="0.3">
      <c r="A3607">
        <v>1.88</v>
      </c>
      <c r="B3607">
        <v>143.97</v>
      </c>
      <c r="C3607">
        <f t="shared" si="224"/>
        <v>270.66359999999997</v>
      </c>
      <c r="D3607">
        <f t="shared" si="225"/>
        <v>3.5343999999999998</v>
      </c>
      <c r="E3607">
        <f t="shared" si="226"/>
        <v>20727.3609</v>
      </c>
      <c r="F3607">
        <f t="shared" si="227"/>
        <v>3.5343999999999998</v>
      </c>
    </row>
    <row r="3608" spans="1:6" x14ac:dyDescent="0.3">
      <c r="A3608">
        <v>45</v>
      </c>
      <c r="B3608">
        <v>239.19</v>
      </c>
      <c r="C3608">
        <f t="shared" si="224"/>
        <v>10763.55</v>
      </c>
      <c r="D3608">
        <f t="shared" si="225"/>
        <v>2025</v>
      </c>
      <c r="E3608">
        <f t="shared" si="226"/>
        <v>57211.856099999997</v>
      </c>
      <c r="F3608">
        <f t="shared" si="227"/>
        <v>2025</v>
      </c>
    </row>
    <row r="3609" spans="1:6" x14ac:dyDescent="0.3">
      <c r="A3609">
        <v>64</v>
      </c>
      <c r="B3609">
        <v>78.45</v>
      </c>
      <c r="C3609">
        <f t="shared" si="224"/>
        <v>5020.8</v>
      </c>
      <c r="D3609">
        <f t="shared" si="225"/>
        <v>4096</v>
      </c>
      <c r="E3609">
        <f t="shared" si="226"/>
        <v>6154.4025000000001</v>
      </c>
      <c r="F3609">
        <f t="shared" si="227"/>
        <v>4096</v>
      </c>
    </row>
    <row r="3610" spans="1:6" x14ac:dyDescent="0.3">
      <c r="A3610">
        <v>32</v>
      </c>
      <c r="B3610">
        <v>61.11</v>
      </c>
      <c r="C3610">
        <f t="shared" si="224"/>
        <v>1955.52</v>
      </c>
      <c r="D3610">
        <f t="shared" si="225"/>
        <v>1024</v>
      </c>
      <c r="E3610">
        <f t="shared" si="226"/>
        <v>3734.4321</v>
      </c>
      <c r="F3610">
        <f t="shared" si="227"/>
        <v>1024</v>
      </c>
    </row>
    <row r="3611" spans="1:6" x14ac:dyDescent="0.3">
      <c r="A3611">
        <v>15</v>
      </c>
      <c r="B3611">
        <v>87.29</v>
      </c>
      <c r="C3611">
        <f t="shared" si="224"/>
        <v>1309.3500000000001</v>
      </c>
      <c r="D3611">
        <f t="shared" si="225"/>
        <v>225</v>
      </c>
      <c r="E3611">
        <f t="shared" si="226"/>
        <v>7619.544100000001</v>
      </c>
      <c r="F3611">
        <f t="shared" si="227"/>
        <v>225</v>
      </c>
    </row>
    <row r="3612" spans="1:6" x14ac:dyDescent="0.3">
      <c r="A3612">
        <v>1.64</v>
      </c>
      <c r="B3612">
        <v>82.49</v>
      </c>
      <c r="C3612">
        <f t="shared" si="224"/>
        <v>135.28359999999998</v>
      </c>
      <c r="D3612">
        <f t="shared" si="225"/>
        <v>2.6895999999999995</v>
      </c>
      <c r="E3612">
        <f t="shared" si="226"/>
        <v>6804.6000999999987</v>
      </c>
      <c r="F3612">
        <f t="shared" si="227"/>
        <v>2.6895999999999995</v>
      </c>
    </row>
    <row r="3613" spans="1:6" x14ac:dyDescent="0.3">
      <c r="A3613">
        <v>34</v>
      </c>
      <c r="B3613">
        <v>83.15</v>
      </c>
      <c r="C3613">
        <f t="shared" si="224"/>
        <v>2827.1000000000004</v>
      </c>
      <c r="D3613">
        <f t="shared" si="225"/>
        <v>1156</v>
      </c>
      <c r="E3613">
        <f t="shared" si="226"/>
        <v>6913.9225000000006</v>
      </c>
      <c r="F3613">
        <f t="shared" si="227"/>
        <v>1156</v>
      </c>
    </row>
    <row r="3614" spans="1:6" x14ac:dyDescent="0.3">
      <c r="A3614">
        <v>17</v>
      </c>
      <c r="B3614">
        <v>83.26</v>
      </c>
      <c r="C3614">
        <f t="shared" si="224"/>
        <v>1415.42</v>
      </c>
      <c r="D3614">
        <f t="shared" si="225"/>
        <v>289</v>
      </c>
      <c r="E3614">
        <f t="shared" si="226"/>
        <v>6932.2276000000011</v>
      </c>
      <c r="F3614">
        <f t="shared" si="227"/>
        <v>289</v>
      </c>
    </row>
    <row r="3615" spans="1:6" x14ac:dyDescent="0.3">
      <c r="A3615">
        <v>76</v>
      </c>
      <c r="B3615">
        <v>78.7</v>
      </c>
      <c r="C3615">
        <f t="shared" si="224"/>
        <v>5981.2</v>
      </c>
      <c r="D3615">
        <f t="shared" si="225"/>
        <v>5776</v>
      </c>
      <c r="E3615">
        <f t="shared" si="226"/>
        <v>6193.6900000000005</v>
      </c>
      <c r="F3615">
        <f t="shared" si="227"/>
        <v>5776</v>
      </c>
    </row>
    <row r="3616" spans="1:6" x14ac:dyDescent="0.3">
      <c r="A3616">
        <v>61</v>
      </c>
      <c r="B3616">
        <v>111.94</v>
      </c>
      <c r="C3616">
        <f t="shared" si="224"/>
        <v>6828.34</v>
      </c>
      <c r="D3616">
        <f t="shared" si="225"/>
        <v>3721</v>
      </c>
      <c r="E3616">
        <f t="shared" si="226"/>
        <v>12530.563599999999</v>
      </c>
      <c r="F3616">
        <f t="shared" si="227"/>
        <v>3721</v>
      </c>
    </row>
    <row r="3617" spans="1:6" x14ac:dyDescent="0.3">
      <c r="A3617">
        <v>30</v>
      </c>
      <c r="B3617">
        <v>104.77</v>
      </c>
      <c r="C3617">
        <f t="shared" si="224"/>
        <v>3143.1</v>
      </c>
      <c r="D3617">
        <f t="shared" si="225"/>
        <v>900</v>
      </c>
      <c r="E3617">
        <f t="shared" si="226"/>
        <v>10976.752899999999</v>
      </c>
      <c r="F3617">
        <f t="shared" si="227"/>
        <v>900</v>
      </c>
    </row>
    <row r="3618" spans="1:6" x14ac:dyDescent="0.3">
      <c r="A3618">
        <v>18</v>
      </c>
      <c r="B3618">
        <v>104.26</v>
      </c>
      <c r="C3618">
        <f t="shared" si="224"/>
        <v>1876.68</v>
      </c>
      <c r="D3618">
        <f t="shared" si="225"/>
        <v>324</v>
      </c>
      <c r="E3618">
        <f t="shared" si="226"/>
        <v>10870.1476</v>
      </c>
      <c r="F3618">
        <f t="shared" si="227"/>
        <v>324</v>
      </c>
    </row>
    <row r="3619" spans="1:6" x14ac:dyDescent="0.3">
      <c r="A3619">
        <v>48</v>
      </c>
      <c r="B3619">
        <v>113.84</v>
      </c>
      <c r="C3619">
        <f t="shared" si="224"/>
        <v>5464.32</v>
      </c>
      <c r="D3619">
        <f t="shared" si="225"/>
        <v>2304</v>
      </c>
      <c r="E3619">
        <f t="shared" si="226"/>
        <v>12959.545600000001</v>
      </c>
      <c r="F3619">
        <f t="shared" si="227"/>
        <v>2304</v>
      </c>
    </row>
    <row r="3620" spans="1:6" x14ac:dyDescent="0.3">
      <c r="A3620">
        <v>0.16</v>
      </c>
      <c r="B3620">
        <v>114.71</v>
      </c>
      <c r="C3620">
        <f t="shared" si="224"/>
        <v>18.3536</v>
      </c>
      <c r="D3620">
        <f t="shared" si="225"/>
        <v>2.5600000000000001E-2</v>
      </c>
      <c r="E3620">
        <f t="shared" si="226"/>
        <v>13158.384099999999</v>
      </c>
      <c r="F3620">
        <f t="shared" si="227"/>
        <v>2.5600000000000001E-2</v>
      </c>
    </row>
    <row r="3621" spans="1:6" x14ac:dyDescent="0.3">
      <c r="A3621">
        <v>4</v>
      </c>
      <c r="B3621">
        <v>61.54</v>
      </c>
      <c r="C3621">
        <f t="shared" si="224"/>
        <v>246.16</v>
      </c>
      <c r="D3621">
        <f t="shared" si="225"/>
        <v>16</v>
      </c>
      <c r="E3621">
        <f t="shared" si="226"/>
        <v>3787.1715999999997</v>
      </c>
      <c r="F3621">
        <f t="shared" si="227"/>
        <v>16</v>
      </c>
    </row>
    <row r="3622" spans="1:6" x14ac:dyDescent="0.3">
      <c r="A3622">
        <v>38</v>
      </c>
      <c r="B3622">
        <v>133.62</v>
      </c>
      <c r="C3622">
        <f t="shared" si="224"/>
        <v>5077.5600000000004</v>
      </c>
      <c r="D3622">
        <f t="shared" si="225"/>
        <v>1444</v>
      </c>
      <c r="E3622">
        <f t="shared" si="226"/>
        <v>17854.304400000001</v>
      </c>
      <c r="F3622">
        <f t="shared" si="227"/>
        <v>1444</v>
      </c>
    </row>
    <row r="3623" spans="1:6" x14ac:dyDescent="0.3">
      <c r="A3623">
        <v>27</v>
      </c>
      <c r="B3623">
        <v>111.96</v>
      </c>
      <c r="C3623">
        <f t="shared" si="224"/>
        <v>3022.9199999999996</v>
      </c>
      <c r="D3623">
        <f t="shared" si="225"/>
        <v>729</v>
      </c>
      <c r="E3623">
        <f t="shared" si="226"/>
        <v>12535.041599999999</v>
      </c>
      <c r="F3623">
        <f t="shared" si="227"/>
        <v>729</v>
      </c>
    </row>
    <row r="3624" spans="1:6" x14ac:dyDescent="0.3">
      <c r="A3624">
        <v>50</v>
      </c>
      <c r="B3624">
        <v>112.44</v>
      </c>
      <c r="C3624">
        <f t="shared" si="224"/>
        <v>5622</v>
      </c>
      <c r="D3624">
        <f t="shared" si="225"/>
        <v>2500</v>
      </c>
      <c r="E3624">
        <f t="shared" si="226"/>
        <v>12642.7536</v>
      </c>
      <c r="F3624">
        <f t="shared" si="227"/>
        <v>2500</v>
      </c>
    </row>
    <row r="3625" spans="1:6" x14ac:dyDescent="0.3">
      <c r="A3625">
        <v>19</v>
      </c>
      <c r="B3625">
        <v>123.61</v>
      </c>
      <c r="C3625">
        <f t="shared" si="224"/>
        <v>2348.59</v>
      </c>
      <c r="D3625">
        <f t="shared" si="225"/>
        <v>361</v>
      </c>
      <c r="E3625">
        <f t="shared" si="226"/>
        <v>15279.4321</v>
      </c>
      <c r="F3625">
        <f t="shared" si="227"/>
        <v>361</v>
      </c>
    </row>
    <row r="3626" spans="1:6" x14ac:dyDescent="0.3">
      <c r="A3626">
        <v>8</v>
      </c>
      <c r="B3626">
        <v>84.68</v>
      </c>
      <c r="C3626">
        <f t="shared" si="224"/>
        <v>677.44</v>
      </c>
      <c r="D3626">
        <f t="shared" si="225"/>
        <v>64</v>
      </c>
      <c r="E3626">
        <f t="shared" si="226"/>
        <v>7170.702400000001</v>
      </c>
      <c r="F3626">
        <f t="shared" si="227"/>
        <v>64</v>
      </c>
    </row>
    <row r="3627" spans="1:6" x14ac:dyDescent="0.3">
      <c r="A3627">
        <v>78</v>
      </c>
      <c r="B3627">
        <v>206.62</v>
      </c>
      <c r="C3627">
        <f t="shared" si="224"/>
        <v>16116.36</v>
      </c>
      <c r="D3627">
        <f t="shared" si="225"/>
        <v>6084</v>
      </c>
      <c r="E3627">
        <f t="shared" si="226"/>
        <v>42691.824400000005</v>
      </c>
      <c r="F3627">
        <f t="shared" si="227"/>
        <v>6084</v>
      </c>
    </row>
    <row r="3628" spans="1:6" x14ac:dyDescent="0.3">
      <c r="A3628">
        <v>0.8</v>
      </c>
      <c r="B3628">
        <v>114.54</v>
      </c>
      <c r="C3628">
        <f t="shared" si="224"/>
        <v>91.632000000000005</v>
      </c>
      <c r="D3628">
        <f t="shared" si="225"/>
        <v>0.64000000000000012</v>
      </c>
      <c r="E3628">
        <f t="shared" si="226"/>
        <v>13119.411600000001</v>
      </c>
      <c r="F3628">
        <f t="shared" si="227"/>
        <v>0.64000000000000012</v>
      </c>
    </row>
    <row r="3629" spans="1:6" x14ac:dyDescent="0.3">
      <c r="A3629">
        <v>53</v>
      </c>
      <c r="B3629">
        <v>216.88</v>
      </c>
      <c r="C3629">
        <f t="shared" si="224"/>
        <v>11494.64</v>
      </c>
      <c r="D3629">
        <f t="shared" si="225"/>
        <v>2809</v>
      </c>
      <c r="E3629">
        <f t="shared" si="226"/>
        <v>47036.934399999998</v>
      </c>
      <c r="F3629">
        <f t="shared" si="227"/>
        <v>2809</v>
      </c>
    </row>
    <row r="3630" spans="1:6" x14ac:dyDescent="0.3">
      <c r="A3630">
        <v>73</v>
      </c>
      <c r="B3630">
        <v>110.38</v>
      </c>
      <c r="C3630">
        <f t="shared" si="224"/>
        <v>8057.74</v>
      </c>
      <c r="D3630">
        <f t="shared" si="225"/>
        <v>5329</v>
      </c>
      <c r="E3630">
        <f t="shared" si="226"/>
        <v>12183.7444</v>
      </c>
      <c r="F3630">
        <f t="shared" si="227"/>
        <v>5329</v>
      </c>
    </row>
    <row r="3631" spans="1:6" x14ac:dyDescent="0.3">
      <c r="A3631">
        <v>34</v>
      </c>
      <c r="B3631">
        <v>99.23</v>
      </c>
      <c r="C3631">
        <f t="shared" si="224"/>
        <v>3373.82</v>
      </c>
      <c r="D3631">
        <f t="shared" si="225"/>
        <v>1156</v>
      </c>
      <c r="E3631">
        <f t="shared" si="226"/>
        <v>9846.5929000000015</v>
      </c>
      <c r="F3631">
        <f t="shared" si="227"/>
        <v>1156</v>
      </c>
    </row>
    <row r="3632" spans="1:6" x14ac:dyDescent="0.3">
      <c r="A3632">
        <v>58</v>
      </c>
      <c r="B3632">
        <v>204.92</v>
      </c>
      <c r="C3632">
        <f t="shared" si="224"/>
        <v>11885.359999999999</v>
      </c>
      <c r="D3632">
        <f t="shared" si="225"/>
        <v>3364</v>
      </c>
      <c r="E3632">
        <f t="shared" si="226"/>
        <v>41992.206399999995</v>
      </c>
      <c r="F3632">
        <f t="shared" si="227"/>
        <v>3364</v>
      </c>
    </row>
    <row r="3633" spans="1:6" x14ac:dyDescent="0.3">
      <c r="A3633">
        <v>62</v>
      </c>
      <c r="B3633">
        <v>56.74</v>
      </c>
      <c r="C3633">
        <f t="shared" si="224"/>
        <v>3517.88</v>
      </c>
      <c r="D3633">
        <f t="shared" si="225"/>
        <v>3844</v>
      </c>
      <c r="E3633">
        <f t="shared" si="226"/>
        <v>3219.4276000000004</v>
      </c>
      <c r="F3633">
        <f t="shared" si="227"/>
        <v>3844</v>
      </c>
    </row>
    <row r="3634" spans="1:6" x14ac:dyDescent="0.3">
      <c r="A3634">
        <v>78</v>
      </c>
      <c r="B3634">
        <v>68.349999999999994</v>
      </c>
      <c r="C3634">
        <f t="shared" si="224"/>
        <v>5331.2999999999993</v>
      </c>
      <c r="D3634">
        <f t="shared" si="225"/>
        <v>6084</v>
      </c>
      <c r="E3634">
        <f t="shared" si="226"/>
        <v>4671.7224999999989</v>
      </c>
      <c r="F3634">
        <f t="shared" si="227"/>
        <v>6084</v>
      </c>
    </row>
    <row r="3635" spans="1:6" x14ac:dyDescent="0.3">
      <c r="A3635">
        <v>51</v>
      </c>
      <c r="B3635">
        <v>83.52</v>
      </c>
      <c r="C3635">
        <f t="shared" si="224"/>
        <v>4259.5199999999995</v>
      </c>
      <c r="D3635">
        <f t="shared" si="225"/>
        <v>2601</v>
      </c>
      <c r="E3635">
        <f t="shared" si="226"/>
        <v>6975.5903999999991</v>
      </c>
      <c r="F3635">
        <f t="shared" si="227"/>
        <v>2601</v>
      </c>
    </row>
    <row r="3636" spans="1:6" x14ac:dyDescent="0.3">
      <c r="A3636">
        <v>78</v>
      </c>
      <c r="B3636">
        <v>59.74</v>
      </c>
      <c r="C3636">
        <f t="shared" si="224"/>
        <v>4659.72</v>
      </c>
      <c r="D3636">
        <f t="shared" si="225"/>
        <v>6084</v>
      </c>
      <c r="E3636">
        <f t="shared" si="226"/>
        <v>3568.8676</v>
      </c>
      <c r="F3636">
        <f t="shared" si="227"/>
        <v>6084</v>
      </c>
    </row>
    <row r="3637" spans="1:6" x14ac:dyDescent="0.3">
      <c r="A3637">
        <v>40</v>
      </c>
      <c r="B3637">
        <v>81.59</v>
      </c>
      <c r="C3637">
        <f t="shared" si="224"/>
        <v>3263.6000000000004</v>
      </c>
      <c r="D3637">
        <f t="shared" si="225"/>
        <v>1600</v>
      </c>
      <c r="E3637">
        <f t="shared" si="226"/>
        <v>6656.928100000001</v>
      </c>
      <c r="F3637">
        <f t="shared" si="227"/>
        <v>1600</v>
      </c>
    </row>
    <row r="3638" spans="1:6" x14ac:dyDescent="0.3">
      <c r="A3638">
        <v>35</v>
      </c>
      <c r="B3638">
        <v>123.83</v>
      </c>
      <c r="C3638">
        <f t="shared" si="224"/>
        <v>4334.05</v>
      </c>
      <c r="D3638">
        <f t="shared" si="225"/>
        <v>1225</v>
      </c>
      <c r="E3638">
        <f t="shared" si="226"/>
        <v>15333.868899999999</v>
      </c>
      <c r="F3638">
        <f t="shared" si="227"/>
        <v>1225</v>
      </c>
    </row>
    <row r="3639" spans="1:6" x14ac:dyDescent="0.3">
      <c r="A3639">
        <v>82</v>
      </c>
      <c r="B3639">
        <v>226.84</v>
      </c>
      <c r="C3639">
        <f t="shared" si="224"/>
        <v>18600.88</v>
      </c>
      <c r="D3639">
        <f t="shared" si="225"/>
        <v>6724</v>
      </c>
      <c r="E3639">
        <f t="shared" si="226"/>
        <v>51456.385600000001</v>
      </c>
      <c r="F3639">
        <f t="shared" si="227"/>
        <v>6724</v>
      </c>
    </row>
    <row r="3640" spans="1:6" x14ac:dyDescent="0.3">
      <c r="A3640">
        <v>46</v>
      </c>
      <c r="B3640">
        <v>93.2</v>
      </c>
      <c r="C3640">
        <f t="shared" si="224"/>
        <v>4287.2</v>
      </c>
      <c r="D3640">
        <f t="shared" si="225"/>
        <v>2116</v>
      </c>
      <c r="E3640">
        <f t="shared" si="226"/>
        <v>8686.24</v>
      </c>
      <c r="F3640">
        <f t="shared" si="227"/>
        <v>2116</v>
      </c>
    </row>
    <row r="3641" spans="1:6" x14ac:dyDescent="0.3">
      <c r="A3641">
        <v>51</v>
      </c>
      <c r="B3641">
        <v>85.84</v>
      </c>
      <c r="C3641">
        <f t="shared" si="224"/>
        <v>4377.84</v>
      </c>
      <c r="D3641">
        <f t="shared" si="225"/>
        <v>2601</v>
      </c>
      <c r="E3641">
        <f t="shared" si="226"/>
        <v>7368.5056000000004</v>
      </c>
      <c r="F3641">
        <f t="shared" si="227"/>
        <v>2601</v>
      </c>
    </row>
    <row r="3642" spans="1:6" x14ac:dyDescent="0.3">
      <c r="A3642">
        <v>53</v>
      </c>
      <c r="B3642">
        <v>74.64</v>
      </c>
      <c r="C3642">
        <f t="shared" si="224"/>
        <v>3955.92</v>
      </c>
      <c r="D3642">
        <f t="shared" si="225"/>
        <v>2809</v>
      </c>
      <c r="E3642">
        <f t="shared" si="226"/>
        <v>5571.1296000000002</v>
      </c>
      <c r="F3642">
        <f t="shared" si="227"/>
        <v>2809</v>
      </c>
    </row>
    <row r="3643" spans="1:6" x14ac:dyDescent="0.3">
      <c r="A3643">
        <v>55</v>
      </c>
      <c r="B3643">
        <v>80.17</v>
      </c>
      <c r="C3643">
        <f t="shared" si="224"/>
        <v>4409.3500000000004</v>
      </c>
      <c r="D3643">
        <f t="shared" si="225"/>
        <v>3025</v>
      </c>
      <c r="E3643">
        <f t="shared" si="226"/>
        <v>6427.2289000000001</v>
      </c>
      <c r="F3643">
        <f t="shared" si="227"/>
        <v>3025</v>
      </c>
    </row>
    <row r="3644" spans="1:6" x14ac:dyDescent="0.3">
      <c r="A3644">
        <v>43</v>
      </c>
      <c r="B3644">
        <v>85.03</v>
      </c>
      <c r="C3644">
        <f t="shared" si="224"/>
        <v>3656.29</v>
      </c>
      <c r="D3644">
        <f t="shared" si="225"/>
        <v>1849</v>
      </c>
      <c r="E3644">
        <f t="shared" si="226"/>
        <v>7230.1009000000004</v>
      </c>
      <c r="F3644">
        <f t="shared" si="227"/>
        <v>1849</v>
      </c>
    </row>
    <row r="3645" spans="1:6" x14ac:dyDescent="0.3">
      <c r="A3645">
        <v>81</v>
      </c>
      <c r="B3645">
        <v>234.35</v>
      </c>
      <c r="C3645">
        <f t="shared" si="224"/>
        <v>18982.349999999999</v>
      </c>
      <c r="D3645">
        <f t="shared" si="225"/>
        <v>6561</v>
      </c>
      <c r="E3645">
        <f t="shared" si="226"/>
        <v>54919.922500000001</v>
      </c>
      <c r="F3645">
        <f t="shared" si="227"/>
        <v>6561</v>
      </c>
    </row>
    <row r="3646" spans="1:6" x14ac:dyDescent="0.3">
      <c r="A3646">
        <v>12</v>
      </c>
      <c r="B3646">
        <v>116.25</v>
      </c>
      <c r="C3646">
        <f t="shared" si="224"/>
        <v>1395</v>
      </c>
      <c r="D3646">
        <f t="shared" si="225"/>
        <v>144</v>
      </c>
      <c r="E3646">
        <f t="shared" si="226"/>
        <v>13514.0625</v>
      </c>
      <c r="F3646">
        <f t="shared" si="227"/>
        <v>144</v>
      </c>
    </row>
    <row r="3647" spans="1:6" x14ac:dyDescent="0.3">
      <c r="A3647">
        <v>20</v>
      </c>
      <c r="B3647">
        <v>66.55</v>
      </c>
      <c r="C3647">
        <f t="shared" si="224"/>
        <v>1331</v>
      </c>
      <c r="D3647">
        <f t="shared" si="225"/>
        <v>400</v>
      </c>
      <c r="E3647">
        <f t="shared" si="226"/>
        <v>4428.9024999999992</v>
      </c>
      <c r="F3647">
        <f t="shared" si="227"/>
        <v>400</v>
      </c>
    </row>
    <row r="3648" spans="1:6" x14ac:dyDescent="0.3">
      <c r="A3648">
        <v>53</v>
      </c>
      <c r="B3648">
        <v>88.38</v>
      </c>
      <c r="C3648">
        <f t="shared" si="224"/>
        <v>4684.1399999999994</v>
      </c>
      <c r="D3648">
        <f t="shared" si="225"/>
        <v>2809</v>
      </c>
      <c r="E3648">
        <f t="shared" si="226"/>
        <v>7811.0243999999993</v>
      </c>
      <c r="F3648">
        <f t="shared" si="227"/>
        <v>2809</v>
      </c>
    </row>
    <row r="3649" spans="1:6" x14ac:dyDescent="0.3">
      <c r="A3649">
        <v>1.32</v>
      </c>
      <c r="B3649">
        <v>81.05</v>
      </c>
      <c r="C3649">
        <f t="shared" si="224"/>
        <v>106.986</v>
      </c>
      <c r="D3649">
        <f t="shared" si="225"/>
        <v>1.7424000000000002</v>
      </c>
      <c r="E3649">
        <f t="shared" si="226"/>
        <v>6569.1025</v>
      </c>
      <c r="F3649">
        <f t="shared" si="227"/>
        <v>1.7424000000000002</v>
      </c>
    </row>
    <row r="3650" spans="1:6" x14ac:dyDescent="0.3">
      <c r="A3650">
        <v>22</v>
      </c>
      <c r="B3650">
        <v>68.400000000000006</v>
      </c>
      <c r="C3650">
        <f t="shared" si="224"/>
        <v>1504.8000000000002</v>
      </c>
      <c r="D3650">
        <f t="shared" si="225"/>
        <v>484</v>
      </c>
      <c r="E3650">
        <f t="shared" si="226"/>
        <v>4678.5600000000004</v>
      </c>
      <c r="F3650">
        <f t="shared" si="227"/>
        <v>484</v>
      </c>
    </row>
    <row r="3651" spans="1:6" x14ac:dyDescent="0.3">
      <c r="A3651">
        <v>75</v>
      </c>
      <c r="B3651">
        <v>96.95</v>
      </c>
      <c r="C3651">
        <f t="shared" ref="C3651:C3714" si="228">A3651*B3651</f>
        <v>7271.25</v>
      </c>
      <c r="D3651">
        <f t="shared" ref="D3651:D3714" si="229">A3651*A3651</f>
        <v>5625</v>
      </c>
      <c r="E3651">
        <f t="shared" ref="E3651:E3714" si="230">B3651*B3651</f>
        <v>9399.3024999999998</v>
      </c>
      <c r="F3651">
        <f t="shared" ref="F3651:F3714" si="231">A3651^2</f>
        <v>5625</v>
      </c>
    </row>
    <row r="3652" spans="1:6" x14ac:dyDescent="0.3">
      <c r="A3652">
        <v>66</v>
      </c>
      <c r="B3652">
        <v>66.239999999999995</v>
      </c>
      <c r="C3652">
        <f t="shared" si="228"/>
        <v>4371.8399999999992</v>
      </c>
      <c r="D3652">
        <f t="shared" si="229"/>
        <v>4356</v>
      </c>
      <c r="E3652">
        <f t="shared" si="230"/>
        <v>4387.7375999999995</v>
      </c>
      <c r="F3652">
        <f t="shared" si="231"/>
        <v>4356</v>
      </c>
    </row>
    <row r="3653" spans="1:6" x14ac:dyDescent="0.3">
      <c r="A3653">
        <v>7</v>
      </c>
      <c r="B3653">
        <v>91.81</v>
      </c>
      <c r="C3653">
        <f t="shared" si="228"/>
        <v>642.67000000000007</v>
      </c>
      <c r="D3653">
        <f t="shared" si="229"/>
        <v>49</v>
      </c>
      <c r="E3653">
        <f t="shared" si="230"/>
        <v>8429.0761000000002</v>
      </c>
      <c r="F3653">
        <f t="shared" si="231"/>
        <v>49</v>
      </c>
    </row>
    <row r="3654" spans="1:6" x14ac:dyDescent="0.3">
      <c r="A3654">
        <v>26</v>
      </c>
      <c r="B3654">
        <v>84.86</v>
      </c>
      <c r="C3654">
        <f t="shared" si="228"/>
        <v>2206.36</v>
      </c>
      <c r="D3654">
        <f t="shared" si="229"/>
        <v>676</v>
      </c>
      <c r="E3654">
        <f t="shared" si="230"/>
        <v>7201.2196000000004</v>
      </c>
      <c r="F3654">
        <f t="shared" si="231"/>
        <v>676</v>
      </c>
    </row>
    <row r="3655" spans="1:6" x14ac:dyDescent="0.3">
      <c r="A3655">
        <v>14</v>
      </c>
      <c r="B3655">
        <v>118.88</v>
      </c>
      <c r="C3655">
        <f t="shared" si="228"/>
        <v>1664.32</v>
      </c>
      <c r="D3655">
        <f t="shared" si="229"/>
        <v>196</v>
      </c>
      <c r="E3655">
        <f t="shared" si="230"/>
        <v>14132.454399999999</v>
      </c>
      <c r="F3655">
        <f t="shared" si="231"/>
        <v>196</v>
      </c>
    </row>
    <row r="3656" spans="1:6" x14ac:dyDescent="0.3">
      <c r="A3656">
        <v>32</v>
      </c>
      <c r="B3656">
        <v>85.91</v>
      </c>
      <c r="C3656">
        <f t="shared" si="228"/>
        <v>2749.12</v>
      </c>
      <c r="D3656">
        <f t="shared" si="229"/>
        <v>1024</v>
      </c>
      <c r="E3656">
        <f t="shared" si="230"/>
        <v>7380.5280999999995</v>
      </c>
      <c r="F3656">
        <f t="shared" si="231"/>
        <v>1024</v>
      </c>
    </row>
    <row r="3657" spans="1:6" x14ac:dyDescent="0.3">
      <c r="A3657">
        <v>6</v>
      </c>
      <c r="B3657">
        <v>115.4</v>
      </c>
      <c r="C3657">
        <f t="shared" si="228"/>
        <v>692.40000000000009</v>
      </c>
      <c r="D3657">
        <f t="shared" si="229"/>
        <v>36</v>
      </c>
      <c r="E3657">
        <f t="shared" si="230"/>
        <v>13317.160000000002</v>
      </c>
      <c r="F3657">
        <f t="shared" si="231"/>
        <v>36</v>
      </c>
    </row>
    <row r="3658" spans="1:6" x14ac:dyDescent="0.3">
      <c r="A3658">
        <v>42</v>
      </c>
      <c r="B3658">
        <v>75.34</v>
      </c>
      <c r="C3658">
        <f t="shared" si="228"/>
        <v>3164.28</v>
      </c>
      <c r="D3658">
        <f t="shared" si="229"/>
        <v>1764</v>
      </c>
      <c r="E3658">
        <f t="shared" si="230"/>
        <v>5676.1156000000001</v>
      </c>
      <c r="F3658">
        <f t="shared" si="231"/>
        <v>1764</v>
      </c>
    </row>
    <row r="3659" spans="1:6" x14ac:dyDescent="0.3">
      <c r="A3659">
        <v>4</v>
      </c>
      <c r="B3659">
        <v>100.19</v>
      </c>
      <c r="C3659">
        <f t="shared" si="228"/>
        <v>400.76</v>
      </c>
      <c r="D3659">
        <f t="shared" si="229"/>
        <v>16</v>
      </c>
      <c r="E3659">
        <f t="shared" si="230"/>
        <v>10038.036099999999</v>
      </c>
      <c r="F3659">
        <f t="shared" si="231"/>
        <v>16</v>
      </c>
    </row>
    <row r="3660" spans="1:6" x14ac:dyDescent="0.3">
      <c r="A3660">
        <v>75</v>
      </c>
      <c r="B3660">
        <v>200.73</v>
      </c>
      <c r="C3660">
        <f t="shared" si="228"/>
        <v>15054.75</v>
      </c>
      <c r="D3660">
        <f t="shared" si="229"/>
        <v>5625</v>
      </c>
      <c r="E3660">
        <f t="shared" si="230"/>
        <v>40292.532899999998</v>
      </c>
      <c r="F3660">
        <f t="shared" si="231"/>
        <v>5625</v>
      </c>
    </row>
    <row r="3661" spans="1:6" x14ac:dyDescent="0.3">
      <c r="A3661">
        <v>80</v>
      </c>
      <c r="B3661">
        <v>114.09</v>
      </c>
      <c r="C3661">
        <f t="shared" si="228"/>
        <v>9127.2000000000007</v>
      </c>
      <c r="D3661">
        <f t="shared" si="229"/>
        <v>6400</v>
      </c>
      <c r="E3661">
        <f t="shared" si="230"/>
        <v>13016.528100000001</v>
      </c>
      <c r="F3661">
        <f t="shared" si="231"/>
        <v>6400</v>
      </c>
    </row>
    <row r="3662" spans="1:6" x14ac:dyDescent="0.3">
      <c r="A3662">
        <v>52</v>
      </c>
      <c r="B3662">
        <v>67.3</v>
      </c>
      <c r="C3662">
        <f t="shared" si="228"/>
        <v>3499.6</v>
      </c>
      <c r="D3662">
        <f t="shared" si="229"/>
        <v>2704</v>
      </c>
      <c r="E3662">
        <f t="shared" si="230"/>
        <v>4529.29</v>
      </c>
      <c r="F3662">
        <f t="shared" si="231"/>
        <v>2704</v>
      </c>
    </row>
    <row r="3663" spans="1:6" x14ac:dyDescent="0.3">
      <c r="A3663">
        <v>11</v>
      </c>
      <c r="B3663">
        <v>96.91</v>
      </c>
      <c r="C3663">
        <f t="shared" si="228"/>
        <v>1066.01</v>
      </c>
      <c r="D3663">
        <f t="shared" si="229"/>
        <v>121</v>
      </c>
      <c r="E3663">
        <f t="shared" si="230"/>
        <v>9391.5481</v>
      </c>
      <c r="F3663">
        <f t="shared" si="231"/>
        <v>121</v>
      </c>
    </row>
    <row r="3664" spans="1:6" x14ac:dyDescent="0.3">
      <c r="A3664">
        <v>14</v>
      </c>
      <c r="B3664">
        <v>116.2</v>
      </c>
      <c r="C3664">
        <f t="shared" si="228"/>
        <v>1626.8</v>
      </c>
      <c r="D3664">
        <f t="shared" si="229"/>
        <v>196</v>
      </c>
      <c r="E3664">
        <f t="shared" si="230"/>
        <v>13502.44</v>
      </c>
      <c r="F3664">
        <f t="shared" si="231"/>
        <v>196</v>
      </c>
    </row>
    <row r="3665" spans="1:6" x14ac:dyDescent="0.3">
      <c r="A3665">
        <v>74</v>
      </c>
      <c r="B3665">
        <v>72.540000000000006</v>
      </c>
      <c r="C3665">
        <f t="shared" si="228"/>
        <v>5367.96</v>
      </c>
      <c r="D3665">
        <f t="shared" si="229"/>
        <v>5476</v>
      </c>
      <c r="E3665">
        <f t="shared" si="230"/>
        <v>5262.0516000000007</v>
      </c>
      <c r="F3665">
        <f t="shared" si="231"/>
        <v>5476</v>
      </c>
    </row>
    <row r="3666" spans="1:6" x14ac:dyDescent="0.3">
      <c r="A3666">
        <v>58</v>
      </c>
      <c r="B3666">
        <v>96.01</v>
      </c>
      <c r="C3666">
        <f t="shared" si="228"/>
        <v>5568.58</v>
      </c>
      <c r="D3666">
        <f t="shared" si="229"/>
        <v>3364</v>
      </c>
      <c r="E3666">
        <f t="shared" si="230"/>
        <v>9217.9201000000012</v>
      </c>
      <c r="F3666">
        <f t="shared" si="231"/>
        <v>3364</v>
      </c>
    </row>
    <row r="3667" spans="1:6" x14ac:dyDescent="0.3">
      <c r="A3667">
        <v>80</v>
      </c>
      <c r="B3667">
        <v>89.16</v>
      </c>
      <c r="C3667">
        <f t="shared" si="228"/>
        <v>7132.7999999999993</v>
      </c>
      <c r="D3667">
        <f t="shared" si="229"/>
        <v>6400</v>
      </c>
      <c r="E3667">
        <f t="shared" si="230"/>
        <v>7949.5055999999995</v>
      </c>
      <c r="F3667">
        <f t="shared" si="231"/>
        <v>6400</v>
      </c>
    </row>
    <row r="3668" spans="1:6" x14ac:dyDescent="0.3">
      <c r="A3668">
        <v>31</v>
      </c>
      <c r="B3668">
        <v>108.64</v>
      </c>
      <c r="C3668">
        <f t="shared" si="228"/>
        <v>3367.84</v>
      </c>
      <c r="D3668">
        <f t="shared" si="229"/>
        <v>961</v>
      </c>
      <c r="E3668">
        <f t="shared" si="230"/>
        <v>11802.649600000001</v>
      </c>
      <c r="F3668">
        <f t="shared" si="231"/>
        <v>961</v>
      </c>
    </row>
    <row r="3669" spans="1:6" x14ac:dyDescent="0.3">
      <c r="A3669">
        <v>28</v>
      </c>
      <c r="B3669">
        <v>83.66</v>
      </c>
      <c r="C3669">
        <f t="shared" si="228"/>
        <v>2342.48</v>
      </c>
      <c r="D3669">
        <f t="shared" si="229"/>
        <v>784</v>
      </c>
      <c r="E3669">
        <f t="shared" si="230"/>
        <v>6998.9955999999993</v>
      </c>
      <c r="F3669">
        <f t="shared" si="231"/>
        <v>784</v>
      </c>
    </row>
    <row r="3670" spans="1:6" x14ac:dyDescent="0.3">
      <c r="A3670">
        <v>25</v>
      </c>
      <c r="B3670">
        <v>81.209999999999994</v>
      </c>
      <c r="C3670">
        <f t="shared" si="228"/>
        <v>2030.2499999999998</v>
      </c>
      <c r="D3670">
        <f t="shared" si="229"/>
        <v>625</v>
      </c>
      <c r="E3670">
        <f t="shared" si="230"/>
        <v>6595.0640999999987</v>
      </c>
      <c r="F3670">
        <f t="shared" si="231"/>
        <v>625</v>
      </c>
    </row>
    <row r="3671" spans="1:6" x14ac:dyDescent="0.3">
      <c r="A3671">
        <v>71</v>
      </c>
      <c r="B3671">
        <v>86.96</v>
      </c>
      <c r="C3671">
        <f t="shared" si="228"/>
        <v>6174.16</v>
      </c>
      <c r="D3671">
        <f t="shared" si="229"/>
        <v>5041</v>
      </c>
      <c r="E3671">
        <f t="shared" si="230"/>
        <v>7562.0415999999987</v>
      </c>
      <c r="F3671">
        <f t="shared" si="231"/>
        <v>5041</v>
      </c>
    </row>
    <row r="3672" spans="1:6" x14ac:dyDescent="0.3">
      <c r="A3672">
        <v>51</v>
      </c>
      <c r="B3672">
        <v>92.95</v>
      </c>
      <c r="C3672">
        <f t="shared" si="228"/>
        <v>4740.45</v>
      </c>
      <c r="D3672">
        <f t="shared" si="229"/>
        <v>2601</v>
      </c>
      <c r="E3672">
        <f t="shared" si="230"/>
        <v>8639.7025000000012</v>
      </c>
      <c r="F3672">
        <f t="shared" si="231"/>
        <v>2601</v>
      </c>
    </row>
    <row r="3673" spans="1:6" x14ac:dyDescent="0.3">
      <c r="A3673">
        <v>15</v>
      </c>
      <c r="B3673">
        <v>95.86</v>
      </c>
      <c r="C3673">
        <f t="shared" si="228"/>
        <v>1437.9</v>
      </c>
      <c r="D3673">
        <f t="shared" si="229"/>
        <v>225</v>
      </c>
      <c r="E3673">
        <f t="shared" si="230"/>
        <v>9189.1396000000004</v>
      </c>
      <c r="F3673">
        <f t="shared" si="231"/>
        <v>225</v>
      </c>
    </row>
    <row r="3674" spans="1:6" x14ac:dyDescent="0.3">
      <c r="A3674">
        <v>45</v>
      </c>
      <c r="B3674">
        <v>85.52</v>
      </c>
      <c r="C3674">
        <f t="shared" si="228"/>
        <v>3848.3999999999996</v>
      </c>
      <c r="D3674">
        <f t="shared" si="229"/>
        <v>2025</v>
      </c>
      <c r="E3674">
        <f t="shared" si="230"/>
        <v>7313.6703999999991</v>
      </c>
      <c r="F3674">
        <f t="shared" si="231"/>
        <v>2025</v>
      </c>
    </row>
    <row r="3675" spans="1:6" x14ac:dyDescent="0.3">
      <c r="A3675">
        <v>53</v>
      </c>
      <c r="B3675">
        <v>159.38999999999999</v>
      </c>
      <c r="C3675">
        <f t="shared" si="228"/>
        <v>8447.67</v>
      </c>
      <c r="D3675">
        <f t="shared" si="229"/>
        <v>2809</v>
      </c>
      <c r="E3675">
        <f t="shared" si="230"/>
        <v>25405.172099999996</v>
      </c>
      <c r="F3675">
        <f t="shared" si="231"/>
        <v>2809</v>
      </c>
    </row>
    <row r="3676" spans="1:6" x14ac:dyDescent="0.3">
      <c r="A3676">
        <v>69</v>
      </c>
      <c r="B3676">
        <v>202.51</v>
      </c>
      <c r="C3676">
        <f t="shared" si="228"/>
        <v>13973.189999999999</v>
      </c>
      <c r="D3676">
        <f t="shared" si="229"/>
        <v>4761</v>
      </c>
      <c r="E3676">
        <f t="shared" si="230"/>
        <v>41010.300099999993</v>
      </c>
      <c r="F3676">
        <f t="shared" si="231"/>
        <v>4761</v>
      </c>
    </row>
    <row r="3677" spans="1:6" x14ac:dyDescent="0.3">
      <c r="A3677">
        <v>42</v>
      </c>
      <c r="B3677">
        <v>82.24</v>
      </c>
      <c r="C3677">
        <f t="shared" si="228"/>
        <v>3454.08</v>
      </c>
      <c r="D3677">
        <f t="shared" si="229"/>
        <v>1764</v>
      </c>
      <c r="E3677">
        <f t="shared" si="230"/>
        <v>6763.4175999999989</v>
      </c>
      <c r="F3677">
        <f t="shared" si="231"/>
        <v>1764</v>
      </c>
    </row>
    <row r="3678" spans="1:6" x14ac:dyDescent="0.3">
      <c r="A3678">
        <v>4</v>
      </c>
      <c r="B3678">
        <v>109.81</v>
      </c>
      <c r="C3678">
        <f t="shared" si="228"/>
        <v>439.24</v>
      </c>
      <c r="D3678">
        <f t="shared" si="229"/>
        <v>16</v>
      </c>
      <c r="E3678">
        <f t="shared" si="230"/>
        <v>12058.2361</v>
      </c>
      <c r="F3678">
        <f t="shared" si="231"/>
        <v>16</v>
      </c>
    </row>
    <row r="3679" spans="1:6" x14ac:dyDescent="0.3">
      <c r="A3679">
        <v>64</v>
      </c>
      <c r="B3679">
        <v>91.85</v>
      </c>
      <c r="C3679">
        <f t="shared" si="228"/>
        <v>5878.4</v>
      </c>
      <c r="D3679">
        <f t="shared" si="229"/>
        <v>4096</v>
      </c>
      <c r="E3679">
        <f t="shared" si="230"/>
        <v>8436.4224999999988</v>
      </c>
      <c r="F3679">
        <f t="shared" si="231"/>
        <v>4096</v>
      </c>
    </row>
    <row r="3680" spans="1:6" x14ac:dyDescent="0.3">
      <c r="A3680">
        <v>5</v>
      </c>
      <c r="B3680">
        <v>123.49</v>
      </c>
      <c r="C3680">
        <f t="shared" si="228"/>
        <v>617.44999999999993</v>
      </c>
      <c r="D3680">
        <f t="shared" si="229"/>
        <v>25</v>
      </c>
      <c r="E3680">
        <f t="shared" si="230"/>
        <v>15249.780099999998</v>
      </c>
      <c r="F3680">
        <f t="shared" si="231"/>
        <v>25</v>
      </c>
    </row>
    <row r="3681" spans="1:6" x14ac:dyDescent="0.3">
      <c r="A3681">
        <v>44</v>
      </c>
      <c r="B3681">
        <v>105.49</v>
      </c>
      <c r="C3681">
        <f t="shared" si="228"/>
        <v>4641.5599999999995</v>
      </c>
      <c r="D3681">
        <f t="shared" si="229"/>
        <v>1936</v>
      </c>
      <c r="E3681">
        <f t="shared" si="230"/>
        <v>11128.140099999999</v>
      </c>
      <c r="F3681">
        <f t="shared" si="231"/>
        <v>1936</v>
      </c>
    </row>
    <row r="3682" spans="1:6" x14ac:dyDescent="0.3">
      <c r="A3682">
        <v>78</v>
      </c>
      <c r="B3682">
        <v>101.53</v>
      </c>
      <c r="C3682">
        <f t="shared" si="228"/>
        <v>7919.34</v>
      </c>
      <c r="D3682">
        <f t="shared" si="229"/>
        <v>6084</v>
      </c>
      <c r="E3682">
        <f t="shared" si="230"/>
        <v>10308.340900000001</v>
      </c>
      <c r="F3682">
        <f t="shared" si="231"/>
        <v>6084</v>
      </c>
    </row>
    <row r="3683" spans="1:6" x14ac:dyDescent="0.3">
      <c r="A3683">
        <v>16</v>
      </c>
      <c r="B3683">
        <v>89.45</v>
      </c>
      <c r="C3683">
        <f t="shared" si="228"/>
        <v>1431.2</v>
      </c>
      <c r="D3683">
        <f t="shared" si="229"/>
        <v>256</v>
      </c>
      <c r="E3683">
        <f t="shared" si="230"/>
        <v>8001.3025000000007</v>
      </c>
      <c r="F3683">
        <f t="shared" si="231"/>
        <v>256</v>
      </c>
    </row>
    <row r="3684" spans="1:6" x14ac:dyDescent="0.3">
      <c r="A3684">
        <v>69</v>
      </c>
      <c r="B3684">
        <v>126.04</v>
      </c>
      <c r="C3684">
        <f t="shared" si="228"/>
        <v>8696.76</v>
      </c>
      <c r="D3684">
        <f t="shared" si="229"/>
        <v>4761</v>
      </c>
      <c r="E3684">
        <f t="shared" si="230"/>
        <v>15886.081600000001</v>
      </c>
      <c r="F3684">
        <f t="shared" si="231"/>
        <v>4761</v>
      </c>
    </row>
    <row r="3685" spans="1:6" x14ac:dyDescent="0.3">
      <c r="A3685">
        <v>80</v>
      </c>
      <c r="B3685">
        <v>95.49</v>
      </c>
      <c r="C3685">
        <f t="shared" si="228"/>
        <v>7639.2</v>
      </c>
      <c r="D3685">
        <f t="shared" si="229"/>
        <v>6400</v>
      </c>
      <c r="E3685">
        <f t="shared" si="230"/>
        <v>9118.3400999999994</v>
      </c>
      <c r="F3685">
        <f t="shared" si="231"/>
        <v>6400</v>
      </c>
    </row>
    <row r="3686" spans="1:6" x14ac:dyDescent="0.3">
      <c r="A3686">
        <v>7</v>
      </c>
      <c r="B3686">
        <v>89.38</v>
      </c>
      <c r="C3686">
        <f t="shared" si="228"/>
        <v>625.66</v>
      </c>
      <c r="D3686">
        <f t="shared" si="229"/>
        <v>49</v>
      </c>
      <c r="E3686">
        <f t="shared" si="230"/>
        <v>7988.7843999999996</v>
      </c>
      <c r="F3686">
        <f t="shared" si="231"/>
        <v>49</v>
      </c>
    </row>
    <row r="3687" spans="1:6" x14ac:dyDescent="0.3">
      <c r="A3687">
        <v>2</v>
      </c>
      <c r="B3687">
        <v>82.3</v>
      </c>
      <c r="C3687">
        <f t="shared" si="228"/>
        <v>164.6</v>
      </c>
      <c r="D3687">
        <f t="shared" si="229"/>
        <v>4</v>
      </c>
      <c r="E3687">
        <f t="shared" si="230"/>
        <v>6773.29</v>
      </c>
      <c r="F3687">
        <f t="shared" si="231"/>
        <v>4</v>
      </c>
    </row>
    <row r="3688" spans="1:6" x14ac:dyDescent="0.3">
      <c r="A3688">
        <v>80</v>
      </c>
      <c r="B3688">
        <v>218</v>
      </c>
      <c r="C3688">
        <f t="shared" si="228"/>
        <v>17440</v>
      </c>
      <c r="D3688">
        <f t="shared" si="229"/>
        <v>6400</v>
      </c>
      <c r="E3688">
        <f t="shared" si="230"/>
        <v>47524</v>
      </c>
      <c r="F3688">
        <f t="shared" si="231"/>
        <v>6400</v>
      </c>
    </row>
    <row r="3689" spans="1:6" x14ac:dyDescent="0.3">
      <c r="A3689">
        <v>69</v>
      </c>
      <c r="B3689">
        <v>79.7</v>
      </c>
      <c r="C3689">
        <f t="shared" si="228"/>
        <v>5499.3</v>
      </c>
      <c r="D3689">
        <f t="shared" si="229"/>
        <v>4761</v>
      </c>
      <c r="E3689">
        <f t="shared" si="230"/>
        <v>6352.09</v>
      </c>
      <c r="F3689">
        <f t="shared" si="231"/>
        <v>4761</v>
      </c>
    </row>
    <row r="3690" spans="1:6" x14ac:dyDescent="0.3">
      <c r="A3690">
        <v>58</v>
      </c>
      <c r="B3690">
        <v>209.15</v>
      </c>
      <c r="C3690">
        <f t="shared" si="228"/>
        <v>12130.7</v>
      </c>
      <c r="D3690">
        <f t="shared" si="229"/>
        <v>3364</v>
      </c>
      <c r="E3690">
        <f t="shared" si="230"/>
        <v>43743.722500000003</v>
      </c>
      <c r="F3690">
        <f t="shared" si="231"/>
        <v>3364</v>
      </c>
    </row>
    <row r="3691" spans="1:6" x14ac:dyDescent="0.3">
      <c r="A3691">
        <v>75</v>
      </c>
      <c r="B3691">
        <v>70.22</v>
      </c>
      <c r="C3691">
        <f t="shared" si="228"/>
        <v>5266.5</v>
      </c>
      <c r="D3691">
        <f t="shared" si="229"/>
        <v>5625</v>
      </c>
      <c r="E3691">
        <f t="shared" si="230"/>
        <v>4930.8483999999999</v>
      </c>
      <c r="F3691">
        <f t="shared" si="231"/>
        <v>5625</v>
      </c>
    </row>
    <row r="3692" spans="1:6" x14ac:dyDescent="0.3">
      <c r="A3692">
        <v>60</v>
      </c>
      <c r="B3692">
        <v>83.57</v>
      </c>
      <c r="C3692">
        <f t="shared" si="228"/>
        <v>5014.2</v>
      </c>
      <c r="D3692">
        <f t="shared" si="229"/>
        <v>3600</v>
      </c>
      <c r="E3692">
        <f t="shared" si="230"/>
        <v>6983.9448999999986</v>
      </c>
      <c r="F3692">
        <f t="shared" si="231"/>
        <v>3600</v>
      </c>
    </row>
    <row r="3693" spans="1:6" x14ac:dyDescent="0.3">
      <c r="A3693">
        <v>75</v>
      </c>
      <c r="B3693">
        <v>60.6</v>
      </c>
      <c r="C3693">
        <f t="shared" si="228"/>
        <v>4545</v>
      </c>
      <c r="D3693">
        <f t="shared" si="229"/>
        <v>5625</v>
      </c>
      <c r="E3693">
        <f t="shared" si="230"/>
        <v>3672.36</v>
      </c>
      <c r="F3693">
        <f t="shared" si="231"/>
        <v>5625</v>
      </c>
    </row>
    <row r="3694" spans="1:6" x14ac:dyDescent="0.3">
      <c r="A3694">
        <v>10</v>
      </c>
      <c r="B3694">
        <v>97.24</v>
      </c>
      <c r="C3694">
        <f t="shared" si="228"/>
        <v>972.4</v>
      </c>
      <c r="D3694">
        <f t="shared" si="229"/>
        <v>100</v>
      </c>
      <c r="E3694">
        <f t="shared" si="230"/>
        <v>9455.6175999999996</v>
      </c>
      <c r="F3694">
        <f t="shared" si="231"/>
        <v>100</v>
      </c>
    </row>
    <row r="3695" spans="1:6" x14ac:dyDescent="0.3">
      <c r="A3695">
        <v>38</v>
      </c>
      <c r="B3695">
        <v>162.72</v>
      </c>
      <c r="C3695">
        <f t="shared" si="228"/>
        <v>6183.36</v>
      </c>
      <c r="D3695">
        <f t="shared" si="229"/>
        <v>1444</v>
      </c>
      <c r="E3695">
        <f t="shared" si="230"/>
        <v>26477.7984</v>
      </c>
      <c r="F3695">
        <f t="shared" si="231"/>
        <v>1444</v>
      </c>
    </row>
    <row r="3696" spans="1:6" x14ac:dyDescent="0.3">
      <c r="A3696">
        <v>28</v>
      </c>
      <c r="B3696">
        <v>73.27</v>
      </c>
      <c r="C3696">
        <f t="shared" si="228"/>
        <v>2051.56</v>
      </c>
      <c r="D3696">
        <f t="shared" si="229"/>
        <v>784</v>
      </c>
      <c r="E3696">
        <f t="shared" si="230"/>
        <v>5368.4928999999993</v>
      </c>
      <c r="F3696">
        <f t="shared" si="231"/>
        <v>784</v>
      </c>
    </row>
    <row r="3697" spans="1:6" x14ac:dyDescent="0.3">
      <c r="A3697">
        <v>3</v>
      </c>
      <c r="B3697">
        <v>92.62</v>
      </c>
      <c r="C3697">
        <f t="shared" si="228"/>
        <v>277.86</v>
      </c>
      <c r="D3697">
        <f t="shared" si="229"/>
        <v>9</v>
      </c>
      <c r="E3697">
        <f t="shared" si="230"/>
        <v>8578.4644000000008</v>
      </c>
      <c r="F3697">
        <f t="shared" si="231"/>
        <v>9</v>
      </c>
    </row>
    <row r="3698" spans="1:6" x14ac:dyDescent="0.3">
      <c r="A3698">
        <v>31</v>
      </c>
      <c r="B3698">
        <v>90</v>
      </c>
      <c r="C3698">
        <f t="shared" si="228"/>
        <v>2790</v>
      </c>
      <c r="D3698">
        <f t="shared" si="229"/>
        <v>961</v>
      </c>
      <c r="E3698">
        <f t="shared" si="230"/>
        <v>8100</v>
      </c>
      <c r="F3698">
        <f t="shared" si="231"/>
        <v>961</v>
      </c>
    </row>
    <row r="3699" spans="1:6" x14ac:dyDescent="0.3">
      <c r="A3699">
        <v>59</v>
      </c>
      <c r="B3699">
        <v>78.28</v>
      </c>
      <c r="C3699">
        <f t="shared" si="228"/>
        <v>4618.5200000000004</v>
      </c>
      <c r="D3699">
        <f t="shared" si="229"/>
        <v>3481</v>
      </c>
      <c r="E3699">
        <f t="shared" si="230"/>
        <v>6127.7584000000006</v>
      </c>
      <c r="F3699">
        <f t="shared" si="231"/>
        <v>3481</v>
      </c>
    </row>
    <row r="3700" spans="1:6" x14ac:dyDescent="0.3">
      <c r="A3700">
        <v>31</v>
      </c>
      <c r="B3700">
        <v>87.81</v>
      </c>
      <c r="C3700">
        <f t="shared" si="228"/>
        <v>2722.11</v>
      </c>
      <c r="D3700">
        <f t="shared" si="229"/>
        <v>961</v>
      </c>
      <c r="E3700">
        <f t="shared" si="230"/>
        <v>7710.5961000000007</v>
      </c>
      <c r="F3700">
        <f t="shared" si="231"/>
        <v>961</v>
      </c>
    </row>
    <row r="3701" spans="1:6" x14ac:dyDescent="0.3">
      <c r="A3701">
        <v>45</v>
      </c>
      <c r="B3701">
        <v>202.66</v>
      </c>
      <c r="C3701">
        <f t="shared" si="228"/>
        <v>9119.7000000000007</v>
      </c>
      <c r="D3701">
        <f t="shared" si="229"/>
        <v>2025</v>
      </c>
      <c r="E3701">
        <f t="shared" si="230"/>
        <v>41071.075599999996</v>
      </c>
      <c r="F3701">
        <f t="shared" si="231"/>
        <v>2025</v>
      </c>
    </row>
    <row r="3702" spans="1:6" x14ac:dyDescent="0.3">
      <c r="A3702">
        <v>58</v>
      </c>
      <c r="B3702">
        <v>196.5</v>
      </c>
      <c r="C3702">
        <f t="shared" si="228"/>
        <v>11397</v>
      </c>
      <c r="D3702">
        <f t="shared" si="229"/>
        <v>3364</v>
      </c>
      <c r="E3702">
        <f t="shared" si="230"/>
        <v>38612.25</v>
      </c>
      <c r="F3702">
        <f t="shared" si="231"/>
        <v>3364</v>
      </c>
    </row>
    <row r="3703" spans="1:6" x14ac:dyDescent="0.3">
      <c r="A3703">
        <v>57</v>
      </c>
      <c r="B3703">
        <v>142.31</v>
      </c>
      <c r="C3703">
        <f t="shared" si="228"/>
        <v>8111.67</v>
      </c>
      <c r="D3703">
        <f t="shared" si="229"/>
        <v>3249</v>
      </c>
      <c r="E3703">
        <f t="shared" si="230"/>
        <v>20252.1361</v>
      </c>
      <c r="F3703">
        <f t="shared" si="231"/>
        <v>3249</v>
      </c>
    </row>
    <row r="3704" spans="1:6" x14ac:dyDescent="0.3">
      <c r="A3704">
        <v>31</v>
      </c>
      <c r="B3704">
        <v>94.96</v>
      </c>
      <c r="C3704">
        <f t="shared" si="228"/>
        <v>2943.7599999999998</v>
      </c>
      <c r="D3704">
        <f t="shared" si="229"/>
        <v>961</v>
      </c>
      <c r="E3704">
        <f t="shared" si="230"/>
        <v>9017.4015999999992</v>
      </c>
      <c r="F3704">
        <f t="shared" si="231"/>
        <v>961</v>
      </c>
    </row>
    <row r="3705" spans="1:6" x14ac:dyDescent="0.3">
      <c r="A3705">
        <v>43</v>
      </c>
      <c r="B3705">
        <v>83.78</v>
      </c>
      <c r="C3705">
        <f t="shared" si="228"/>
        <v>3602.54</v>
      </c>
      <c r="D3705">
        <f t="shared" si="229"/>
        <v>1849</v>
      </c>
      <c r="E3705">
        <f t="shared" si="230"/>
        <v>7019.0884000000005</v>
      </c>
      <c r="F3705">
        <f t="shared" si="231"/>
        <v>1849</v>
      </c>
    </row>
    <row r="3706" spans="1:6" x14ac:dyDescent="0.3">
      <c r="A3706">
        <v>40</v>
      </c>
      <c r="B3706">
        <v>86.1</v>
      </c>
      <c r="C3706">
        <f t="shared" si="228"/>
        <v>3444</v>
      </c>
      <c r="D3706">
        <f t="shared" si="229"/>
        <v>1600</v>
      </c>
      <c r="E3706">
        <f t="shared" si="230"/>
        <v>7413.2099999999991</v>
      </c>
      <c r="F3706">
        <f t="shared" si="231"/>
        <v>1600</v>
      </c>
    </row>
    <row r="3707" spans="1:6" x14ac:dyDescent="0.3">
      <c r="A3707">
        <v>1.08</v>
      </c>
      <c r="B3707">
        <v>74.5</v>
      </c>
      <c r="C3707">
        <f t="shared" si="228"/>
        <v>80.460000000000008</v>
      </c>
      <c r="D3707">
        <f t="shared" si="229"/>
        <v>1.1664000000000001</v>
      </c>
      <c r="E3707">
        <f t="shared" si="230"/>
        <v>5550.25</v>
      </c>
      <c r="F3707">
        <f t="shared" si="231"/>
        <v>1.1664000000000001</v>
      </c>
    </row>
    <row r="3708" spans="1:6" x14ac:dyDescent="0.3">
      <c r="A3708">
        <v>34</v>
      </c>
      <c r="B3708">
        <v>66.959999999999994</v>
      </c>
      <c r="C3708">
        <f t="shared" si="228"/>
        <v>2276.64</v>
      </c>
      <c r="D3708">
        <f t="shared" si="229"/>
        <v>1156</v>
      </c>
      <c r="E3708">
        <f t="shared" si="230"/>
        <v>4483.641599999999</v>
      </c>
      <c r="F3708">
        <f t="shared" si="231"/>
        <v>1156</v>
      </c>
    </row>
    <row r="3709" spans="1:6" x14ac:dyDescent="0.3">
      <c r="A3709">
        <v>55</v>
      </c>
      <c r="B3709">
        <v>76.7</v>
      </c>
      <c r="C3709">
        <f t="shared" si="228"/>
        <v>4218.5</v>
      </c>
      <c r="D3709">
        <f t="shared" si="229"/>
        <v>3025</v>
      </c>
      <c r="E3709">
        <f t="shared" si="230"/>
        <v>5882.89</v>
      </c>
      <c r="F3709">
        <f t="shared" si="231"/>
        <v>3025</v>
      </c>
    </row>
    <row r="3710" spans="1:6" x14ac:dyDescent="0.3">
      <c r="A3710">
        <v>39</v>
      </c>
      <c r="B3710">
        <v>103.12</v>
      </c>
      <c r="C3710">
        <f t="shared" si="228"/>
        <v>4021.6800000000003</v>
      </c>
      <c r="D3710">
        <f t="shared" si="229"/>
        <v>1521</v>
      </c>
      <c r="E3710">
        <f t="shared" si="230"/>
        <v>10633.734400000001</v>
      </c>
      <c r="F3710">
        <f t="shared" si="231"/>
        <v>1521</v>
      </c>
    </row>
    <row r="3711" spans="1:6" x14ac:dyDescent="0.3">
      <c r="A3711">
        <v>42</v>
      </c>
      <c r="B3711">
        <v>84.03</v>
      </c>
      <c r="C3711">
        <f t="shared" si="228"/>
        <v>3529.26</v>
      </c>
      <c r="D3711">
        <f t="shared" si="229"/>
        <v>1764</v>
      </c>
      <c r="E3711">
        <f t="shared" si="230"/>
        <v>7061.0409</v>
      </c>
      <c r="F3711">
        <f t="shared" si="231"/>
        <v>1764</v>
      </c>
    </row>
    <row r="3712" spans="1:6" x14ac:dyDescent="0.3">
      <c r="A3712">
        <v>44</v>
      </c>
      <c r="B3712">
        <v>74.150000000000006</v>
      </c>
      <c r="C3712">
        <f t="shared" si="228"/>
        <v>3262.6000000000004</v>
      </c>
      <c r="D3712">
        <f t="shared" si="229"/>
        <v>1936</v>
      </c>
      <c r="E3712">
        <f t="shared" si="230"/>
        <v>5498.2225000000008</v>
      </c>
      <c r="F3712">
        <f t="shared" si="231"/>
        <v>1936</v>
      </c>
    </row>
    <row r="3713" spans="1:6" x14ac:dyDescent="0.3">
      <c r="A3713">
        <v>69</v>
      </c>
      <c r="B3713">
        <v>73.290000000000006</v>
      </c>
      <c r="C3713">
        <f t="shared" si="228"/>
        <v>5057.01</v>
      </c>
      <c r="D3713">
        <f t="shared" si="229"/>
        <v>4761</v>
      </c>
      <c r="E3713">
        <f t="shared" si="230"/>
        <v>5371.4241000000011</v>
      </c>
      <c r="F3713">
        <f t="shared" si="231"/>
        <v>4761</v>
      </c>
    </row>
    <row r="3714" spans="1:6" x14ac:dyDescent="0.3">
      <c r="A3714">
        <v>16</v>
      </c>
      <c r="B3714">
        <v>115.16</v>
      </c>
      <c r="C3714">
        <f t="shared" si="228"/>
        <v>1842.56</v>
      </c>
      <c r="D3714">
        <f t="shared" si="229"/>
        <v>256</v>
      </c>
      <c r="E3714">
        <f t="shared" si="230"/>
        <v>13261.8256</v>
      </c>
      <c r="F3714">
        <f t="shared" si="231"/>
        <v>256</v>
      </c>
    </row>
    <row r="3715" spans="1:6" x14ac:dyDescent="0.3">
      <c r="A3715">
        <v>8</v>
      </c>
      <c r="B3715">
        <v>83.55</v>
      </c>
      <c r="C3715">
        <f t="shared" ref="C3715:C3778" si="232">A3715*B3715</f>
        <v>668.4</v>
      </c>
      <c r="D3715">
        <f t="shared" ref="D3715:D3778" si="233">A3715*A3715</f>
        <v>64</v>
      </c>
      <c r="E3715">
        <f t="shared" ref="E3715:E3778" si="234">B3715*B3715</f>
        <v>6980.6025</v>
      </c>
      <c r="F3715">
        <f t="shared" ref="F3715:F3778" si="235">A3715^2</f>
        <v>64</v>
      </c>
    </row>
    <row r="3716" spans="1:6" x14ac:dyDescent="0.3">
      <c r="A3716">
        <v>1.48</v>
      </c>
      <c r="B3716">
        <v>61.53</v>
      </c>
      <c r="C3716">
        <f t="shared" si="232"/>
        <v>91.064400000000006</v>
      </c>
      <c r="D3716">
        <f t="shared" si="233"/>
        <v>2.1903999999999999</v>
      </c>
      <c r="E3716">
        <f t="shared" si="234"/>
        <v>3785.9409000000001</v>
      </c>
      <c r="F3716">
        <f t="shared" si="235"/>
        <v>2.1903999999999999</v>
      </c>
    </row>
    <row r="3717" spans="1:6" x14ac:dyDescent="0.3">
      <c r="A3717">
        <v>1.88</v>
      </c>
      <c r="B3717">
        <v>100.74</v>
      </c>
      <c r="C3717">
        <f t="shared" si="232"/>
        <v>189.39119999999997</v>
      </c>
      <c r="D3717">
        <f t="shared" si="233"/>
        <v>3.5343999999999998</v>
      </c>
      <c r="E3717">
        <f t="shared" si="234"/>
        <v>10148.5476</v>
      </c>
      <c r="F3717">
        <f t="shared" si="235"/>
        <v>3.5343999999999998</v>
      </c>
    </row>
    <row r="3718" spans="1:6" x14ac:dyDescent="0.3">
      <c r="A3718">
        <v>69</v>
      </c>
      <c r="B3718">
        <v>59.31</v>
      </c>
      <c r="C3718">
        <f t="shared" si="232"/>
        <v>4092.3900000000003</v>
      </c>
      <c r="D3718">
        <f t="shared" si="233"/>
        <v>4761</v>
      </c>
      <c r="E3718">
        <f t="shared" si="234"/>
        <v>3517.6761000000001</v>
      </c>
      <c r="F3718">
        <f t="shared" si="235"/>
        <v>4761</v>
      </c>
    </row>
    <row r="3719" spans="1:6" x14ac:dyDescent="0.3">
      <c r="A3719">
        <v>13</v>
      </c>
      <c r="B3719">
        <v>63.22</v>
      </c>
      <c r="C3719">
        <f t="shared" si="232"/>
        <v>821.86</v>
      </c>
      <c r="D3719">
        <f t="shared" si="233"/>
        <v>169</v>
      </c>
      <c r="E3719">
        <f t="shared" si="234"/>
        <v>3996.7683999999999</v>
      </c>
      <c r="F3719">
        <f t="shared" si="235"/>
        <v>169</v>
      </c>
    </row>
    <row r="3720" spans="1:6" x14ac:dyDescent="0.3">
      <c r="A3720">
        <v>53</v>
      </c>
      <c r="B3720">
        <v>209.5</v>
      </c>
      <c r="C3720">
        <f t="shared" si="232"/>
        <v>11103.5</v>
      </c>
      <c r="D3720">
        <f t="shared" si="233"/>
        <v>2809</v>
      </c>
      <c r="E3720">
        <f t="shared" si="234"/>
        <v>43890.25</v>
      </c>
      <c r="F3720">
        <f t="shared" si="235"/>
        <v>2809</v>
      </c>
    </row>
    <row r="3721" spans="1:6" x14ac:dyDescent="0.3">
      <c r="A3721">
        <v>16</v>
      </c>
      <c r="B3721">
        <v>64.510000000000005</v>
      </c>
      <c r="C3721">
        <f t="shared" si="232"/>
        <v>1032.1600000000001</v>
      </c>
      <c r="D3721">
        <f t="shared" si="233"/>
        <v>256</v>
      </c>
      <c r="E3721">
        <f t="shared" si="234"/>
        <v>4161.5401000000011</v>
      </c>
      <c r="F3721">
        <f t="shared" si="235"/>
        <v>256</v>
      </c>
    </row>
    <row r="3722" spans="1:6" x14ac:dyDescent="0.3">
      <c r="A3722">
        <v>64</v>
      </c>
      <c r="B3722">
        <v>90.07</v>
      </c>
      <c r="C3722">
        <f t="shared" si="232"/>
        <v>5764.48</v>
      </c>
      <c r="D3722">
        <f t="shared" si="233"/>
        <v>4096</v>
      </c>
      <c r="E3722">
        <f t="shared" si="234"/>
        <v>8112.6048999999985</v>
      </c>
      <c r="F3722">
        <f t="shared" si="235"/>
        <v>4096</v>
      </c>
    </row>
    <row r="3723" spans="1:6" x14ac:dyDescent="0.3">
      <c r="A3723">
        <v>7</v>
      </c>
      <c r="B3723">
        <v>113.95</v>
      </c>
      <c r="C3723">
        <f t="shared" si="232"/>
        <v>797.65</v>
      </c>
      <c r="D3723">
        <f t="shared" si="233"/>
        <v>49</v>
      </c>
      <c r="E3723">
        <f t="shared" si="234"/>
        <v>12984.602500000001</v>
      </c>
      <c r="F3723">
        <f t="shared" si="235"/>
        <v>49</v>
      </c>
    </row>
    <row r="3724" spans="1:6" x14ac:dyDescent="0.3">
      <c r="A3724">
        <v>41</v>
      </c>
      <c r="B3724">
        <v>119.32</v>
      </c>
      <c r="C3724">
        <f t="shared" si="232"/>
        <v>4892.12</v>
      </c>
      <c r="D3724">
        <f t="shared" si="233"/>
        <v>1681</v>
      </c>
      <c r="E3724">
        <f t="shared" si="234"/>
        <v>14237.262399999998</v>
      </c>
      <c r="F3724">
        <f t="shared" si="235"/>
        <v>1681</v>
      </c>
    </row>
    <row r="3725" spans="1:6" x14ac:dyDescent="0.3">
      <c r="A3725">
        <v>65</v>
      </c>
      <c r="B3725">
        <v>99.12</v>
      </c>
      <c r="C3725">
        <f t="shared" si="232"/>
        <v>6442.8</v>
      </c>
      <c r="D3725">
        <f t="shared" si="233"/>
        <v>4225</v>
      </c>
      <c r="E3725">
        <f t="shared" si="234"/>
        <v>9824.7744000000002</v>
      </c>
      <c r="F3725">
        <f t="shared" si="235"/>
        <v>4225</v>
      </c>
    </row>
    <row r="3726" spans="1:6" x14ac:dyDescent="0.3">
      <c r="A3726">
        <v>61</v>
      </c>
      <c r="B3726">
        <v>152.84</v>
      </c>
      <c r="C3726">
        <f t="shared" si="232"/>
        <v>9323.24</v>
      </c>
      <c r="D3726">
        <f t="shared" si="233"/>
        <v>3721</v>
      </c>
      <c r="E3726">
        <f t="shared" si="234"/>
        <v>23360.065600000002</v>
      </c>
      <c r="F3726">
        <f t="shared" si="235"/>
        <v>3721</v>
      </c>
    </row>
    <row r="3727" spans="1:6" x14ac:dyDescent="0.3">
      <c r="A3727">
        <v>63</v>
      </c>
      <c r="B3727">
        <v>78.23</v>
      </c>
      <c r="C3727">
        <f t="shared" si="232"/>
        <v>4928.4900000000007</v>
      </c>
      <c r="D3727">
        <f t="shared" si="233"/>
        <v>3969</v>
      </c>
      <c r="E3727">
        <f t="shared" si="234"/>
        <v>6119.9329000000007</v>
      </c>
      <c r="F3727">
        <f t="shared" si="235"/>
        <v>3969</v>
      </c>
    </row>
    <row r="3728" spans="1:6" x14ac:dyDescent="0.3">
      <c r="A3728">
        <v>1.8</v>
      </c>
      <c r="B3728">
        <v>68.8</v>
      </c>
      <c r="C3728">
        <f t="shared" si="232"/>
        <v>123.84</v>
      </c>
      <c r="D3728">
        <f t="shared" si="233"/>
        <v>3.24</v>
      </c>
      <c r="E3728">
        <f t="shared" si="234"/>
        <v>4733.4399999999996</v>
      </c>
      <c r="F3728">
        <f t="shared" si="235"/>
        <v>3.24</v>
      </c>
    </row>
    <row r="3729" spans="1:6" x14ac:dyDescent="0.3">
      <c r="A3729">
        <v>54</v>
      </c>
      <c r="B3729">
        <v>76.05</v>
      </c>
      <c r="C3729">
        <f t="shared" si="232"/>
        <v>4106.7</v>
      </c>
      <c r="D3729">
        <f t="shared" si="233"/>
        <v>2916</v>
      </c>
      <c r="E3729">
        <f t="shared" si="234"/>
        <v>5783.6025</v>
      </c>
      <c r="F3729">
        <f t="shared" si="235"/>
        <v>2916</v>
      </c>
    </row>
    <row r="3730" spans="1:6" x14ac:dyDescent="0.3">
      <c r="A3730">
        <v>14</v>
      </c>
      <c r="B3730">
        <v>116.49</v>
      </c>
      <c r="C3730">
        <f t="shared" si="232"/>
        <v>1630.86</v>
      </c>
      <c r="D3730">
        <f t="shared" si="233"/>
        <v>196</v>
      </c>
      <c r="E3730">
        <f t="shared" si="234"/>
        <v>13569.920099999999</v>
      </c>
      <c r="F3730">
        <f t="shared" si="235"/>
        <v>196</v>
      </c>
    </row>
    <row r="3731" spans="1:6" x14ac:dyDescent="0.3">
      <c r="A3731">
        <v>45</v>
      </c>
      <c r="B3731">
        <v>99.91</v>
      </c>
      <c r="C3731">
        <f t="shared" si="232"/>
        <v>4495.95</v>
      </c>
      <c r="D3731">
        <f t="shared" si="233"/>
        <v>2025</v>
      </c>
      <c r="E3731">
        <f t="shared" si="234"/>
        <v>9982.0080999999991</v>
      </c>
      <c r="F3731">
        <f t="shared" si="235"/>
        <v>2025</v>
      </c>
    </row>
    <row r="3732" spans="1:6" x14ac:dyDescent="0.3">
      <c r="A3732">
        <v>51</v>
      </c>
      <c r="B3732">
        <v>76.099999999999994</v>
      </c>
      <c r="C3732">
        <f t="shared" si="232"/>
        <v>3881.1</v>
      </c>
      <c r="D3732">
        <f t="shared" si="233"/>
        <v>2601</v>
      </c>
      <c r="E3732">
        <f t="shared" si="234"/>
        <v>5791.2099999999991</v>
      </c>
      <c r="F3732">
        <f t="shared" si="235"/>
        <v>2601</v>
      </c>
    </row>
    <row r="3733" spans="1:6" x14ac:dyDescent="0.3">
      <c r="A3733">
        <v>8</v>
      </c>
      <c r="B3733">
        <v>121.99</v>
      </c>
      <c r="C3733">
        <f t="shared" si="232"/>
        <v>975.92</v>
      </c>
      <c r="D3733">
        <f t="shared" si="233"/>
        <v>64</v>
      </c>
      <c r="E3733">
        <f t="shared" si="234"/>
        <v>14881.560099999999</v>
      </c>
      <c r="F3733">
        <f t="shared" si="235"/>
        <v>64</v>
      </c>
    </row>
    <row r="3734" spans="1:6" x14ac:dyDescent="0.3">
      <c r="A3734">
        <v>52</v>
      </c>
      <c r="B3734">
        <v>116.21</v>
      </c>
      <c r="C3734">
        <f t="shared" si="232"/>
        <v>6042.92</v>
      </c>
      <c r="D3734">
        <f t="shared" si="233"/>
        <v>2704</v>
      </c>
      <c r="E3734">
        <f t="shared" si="234"/>
        <v>13504.764099999999</v>
      </c>
      <c r="F3734">
        <f t="shared" si="235"/>
        <v>2704</v>
      </c>
    </row>
    <row r="3735" spans="1:6" x14ac:dyDescent="0.3">
      <c r="A3735">
        <v>39</v>
      </c>
      <c r="B3735">
        <v>55.28</v>
      </c>
      <c r="C3735">
        <f t="shared" si="232"/>
        <v>2155.92</v>
      </c>
      <c r="D3735">
        <f t="shared" si="233"/>
        <v>1521</v>
      </c>
      <c r="E3735">
        <f t="shared" si="234"/>
        <v>3055.8784000000001</v>
      </c>
      <c r="F3735">
        <f t="shared" si="235"/>
        <v>1521</v>
      </c>
    </row>
    <row r="3736" spans="1:6" x14ac:dyDescent="0.3">
      <c r="A3736">
        <v>13</v>
      </c>
      <c r="B3736">
        <v>219.81</v>
      </c>
      <c r="C3736">
        <f t="shared" si="232"/>
        <v>2857.53</v>
      </c>
      <c r="D3736">
        <f t="shared" si="233"/>
        <v>169</v>
      </c>
      <c r="E3736">
        <f t="shared" si="234"/>
        <v>48316.436099999999</v>
      </c>
      <c r="F3736">
        <f t="shared" si="235"/>
        <v>169</v>
      </c>
    </row>
    <row r="3737" spans="1:6" x14ac:dyDescent="0.3">
      <c r="A3737">
        <v>69</v>
      </c>
      <c r="B3737">
        <v>103.73</v>
      </c>
      <c r="C3737">
        <f t="shared" si="232"/>
        <v>7157.37</v>
      </c>
      <c r="D3737">
        <f t="shared" si="233"/>
        <v>4761</v>
      </c>
      <c r="E3737">
        <f t="shared" si="234"/>
        <v>10759.912900000001</v>
      </c>
      <c r="F3737">
        <f t="shared" si="235"/>
        <v>4761</v>
      </c>
    </row>
    <row r="3738" spans="1:6" x14ac:dyDescent="0.3">
      <c r="A3738">
        <v>71</v>
      </c>
      <c r="B3738">
        <v>153.08000000000001</v>
      </c>
      <c r="C3738">
        <f t="shared" si="232"/>
        <v>10868.68</v>
      </c>
      <c r="D3738">
        <f t="shared" si="233"/>
        <v>5041</v>
      </c>
      <c r="E3738">
        <f t="shared" si="234"/>
        <v>23433.486400000005</v>
      </c>
      <c r="F3738">
        <f t="shared" si="235"/>
        <v>5041</v>
      </c>
    </row>
    <row r="3739" spans="1:6" x14ac:dyDescent="0.3">
      <c r="A3739">
        <v>73</v>
      </c>
      <c r="B3739">
        <v>98.69</v>
      </c>
      <c r="C3739">
        <f t="shared" si="232"/>
        <v>7204.37</v>
      </c>
      <c r="D3739">
        <f t="shared" si="233"/>
        <v>5329</v>
      </c>
      <c r="E3739">
        <f t="shared" si="234"/>
        <v>9739.7160999999996</v>
      </c>
      <c r="F3739">
        <f t="shared" si="235"/>
        <v>5329</v>
      </c>
    </row>
    <row r="3740" spans="1:6" x14ac:dyDescent="0.3">
      <c r="A3740">
        <v>54</v>
      </c>
      <c r="B3740">
        <v>94.11</v>
      </c>
      <c r="C3740">
        <f t="shared" si="232"/>
        <v>5081.9399999999996</v>
      </c>
      <c r="D3740">
        <f t="shared" si="233"/>
        <v>2916</v>
      </c>
      <c r="E3740">
        <f t="shared" si="234"/>
        <v>8856.6921000000002</v>
      </c>
      <c r="F3740">
        <f t="shared" si="235"/>
        <v>2916</v>
      </c>
    </row>
    <row r="3741" spans="1:6" x14ac:dyDescent="0.3">
      <c r="A3741">
        <v>10</v>
      </c>
      <c r="B3741">
        <v>117.03</v>
      </c>
      <c r="C3741">
        <f t="shared" si="232"/>
        <v>1170.3</v>
      </c>
      <c r="D3741">
        <f t="shared" si="233"/>
        <v>100</v>
      </c>
      <c r="E3741">
        <f t="shared" si="234"/>
        <v>13696.0209</v>
      </c>
      <c r="F3741">
        <f t="shared" si="235"/>
        <v>100</v>
      </c>
    </row>
    <row r="3742" spans="1:6" x14ac:dyDescent="0.3">
      <c r="A3742">
        <v>26</v>
      </c>
      <c r="B3742">
        <v>91.35</v>
      </c>
      <c r="C3742">
        <f t="shared" si="232"/>
        <v>2375.1</v>
      </c>
      <c r="D3742">
        <f t="shared" si="233"/>
        <v>676</v>
      </c>
      <c r="E3742">
        <f t="shared" si="234"/>
        <v>8344.8224999999984</v>
      </c>
      <c r="F3742">
        <f t="shared" si="235"/>
        <v>676</v>
      </c>
    </row>
    <row r="3743" spans="1:6" x14ac:dyDescent="0.3">
      <c r="A3743">
        <v>41</v>
      </c>
      <c r="B3743">
        <v>82.48</v>
      </c>
      <c r="C3743">
        <f t="shared" si="232"/>
        <v>3381.6800000000003</v>
      </c>
      <c r="D3743">
        <f t="shared" si="233"/>
        <v>1681</v>
      </c>
      <c r="E3743">
        <f t="shared" si="234"/>
        <v>6802.9504000000006</v>
      </c>
      <c r="F3743">
        <f t="shared" si="235"/>
        <v>1681</v>
      </c>
    </row>
    <row r="3744" spans="1:6" x14ac:dyDescent="0.3">
      <c r="A3744">
        <v>71</v>
      </c>
      <c r="B3744">
        <v>99.76</v>
      </c>
      <c r="C3744">
        <f t="shared" si="232"/>
        <v>7082.96</v>
      </c>
      <c r="D3744">
        <f t="shared" si="233"/>
        <v>5041</v>
      </c>
      <c r="E3744">
        <f t="shared" si="234"/>
        <v>9952.0576000000019</v>
      </c>
      <c r="F3744">
        <f t="shared" si="235"/>
        <v>5041</v>
      </c>
    </row>
    <row r="3745" spans="1:6" x14ac:dyDescent="0.3">
      <c r="A3745">
        <v>46</v>
      </c>
      <c r="B3745">
        <v>111.1</v>
      </c>
      <c r="C3745">
        <f t="shared" si="232"/>
        <v>5110.5999999999995</v>
      </c>
      <c r="D3745">
        <f t="shared" si="233"/>
        <v>2116</v>
      </c>
      <c r="E3745">
        <f t="shared" si="234"/>
        <v>12343.21</v>
      </c>
      <c r="F3745">
        <f t="shared" si="235"/>
        <v>2116</v>
      </c>
    </row>
    <row r="3746" spans="1:6" x14ac:dyDescent="0.3">
      <c r="A3746">
        <v>15</v>
      </c>
      <c r="B3746">
        <v>122.25</v>
      </c>
      <c r="C3746">
        <f t="shared" si="232"/>
        <v>1833.75</v>
      </c>
      <c r="D3746">
        <f t="shared" si="233"/>
        <v>225</v>
      </c>
      <c r="E3746">
        <f t="shared" si="234"/>
        <v>14945.0625</v>
      </c>
      <c r="F3746">
        <f t="shared" si="235"/>
        <v>225</v>
      </c>
    </row>
    <row r="3747" spans="1:6" x14ac:dyDescent="0.3">
      <c r="A3747">
        <v>29</v>
      </c>
      <c r="B3747">
        <v>84.19</v>
      </c>
      <c r="C3747">
        <f t="shared" si="232"/>
        <v>2441.5099999999998</v>
      </c>
      <c r="D3747">
        <f t="shared" si="233"/>
        <v>841</v>
      </c>
      <c r="E3747">
        <f t="shared" si="234"/>
        <v>7087.9560999999994</v>
      </c>
      <c r="F3747">
        <f t="shared" si="235"/>
        <v>841</v>
      </c>
    </row>
    <row r="3748" spans="1:6" x14ac:dyDescent="0.3">
      <c r="A3748">
        <v>8</v>
      </c>
      <c r="B3748">
        <v>84.6</v>
      </c>
      <c r="C3748">
        <f t="shared" si="232"/>
        <v>676.8</v>
      </c>
      <c r="D3748">
        <f t="shared" si="233"/>
        <v>64</v>
      </c>
      <c r="E3748">
        <f t="shared" si="234"/>
        <v>7157.1599999999989</v>
      </c>
      <c r="F3748">
        <f t="shared" si="235"/>
        <v>64</v>
      </c>
    </row>
    <row r="3749" spans="1:6" x14ac:dyDescent="0.3">
      <c r="A3749">
        <v>21</v>
      </c>
      <c r="B3749">
        <v>126.35</v>
      </c>
      <c r="C3749">
        <f t="shared" si="232"/>
        <v>2653.35</v>
      </c>
      <c r="D3749">
        <f t="shared" si="233"/>
        <v>441</v>
      </c>
      <c r="E3749">
        <f t="shared" si="234"/>
        <v>15964.322499999998</v>
      </c>
      <c r="F3749">
        <f t="shared" si="235"/>
        <v>441</v>
      </c>
    </row>
    <row r="3750" spans="1:6" x14ac:dyDescent="0.3">
      <c r="A3750">
        <v>56</v>
      </c>
      <c r="B3750">
        <v>87.5</v>
      </c>
      <c r="C3750">
        <f t="shared" si="232"/>
        <v>4900</v>
      </c>
      <c r="D3750">
        <f t="shared" si="233"/>
        <v>3136</v>
      </c>
      <c r="E3750">
        <f t="shared" si="234"/>
        <v>7656.25</v>
      </c>
      <c r="F3750">
        <f t="shared" si="235"/>
        <v>3136</v>
      </c>
    </row>
    <row r="3751" spans="1:6" x14ac:dyDescent="0.3">
      <c r="A3751">
        <v>14</v>
      </c>
      <c r="B3751">
        <v>77.52</v>
      </c>
      <c r="C3751">
        <f t="shared" si="232"/>
        <v>1085.28</v>
      </c>
      <c r="D3751">
        <f t="shared" si="233"/>
        <v>196</v>
      </c>
      <c r="E3751">
        <f t="shared" si="234"/>
        <v>6009.3503999999994</v>
      </c>
      <c r="F3751">
        <f t="shared" si="235"/>
        <v>196</v>
      </c>
    </row>
    <row r="3752" spans="1:6" x14ac:dyDescent="0.3">
      <c r="A3752">
        <v>78</v>
      </c>
      <c r="B3752">
        <v>133.13</v>
      </c>
      <c r="C3752">
        <f t="shared" si="232"/>
        <v>10384.14</v>
      </c>
      <c r="D3752">
        <f t="shared" si="233"/>
        <v>6084</v>
      </c>
      <c r="E3752">
        <f t="shared" si="234"/>
        <v>17723.5969</v>
      </c>
      <c r="F3752">
        <f t="shared" si="235"/>
        <v>6084</v>
      </c>
    </row>
    <row r="3753" spans="1:6" x14ac:dyDescent="0.3">
      <c r="A3753">
        <v>36</v>
      </c>
      <c r="B3753">
        <v>96.1</v>
      </c>
      <c r="C3753">
        <f t="shared" si="232"/>
        <v>3459.6</v>
      </c>
      <c r="D3753">
        <f t="shared" si="233"/>
        <v>1296</v>
      </c>
      <c r="E3753">
        <f t="shared" si="234"/>
        <v>9235.2099999999991</v>
      </c>
      <c r="F3753">
        <f t="shared" si="235"/>
        <v>1296</v>
      </c>
    </row>
    <row r="3754" spans="1:6" x14ac:dyDescent="0.3">
      <c r="A3754">
        <v>57</v>
      </c>
      <c r="B3754">
        <v>108.61</v>
      </c>
      <c r="C3754">
        <f t="shared" si="232"/>
        <v>6190.7699999999995</v>
      </c>
      <c r="D3754">
        <f t="shared" si="233"/>
        <v>3249</v>
      </c>
      <c r="E3754">
        <f t="shared" si="234"/>
        <v>11796.132100000001</v>
      </c>
      <c r="F3754">
        <f t="shared" si="235"/>
        <v>3249</v>
      </c>
    </row>
    <row r="3755" spans="1:6" x14ac:dyDescent="0.3">
      <c r="A3755">
        <v>79</v>
      </c>
      <c r="B3755">
        <v>205.23</v>
      </c>
      <c r="C3755">
        <f t="shared" si="232"/>
        <v>16213.17</v>
      </c>
      <c r="D3755">
        <f t="shared" si="233"/>
        <v>6241</v>
      </c>
      <c r="E3755">
        <f t="shared" si="234"/>
        <v>42119.352899999998</v>
      </c>
      <c r="F3755">
        <f t="shared" si="235"/>
        <v>6241</v>
      </c>
    </row>
    <row r="3756" spans="1:6" x14ac:dyDescent="0.3">
      <c r="A3756">
        <v>26</v>
      </c>
      <c r="B3756">
        <v>76.739999999999995</v>
      </c>
      <c r="C3756">
        <f t="shared" si="232"/>
        <v>1995.2399999999998</v>
      </c>
      <c r="D3756">
        <f t="shared" si="233"/>
        <v>676</v>
      </c>
      <c r="E3756">
        <f t="shared" si="234"/>
        <v>5889.0275999999994</v>
      </c>
      <c r="F3756">
        <f t="shared" si="235"/>
        <v>676</v>
      </c>
    </row>
    <row r="3757" spans="1:6" x14ac:dyDescent="0.3">
      <c r="A3757">
        <v>22</v>
      </c>
      <c r="B3757">
        <v>138.55000000000001</v>
      </c>
      <c r="C3757">
        <f t="shared" si="232"/>
        <v>3048.1000000000004</v>
      </c>
      <c r="D3757">
        <f t="shared" si="233"/>
        <v>484</v>
      </c>
      <c r="E3757">
        <f t="shared" si="234"/>
        <v>19196.102500000005</v>
      </c>
      <c r="F3757">
        <f t="shared" si="235"/>
        <v>484</v>
      </c>
    </row>
    <row r="3758" spans="1:6" x14ac:dyDescent="0.3">
      <c r="A3758">
        <v>72</v>
      </c>
      <c r="B3758">
        <v>234.27</v>
      </c>
      <c r="C3758">
        <f t="shared" si="232"/>
        <v>16867.440000000002</v>
      </c>
      <c r="D3758">
        <f t="shared" si="233"/>
        <v>5184</v>
      </c>
      <c r="E3758">
        <f t="shared" si="234"/>
        <v>54882.432900000007</v>
      </c>
      <c r="F3758">
        <f t="shared" si="235"/>
        <v>5184</v>
      </c>
    </row>
    <row r="3759" spans="1:6" x14ac:dyDescent="0.3">
      <c r="A3759">
        <v>54</v>
      </c>
      <c r="B3759">
        <v>75.16</v>
      </c>
      <c r="C3759">
        <f t="shared" si="232"/>
        <v>4058.64</v>
      </c>
      <c r="D3759">
        <f t="shared" si="233"/>
        <v>2916</v>
      </c>
      <c r="E3759">
        <f t="shared" si="234"/>
        <v>5649.0255999999999</v>
      </c>
      <c r="F3759">
        <f t="shared" si="235"/>
        <v>2916</v>
      </c>
    </row>
    <row r="3760" spans="1:6" x14ac:dyDescent="0.3">
      <c r="A3760">
        <v>8</v>
      </c>
      <c r="B3760">
        <v>77.08</v>
      </c>
      <c r="C3760">
        <f t="shared" si="232"/>
        <v>616.64</v>
      </c>
      <c r="D3760">
        <f t="shared" si="233"/>
        <v>64</v>
      </c>
      <c r="E3760">
        <f t="shared" si="234"/>
        <v>5941.3263999999999</v>
      </c>
      <c r="F3760">
        <f t="shared" si="235"/>
        <v>64</v>
      </c>
    </row>
    <row r="3761" spans="1:6" x14ac:dyDescent="0.3">
      <c r="A3761">
        <v>62</v>
      </c>
      <c r="B3761">
        <v>101.19</v>
      </c>
      <c r="C3761">
        <f t="shared" si="232"/>
        <v>6273.78</v>
      </c>
      <c r="D3761">
        <f t="shared" si="233"/>
        <v>3844</v>
      </c>
      <c r="E3761">
        <f t="shared" si="234"/>
        <v>10239.4161</v>
      </c>
      <c r="F3761">
        <f t="shared" si="235"/>
        <v>3844</v>
      </c>
    </row>
    <row r="3762" spans="1:6" x14ac:dyDescent="0.3">
      <c r="A3762">
        <v>28</v>
      </c>
      <c r="B3762">
        <v>107.74</v>
      </c>
      <c r="C3762">
        <f t="shared" si="232"/>
        <v>3016.72</v>
      </c>
      <c r="D3762">
        <f t="shared" si="233"/>
        <v>784</v>
      </c>
      <c r="E3762">
        <f t="shared" si="234"/>
        <v>11607.907599999999</v>
      </c>
      <c r="F3762">
        <f t="shared" si="235"/>
        <v>784</v>
      </c>
    </row>
    <row r="3763" spans="1:6" x14ac:dyDescent="0.3">
      <c r="A3763">
        <v>50</v>
      </c>
      <c r="B3763">
        <v>62.32</v>
      </c>
      <c r="C3763">
        <f t="shared" si="232"/>
        <v>3116</v>
      </c>
      <c r="D3763">
        <f t="shared" si="233"/>
        <v>2500</v>
      </c>
      <c r="E3763">
        <f t="shared" si="234"/>
        <v>3883.7824000000001</v>
      </c>
      <c r="F3763">
        <f t="shared" si="235"/>
        <v>2500</v>
      </c>
    </row>
    <row r="3764" spans="1:6" x14ac:dyDescent="0.3">
      <c r="A3764">
        <v>7</v>
      </c>
      <c r="B3764">
        <v>56.32</v>
      </c>
      <c r="C3764">
        <f t="shared" si="232"/>
        <v>394.24</v>
      </c>
      <c r="D3764">
        <f t="shared" si="233"/>
        <v>49</v>
      </c>
      <c r="E3764">
        <f t="shared" si="234"/>
        <v>3171.9423999999999</v>
      </c>
      <c r="F3764">
        <f t="shared" si="235"/>
        <v>49</v>
      </c>
    </row>
    <row r="3765" spans="1:6" x14ac:dyDescent="0.3">
      <c r="A3765">
        <v>33</v>
      </c>
      <c r="B3765">
        <v>131.28</v>
      </c>
      <c r="C3765">
        <f t="shared" si="232"/>
        <v>4332.24</v>
      </c>
      <c r="D3765">
        <f t="shared" si="233"/>
        <v>1089</v>
      </c>
      <c r="E3765">
        <f t="shared" si="234"/>
        <v>17234.438399999999</v>
      </c>
      <c r="F3765">
        <f t="shared" si="235"/>
        <v>1089</v>
      </c>
    </row>
    <row r="3766" spans="1:6" x14ac:dyDescent="0.3">
      <c r="A3766">
        <v>55</v>
      </c>
      <c r="B3766">
        <v>67.02</v>
      </c>
      <c r="C3766">
        <f t="shared" si="232"/>
        <v>3686.1</v>
      </c>
      <c r="D3766">
        <f t="shared" si="233"/>
        <v>3025</v>
      </c>
      <c r="E3766">
        <f t="shared" si="234"/>
        <v>4491.6803999999993</v>
      </c>
      <c r="F3766">
        <f t="shared" si="235"/>
        <v>3025</v>
      </c>
    </row>
    <row r="3767" spans="1:6" x14ac:dyDescent="0.3">
      <c r="A3767">
        <v>25</v>
      </c>
      <c r="B3767">
        <v>76.72</v>
      </c>
      <c r="C3767">
        <f t="shared" si="232"/>
        <v>1918</v>
      </c>
      <c r="D3767">
        <f t="shared" si="233"/>
        <v>625</v>
      </c>
      <c r="E3767">
        <f t="shared" si="234"/>
        <v>5885.9583999999995</v>
      </c>
      <c r="F3767">
        <f t="shared" si="235"/>
        <v>625</v>
      </c>
    </row>
    <row r="3768" spans="1:6" x14ac:dyDescent="0.3">
      <c r="A3768">
        <v>25</v>
      </c>
      <c r="B3768">
        <v>125.98</v>
      </c>
      <c r="C3768">
        <f t="shared" si="232"/>
        <v>3149.5</v>
      </c>
      <c r="D3768">
        <f t="shared" si="233"/>
        <v>625</v>
      </c>
      <c r="E3768">
        <f t="shared" si="234"/>
        <v>15870.960400000002</v>
      </c>
      <c r="F3768">
        <f t="shared" si="235"/>
        <v>625</v>
      </c>
    </row>
    <row r="3769" spans="1:6" x14ac:dyDescent="0.3">
      <c r="A3769">
        <v>37</v>
      </c>
      <c r="B3769">
        <v>72.09</v>
      </c>
      <c r="C3769">
        <f t="shared" si="232"/>
        <v>2667.33</v>
      </c>
      <c r="D3769">
        <f t="shared" si="233"/>
        <v>1369</v>
      </c>
      <c r="E3769">
        <f t="shared" si="234"/>
        <v>5196.9681</v>
      </c>
      <c r="F3769">
        <f t="shared" si="235"/>
        <v>1369</v>
      </c>
    </row>
    <row r="3770" spans="1:6" x14ac:dyDescent="0.3">
      <c r="A3770">
        <v>58</v>
      </c>
      <c r="B3770">
        <v>88.05</v>
      </c>
      <c r="C3770">
        <f t="shared" si="232"/>
        <v>5106.8999999999996</v>
      </c>
      <c r="D3770">
        <f t="shared" si="233"/>
        <v>3364</v>
      </c>
      <c r="E3770">
        <f t="shared" si="234"/>
        <v>7752.8024999999998</v>
      </c>
      <c r="F3770">
        <f t="shared" si="235"/>
        <v>3364</v>
      </c>
    </row>
    <row r="3771" spans="1:6" x14ac:dyDescent="0.3">
      <c r="A3771">
        <v>45</v>
      </c>
      <c r="B3771">
        <v>55.47</v>
      </c>
      <c r="C3771">
        <f t="shared" si="232"/>
        <v>2496.15</v>
      </c>
      <c r="D3771">
        <f t="shared" si="233"/>
        <v>2025</v>
      </c>
      <c r="E3771">
        <f t="shared" si="234"/>
        <v>3076.9209000000001</v>
      </c>
      <c r="F3771">
        <f t="shared" si="235"/>
        <v>2025</v>
      </c>
    </row>
    <row r="3772" spans="1:6" x14ac:dyDescent="0.3">
      <c r="A3772">
        <v>60</v>
      </c>
      <c r="B3772">
        <v>145.94</v>
      </c>
      <c r="C3772">
        <f t="shared" si="232"/>
        <v>8756.4</v>
      </c>
      <c r="D3772">
        <f t="shared" si="233"/>
        <v>3600</v>
      </c>
      <c r="E3772">
        <f t="shared" si="234"/>
        <v>21298.4836</v>
      </c>
      <c r="F3772">
        <f t="shared" si="235"/>
        <v>3600</v>
      </c>
    </row>
    <row r="3773" spans="1:6" x14ac:dyDescent="0.3">
      <c r="A3773">
        <v>66</v>
      </c>
      <c r="B3773">
        <v>239.21</v>
      </c>
      <c r="C3773">
        <f t="shared" si="232"/>
        <v>15787.86</v>
      </c>
      <c r="D3773">
        <f t="shared" si="233"/>
        <v>4356</v>
      </c>
      <c r="E3773">
        <f t="shared" si="234"/>
        <v>57221.424100000004</v>
      </c>
      <c r="F3773">
        <f t="shared" si="235"/>
        <v>4356</v>
      </c>
    </row>
    <row r="3774" spans="1:6" x14ac:dyDescent="0.3">
      <c r="A3774">
        <v>80</v>
      </c>
      <c r="B3774">
        <v>196.08</v>
      </c>
      <c r="C3774">
        <f t="shared" si="232"/>
        <v>15686.400000000001</v>
      </c>
      <c r="D3774">
        <f t="shared" si="233"/>
        <v>6400</v>
      </c>
      <c r="E3774">
        <f t="shared" si="234"/>
        <v>38447.366400000006</v>
      </c>
      <c r="F3774">
        <f t="shared" si="235"/>
        <v>6400</v>
      </c>
    </row>
    <row r="3775" spans="1:6" x14ac:dyDescent="0.3">
      <c r="A3775">
        <v>38</v>
      </c>
      <c r="B3775">
        <v>93.93</v>
      </c>
      <c r="C3775">
        <f t="shared" si="232"/>
        <v>3569.34</v>
      </c>
      <c r="D3775">
        <f t="shared" si="233"/>
        <v>1444</v>
      </c>
      <c r="E3775">
        <f t="shared" si="234"/>
        <v>8822.8449000000019</v>
      </c>
      <c r="F3775">
        <f t="shared" si="235"/>
        <v>1444</v>
      </c>
    </row>
    <row r="3776" spans="1:6" x14ac:dyDescent="0.3">
      <c r="A3776">
        <v>11</v>
      </c>
      <c r="B3776">
        <v>76.739999999999995</v>
      </c>
      <c r="C3776">
        <f t="shared" si="232"/>
        <v>844.14</v>
      </c>
      <c r="D3776">
        <f t="shared" si="233"/>
        <v>121</v>
      </c>
      <c r="E3776">
        <f t="shared" si="234"/>
        <v>5889.0275999999994</v>
      </c>
      <c r="F3776">
        <f t="shared" si="235"/>
        <v>121</v>
      </c>
    </row>
    <row r="3777" spans="1:6" x14ac:dyDescent="0.3">
      <c r="A3777">
        <v>63</v>
      </c>
      <c r="B3777">
        <v>83.74</v>
      </c>
      <c r="C3777">
        <f t="shared" si="232"/>
        <v>5275.62</v>
      </c>
      <c r="D3777">
        <f t="shared" si="233"/>
        <v>3969</v>
      </c>
      <c r="E3777">
        <f t="shared" si="234"/>
        <v>7012.3875999999991</v>
      </c>
      <c r="F3777">
        <f t="shared" si="235"/>
        <v>3969</v>
      </c>
    </row>
    <row r="3778" spans="1:6" x14ac:dyDescent="0.3">
      <c r="A3778">
        <v>19</v>
      </c>
      <c r="B3778">
        <v>119.58</v>
      </c>
      <c r="C3778">
        <f t="shared" si="232"/>
        <v>2272.02</v>
      </c>
      <c r="D3778">
        <f t="shared" si="233"/>
        <v>361</v>
      </c>
      <c r="E3778">
        <f t="shared" si="234"/>
        <v>14299.376399999999</v>
      </c>
      <c r="F3778">
        <f t="shared" si="235"/>
        <v>361</v>
      </c>
    </row>
    <row r="3779" spans="1:6" x14ac:dyDescent="0.3">
      <c r="A3779">
        <v>17</v>
      </c>
      <c r="B3779">
        <v>68.66</v>
      </c>
      <c r="C3779">
        <f t="shared" ref="C3779:C3842" si="236">A3779*B3779</f>
        <v>1167.22</v>
      </c>
      <c r="D3779">
        <f t="shared" ref="D3779:D3842" si="237">A3779*A3779</f>
        <v>289</v>
      </c>
      <c r="E3779">
        <f t="shared" ref="E3779:E3842" si="238">B3779*B3779</f>
        <v>4714.1955999999991</v>
      </c>
      <c r="F3779">
        <f t="shared" ref="F3779:F3842" si="239">A3779^2</f>
        <v>289</v>
      </c>
    </row>
    <row r="3780" spans="1:6" x14ac:dyDescent="0.3">
      <c r="A3780">
        <v>19</v>
      </c>
      <c r="B3780">
        <v>65.790000000000006</v>
      </c>
      <c r="C3780">
        <f t="shared" si="236"/>
        <v>1250.0100000000002</v>
      </c>
      <c r="D3780">
        <f t="shared" si="237"/>
        <v>361</v>
      </c>
      <c r="E3780">
        <f t="shared" si="238"/>
        <v>4328.3241000000007</v>
      </c>
      <c r="F3780">
        <f t="shared" si="239"/>
        <v>361</v>
      </c>
    </row>
    <row r="3781" spans="1:6" x14ac:dyDescent="0.3">
      <c r="A3781">
        <v>40</v>
      </c>
      <c r="B3781">
        <v>176.38</v>
      </c>
      <c r="C3781">
        <f t="shared" si="236"/>
        <v>7055.2</v>
      </c>
      <c r="D3781">
        <f t="shared" si="237"/>
        <v>1600</v>
      </c>
      <c r="E3781">
        <f t="shared" si="238"/>
        <v>31109.904399999999</v>
      </c>
      <c r="F3781">
        <f t="shared" si="239"/>
        <v>1600</v>
      </c>
    </row>
    <row r="3782" spans="1:6" x14ac:dyDescent="0.3">
      <c r="A3782">
        <v>49</v>
      </c>
      <c r="B3782">
        <v>175.74</v>
      </c>
      <c r="C3782">
        <f t="shared" si="236"/>
        <v>8611.26</v>
      </c>
      <c r="D3782">
        <f t="shared" si="237"/>
        <v>2401</v>
      </c>
      <c r="E3782">
        <f t="shared" si="238"/>
        <v>30884.547600000002</v>
      </c>
      <c r="F3782">
        <f t="shared" si="239"/>
        <v>2401</v>
      </c>
    </row>
    <row r="3783" spans="1:6" x14ac:dyDescent="0.3">
      <c r="A3783">
        <v>69</v>
      </c>
      <c r="B3783">
        <v>193.45</v>
      </c>
      <c r="C3783">
        <f t="shared" si="236"/>
        <v>13348.05</v>
      </c>
      <c r="D3783">
        <f t="shared" si="237"/>
        <v>4761</v>
      </c>
      <c r="E3783">
        <f t="shared" si="238"/>
        <v>37422.902499999997</v>
      </c>
      <c r="F3783">
        <f t="shared" si="239"/>
        <v>4761</v>
      </c>
    </row>
    <row r="3784" spans="1:6" x14ac:dyDescent="0.3">
      <c r="A3784">
        <v>46</v>
      </c>
      <c r="B3784">
        <v>85.84</v>
      </c>
      <c r="C3784">
        <f t="shared" si="236"/>
        <v>3948.6400000000003</v>
      </c>
      <c r="D3784">
        <f t="shared" si="237"/>
        <v>2116</v>
      </c>
      <c r="E3784">
        <f t="shared" si="238"/>
        <v>7368.5056000000004</v>
      </c>
      <c r="F3784">
        <f t="shared" si="239"/>
        <v>2116</v>
      </c>
    </row>
    <row r="3785" spans="1:6" x14ac:dyDescent="0.3">
      <c r="A3785">
        <v>78</v>
      </c>
      <c r="B3785">
        <v>93.85</v>
      </c>
      <c r="C3785">
        <f t="shared" si="236"/>
        <v>7320.2999999999993</v>
      </c>
      <c r="D3785">
        <f t="shared" si="237"/>
        <v>6084</v>
      </c>
      <c r="E3785">
        <f t="shared" si="238"/>
        <v>8807.8224999999984</v>
      </c>
      <c r="F3785">
        <f t="shared" si="239"/>
        <v>6084</v>
      </c>
    </row>
    <row r="3786" spans="1:6" x14ac:dyDescent="0.3">
      <c r="A3786">
        <v>63</v>
      </c>
      <c r="B3786">
        <v>86.21</v>
      </c>
      <c r="C3786">
        <f t="shared" si="236"/>
        <v>5431.23</v>
      </c>
      <c r="D3786">
        <f t="shared" si="237"/>
        <v>3969</v>
      </c>
      <c r="E3786">
        <f t="shared" si="238"/>
        <v>7432.1640999999991</v>
      </c>
      <c r="F3786">
        <f t="shared" si="239"/>
        <v>3969</v>
      </c>
    </row>
    <row r="3787" spans="1:6" x14ac:dyDescent="0.3">
      <c r="A3787">
        <v>3</v>
      </c>
      <c r="B3787">
        <v>75.41</v>
      </c>
      <c r="C3787">
        <f t="shared" si="236"/>
        <v>226.23</v>
      </c>
      <c r="D3787">
        <f t="shared" si="237"/>
        <v>9</v>
      </c>
      <c r="E3787">
        <f t="shared" si="238"/>
        <v>5686.6680999999999</v>
      </c>
      <c r="F3787">
        <f t="shared" si="239"/>
        <v>9</v>
      </c>
    </row>
    <row r="3788" spans="1:6" x14ac:dyDescent="0.3">
      <c r="A3788">
        <v>1.8</v>
      </c>
      <c r="B3788">
        <v>95.28</v>
      </c>
      <c r="C3788">
        <f t="shared" si="236"/>
        <v>171.50400000000002</v>
      </c>
      <c r="D3788">
        <f t="shared" si="237"/>
        <v>3.24</v>
      </c>
      <c r="E3788">
        <f t="shared" si="238"/>
        <v>9078.2784000000011</v>
      </c>
      <c r="F3788">
        <f t="shared" si="239"/>
        <v>3.24</v>
      </c>
    </row>
    <row r="3789" spans="1:6" x14ac:dyDescent="0.3">
      <c r="A3789">
        <v>18</v>
      </c>
      <c r="B3789">
        <v>95.87</v>
      </c>
      <c r="C3789">
        <f t="shared" si="236"/>
        <v>1725.66</v>
      </c>
      <c r="D3789">
        <f t="shared" si="237"/>
        <v>324</v>
      </c>
      <c r="E3789">
        <f t="shared" si="238"/>
        <v>9191.0569000000014</v>
      </c>
      <c r="F3789">
        <f t="shared" si="239"/>
        <v>324</v>
      </c>
    </row>
    <row r="3790" spans="1:6" x14ac:dyDescent="0.3">
      <c r="A3790">
        <v>46</v>
      </c>
      <c r="B3790">
        <v>180.45</v>
      </c>
      <c r="C3790">
        <f t="shared" si="236"/>
        <v>8300.6999999999989</v>
      </c>
      <c r="D3790">
        <f t="shared" si="237"/>
        <v>2116</v>
      </c>
      <c r="E3790">
        <f t="shared" si="238"/>
        <v>32562.202499999996</v>
      </c>
      <c r="F3790">
        <f t="shared" si="239"/>
        <v>2116</v>
      </c>
    </row>
    <row r="3791" spans="1:6" x14ac:dyDescent="0.3">
      <c r="A3791">
        <v>8</v>
      </c>
      <c r="B3791">
        <v>95.39</v>
      </c>
      <c r="C3791">
        <f t="shared" si="236"/>
        <v>763.12</v>
      </c>
      <c r="D3791">
        <f t="shared" si="237"/>
        <v>64</v>
      </c>
      <c r="E3791">
        <f t="shared" si="238"/>
        <v>9099.2520999999997</v>
      </c>
      <c r="F3791">
        <f t="shared" si="239"/>
        <v>64</v>
      </c>
    </row>
    <row r="3792" spans="1:6" x14ac:dyDescent="0.3">
      <c r="A3792">
        <v>53</v>
      </c>
      <c r="B3792">
        <v>60.77</v>
      </c>
      <c r="C3792">
        <f t="shared" si="236"/>
        <v>3220.81</v>
      </c>
      <c r="D3792">
        <f t="shared" si="237"/>
        <v>2809</v>
      </c>
      <c r="E3792">
        <f t="shared" si="238"/>
        <v>3692.9929000000002</v>
      </c>
      <c r="F3792">
        <f t="shared" si="239"/>
        <v>2809</v>
      </c>
    </row>
    <row r="3793" spans="1:6" x14ac:dyDescent="0.3">
      <c r="A3793">
        <v>38</v>
      </c>
      <c r="B3793">
        <v>102.84</v>
      </c>
      <c r="C3793">
        <f t="shared" si="236"/>
        <v>3907.92</v>
      </c>
      <c r="D3793">
        <f t="shared" si="237"/>
        <v>1444</v>
      </c>
      <c r="E3793">
        <f t="shared" si="238"/>
        <v>10576.0656</v>
      </c>
      <c r="F3793">
        <f t="shared" si="239"/>
        <v>1444</v>
      </c>
    </row>
    <row r="3794" spans="1:6" x14ac:dyDescent="0.3">
      <c r="A3794">
        <v>74</v>
      </c>
      <c r="B3794">
        <v>130.37</v>
      </c>
      <c r="C3794">
        <f t="shared" si="236"/>
        <v>9647.380000000001</v>
      </c>
      <c r="D3794">
        <f t="shared" si="237"/>
        <v>5476</v>
      </c>
      <c r="E3794">
        <f t="shared" si="238"/>
        <v>16996.336900000002</v>
      </c>
      <c r="F3794">
        <f t="shared" si="239"/>
        <v>5476</v>
      </c>
    </row>
    <row r="3795" spans="1:6" x14ac:dyDescent="0.3">
      <c r="A3795">
        <v>24</v>
      </c>
      <c r="B3795">
        <v>65.44</v>
      </c>
      <c r="C3795">
        <f t="shared" si="236"/>
        <v>1570.56</v>
      </c>
      <c r="D3795">
        <f t="shared" si="237"/>
        <v>576</v>
      </c>
      <c r="E3795">
        <f t="shared" si="238"/>
        <v>4282.3935999999994</v>
      </c>
      <c r="F3795">
        <f t="shared" si="239"/>
        <v>576</v>
      </c>
    </row>
    <row r="3796" spans="1:6" x14ac:dyDescent="0.3">
      <c r="A3796">
        <v>78</v>
      </c>
      <c r="B3796">
        <v>79.84</v>
      </c>
      <c r="C3796">
        <f t="shared" si="236"/>
        <v>6227.52</v>
      </c>
      <c r="D3796">
        <f t="shared" si="237"/>
        <v>6084</v>
      </c>
      <c r="E3796">
        <f t="shared" si="238"/>
        <v>6374.4256000000005</v>
      </c>
      <c r="F3796">
        <f t="shared" si="239"/>
        <v>6084</v>
      </c>
    </row>
    <row r="3797" spans="1:6" x14ac:dyDescent="0.3">
      <c r="A3797">
        <v>60</v>
      </c>
      <c r="B3797">
        <v>62.61</v>
      </c>
      <c r="C3797">
        <f t="shared" si="236"/>
        <v>3756.6</v>
      </c>
      <c r="D3797">
        <f t="shared" si="237"/>
        <v>3600</v>
      </c>
      <c r="E3797">
        <f t="shared" si="238"/>
        <v>3920.0120999999999</v>
      </c>
      <c r="F3797">
        <f t="shared" si="239"/>
        <v>3600</v>
      </c>
    </row>
    <row r="3798" spans="1:6" x14ac:dyDescent="0.3">
      <c r="A3798">
        <v>12</v>
      </c>
      <c r="B3798">
        <v>70.069999999999993</v>
      </c>
      <c r="C3798">
        <f t="shared" si="236"/>
        <v>840.83999999999992</v>
      </c>
      <c r="D3798">
        <f t="shared" si="237"/>
        <v>144</v>
      </c>
      <c r="E3798">
        <f t="shared" si="238"/>
        <v>4909.8048999999992</v>
      </c>
      <c r="F3798">
        <f t="shared" si="239"/>
        <v>144</v>
      </c>
    </row>
    <row r="3799" spans="1:6" x14ac:dyDescent="0.3">
      <c r="A3799">
        <v>32</v>
      </c>
      <c r="B3799">
        <v>108.8</v>
      </c>
      <c r="C3799">
        <f t="shared" si="236"/>
        <v>3481.6</v>
      </c>
      <c r="D3799">
        <f t="shared" si="237"/>
        <v>1024</v>
      </c>
      <c r="E3799">
        <f t="shared" si="238"/>
        <v>11837.439999999999</v>
      </c>
      <c r="F3799">
        <f t="shared" si="239"/>
        <v>1024</v>
      </c>
    </row>
    <row r="3800" spans="1:6" x14ac:dyDescent="0.3">
      <c r="A3800">
        <v>5</v>
      </c>
      <c r="B3800">
        <v>112.11</v>
      </c>
      <c r="C3800">
        <f t="shared" si="236"/>
        <v>560.54999999999995</v>
      </c>
      <c r="D3800">
        <f t="shared" si="237"/>
        <v>25</v>
      </c>
      <c r="E3800">
        <f t="shared" si="238"/>
        <v>12568.652099999999</v>
      </c>
      <c r="F3800">
        <f t="shared" si="239"/>
        <v>25</v>
      </c>
    </row>
    <row r="3801" spans="1:6" x14ac:dyDescent="0.3">
      <c r="A3801">
        <v>40</v>
      </c>
      <c r="B3801">
        <v>92.35</v>
      </c>
      <c r="C3801">
        <f t="shared" si="236"/>
        <v>3694</v>
      </c>
      <c r="D3801">
        <f t="shared" si="237"/>
        <v>1600</v>
      </c>
      <c r="E3801">
        <f t="shared" si="238"/>
        <v>8528.5224999999991</v>
      </c>
      <c r="F3801">
        <f t="shared" si="239"/>
        <v>1600</v>
      </c>
    </row>
    <row r="3802" spans="1:6" x14ac:dyDescent="0.3">
      <c r="A3802">
        <v>19</v>
      </c>
      <c r="B3802">
        <v>76.569999999999993</v>
      </c>
      <c r="C3802">
        <f t="shared" si="236"/>
        <v>1454.83</v>
      </c>
      <c r="D3802">
        <f t="shared" si="237"/>
        <v>361</v>
      </c>
      <c r="E3802">
        <f t="shared" si="238"/>
        <v>5862.964899999999</v>
      </c>
      <c r="F3802">
        <f t="shared" si="239"/>
        <v>361</v>
      </c>
    </row>
    <row r="3803" spans="1:6" x14ac:dyDescent="0.3">
      <c r="A3803">
        <v>28</v>
      </c>
      <c r="B3803">
        <v>69.5</v>
      </c>
      <c r="C3803">
        <f t="shared" si="236"/>
        <v>1946</v>
      </c>
      <c r="D3803">
        <f t="shared" si="237"/>
        <v>784</v>
      </c>
      <c r="E3803">
        <f t="shared" si="238"/>
        <v>4830.25</v>
      </c>
      <c r="F3803">
        <f t="shared" si="239"/>
        <v>784</v>
      </c>
    </row>
    <row r="3804" spans="1:6" x14ac:dyDescent="0.3">
      <c r="A3804">
        <v>61</v>
      </c>
      <c r="B3804">
        <v>219.38</v>
      </c>
      <c r="C3804">
        <f t="shared" si="236"/>
        <v>13382.18</v>
      </c>
      <c r="D3804">
        <f t="shared" si="237"/>
        <v>3721</v>
      </c>
      <c r="E3804">
        <f t="shared" si="238"/>
        <v>48127.5844</v>
      </c>
      <c r="F3804">
        <f t="shared" si="239"/>
        <v>3721</v>
      </c>
    </row>
    <row r="3805" spans="1:6" x14ac:dyDescent="0.3">
      <c r="A3805">
        <v>44</v>
      </c>
      <c r="B3805">
        <v>69.48</v>
      </c>
      <c r="C3805">
        <f t="shared" si="236"/>
        <v>3057.1200000000003</v>
      </c>
      <c r="D3805">
        <f t="shared" si="237"/>
        <v>1936</v>
      </c>
      <c r="E3805">
        <f t="shared" si="238"/>
        <v>4827.4704000000002</v>
      </c>
      <c r="F3805">
        <f t="shared" si="239"/>
        <v>1936</v>
      </c>
    </row>
    <row r="3806" spans="1:6" x14ac:dyDescent="0.3">
      <c r="A3806">
        <v>50</v>
      </c>
      <c r="B3806">
        <v>89.18</v>
      </c>
      <c r="C3806">
        <f t="shared" si="236"/>
        <v>4459</v>
      </c>
      <c r="D3806">
        <f t="shared" si="237"/>
        <v>2500</v>
      </c>
      <c r="E3806">
        <f t="shared" si="238"/>
        <v>7953.0724000000009</v>
      </c>
      <c r="F3806">
        <f t="shared" si="239"/>
        <v>2500</v>
      </c>
    </row>
    <row r="3807" spans="1:6" x14ac:dyDescent="0.3">
      <c r="A3807">
        <v>50</v>
      </c>
      <c r="B3807">
        <v>68.09</v>
      </c>
      <c r="C3807">
        <f t="shared" si="236"/>
        <v>3404.5</v>
      </c>
      <c r="D3807">
        <f t="shared" si="237"/>
        <v>2500</v>
      </c>
      <c r="E3807">
        <f t="shared" si="238"/>
        <v>4636.2481000000007</v>
      </c>
      <c r="F3807">
        <f t="shared" si="239"/>
        <v>2500</v>
      </c>
    </row>
    <row r="3808" spans="1:6" x14ac:dyDescent="0.3">
      <c r="A3808">
        <v>18</v>
      </c>
      <c r="B3808">
        <v>92.71</v>
      </c>
      <c r="C3808">
        <f t="shared" si="236"/>
        <v>1668.78</v>
      </c>
      <c r="D3808">
        <f t="shared" si="237"/>
        <v>324</v>
      </c>
      <c r="E3808">
        <f t="shared" si="238"/>
        <v>8595.1440999999995</v>
      </c>
      <c r="F3808">
        <f t="shared" si="239"/>
        <v>324</v>
      </c>
    </row>
    <row r="3809" spans="1:6" x14ac:dyDescent="0.3">
      <c r="A3809">
        <v>1.64</v>
      </c>
      <c r="B3809">
        <v>56.21</v>
      </c>
      <c r="C3809">
        <f t="shared" si="236"/>
        <v>92.184399999999997</v>
      </c>
      <c r="D3809">
        <f t="shared" si="237"/>
        <v>2.6895999999999995</v>
      </c>
      <c r="E3809">
        <f t="shared" si="238"/>
        <v>3159.5641000000001</v>
      </c>
      <c r="F3809">
        <f t="shared" si="239"/>
        <v>2.6895999999999995</v>
      </c>
    </row>
    <row r="3810" spans="1:6" x14ac:dyDescent="0.3">
      <c r="A3810">
        <v>37</v>
      </c>
      <c r="B3810">
        <v>72.08</v>
      </c>
      <c r="C3810">
        <f t="shared" si="236"/>
        <v>2666.96</v>
      </c>
      <c r="D3810">
        <f t="shared" si="237"/>
        <v>1369</v>
      </c>
      <c r="E3810">
        <f t="shared" si="238"/>
        <v>5195.5263999999997</v>
      </c>
      <c r="F3810">
        <f t="shared" si="239"/>
        <v>1369</v>
      </c>
    </row>
    <row r="3811" spans="1:6" x14ac:dyDescent="0.3">
      <c r="A3811">
        <v>5</v>
      </c>
      <c r="B3811">
        <v>82.56</v>
      </c>
      <c r="C3811">
        <f t="shared" si="236"/>
        <v>412.8</v>
      </c>
      <c r="D3811">
        <f t="shared" si="237"/>
        <v>25</v>
      </c>
      <c r="E3811">
        <f t="shared" si="238"/>
        <v>6816.1536000000006</v>
      </c>
      <c r="F3811">
        <f t="shared" si="239"/>
        <v>25</v>
      </c>
    </row>
    <row r="3812" spans="1:6" x14ac:dyDescent="0.3">
      <c r="A3812">
        <v>39</v>
      </c>
      <c r="B3812">
        <v>78.239999999999995</v>
      </c>
      <c r="C3812">
        <f t="shared" si="236"/>
        <v>3051.3599999999997</v>
      </c>
      <c r="D3812">
        <f t="shared" si="237"/>
        <v>1521</v>
      </c>
      <c r="E3812">
        <f t="shared" si="238"/>
        <v>6121.4975999999988</v>
      </c>
      <c r="F3812">
        <f t="shared" si="239"/>
        <v>1521</v>
      </c>
    </row>
    <row r="3813" spans="1:6" x14ac:dyDescent="0.3">
      <c r="A3813">
        <v>65</v>
      </c>
      <c r="B3813">
        <v>84.66</v>
      </c>
      <c r="C3813">
        <f t="shared" si="236"/>
        <v>5502.9</v>
      </c>
      <c r="D3813">
        <f t="shared" si="237"/>
        <v>4225</v>
      </c>
      <c r="E3813">
        <f t="shared" si="238"/>
        <v>7167.315599999999</v>
      </c>
      <c r="F3813">
        <f t="shared" si="239"/>
        <v>4225</v>
      </c>
    </row>
    <row r="3814" spans="1:6" x14ac:dyDescent="0.3">
      <c r="A3814">
        <v>26</v>
      </c>
      <c r="B3814">
        <v>90.35</v>
      </c>
      <c r="C3814">
        <f t="shared" si="236"/>
        <v>2349.1</v>
      </c>
      <c r="D3814">
        <f t="shared" si="237"/>
        <v>676</v>
      </c>
      <c r="E3814">
        <f t="shared" si="238"/>
        <v>8163.1224999999986</v>
      </c>
      <c r="F3814">
        <f t="shared" si="239"/>
        <v>676</v>
      </c>
    </row>
    <row r="3815" spans="1:6" x14ac:dyDescent="0.3">
      <c r="A3815">
        <v>42</v>
      </c>
      <c r="B3815">
        <v>68.12</v>
      </c>
      <c r="C3815">
        <f t="shared" si="236"/>
        <v>2861.04</v>
      </c>
      <c r="D3815">
        <f t="shared" si="237"/>
        <v>1764</v>
      </c>
      <c r="E3815">
        <f t="shared" si="238"/>
        <v>4640.3344000000006</v>
      </c>
      <c r="F3815">
        <f t="shared" si="239"/>
        <v>1764</v>
      </c>
    </row>
    <row r="3816" spans="1:6" x14ac:dyDescent="0.3">
      <c r="A3816">
        <v>34</v>
      </c>
      <c r="B3816">
        <v>59.14</v>
      </c>
      <c r="C3816">
        <f t="shared" si="236"/>
        <v>2010.76</v>
      </c>
      <c r="D3816">
        <f t="shared" si="237"/>
        <v>1156</v>
      </c>
      <c r="E3816">
        <f t="shared" si="238"/>
        <v>3497.5396000000001</v>
      </c>
      <c r="F3816">
        <f t="shared" si="239"/>
        <v>1156</v>
      </c>
    </row>
    <row r="3817" spans="1:6" x14ac:dyDescent="0.3">
      <c r="A3817">
        <v>45</v>
      </c>
      <c r="B3817">
        <v>85.64</v>
      </c>
      <c r="C3817">
        <f t="shared" si="236"/>
        <v>3853.8</v>
      </c>
      <c r="D3817">
        <f t="shared" si="237"/>
        <v>2025</v>
      </c>
      <c r="E3817">
        <f t="shared" si="238"/>
        <v>7334.2096000000001</v>
      </c>
      <c r="F3817">
        <f t="shared" si="239"/>
        <v>2025</v>
      </c>
    </row>
    <row r="3818" spans="1:6" x14ac:dyDescent="0.3">
      <c r="A3818">
        <v>43</v>
      </c>
      <c r="B3818">
        <v>56.08</v>
      </c>
      <c r="C3818">
        <f t="shared" si="236"/>
        <v>2411.44</v>
      </c>
      <c r="D3818">
        <f t="shared" si="237"/>
        <v>1849</v>
      </c>
      <c r="E3818">
        <f t="shared" si="238"/>
        <v>3144.9663999999998</v>
      </c>
      <c r="F3818">
        <f t="shared" si="239"/>
        <v>1849</v>
      </c>
    </row>
    <row r="3819" spans="1:6" x14ac:dyDescent="0.3">
      <c r="A3819">
        <v>40</v>
      </c>
      <c r="B3819">
        <v>99</v>
      </c>
      <c r="C3819">
        <f t="shared" si="236"/>
        <v>3960</v>
      </c>
      <c r="D3819">
        <f t="shared" si="237"/>
        <v>1600</v>
      </c>
      <c r="E3819">
        <f t="shared" si="238"/>
        <v>9801</v>
      </c>
      <c r="F3819">
        <f t="shared" si="239"/>
        <v>1600</v>
      </c>
    </row>
    <row r="3820" spans="1:6" x14ac:dyDescent="0.3">
      <c r="A3820">
        <v>35</v>
      </c>
      <c r="B3820">
        <v>93.6</v>
      </c>
      <c r="C3820">
        <f t="shared" si="236"/>
        <v>3276</v>
      </c>
      <c r="D3820">
        <f t="shared" si="237"/>
        <v>1225</v>
      </c>
      <c r="E3820">
        <f t="shared" si="238"/>
        <v>8760.9599999999991</v>
      </c>
      <c r="F3820">
        <f t="shared" si="239"/>
        <v>1225</v>
      </c>
    </row>
    <row r="3821" spans="1:6" x14ac:dyDescent="0.3">
      <c r="A3821">
        <v>2</v>
      </c>
      <c r="B3821">
        <v>105.75</v>
      </c>
      <c r="C3821">
        <f t="shared" si="236"/>
        <v>211.5</v>
      </c>
      <c r="D3821">
        <f t="shared" si="237"/>
        <v>4</v>
      </c>
      <c r="E3821">
        <f t="shared" si="238"/>
        <v>11183.0625</v>
      </c>
      <c r="F3821">
        <f t="shared" si="239"/>
        <v>4</v>
      </c>
    </row>
    <row r="3822" spans="1:6" x14ac:dyDescent="0.3">
      <c r="A3822">
        <v>61</v>
      </c>
      <c r="B3822">
        <v>114.09</v>
      </c>
      <c r="C3822">
        <f t="shared" si="236"/>
        <v>6959.49</v>
      </c>
      <c r="D3822">
        <f t="shared" si="237"/>
        <v>3721</v>
      </c>
      <c r="E3822">
        <f t="shared" si="238"/>
        <v>13016.528100000001</v>
      </c>
      <c r="F3822">
        <f t="shared" si="239"/>
        <v>3721</v>
      </c>
    </row>
    <row r="3823" spans="1:6" x14ac:dyDescent="0.3">
      <c r="A3823">
        <v>64</v>
      </c>
      <c r="B3823">
        <v>57.42</v>
      </c>
      <c r="C3823">
        <f t="shared" si="236"/>
        <v>3674.88</v>
      </c>
      <c r="D3823">
        <f t="shared" si="237"/>
        <v>4096</v>
      </c>
      <c r="E3823">
        <f t="shared" si="238"/>
        <v>3297.0564000000004</v>
      </c>
      <c r="F3823">
        <f t="shared" si="239"/>
        <v>4096</v>
      </c>
    </row>
    <row r="3824" spans="1:6" x14ac:dyDescent="0.3">
      <c r="A3824">
        <v>32</v>
      </c>
      <c r="B3824">
        <v>100.01</v>
      </c>
      <c r="C3824">
        <f t="shared" si="236"/>
        <v>3200.32</v>
      </c>
      <c r="D3824">
        <f t="shared" si="237"/>
        <v>1024</v>
      </c>
      <c r="E3824">
        <f t="shared" si="238"/>
        <v>10002.000100000001</v>
      </c>
      <c r="F3824">
        <f t="shared" si="239"/>
        <v>1024</v>
      </c>
    </row>
    <row r="3825" spans="1:6" x14ac:dyDescent="0.3">
      <c r="A3825">
        <v>23</v>
      </c>
      <c r="B3825">
        <v>62</v>
      </c>
      <c r="C3825">
        <f t="shared" si="236"/>
        <v>1426</v>
      </c>
      <c r="D3825">
        <f t="shared" si="237"/>
        <v>529</v>
      </c>
      <c r="E3825">
        <f t="shared" si="238"/>
        <v>3844</v>
      </c>
      <c r="F3825">
        <f t="shared" si="239"/>
        <v>529</v>
      </c>
    </row>
    <row r="3826" spans="1:6" x14ac:dyDescent="0.3">
      <c r="A3826">
        <v>51</v>
      </c>
      <c r="B3826">
        <v>103.61</v>
      </c>
      <c r="C3826">
        <f t="shared" si="236"/>
        <v>5284.11</v>
      </c>
      <c r="D3826">
        <f t="shared" si="237"/>
        <v>2601</v>
      </c>
      <c r="E3826">
        <f t="shared" si="238"/>
        <v>10735.0321</v>
      </c>
      <c r="F3826">
        <f t="shared" si="239"/>
        <v>2601</v>
      </c>
    </row>
    <row r="3827" spans="1:6" x14ac:dyDescent="0.3">
      <c r="A3827">
        <v>52</v>
      </c>
      <c r="B3827">
        <v>118.46</v>
      </c>
      <c r="C3827">
        <f t="shared" si="236"/>
        <v>6159.92</v>
      </c>
      <c r="D3827">
        <f t="shared" si="237"/>
        <v>2704</v>
      </c>
      <c r="E3827">
        <f t="shared" si="238"/>
        <v>14032.771599999998</v>
      </c>
      <c r="F3827">
        <f t="shared" si="239"/>
        <v>2704</v>
      </c>
    </row>
    <row r="3828" spans="1:6" x14ac:dyDescent="0.3">
      <c r="A3828">
        <v>75</v>
      </c>
      <c r="B3828">
        <v>94.77</v>
      </c>
      <c r="C3828">
        <f t="shared" si="236"/>
        <v>7107.75</v>
      </c>
      <c r="D3828">
        <f t="shared" si="237"/>
        <v>5625</v>
      </c>
      <c r="E3828">
        <f t="shared" si="238"/>
        <v>8981.3528999999999</v>
      </c>
      <c r="F3828">
        <f t="shared" si="239"/>
        <v>5625</v>
      </c>
    </row>
    <row r="3829" spans="1:6" x14ac:dyDescent="0.3">
      <c r="A3829">
        <v>40</v>
      </c>
      <c r="B3829">
        <v>72.12</v>
      </c>
      <c r="C3829">
        <f t="shared" si="236"/>
        <v>2884.8</v>
      </c>
      <c r="D3829">
        <f t="shared" si="237"/>
        <v>1600</v>
      </c>
      <c r="E3829">
        <f t="shared" si="238"/>
        <v>5201.2944000000007</v>
      </c>
      <c r="F3829">
        <f t="shared" si="239"/>
        <v>1600</v>
      </c>
    </row>
    <row r="3830" spans="1:6" x14ac:dyDescent="0.3">
      <c r="A3830">
        <v>39</v>
      </c>
      <c r="B3830">
        <v>155.22999999999999</v>
      </c>
      <c r="C3830">
        <f t="shared" si="236"/>
        <v>6053.9699999999993</v>
      </c>
      <c r="D3830">
        <f t="shared" si="237"/>
        <v>1521</v>
      </c>
      <c r="E3830">
        <f t="shared" si="238"/>
        <v>24096.352899999998</v>
      </c>
      <c r="F3830">
        <f t="shared" si="239"/>
        <v>1521</v>
      </c>
    </row>
    <row r="3831" spans="1:6" x14ac:dyDescent="0.3">
      <c r="A3831">
        <v>6</v>
      </c>
      <c r="B3831">
        <v>90.6</v>
      </c>
      <c r="C3831">
        <f t="shared" si="236"/>
        <v>543.59999999999991</v>
      </c>
      <c r="D3831">
        <f t="shared" si="237"/>
        <v>36</v>
      </c>
      <c r="E3831">
        <f t="shared" si="238"/>
        <v>8208.3599999999988</v>
      </c>
      <c r="F3831">
        <f t="shared" si="239"/>
        <v>36</v>
      </c>
    </row>
    <row r="3832" spans="1:6" x14ac:dyDescent="0.3">
      <c r="A3832">
        <v>32</v>
      </c>
      <c r="B3832">
        <v>81.92</v>
      </c>
      <c r="C3832">
        <f t="shared" si="236"/>
        <v>2621.44</v>
      </c>
      <c r="D3832">
        <f t="shared" si="237"/>
        <v>1024</v>
      </c>
      <c r="E3832">
        <f t="shared" si="238"/>
        <v>6710.8864000000003</v>
      </c>
      <c r="F3832">
        <f t="shared" si="239"/>
        <v>1024</v>
      </c>
    </row>
    <row r="3833" spans="1:6" x14ac:dyDescent="0.3">
      <c r="A3833">
        <v>55</v>
      </c>
      <c r="B3833">
        <v>67.099999999999994</v>
      </c>
      <c r="C3833">
        <f t="shared" si="236"/>
        <v>3690.4999999999995</v>
      </c>
      <c r="D3833">
        <f t="shared" si="237"/>
        <v>3025</v>
      </c>
      <c r="E3833">
        <f t="shared" si="238"/>
        <v>4502.4099999999989</v>
      </c>
      <c r="F3833">
        <f t="shared" si="239"/>
        <v>3025</v>
      </c>
    </row>
    <row r="3834" spans="1:6" x14ac:dyDescent="0.3">
      <c r="A3834">
        <v>23</v>
      </c>
      <c r="B3834">
        <v>58.01</v>
      </c>
      <c r="C3834">
        <f t="shared" si="236"/>
        <v>1334.23</v>
      </c>
      <c r="D3834">
        <f t="shared" si="237"/>
        <v>529</v>
      </c>
      <c r="E3834">
        <f t="shared" si="238"/>
        <v>3365.1600999999996</v>
      </c>
      <c r="F3834">
        <f t="shared" si="239"/>
        <v>529</v>
      </c>
    </row>
    <row r="3835" spans="1:6" x14ac:dyDescent="0.3">
      <c r="A3835">
        <v>52</v>
      </c>
      <c r="B3835">
        <v>173.9</v>
      </c>
      <c r="C3835">
        <f t="shared" si="236"/>
        <v>9042.8000000000011</v>
      </c>
      <c r="D3835">
        <f t="shared" si="237"/>
        <v>2704</v>
      </c>
      <c r="E3835">
        <f t="shared" si="238"/>
        <v>30241.210000000003</v>
      </c>
      <c r="F3835">
        <f t="shared" si="239"/>
        <v>2704</v>
      </c>
    </row>
    <row r="3836" spans="1:6" x14ac:dyDescent="0.3">
      <c r="A3836">
        <v>58</v>
      </c>
      <c r="B3836">
        <v>106.27</v>
      </c>
      <c r="C3836">
        <f t="shared" si="236"/>
        <v>6163.66</v>
      </c>
      <c r="D3836">
        <f t="shared" si="237"/>
        <v>3364</v>
      </c>
      <c r="E3836">
        <f t="shared" si="238"/>
        <v>11293.312899999999</v>
      </c>
      <c r="F3836">
        <f t="shared" si="239"/>
        <v>3364</v>
      </c>
    </row>
    <row r="3837" spans="1:6" x14ac:dyDescent="0.3">
      <c r="A3837">
        <v>17</v>
      </c>
      <c r="B3837">
        <v>60.57</v>
      </c>
      <c r="C3837">
        <f t="shared" si="236"/>
        <v>1029.69</v>
      </c>
      <c r="D3837">
        <f t="shared" si="237"/>
        <v>289</v>
      </c>
      <c r="E3837">
        <f t="shared" si="238"/>
        <v>3668.7249000000002</v>
      </c>
      <c r="F3837">
        <f t="shared" si="239"/>
        <v>289</v>
      </c>
    </row>
    <row r="3838" spans="1:6" x14ac:dyDescent="0.3">
      <c r="A3838">
        <v>3</v>
      </c>
      <c r="B3838">
        <v>105.34</v>
      </c>
      <c r="C3838">
        <f t="shared" si="236"/>
        <v>316.02</v>
      </c>
      <c r="D3838">
        <f t="shared" si="237"/>
        <v>9</v>
      </c>
      <c r="E3838">
        <f t="shared" si="238"/>
        <v>11096.515600000001</v>
      </c>
      <c r="F3838">
        <f t="shared" si="239"/>
        <v>9</v>
      </c>
    </row>
    <row r="3839" spans="1:6" x14ac:dyDescent="0.3">
      <c r="A3839">
        <v>23</v>
      </c>
      <c r="B3839">
        <v>96.28</v>
      </c>
      <c r="C3839">
        <f t="shared" si="236"/>
        <v>2214.44</v>
      </c>
      <c r="D3839">
        <f t="shared" si="237"/>
        <v>529</v>
      </c>
      <c r="E3839">
        <f t="shared" si="238"/>
        <v>9269.8384000000005</v>
      </c>
      <c r="F3839">
        <f t="shared" si="239"/>
        <v>529</v>
      </c>
    </row>
    <row r="3840" spans="1:6" x14ac:dyDescent="0.3">
      <c r="A3840">
        <v>56</v>
      </c>
      <c r="B3840">
        <v>122.73</v>
      </c>
      <c r="C3840">
        <f t="shared" si="236"/>
        <v>6872.88</v>
      </c>
      <c r="D3840">
        <f t="shared" si="237"/>
        <v>3136</v>
      </c>
      <c r="E3840">
        <f t="shared" si="238"/>
        <v>15062.652900000001</v>
      </c>
      <c r="F3840">
        <f t="shared" si="239"/>
        <v>3136</v>
      </c>
    </row>
    <row r="3841" spans="1:6" x14ac:dyDescent="0.3">
      <c r="A3841">
        <v>45</v>
      </c>
      <c r="B3841">
        <v>104.12</v>
      </c>
      <c r="C3841">
        <f t="shared" si="236"/>
        <v>4685.4000000000005</v>
      </c>
      <c r="D3841">
        <f t="shared" si="237"/>
        <v>2025</v>
      </c>
      <c r="E3841">
        <f t="shared" si="238"/>
        <v>10840.974400000001</v>
      </c>
      <c r="F3841">
        <f t="shared" si="239"/>
        <v>2025</v>
      </c>
    </row>
    <row r="3842" spans="1:6" x14ac:dyDescent="0.3">
      <c r="A3842">
        <v>14</v>
      </c>
      <c r="B3842">
        <v>69.739999999999995</v>
      </c>
      <c r="C3842">
        <f t="shared" si="236"/>
        <v>976.3599999999999</v>
      </c>
      <c r="D3842">
        <f t="shared" si="237"/>
        <v>196</v>
      </c>
      <c r="E3842">
        <f t="shared" si="238"/>
        <v>4863.6675999999989</v>
      </c>
      <c r="F3842">
        <f t="shared" si="239"/>
        <v>196</v>
      </c>
    </row>
    <row r="3843" spans="1:6" x14ac:dyDescent="0.3">
      <c r="A3843">
        <v>45</v>
      </c>
      <c r="B3843">
        <v>106.95</v>
      </c>
      <c r="C3843">
        <f t="shared" ref="C3843:C3906" si="240">A3843*B3843</f>
        <v>4812.75</v>
      </c>
      <c r="D3843">
        <f t="shared" ref="D3843:D3906" si="241">A3843*A3843</f>
        <v>2025</v>
      </c>
      <c r="E3843">
        <f t="shared" ref="E3843:E3906" si="242">B3843*B3843</f>
        <v>11438.3025</v>
      </c>
      <c r="F3843">
        <f t="shared" ref="F3843:F3906" si="243">A3843^2</f>
        <v>2025</v>
      </c>
    </row>
    <row r="3844" spans="1:6" x14ac:dyDescent="0.3">
      <c r="A3844">
        <v>57</v>
      </c>
      <c r="B3844">
        <v>94.63</v>
      </c>
      <c r="C3844">
        <f t="shared" si="240"/>
        <v>5393.91</v>
      </c>
      <c r="D3844">
        <f t="shared" si="241"/>
        <v>3249</v>
      </c>
      <c r="E3844">
        <f t="shared" si="242"/>
        <v>8954.8368999999984</v>
      </c>
      <c r="F3844">
        <f t="shared" si="243"/>
        <v>3249</v>
      </c>
    </row>
    <row r="3845" spans="1:6" x14ac:dyDescent="0.3">
      <c r="A3845">
        <v>35</v>
      </c>
      <c r="B3845">
        <v>86.97</v>
      </c>
      <c r="C3845">
        <f t="shared" si="240"/>
        <v>3043.95</v>
      </c>
      <c r="D3845">
        <f t="shared" si="241"/>
        <v>1225</v>
      </c>
      <c r="E3845">
        <f t="shared" si="242"/>
        <v>7563.7808999999997</v>
      </c>
      <c r="F3845">
        <f t="shared" si="243"/>
        <v>1225</v>
      </c>
    </row>
    <row r="3846" spans="1:6" x14ac:dyDescent="0.3">
      <c r="A3846">
        <v>8</v>
      </c>
      <c r="B3846">
        <v>76.12</v>
      </c>
      <c r="C3846">
        <f t="shared" si="240"/>
        <v>608.96</v>
      </c>
      <c r="D3846">
        <f t="shared" si="241"/>
        <v>64</v>
      </c>
      <c r="E3846">
        <f t="shared" si="242"/>
        <v>5794.2544000000007</v>
      </c>
      <c r="F3846">
        <f t="shared" si="243"/>
        <v>64</v>
      </c>
    </row>
    <row r="3847" spans="1:6" x14ac:dyDescent="0.3">
      <c r="A3847">
        <v>42</v>
      </c>
      <c r="B3847">
        <v>99.94</v>
      </c>
      <c r="C3847">
        <f t="shared" si="240"/>
        <v>4197.4799999999996</v>
      </c>
      <c r="D3847">
        <f t="shared" si="241"/>
        <v>1764</v>
      </c>
      <c r="E3847">
        <f t="shared" si="242"/>
        <v>9988.0036</v>
      </c>
      <c r="F3847">
        <f t="shared" si="243"/>
        <v>1764</v>
      </c>
    </row>
    <row r="3848" spans="1:6" x14ac:dyDescent="0.3">
      <c r="A3848">
        <v>8</v>
      </c>
      <c r="B3848">
        <v>91.53</v>
      </c>
      <c r="C3848">
        <f t="shared" si="240"/>
        <v>732.24</v>
      </c>
      <c r="D3848">
        <f t="shared" si="241"/>
        <v>64</v>
      </c>
      <c r="E3848">
        <f t="shared" si="242"/>
        <v>8377.7409000000007</v>
      </c>
      <c r="F3848">
        <f t="shared" si="243"/>
        <v>64</v>
      </c>
    </row>
    <row r="3849" spans="1:6" x14ac:dyDescent="0.3">
      <c r="A3849">
        <v>62</v>
      </c>
      <c r="B3849">
        <v>145.46</v>
      </c>
      <c r="C3849">
        <f t="shared" si="240"/>
        <v>9018.52</v>
      </c>
      <c r="D3849">
        <f t="shared" si="241"/>
        <v>3844</v>
      </c>
      <c r="E3849">
        <f t="shared" si="242"/>
        <v>21158.611600000004</v>
      </c>
      <c r="F3849">
        <f t="shared" si="243"/>
        <v>3844</v>
      </c>
    </row>
    <row r="3850" spans="1:6" x14ac:dyDescent="0.3">
      <c r="A3850">
        <v>43</v>
      </c>
      <c r="B3850">
        <v>74.86</v>
      </c>
      <c r="C3850">
        <f t="shared" si="240"/>
        <v>3218.98</v>
      </c>
      <c r="D3850">
        <f t="shared" si="241"/>
        <v>1849</v>
      </c>
      <c r="E3850">
        <f t="shared" si="242"/>
        <v>5604.0195999999996</v>
      </c>
      <c r="F3850">
        <f t="shared" si="243"/>
        <v>1849</v>
      </c>
    </row>
    <row r="3851" spans="1:6" x14ac:dyDescent="0.3">
      <c r="A3851">
        <v>8</v>
      </c>
      <c r="B3851">
        <v>74.42</v>
      </c>
      <c r="C3851">
        <f t="shared" si="240"/>
        <v>595.36</v>
      </c>
      <c r="D3851">
        <f t="shared" si="241"/>
        <v>64</v>
      </c>
      <c r="E3851">
        <f t="shared" si="242"/>
        <v>5538.3364000000001</v>
      </c>
      <c r="F3851">
        <f t="shared" si="243"/>
        <v>64</v>
      </c>
    </row>
    <row r="3852" spans="1:6" x14ac:dyDescent="0.3">
      <c r="A3852">
        <v>40</v>
      </c>
      <c r="B3852">
        <v>70.069999999999993</v>
      </c>
      <c r="C3852">
        <f t="shared" si="240"/>
        <v>2802.7999999999997</v>
      </c>
      <c r="D3852">
        <f t="shared" si="241"/>
        <v>1600</v>
      </c>
      <c r="E3852">
        <f t="shared" si="242"/>
        <v>4909.8048999999992</v>
      </c>
      <c r="F3852">
        <f t="shared" si="243"/>
        <v>1600</v>
      </c>
    </row>
    <row r="3853" spans="1:6" x14ac:dyDescent="0.3">
      <c r="A3853">
        <v>2</v>
      </c>
      <c r="B3853">
        <v>89.85</v>
      </c>
      <c r="C3853">
        <f t="shared" si="240"/>
        <v>179.7</v>
      </c>
      <c r="D3853">
        <f t="shared" si="241"/>
        <v>4</v>
      </c>
      <c r="E3853">
        <f t="shared" si="242"/>
        <v>8073.0224999999991</v>
      </c>
      <c r="F3853">
        <f t="shared" si="243"/>
        <v>4</v>
      </c>
    </row>
    <row r="3854" spans="1:6" x14ac:dyDescent="0.3">
      <c r="A3854">
        <v>27</v>
      </c>
      <c r="B3854">
        <v>104.21</v>
      </c>
      <c r="C3854">
        <f t="shared" si="240"/>
        <v>2813.6699999999996</v>
      </c>
      <c r="D3854">
        <f t="shared" si="241"/>
        <v>729</v>
      </c>
      <c r="E3854">
        <f t="shared" si="242"/>
        <v>10859.724099999999</v>
      </c>
      <c r="F3854">
        <f t="shared" si="243"/>
        <v>729</v>
      </c>
    </row>
    <row r="3855" spans="1:6" x14ac:dyDescent="0.3">
      <c r="A3855">
        <v>47</v>
      </c>
      <c r="B3855">
        <v>157.77000000000001</v>
      </c>
      <c r="C3855">
        <f t="shared" si="240"/>
        <v>7415.1900000000005</v>
      </c>
      <c r="D3855">
        <f t="shared" si="241"/>
        <v>2209</v>
      </c>
      <c r="E3855">
        <f t="shared" si="242"/>
        <v>24891.372900000002</v>
      </c>
      <c r="F3855">
        <f t="shared" si="243"/>
        <v>2209</v>
      </c>
    </row>
    <row r="3856" spans="1:6" x14ac:dyDescent="0.3">
      <c r="A3856">
        <v>53</v>
      </c>
      <c r="B3856">
        <v>101.81</v>
      </c>
      <c r="C3856">
        <f t="shared" si="240"/>
        <v>5395.93</v>
      </c>
      <c r="D3856">
        <f t="shared" si="241"/>
        <v>2809</v>
      </c>
      <c r="E3856">
        <f t="shared" si="242"/>
        <v>10365.276100000001</v>
      </c>
      <c r="F3856">
        <f t="shared" si="243"/>
        <v>2809</v>
      </c>
    </row>
    <row r="3857" spans="1:6" x14ac:dyDescent="0.3">
      <c r="A3857">
        <v>62</v>
      </c>
      <c r="B3857">
        <v>103</v>
      </c>
      <c r="C3857">
        <f t="shared" si="240"/>
        <v>6386</v>
      </c>
      <c r="D3857">
        <f t="shared" si="241"/>
        <v>3844</v>
      </c>
      <c r="E3857">
        <f t="shared" si="242"/>
        <v>10609</v>
      </c>
      <c r="F3857">
        <f t="shared" si="243"/>
        <v>3844</v>
      </c>
    </row>
    <row r="3858" spans="1:6" x14ac:dyDescent="0.3">
      <c r="A3858">
        <v>50</v>
      </c>
      <c r="B3858">
        <v>101.85</v>
      </c>
      <c r="C3858">
        <f t="shared" si="240"/>
        <v>5092.5</v>
      </c>
      <c r="D3858">
        <f t="shared" si="241"/>
        <v>2500</v>
      </c>
      <c r="E3858">
        <f t="shared" si="242"/>
        <v>10373.422499999999</v>
      </c>
      <c r="F3858">
        <f t="shared" si="243"/>
        <v>2500</v>
      </c>
    </row>
    <row r="3859" spans="1:6" x14ac:dyDescent="0.3">
      <c r="A3859">
        <v>26</v>
      </c>
      <c r="B3859">
        <v>85.92</v>
      </c>
      <c r="C3859">
        <f t="shared" si="240"/>
        <v>2233.92</v>
      </c>
      <c r="D3859">
        <f t="shared" si="241"/>
        <v>676</v>
      </c>
      <c r="E3859">
        <f t="shared" si="242"/>
        <v>7382.2464</v>
      </c>
      <c r="F3859">
        <f t="shared" si="243"/>
        <v>676</v>
      </c>
    </row>
    <row r="3860" spans="1:6" x14ac:dyDescent="0.3">
      <c r="A3860">
        <v>19</v>
      </c>
      <c r="B3860">
        <v>56.85</v>
      </c>
      <c r="C3860">
        <f t="shared" si="240"/>
        <v>1080.1500000000001</v>
      </c>
      <c r="D3860">
        <f t="shared" si="241"/>
        <v>361</v>
      </c>
      <c r="E3860">
        <f t="shared" si="242"/>
        <v>3231.9225000000001</v>
      </c>
      <c r="F3860">
        <f t="shared" si="243"/>
        <v>361</v>
      </c>
    </row>
    <row r="3861" spans="1:6" x14ac:dyDescent="0.3">
      <c r="A3861">
        <v>0.32</v>
      </c>
      <c r="B3861">
        <v>89.04</v>
      </c>
      <c r="C3861">
        <f t="shared" si="240"/>
        <v>28.492800000000003</v>
      </c>
      <c r="D3861">
        <f t="shared" si="241"/>
        <v>0.1024</v>
      </c>
      <c r="E3861">
        <f t="shared" si="242"/>
        <v>7928.1216000000013</v>
      </c>
      <c r="F3861">
        <f t="shared" si="243"/>
        <v>0.1024</v>
      </c>
    </row>
    <row r="3862" spans="1:6" x14ac:dyDescent="0.3">
      <c r="A3862">
        <v>45</v>
      </c>
      <c r="B3862">
        <v>63.01</v>
      </c>
      <c r="C3862">
        <f t="shared" si="240"/>
        <v>2835.45</v>
      </c>
      <c r="D3862">
        <f t="shared" si="241"/>
        <v>2025</v>
      </c>
      <c r="E3862">
        <f t="shared" si="242"/>
        <v>3970.2601</v>
      </c>
      <c r="F3862">
        <f t="shared" si="243"/>
        <v>2025</v>
      </c>
    </row>
    <row r="3863" spans="1:6" x14ac:dyDescent="0.3">
      <c r="A3863">
        <v>45</v>
      </c>
      <c r="B3863">
        <v>65.48</v>
      </c>
      <c r="C3863">
        <f t="shared" si="240"/>
        <v>2946.6000000000004</v>
      </c>
      <c r="D3863">
        <f t="shared" si="241"/>
        <v>2025</v>
      </c>
      <c r="E3863">
        <f t="shared" si="242"/>
        <v>4287.6304000000009</v>
      </c>
      <c r="F3863">
        <f t="shared" si="243"/>
        <v>2025</v>
      </c>
    </row>
    <row r="3864" spans="1:6" x14ac:dyDescent="0.3">
      <c r="A3864">
        <v>54</v>
      </c>
      <c r="B3864">
        <v>68.599999999999994</v>
      </c>
      <c r="C3864">
        <f t="shared" si="240"/>
        <v>3704.3999999999996</v>
      </c>
      <c r="D3864">
        <f t="shared" si="241"/>
        <v>2916</v>
      </c>
      <c r="E3864">
        <f t="shared" si="242"/>
        <v>4705.9599999999991</v>
      </c>
      <c r="F3864">
        <f t="shared" si="243"/>
        <v>2916</v>
      </c>
    </row>
    <row r="3865" spans="1:6" x14ac:dyDescent="0.3">
      <c r="A3865">
        <v>64</v>
      </c>
      <c r="B3865">
        <v>81.680000000000007</v>
      </c>
      <c r="C3865">
        <f t="shared" si="240"/>
        <v>5227.5200000000004</v>
      </c>
      <c r="D3865">
        <f t="shared" si="241"/>
        <v>4096</v>
      </c>
      <c r="E3865">
        <f t="shared" si="242"/>
        <v>6671.6224000000011</v>
      </c>
      <c r="F3865">
        <f t="shared" si="243"/>
        <v>4096</v>
      </c>
    </row>
    <row r="3866" spans="1:6" x14ac:dyDescent="0.3">
      <c r="A3866">
        <v>2</v>
      </c>
      <c r="B3866">
        <v>65.209999999999994</v>
      </c>
      <c r="C3866">
        <f t="shared" si="240"/>
        <v>130.41999999999999</v>
      </c>
      <c r="D3866">
        <f t="shared" si="241"/>
        <v>4</v>
      </c>
      <c r="E3866">
        <f t="shared" si="242"/>
        <v>4252.3440999999993</v>
      </c>
      <c r="F3866">
        <f t="shared" si="243"/>
        <v>4</v>
      </c>
    </row>
    <row r="3867" spans="1:6" x14ac:dyDescent="0.3">
      <c r="A3867">
        <v>66</v>
      </c>
      <c r="B3867">
        <v>72.53</v>
      </c>
      <c r="C3867">
        <f t="shared" si="240"/>
        <v>4786.9800000000005</v>
      </c>
      <c r="D3867">
        <f t="shared" si="241"/>
        <v>4356</v>
      </c>
      <c r="E3867">
        <f t="shared" si="242"/>
        <v>5260.6009000000004</v>
      </c>
      <c r="F3867">
        <f t="shared" si="243"/>
        <v>4356</v>
      </c>
    </row>
    <row r="3868" spans="1:6" x14ac:dyDescent="0.3">
      <c r="A3868">
        <v>73</v>
      </c>
      <c r="B3868">
        <v>81.78</v>
      </c>
      <c r="C3868">
        <f t="shared" si="240"/>
        <v>5969.9400000000005</v>
      </c>
      <c r="D3868">
        <f t="shared" si="241"/>
        <v>5329</v>
      </c>
      <c r="E3868">
        <f t="shared" si="242"/>
        <v>6687.9683999999997</v>
      </c>
      <c r="F3868">
        <f t="shared" si="243"/>
        <v>5329</v>
      </c>
    </row>
    <row r="3869" spans="1:6" x14ac:dyDescent="0.3">
      <c r="A3869">
        <v>31</v>
      </c>
      <c r="B3869">
        <v>116.85</v>
      </c>
      <c r="C3869">
        <f t="shared" si="240"/>
        <v>3622.35</v>
      </c>
      <c r="D3869">
        <f t="shared" si="241"/>
        <v>961</v>
      </c>
      <c r="E3869">
        <f t="shared" si="242"/>
        <v>13653.922499999999</v>
      </c>
      <c r="F3869">
        <f t="shared" si="243"/>
        <v>961</v>
      </c>
    </row>
    <row r="3870" spans="1:6" x14ac:dyDescent="0.3">
      <c r="A3870">
        <v>1.88</v>
      </c>
      <c r="B3870">
        <v>80.83</v>
      </c>
      <c r="C3870">
        <f t="shared" si="240"/>
        <v>151.96039999999999</v>
      </c>
      <c r="D3870">
        <f t="shared" si="241"/>
        <v>3.5343999999999998</v>
      </c>
      <c r="E3870">
        <f t="shared" si="242"/>
        <v>6533.4888999999994</v>
      </c>
      <c r="F3870">
        <f t="shared" si="243"/>
        <v>3.5343999999999998</v>
      </c>
    </row>
    <row r="3871" spans="1:6" x14ac:dyDescent="0.3">
      <c r="A3871">
        <v>58</v>
      </c>
      <c r="B3871">
        <v>96.21</v>
      </c>
      <c r="C3871">
        <f t="shared" si="240"/>
        <v>5580.1799999999994</v>
      </c>
      <c r="D3871">
        <f t="shared" si="241"/>
        <v>3364</v>
      </c>
      <c r="E3871">
        <f t="shared" si="242"/>
        <v>9256.3640999999989</v>
      </c>
      <c r="F3871">
        <f t="shared" si="243"/>
        <v>3364</v>
      </c>
    </row>
    <row r="3872" spans="1:6" x14ac:dyDescent="0.3">
      <c r="A3872">
        <v>12</v>
      </c>
      <c r="B3872">
        <v>117.04</v>
      </c>
      <c r="C3872">
        <f t="shared" si="240"/>
        <v>1404.48</v>
      </c>
      <c r="D3872">
        <f t="shared" si="241"/>
        <v>144</v>
      </c>
      <c r="E3872">
        <f t="shared" si="242"/>
        <v>13698.361600000002</v>
      </c>
      <c r="F3872">
        <f t="shared" si="243"/>
        <v>144</v>
      </c>
    </row>
    <row r="3873" spans="1:6" x14ac:dyDescent="0.3">
      <c r="A3873">
        <v>60</v>
      </c>
      <c r="B3873">
        <v>78.260000000000005</v>
      </c>
      <c r="C3873">
        <f t="shared" si="240"/>
        <v>4695.6000000000004</v>
      </c>
      <c r="D3873">
        <f t="shared" si="241"/>
        <v>3600</v>
      </c>
      <c r="E3873">
        <f t="shared" si="242"/>
        <v>6124.6276000000007</v>
      </c>
      <c r="F3873">
        <f t="shared" si="243"/>
        <v>3600</v>
      </c>
    </row>
    <row r="3874" spans="1:6" x14ac:dyDescent="0.3">
      <c r="A3874">
        <v>32</v>
      </c>
      <c r="B3874">
        <v>58.24</v>
      </c>
      <c r="C3874">
        <f t="shared" si="240"/>
        <v>1863.68</v>
      </c>
      <c r="D3874">
        <f t="shared" si="241"/>
        <v>1024</v>
      </c>
      <c r="E3874">
        <f t="shared" si="242"/>
        <v>3391.8976000000002</v>
      </c>
      <c r="F3874">
        <f t="shared" si="243"/>
        <v>1024</v>
      </c>
    </row>
    <row r="3875" spans="1:6" x14ac:dyDescent="0.3">
      <c r="A3875">
        <v>23</v>
      </c>
      <c r="B3875">
        <v>82.53</v>
      </c>
      <c r="C3875">
        <f t="shared" si="240"/>
        <v>1898.19</v>
      </c>
      <c r="D3875">
        <f t="shared" si="241"/>
        <v>529</v>
      </c>
      <c r="E3875">
        <f t="shared" si="242"/>
        <v>6811.2008999999998</v>
      </c>
      <c r="F3875">
        <f t="shared" si="243"/>
        <v>529</v>
      </c>
    </row>
    <row r="3876" spans="1:6" x14ac:dyDescent="0.3">
      <c r="A3876">
        <v>26</v>
      </c>
      <c r="B3876">
        <v>71.25</v>
      </c>
      <c r="C3876">
        <f t="shared" si="240"/>
        <v>1852.5</v>
      </c>
      <c r="D3876">
        <f t="shared" si="241"/>
        <v>676</v>
      </c>
      <c r="E3876">
        <f t="shared" si="242"/>
        <v>5076.5625</v>
      </c>
      <c r="F3876">
        <f t="shared" si="243"/>
        <v>676</v>
      </c>
    </row>
    <row r="3877" spans="1:6" x14ac:dyDescent="0.3">
      <c r="A3877">
        <v>36</v>
      </c>
      <c r="B3877">
        <v>129.72999999999999</v>
      </c>
      <c r="C3877">
        <f t="shared" si="240"/>
        <v>4670.28</v>
      </c>
      <c r="D3877">
        <f t="shared" si="241"/>
        <v>1296</v>
      </c>
      <c r="E3877">
        <f t="shared" si="242"/>
        <v>16829.872899999998</v>
      </c>
      <c r="F3877">
        <f t="shared" si="243"/>
        <v>1296</v>
      </c>
    </row>
    <row r="3878" spans="1:6" x14ac:dyDescent="0.3">
      <c r="A3878">
        <v>3</v>
      </c>
      <c r="B3878">
        <v>115.47</v>
      </c>
      <c r="C3878">
        <f t="shared" si="240"/>
        <v>346.40999999999997</v>
      </c>
      <c r="D3878">
        <f t="shared" si="241"/>
        <v>9</v>
      </c>
      <c r="E3878">
        <f t="shared" si="242"/>
        <v>13333.320900000001</v>
      </c>
      <c r="F3878">
        <f t="shared" si="243"/>
        <v>9</v>
      </c>
    </row>
    <row r="3879" spans="1:6" x14ac:dyDescent="0.3">
      <c r="A3879">
        <v>21</v>
      </c>
      <c r="B3879">
        <v>56.79</v>
      </c>
      <c r="C3879">
        <f t="shared" si="240"/>
        <v>1192.5899999999999</v>
      </c>
      <c r="D3879">
        <f t="shared" si="241"/>
        <v>441</v>
      </c>
      <c r="E3879">
        <f t="shared" si="242"/>
        <v>3225.1041</v>
      </c>
      <c r="F3879">
        <f t="shared" si="243"/>
        <v>441</v>
      </c>
    </row>
    <row r="3880" spans="1:6" x14ac:dyDescent="0.3">
      <c r="A3880">
        <v>67</v>
      </c>
      <c r="B3880">
        <v>100.16</v>
      </c>
      <c r="C3880">
        <f t="shared" si="240"/>
        <v>6710.7199999999993</v>
      </c>
      <c r="D3880">
        <f t="shared" si="241"/>
        <v>4489</v>
      </c>
      <c r="E3880">
        <f t="shared" si="242"/>
        <v>10032.025599999999</v>
      </c>
      <c r="F3880">
        <f t="shared" si="243"/>
        <v>4489</v>
      </c>
    </row>
    <row r="3881" spans="1:6" x14ac:dyDescent="0.3">
      <c r="A3881">
        <v>35</v>
      </c>
      <c r="B3881">
        <v>97.6</v>
      </c>
      <c r="C3881">
        <f t="shared" si="240"/>
        <v>3416</v>
      </c>
      <c r="D3881">
        <f t="shared" si="241"/>
        <v>1225</v>
      </c>
      <c r="E3881">
        <f t="shared" si="242"/>
        <v>9525.7599999999984</v>
      </c>
      <c r="F3881">
        <f t="shared" si="243"/>
        <v>1225</v>
      </c>
    </row>
    <row r="3882" spans="1:6" x14ac:dyDescent="0.3">
      <c r="A3882">
        <v>26</v>
      </c>
      <c r="B3882">
        <v>90.54</v>
      </c>
      <c r="C3882">
        <f t="shared" si="240"/>
        <v>2354.04</v>
      </c>
      <c r="D3882">
        <f t="shared" si="241"/>
        <v>676</v>
      </c>
      <c r="E3882">
        <f t="shared" si="242"/>
        <v>8197.4916000000012</v>
      </c>
      <c r="F3882">
        <f t="shared" si="243"/>
        <v>676</v>
      </c>
    </row>
    <row r="3883" spans="1:6" x14ac:dyDescent="0.3">
      <c r="A3883">
        <v>47</v>
      </c>
      <c r="B3883">
        <v>105.88</v>
      </c>
      <c r="C3883">
        <f t="shared" si="240"/>
        <v>4976.3599999999997</v>
      </c>
      <c r="D3883">
        <f t="shared" si="241"/>
        <v>2209</v>
      </c>
      <c r="E3883">
        <f t="shared" si="242"/>
        <v>11210.5744</v>
      </c>
      <c r="F3883">
        <f t="shared" si="243"/>
        <v>2209</v>
      </c>
    </row>
    <row r="3884" spans="1:6" x14ac:dyDescent="0.3">
      <c r="A3884">
        <v>81</v>
      </c>
      <c r="B3884">
        <v>217.94</v>
      </c>
      <c r="C3884">
        <f t="shared" si="240"/>
        <v>17653.14</v>
      </c>
      <c r="D3884">
        <f t="shared" si="241"/>
        <v>6561</v>
      </c>
      <c r="E3884">
        <f t="shared" si="242"/>
        <v>47497.8436</v>
      </c>
      <c r="F3884">
        <f t="shared" si="243"/>
        <v>6561</v>
      </c>
    </row>
    <row r="3885" spans="1:6" x14ac:dyDescent="0.3">
      <c r="A3885">
        <v>1.64</v>
      </c>
      <c r="B3885">
        <v>69.89</v>
      </c>
      <c r="C3885">
        <f t="shared" si="240"/>
        <v>114.61959999999999</v>
      </c>
      <c r="D3885">
        <f t="shared" si="241"/>
        <v>2.6895999999999995</v>
      </c>
      <c r="E3885">
        <f t="shared" si="242"/>
        <v>4884.6121000000003</v>
      </c>
      <c r="F3885">
        <f t="shared" si="243"/>
        <v>2.6895999999999995</v>
      </c>
    </row>
    <row r="3886" spans="1:6" x14ac:dyDescent="0.3">
      <c r="A3886">
        <v>52</v>
      </c>
      <c r="B3886">
        <v>93.28</v>
      </c>
      <c r="C3886">
        <f t="shared" si="240"/>
        <v>4850.5600000000004</v>
      </c>
      <c r="D3886">
        <f t="shared" si="241"/>
        <v>2704</v>
      </c>
      <c r="E3886">
        <f t="shared" si="242"/>
        <v>8701.1584000000003</v>
      </c>
      <c r="F3886">
        <f t="shared" si="243"/>
        <v>2704</v>
      </c>
    </row>
    <row r="3887" spans="1:6" x14ac:dyDescent="0.3">
      <c r="A3887">
        <v>28</v>
      </c>
      <c r="B3887">
        <v>111.27</v>
      </c>
      <c r="C3887">
        <f t="shared" si="240"/>
        <v>3115.56</v>
      </c>
      <c r="D3887">
        <f t="shared" si="241"/>
        <v>784</v>
      </c>
      <c r="E3887">
        <f t="shared" si="242"/>
        <v>12381.0129</v>
      </c>
      <c r="F3887">
        <f t="shared" si="243"/>
        <v>784</v>
      </c>
    </row>
    <row r="3888" spans="1:6" x14ac:dyDescent="0.3">
      <c r="A3888">
        <v>45</v>
      </c>
      <c r="B3888">
        <v>91.04</v>
      </c>
      <c r="C3888">
        <f t="shared" si="240"/>
        <v>4096.8</v>
      </c>
      <c r="D3888">
        <f t="shared" si="241"/>
        <v>2025</v>
      </c>
      <c r="E3888">
        <f t="shared" si="242"/>
        <v>8288.2816000000003</v>
      </c>
      <c r="F3888">
        <f t="shared" si="243"/>
        <v>2025</v>
      </c>
    </row>
    <row r="3889" spans="1:6" x14ac:dyDescent="0.3">
      <c r="A3889">
        <v>20</v>
      </c>
      <c r="B3889">
        <v>87.2</v>
      </c>
      <c r="C3889">
        <f t="shared" si="240"/>
        <v>1744</v>
      </c>
      <c r="D3889">
        <f t="shared" si="241"/>
        <v>400</v>
      </c>
      <c r="E3889">
        <f t="shared" si="242"/>
        <v>7603.84</v>
      </c>
      <c r="F3889">
        <f t="shared" si="243"/>
        <v>400</v>
      </c>
    </row>
    <row r="3890" spans="1:6" x14ac:dyDescent="0.3">
      <c r="A3890">
        <v>1.56</v>
      </c>
      <c r="B3890">
        <v>109.12</v>
      </c>
      <c r="C3890">
        <f t="shared" si="240"/>
        <v>170.22720000000001</v>
      </c>
      <c r="D3890">
        <f t="shared" si="241"/>
        <v>2.4336000000000002</v>
      </c>
      <c r="E3890">
        <f t="shared" si="242"/>
        <v>11907.174400000002</v>
      </c>
      <c r="F3890">
        <f t="shared" si="243"/>
        <v>2.4336000000000002</v>
      </c>
    </row>
    <row r="3891" spans="1:6" x14ac:dyDescent="0.3">
      <c r="A3891">
        <v>65</v>
      </c>
      <c r="B3891">
        <v>216.64</v>
      </c>
      <c r="C3891">
        <f t="shared" si="240"/>
        <v>14081.599999999999</v>
      </c>
      <c r="D3891">
        <f t="shared" si="241"/>
        <v>4225</v>
      </c>
      <c r="E3891">
        <f t="shared" si="242"/>
        <v>46932.889599999995</v>
      </c>
      <c r="F3891">
        <f t="shared" si="243"/>
        <v>4225</v>
      </c>
    </row>
    <row r="3892" spans="1:6" x14ac:dyDescent="0.3">
      <c r="A3892">
        <v>45</v>
      </c>
      <c r="B3892">
        <v>74.28</v>
      </c>
      <c r="C3892">
        <f t="shared" si="240"/>
        <v>3342.6</v>
      </c>
      <c r="D3892">
        <f t="shared" si="241"/>
        <v>2025</v>
      </c>
      <c r="E3892">
        <f t="shared" si="242"/>
        <v>5517.5183999999999</v>
      </c>
      <c r="F3892">
        <f t="shared" si="243"/>
        <v>2025</v>
      </c>
    </row>
    <row r="3893" spans="1:6" x14ac:dyDescent="0.3">
      <c r="A3893">
        <v>77</v>
      </c>
      <c r="B3893">
        <v>57.6</v>
      </c>
      <c r="C3893">
        <f t="shared" si="240"/>
        <v>4435.2</v>
      </c>
      <c r="D3893">
        <f t="shared" si="241"/>
        <v>5929</v>
      </c>
      <c r="E3893">
        <f t="shared" si="242"/>
        <v>3317.76</v>
      </c>
      <c r="F3893">
        <f t="shared" si="243"/>
        <v>5929</v>
      </c>
    </row>
    <row r="3894" spans="1:6" x14ac:dyDescent="0.3">
      <c r="A3894">
        <v>37</v>
      </c>
      <c r="B3894">
        <v>173.97</v>
      </c>
      <c r="C3894">
        <f t="shared" si="240"/>
        <v>6436.89</v>
      </c>
      <c r="D3894">
        <f t="shared" si="241"/>
        <v>1369</v>
      </c>
      <c r="E3894">
        <f t="shared" si="242"/>
        <v>30265.5609</v>
      </c>
      <c r="F3894">
        <f t="shared" si="243"/>
        <v>1369</v>
      </c>
    </row>
    <row r="3895" spans="1:6" x14ac:dyDescent="0.3">
      <c r="A3895">
        <v>50</v>
      </c>
      <c r="B3895">
        <v>65.25</v>
      </c>
      <c r="C3895">
        <f t="shared" si="240"/>
        <v>3262.5</v>
      </c>
      <c r="D3895">
        <f t="shared" si="241"/>
        <v>2500</v>
      </c>
      <c r="E3895">
        <f t="shared" si="242"/>
        <v>4257.5625</v>
      </c>
      <c r="F3895">
        <f t="shared" si="243"/>
        <v>2500</v>
      </c>
    </row>
    <row r="3896" spans="1:6" x14ac:dyDescent="0.3">
      <c r="A3896">
        <v>0.56000000000000005</v>
      </c>
      <c r="B3896">
        <v>80.92</v>
      </c>
      <c r="C3896">
        <f t="shared" si="240"/>
        <v>45.315200000000004</v>
      </c>
      <c r="D3896">
        <f t="shared" si="241"/>
        <v>0.31360000000000005</v>
      </c>
      <c r="E3896">
        <f t="shared" si="242"/>
        <v>6548.0464000000002</v>
      </c>
      <c r="F3896">
        <f t="shared" si="243"/>
        <v>0.31360000000000005</v>
      </c>
    </row>
    <row r="3897" spans="1:6" x14ac:dyDescent="0.3">
      <c r="A3897">
        <v>30</v>
      </c>
      <c r="B3897">
        <v>124.37</v>
      </c>
      <c r="C3897">
        <f t="shared" si="240"/>
        <v>3731.1000000000004</v>
      </c>
      <c r="D3897">
        <f t="shared" si="241"/>
        <v>900</v>
      </c>
      <c r="E3897">
        <f t="shared" si="242"/>
        <v>15467.896900000002</v>
      </c>
      <c r="F3897">
        <f t="shared" si="243"/>
        <v>900</v>
      </c>
    </row>
    <row r="3898" spans="1:6" x14ac:dyDescent="0.3">
      <c r="A3898">
        <v>31</v>
      </c>
      <c r="B3898">
        <v>102.39</v>
      </c>
      <c r="C3898">
        <f t="shared" si="240"/>
        <v>3174.09</v>
      </c>
      <c r="D3898">
        <f t="shared" si="241"/>
        <v>961</v>
      </c>
      <c r="E3898">
        <f t="shared" si="242"/>
        <v>10483.712100000001</v>
      </c>
      <c r="F3898">
        <f t="shared" si="243"/>
        <v>961</v>
      </c>
    </row>
    <row r="3899" spans="1:6" x14ac:dyDescent="0.3">
      <c r="A3899">
        <v>4</v>
      </c>
      <c r="B3899">
        <v>90.42</v>
      </c>
      <c r="C3899">
        <f t="shared" si="240"/>
        <v>361.68</v>
      </c>
      <c r="D3899">
        <f t="shared" si="241"/>
        <v>16</v>
      </c>
      <c r="E3899">
        <f t="shared" si="242"/>
        <v>8175.7764000000006</v>
      </c>
      <c r="F3899">
        <f t="shared" si="243"/>
        <v>16</v>
      </c>
    </row>
    <row r="3900" spans="1:6" x14ac:dyDescent="0.3">
      <c r="A3900">
        <v>65</v>
      </c>
      <c r="B3900">
        <v>79.17</v>
      </c>
      <c r="C3900">
        <f t="shared" si="240"/>
        <v>5146.05</v>
      </c>
      <c r="D3900">
        <f t="shared" si="241"/>
        <v>4225</v>
      </c>
      <c r="E3900">
        <f t="shared" si="242"/>
        <v>6267.8888999999999</v>
      </c>
      <c r="F3900">
        <f t="shared" si="243"/>
        <v>4225</v>
      </c>
    </row>
    <row r="3901" spans="1:6" x14ac:dyDescent="0.3">
      <c r="A3901">
        <v>68</v>
      </c>
      <c r="B3901">
        <v>71.08</v>
      </c>
      <c r="C3901">
        <f t="shared" si="240"/>
        <v>4833.4399999999996</v>
      </c>
      <c r="D3901">
        <f t="shared" si="241"/>
        <v>4624</v>
      </c>
      <c r="E3901">
        <f t="shared" si="242"/>
        <v>5052.3663999999999</v>
      </c>
      <c r="F3901">
        <f t="shared" si="243"/>
        <v>4624</v>
      </c>
    </row>
    <row r="3902" spans="1:6" x14ac:dyDescent="0.3">
      <c r="A3902">
        <v>63</v>
      </c>
      <c r="B3902">
        <v>81.540000000000006</v>
      </c>
      <c r="C3902">
        <f t="shared" si="240"/>
        <v>5137.0200000000004</v>
      </c>
      <c r="D3902">
        <f t="shared" si="241"/>
        <v>3969</v>
      </c>
      <c r="E3902">
        <f t="shared" si="242"/>
        <v>6648.7716000000009</v>
      </c>
      <c r="F3902">
        <f t="shared" si="243"/>
        <v>3969</v>
      </c>
    </row>
    <row r="3903" spans="1:6" x14ac:dyDescent="0.3">
      <c r="A3903">
        <v>46</v>
      </c>
      <c r="B3903">
        <v>159.66999999999999</v>
      </c>
      <c r="C3903">
        <f t="shared" si="240"/>
        <v>7344.82</v>
      </c>
      <c r="D3903">
        <f t="shared" si="241"/>
        <v>2116</v>
      </c>
      <c r="E3903">
        <f t="shared" si="242"/>
        <v>25494.508899999997</v>
      </c>
      <c r="F3903">
        <f t="shared" si="243"/>
        <v>2116</v>
      </c>
    </row>
    <row r="3904" spans="1:6" x14ac:dyDescent="0.3">
      <c r="A3904">
        <v>54</v>
      </c>
      <c r="B3904">
        <v>93.96</v>
      </c>
      <c r="C3904">
        <f t="shared" si="240"/>
        <v>5073.8399999999992</v>
      </c>
      <c r="D3904">
        <f t="shared" si="241"/>
        <v>2916</v>
      </c>
      <c r="E3904">
        <f t="shared" si="242"/>
        <v>8828.4815999999992</v>
      </c>
      <c r="F3904">
        <f t="shared" si="243"/>
        <v>2916</v>
      </c>
    </row>
    <row r="3905" spans="1:6" x14ac:dyDescent="0.3">
      <c r="A3905">
        <v>66</v>
      </c>
      <c r="B3905">
        <v>103.01</v>
      </c>
      <c r="C3905">
        <f t="shared" si="240"/>
        <v>6798.6600000000008</v>
      </c>
      <c r="D3905">
        <f t="shared" si="241"/>
        <v>4356</v>
      </c>
      <c r="E3905">
        <f t="shared" si="242"/>
        <v>10611.060100000001</v>
      </c>
      <c r="F3905">
        <f t="shared" si="243"/>
        <v>4356</v>
      </c>
    </row>
    <row r="3906" spans="1:6" x14ac:dyDescent="0.3">
      <c r="A3906">
        <v>29</v>
      </c>
      <c r="B3906">
        <v>92.49</v>
      </c>
      <c r="C3906">
        <f t="shared" si="240"/>
        <v>2682.21</v>
      </c>
      <c r="D3906">
        <f t="shared" si="241"/>
        <v>841</v>
      </c>
      <c r="E3906">
        <f t="shared" si="242"/>
        <v>8554.4000999999989</v>
      </c>
      <c r="F3906">
        <f t="shared" si="243"/>
        <v>841</v>
      </c>
    </row>
    <row r="3907" spans="1:6" x14ac:dyDescent="0.3">
      <c r="A3907">
        <v>78</v>
      </c>
      <c r="B3907">
        <v>208.85</v>
      </c>
      <c r="C3907">
        <f t="shared" ref="C3907:C3970" si="244">A3907*B3907</f>
        <v>16290.3</v>
      </c>
      <c r="D3907">
        <f t="shared" ref="D3907:D3970" si="245">A3907*A3907</f>
        <v>6084</v>
      </c>
      <c r="E3907">
        <f t="shared" ref="E3907:E3970" si="246">B3907*B3907</f>
        <v>43618.322499999995</v>
      </c>
      <c r="F3907">
        <f t="shared" ref="F3907:F3970" si="247">A3907^2</f>
        <v>6084</v>
      </c>
    </row>
    <row r="3908" spans="1:6" x14ac:dyDescent="0.3">
      <c r="A3908">
        <v>56</v>
      </c>
      <c r="B3908">
        <v>122.39</v>
      </c>
      <c r="C3908">
        <f t="shared" si="244"/>
        <v>6853.84</v>
      </c>
      <c r="D3908">
        <f t="shared" si="245"/>
        <v>3136</v>
      </c>
      <c r="E3908">
        <f t="shared" si="246"/>
        <v>14979.312100000001</v>
      </c>
      <c r="F3908">
        <f t="shared" si="247"/>
        <v>3136</v>
      </c>
    </row>
    <row r="3909" spans="1:6" x14ac:dyDescent="0.3">
      <c r="A3909">
        <v>57</v>
      </c>
      <c r="B3909">
        <v>65.91</v>
      </c>
      <c r="C3909">
        <f t="shared" si="244"/>
        <v>3756.87</v>
      </c>
      <c r="D3909">
        <f t="shared" si="245"/>
        <v>3249</v>
      </c>
      <c r="E3909">
        <f t="shared" si="246"/>
        <v>4344.1280999999999</v>
      </c>
      <c r="F3909">
        <f t="shared" si="247"/>
        <v>3249</v>
      </c>
    </row>
    <row r="3910" spans="1:6" x14ac:dyDescent="0.3">
      <c r="A3910">
        <v>2</v>
      </c>
      <c r="B3910">
        <v>70.25</v>
      </c>
      <c r="C3910">
        <f t="shared" si="244"/>
        <v>140.5</v>
      </c>
      <c r="D3910">
        <f t="shared" si="245"/>
        <v>4</v>
      </c>
      <c r="E3910">
        <f t="shared" si="246"/>
        <v>4935.0625</v>
      </c>
      <c r="F3910">
        <f t="shared" si="247"/>
        <v>4</v>
      </c>
    </row>
    <row r="3911" spans="1:6" x14ac:dyDescent="0.3">
      <c r="A3911">
        <v>49</v>
      </c>
      <c r="B3911">
        <v>219.7</v>
      </c>
      <c r="C3911">
        <f t="shared" si="244"/>
        <v>10765.3</v>
      </c>
      <c r="D3911">
        <f t="shared" si="245"/>
        <v>2401</v>
      </c>
      <c r="E3911">
        <f t="shared" si="246"/>
        <v>48268.09</v>
      </c>
      <c r="F3911">
        <f t="shared" si="247"/>
        <v>2401</v>
      </c>
    </row>
    <row r="3912" spans="1:6" x14ac:dyDescent="0.3">
      <c r="A3912">
        <v>31</v>
      </c>
      <c r="B3912">
        <v>65.7</v>
      </c>
      <c r="C3912">
        <f t="shared" si="244"/>
        <v>2036.7</v>
      </c>
      <c r="D3912">
        <f t="shared" si="245"/>
        <v>961</v>
      </c>
      <c r="E3912">
        <f t="shared" si="246"/>
        <v>4316.4900000000007</v>
      </c>
      <c r="F3912">
        <f t="shared" si="247"/>
        <v>961</v>
      </c>
    </row>
    <row r="3913" spans="1:6" x14ac:dyDescent="0.3">
      <c r="A3913">
        <v>47</v>
      </c>
      <c r="B3913">
        <v>67.08</v>
      </c>
      <c r="C3913">
        <f t="shared" si="244"/>
        <v>3152.7599999999998</v>
      </c>
      <c r="D3913">
        <f t="shared" si="245"/>
        <v>2209</v>
      </c>
      <c r="E3913">
        <f t="shared" si="246"/>
        <v>4499.7263999999996</v>
      </c>
      <c r="F3913">
        <f t="shared" si="247"/>
        <v>2209</v>
      </c>
    </row>
    <row r="3914" spans="1:6" x14ac:dyDescent="0.3">
      <c r="A3914">
        <v>37</v>
      </c>
      <c r="B3914">
        <v>107.58</v>
      </c>
      <c r="C3914">
        <f t="shared" si="244"/>
        <v>3980.46</v>
      </c>
      <c r="D3914">
        <f t="shared" si="245"/>
        <v>1369</v>
      </c>
      <c r="E3914">
        <f t="shared" si="246"/>
        <v>11573.456399999999</v>
      </c>
      <c r="F3914">
        <f t="shared" si="247"/>
        <v>1369</v>
      </c>
    </row>
    <row r="3915" spans="1:6" x14ac:dyDescent="0.3">
      <c r="A3915">
        <v>79</v>
      </c>
      <c r="B3915">
        <v>208.05</v>
      </c>
      <c r="C3915">
        <f t="shared" si="244"/>
        <v>16435.95</v>
      </c>
      <c r="D3915">
        <f t="shared" si="245"/>
        <v>6241</v>
      </c>
      <c r="E3915">
        <f t="shared" si="246"/>
        <v>43284.802500000005</v>
      </c>
      <c r="F3915">
        <f t="shared" si="247"/>
        <v>6241</v>
      </c>
    </row>
    <row r="3916" spans="1:6" x14ac:dyDescent="0.3">
      <c r="A3916">
        <v>65</v>
      </c>
      <c r="B3916">
        <v>95.87</v>
      </c>
      <c r="C3916">
        <f t="shared" si="244"/>
        <v>6231.55</v>
      </c>
      <c r="D3916">
        <f t="shared" si="245"/>
        <v>4225</v>
      </c>
      <c r="E3916">
        <f t="shared" si="246"/>
        <v>9191.0569000000014</v>
      </c>
      <c r="F3916">
        <f t="shared" si="247"/>
        <v>4225</v>
      </c>
    </row>
    <row r="3917" spans="1:6" x14ac:dyDescent="0.3">
      <c r="A3917">
        <v>61</v>
      </c>
      <c r="B3917">
        <v>68.17</v>
      </c>
      <c r="C3917">
        <f t="shared" si="244"/>
        <v>4158.37</v>
      </c>
      <c r="D3917">
        <f t="shared" si="245"/>
        <v>3721</v>
      </c>
      <c r="E3917">
        <f t="shared" si="246"/>
        <v>4647.1489000000001</v>
      </c>
      <c r="F3917">
        <f t="shared" si="247"/>
        <v>3721</v>
      </c>
    </row>
    <row r="3918" spans="1:6" x14ac:dyDescent="0.3">
      <c r="A3918">
        <v>66</v>
      </c>
      <c r="B3918">
        <v>95.37</v>
      </c>
      <c r="C3918">
        <f t="shared" si="244"/>
        <v>6294.42</v>
      </c>
      <c r="D3918">
        <f t="shared" si="245"/>
        <v>4356</v>
      </c>
      <c r="E3918">
        <f t="shared" si="246"/>
        <v>9095.4369000000006</v>
      </c>
      <c r="F3918">
        <f t="shared" si="247"/>
        <v>4356</v>
      </c>
    </row>
    <row r="3919" spans="1:6" x14ac:dyDescent="0.3">
      <c r="A3919">
        <v>24</v>
      </c>
      <c r="B3919">
        <v>90</v>
      </c>
      <c r="C3919">
        <f t="shared" si="244"/>
        <v>2160</v>
      </c>
      <c r="D3919">
        <f t="shared" si="245"/>
        <v>576</v>
      </c>
      <c r="E3919">
        <f t="shared" si="246"/>
        <v>8100</v>
      </c>
      <c r="F3919">
        <f t="shared" si="247"/>
        <v>576</v>
      </c>
    </row>
    <row r="3920" spans="1:6" x14ac:dyDescent="0.3">
      <c r="A3920">
        <v>66</v>
      </c>
      <c r="B3920">
        <v>106.1</v>
      </c>
      <c r="C3920">
        <f t="shared" si="244"/>
        <v>7002.5999999999995</v>
      </c>
      <c r="D3920">
        <f t="shared" si="245"/>
        <v>4356</v>
      </c>
      <c r="E3920">
        <f t="shared" si="246"/>
        <v>11257.21</v>
      </c>
      <c r="F3920">
        <f t="shared" si="247"/>
        <v>4356</v>
      </c>
    </row>
    <row r="3921" spans="1:6" x14ac:dyDescent="0.3">
      <c r="A3921">
        <v>64</v>
      </c>
      <c r="B3921">
        <v>56.13</v>
      </c>
      <c r="C3921">
        <f t="shared" si="244"/>
        <v>3592.32</v>
      </c>
      <c r="D3921">
        <f t="shared" si="245"/>
        <v>4096</v>
      </c>
      <c r="E3921">
        <f t="shared" si="246"/>
        <v>3150.5769000000005</v>
      </c>
      <c r="F3921">
        <f t="shared" si="247"/>
        <v>4096</v>
      </c>
    </row>
    <row r="3922" spans="1:6" x14ac:dyDescent="0.3">
      <c r="A3922">
        <v>38</v>
      </c>
      <c r="B3922">
        <v>104.03</v>
      </c>
      <c r="C3922">
        <f t="shared" si="244"/>
        <v>3953.14</v>
      </c>
      <c r="D3922">
        <f t="shared" si="245"/>
        <v>1444</v>
      </c>
      <c r="E3922">
        <f t="shared" si="246"/>
        <v>10822.240900000001</v>
      </c>
      <c r="F3922">
        <f t="shared" si="247"/>
        <v>1444</v>
      </c>
    </row>
    <row r="3923" spans="1:6" x14ac:dyDescent="0.3">
      <c r="A3923">
        <v>7</v>
      </c>
      <c r="B3923">
        <v>157.01</v>
      </c>
      <c r="C3923">
        <f t="shared" si="244"/>
        <v>1099.07</v>
      </c>
      <c r="D3923">
        <f t="shared" si="245"/>
        <v>49</v>
      </c>
      <c r="E3923">
        <f t="shared" si="246"/>
        <v>24652.140099999997</v>
      </c>
      <c r="F3923">
        <f t="shared" si="247"/>
        <v>49</v>
      </c>
    </row>
    <row r="3924" spans="1:6" x14ac:dyDescent="0.3">
      <c r="A3924">
        <v>63</v>
      </c>
      <c r="B3924">
        <v>84.35</v>
      </c>
      <c r="C3924">
        <f t="shared" si="244"/>
        <v>5314.0499999999993</v>
      </c>
      <c r="D3924">
        <f t="shared" si="245"/>
        <v>3969</v>
      </c>
      <c r="E3924">
        <f t="shared" si="246"/>
        <v>7114.9224999999988</v>
      </c>
      <c r="F3924">
        <f t="shared" si="247"/>
        <v>3969</v>
      </c>
    </row>
    <row r="3925" spans="1:6" x14ac:dyDescent="0.3">
      <c r="A3925">
        <v>71</v>
      </c>
      <c r="B3925">
        <v>67.989999999999995</v>
      </c>
      <c r="C3925">
        <f t="shared" si="244"/>
        <v>4827.29</v>
      </c>
      <c r="D3925">
        <f t="shared" si="245"/>
        <v>5041</v>
      </c>
      <c r="E3925">
        <f t="shared" si="246"/>
        <v>4622.6400999999996</v>
      </c>
      <c r="F3925">
        <f t="shared" si="247"/>
        <v>5041</v>
      </c>
    </row>
    <row r="3926" spans="1:6" x14ac:dyDescent="0.3">
      <c r="A3926">
        <v>18</v>
      </c>
      <c r="B3926">
        <v>118.93</v>
      </c>
      <c r="C3926">
        <f t="shared" si="244"/>
        <v>2140.7400000000002</v>
      </c>
      <c r="D3926">
        <f t="shared" si="245"/>
        <v>324</v>
      </c>
      <c r="E3926">
        <f t="shared" si="246"/>
        <v>14144.344900000002</v>
      </c>
      <c r="F3926">
        <f t="shared" si="247"/>
        <v>324</v>
      </c>
    </row>
    <row r="3927" spans="1:6" x14ac:dyDescent="0.3">
      <c r="A3927">
        <v>65</v>
      </c>
      <c r="B3927">
        <v>185.28</v>
      </c>
      <c r="C3927">
        <f t="shared" si="244"/>
        <v>12043.2</v>
      </c>
      <c r="D3927">
        <f t="shared" si="245"/>
        <v>4225</v>
      </c>
      <c r="E3927">
        <f t="shared" si="246"/>
        <v>34328.678399999997</v>
      </c>
      <c r="F3927">
        <f t="shared" si="247"/>
        <v>4225</v>
      </c>
    </row>
    <row r="3928" spans="1:6" x14ac:dyDescent="0.3">
      <c r="A3928">
        <v>57</v>
      </c>
      <c r="B3928">
        <v>82.08</v>
      </c>
      <c r="C3928">
        <f t="shared" si="244"/>
        <v>4678.5599999999995</v>
      </c>
      <c r="D3928">
        <f t="shared" si="245"/>
        <v>3249</v>
      </c>
      <c r="E3928">
        <f t="shared" si="246"/>
        <v>6737.1264000000001</v>
      </c>
      <c r="F3928">
        <f t="shared" si="247"/>
        <v>3249</v>
      </c>
    </row>
    <row r="3929" spans="1:6" x14ac:dyDescent="0.3">
      <c r="A3929">
        <v>62</v>
      </c>
      <c r="B3929">
        <v>88.32</v>
      </c>
      <c r="C3929">
        <f t="shared" si="244"/>
        <v>5475.8399999999992</v>
      </c>
      <c r="D3929">
        <f t="shared" si="245"/>
        <v>3844</v>
      </c>
      <c r="E3929">
        <f t="shared" si="246"/>
        <v>7800.4223999999986</v>
      </c>
      <c r="F3929">
        <f t="shared" si="247"/>
        <v>3844</v>
      </c>
    </row>
    <row r="3930" spans="1:6" x14ac:dyDescent="0.3">
      <c r="A3930">
        <v>1.8</v>
      </c>
      <c r="B3930">
        <v>85.16</v>
      </c>
      <c r="C3930">
        <f t="shared" si="244"/>
        <v>153.28800000000001</v>
      </c>
      <c r="D3930">
        <f t="shared" si="245"/>
        <v>3.24</v>
      </c>
      <c r="E3930">
        <f t="shared" si="246"/>
        <v>7252.2255999999998</v>
      </c>
      <c r="F3930">
        <f t="shared" si="247"/>
        <v>3.24</v>
      </c>
    </row>
    <row r="3931" spans="1:6" x14ac:dyDescent="0.3">
      <c r="A3931">
        <v>35</v>
      </c>
      <c r="B3931">
        <v>69.540000000000006</v>
      </c>
      <c r="C3931">
        <f t="shared" si="244"/>
        <v>2433.9</v>
      </c>
      <c r="D3931">
        <f t="shared" si="245"/>
        <v>1225</v>
      </c>
      <c r="E3931">
        <f t="shared" si="246"/>
        <v>4835.8116000000009</v>
      </c>
      <c r="F3931">
        <f t="shared" si="247"/>
        <v>1225</v>
      </c>
    </row>
    <row r="3932" spans="1:6" x14ac:dyDescent="0.3">
      <c r="A3932">
        <v>50</v>
      </c>
      <c r="B3932">
        <v>62.12</v>
      </c>
      <c r="C3932">
        <f t="shared" si="244"/>
        <v>3106</v>
      </c>
      <c r="D3932">
        <f t="shared" si="245"/>
        <v>2500</v>
      </c>
      <c r="E3932">
        <f t="shared" si="246"/>
        <v>3858.8943999999997</v>
      </c>
      <c r="F3932">
        <f t="shared" si="247"/>
        <v>2500</v>
      </c>
    </row>
    <row r="3933" spans="1:6" x14ac:dyDescent="0.3">
      <c r="A3933">
        <v>73</v>
      </c>
      <c r="B3933">
        <v>198.3</v>
      </c>
      <c r="C3933">
        <f t="shared" si="244"/>
        <v>14475.900000000001</v>
      </c>
      <c r="D3933">
        <f t="shared" si="245"/>
        <v>5329</v>
      </c>
      <c r="E3933">
        <f t="shared" si="246"/>
        <v>39322.890000000007</v>
      </c>
      <c r="F3933">
        <f t="shared" si="247"/>
        <v>5329</v>
      </c>
    </row>
    <row r="3934" spans="1:6" x14ac:dyDescent="0.3">
      <c r="A3934">
        <v>23</v>
      </c>
      <c r="B3934">
        <v>100.06</v>
      </c>
      <c r="C3934">
        <f t="shared" si="244"/>
        <v>2301.38</v>
      </c>
      <c r="D3934">
        <f t="shared" si="245"/>
        <v>529</v>
      </c>
      <c r="E3934">
        <f t="shared" si="246"/>
        <v>10012.0036</v>
      </c>
      <c r="F3934">
        <f t="shared" si="247"/>
        <v>529</v>
      </c>
    </row>
    <row r="3935" spans="1:6" x14ac:dyDescent="0.3">
      <c r="A3935">
        <v>32</v>
      </c>
      <c r="B3935">
        <v>101.13</v>
      </c>
      <c r="C3935">
        <f t="shared" si="244"/>
        <v>3236.16</v>
      </c>
      <c r="D3935">
        <f t="shared" si="245"/>
        <v>1024</v>
      </c>
      <c r="E3935">
        <f t="shared" si="246"/>
        <v>10227.276899999999</v>
      </c>
      <c r="F3935">
        <f t="shared" si="247"/>
        <v>1024</v>
      </c>
    </row>
    <row r="3936" spans="1:6" x14ac:dyDescent="0.3">
      <c r="A3936">
        <v>38</v>
      </c>
      <c r="B3936">
        <v>91.09</v>
      </c>
      <c r="C3936">
        <f t="shared" si="244"/>
        <v>3461.42</v>
      </c>
      <c r="D3936">
        <f t="shared" si="245"/>
        <v>1444</v>
      </c>
      <c r="E3936">
        <f t="shared" si="246"/>
        <v>8297.3881000000001</v>
      </c>
      <c r="F3936">
        <f t="shared" si="247"/>
        <v>1444</v>
      </c>
    </row>
    <row r="3937" spans="1:6" x14ac:dyDescent="0.3">
      <c r="A3937">
        <v>50</v>
      </c>
      <c r="B3937">
        <v>61.54</v>
      </c>
      <c r="C3937">
        <f t="shared" si="244"/>
        <v>3077</v>
      </c>
      <c r="D3937">
        <f t="shared" si="245"/>
        <v>2500</v>
      </c>
      <c r="E3937">
        <f t="shared" si="246"/>
        <v>3787.1715999999997</v>
      </c>
      <c r="F3937">
        <f t="shared" si="247"/>
        <v>2500</v>
      </c>
    </row>
    <row r="3938" spans="1:6" x14ac:dyDescent="0.3">
      <c r="A3938">
        <v>39</v>
      </c>
      <c r="B3938">
        <v>62.02</v>
      </c>
      <c r="C3938">
        <f t="shared" si="244"/>
        <v>2418.7800000000002</v>
      </c>
      <c r="D3938">
        <f t="shared" si="245"/>
        <v>1521</v>
      </c>
      <c r="E3938">
        <f t="shared" si="246"/>
        <v>3846.4804000000004</v>
      </c>
      <c r="F3938">
        <f t="shared" si="247"/>
        <v>1521</v>
      </c>
    </row>
    <row r="3939" spans="1:6" x14ac:dyDescent="0.3">
      <c r="A3939">
        <v>7</v>
      </c>
      <c r="B3939">
        <v>103.11</v>
      </c>
      <c r="C3939">
        <f t="shared" si="244"/>
        <v>721.77</v>
      </c>
      <c r="D3939">
        <f t="shared" si="245"/>
        <v>49</v>
      </c>
      <c r="E3939">
        <f t="shared" si="246"/>
        <v>10631.6721</v>
      </c>
      <c r="F3939">
        <f t="shared" si="247"/>
        <v>49</v>
      </c>
    </row>
    <row r="3940" spans="1:6" x14ac:dyDescent="0.3">
      <c r="A3940">
        <v>15</v>
      </c>
      <c r="B3940">
        <v>77.569999999999993</v>
      </c>
      <c r="C3940">
        <f t="shared" si="244"/>
        <v>1163.55</v>
      </c>
      <c r="D3940">
        <f t="shared" si="245"/>
        <v>225</v>
      </c>
      <c r="E3940">
        <f t="shared" si="246"/>
        <v>6017.1048999999994</v>
      </c>
      <c r="F3940">
        <f t="shared" si="247"/>
        <v>225</v>
      </c>
    </row>
    <row r="3941" spans="1:6" x14ac:dyDescent="0.3">
      <c r="A3941">
        <v>67</v>
      </c>
      <c r="B3941">
        <v>97.34</v>
      </c>
      <c r="C3941">
        <f t="shared" si="244"/>
        <v>6521.7800000000007</v>
      </c>
      <c r="D3941">
        <f t="shared" si="245"/>
        <v>4489</v>
      </c>
      <c r="E3941">
        <f t="shared" si="246"/>
        <v>9475.0756000000001</v>
      </c>
      <c r="F3941">
        <f t="shared" si="247"/>
        <v>4489</v>
      </c>
    </row>
    <row r="3942" spans="1:6" x14ac:dyDescent="0.3">
      <c r="A3942">
        <v>8</v>
      </c>
      <c r="B3942">
        <v>78.760000000000005</v>
      </c>
      <c r="C3942">
        <f t="shared" si="244"/>
        <v>630.08000000000004</v>
      </c>
      <c r="D3942">
        <f t="shared" si="245"/>
        <v>64</v>
      </c>
      <c r="E3942">
        <f t="shared" si="246"/>
        <v>6203.1376000000009</v>
      </c>
      <c r="F3942">
        <f t="shared" si="247"/>
        <v>64</v>
      </c>
    </row>
    <row r="3943" spans="1:6" x14ac:dyDescent="0.3">
      <c r="A3943">
        <v>32</v>
      </c>
      <c r="B3943">
        <v>67.099999999999994</v>
      </c>
      <c r="C3943">
        <f t="shared" si="244"/>
        <v>2147.1999999999998</v>
      </c>
      <c r="D3943">
        <f t="shared" si="245"/>
        <v>1024</v>
      </c>
      <c r="E3943">
        <f t="shared" si="246"/>
        <v>4502.4099999999989</v>
      </c>
      <c r="F3943">
        <f t="shared" si="247"/>
        <v>1024</v>
      </c>
    </row>
    <row r="3944" spans="1:6" x14ac:dyDescent="0.3">
      <c r="A3944">
        <v>5</v>
      </c>
      <c r="B3944">
        <v>79.89</v>
      </c>
      <c r="C3944">
        <f t="shared" si="244"/>
        <v>399.45</v>
      </c>
      <c r="D3944">
        <f t="shared" si="245"/>
        <v>25</v>
      </c>
      <c r="E3944">
        <f t="shared" si="246"/>
        <v>6382.4121000000005</v>
      </c>
      <c r="F3944">
        <f t="shared" si="247"/>
        <v>25</v>
      </c>
    </row>
    <row r="3945" spans="1:6" x14ac:dyDescent="0.3">
      <c r="A3945">
        <v>56</v>
      </c>
      <c r="B3945">
        <v>206.66</v>
      </c>
      <c r="C3945">
        <f t="shared" si="244"/>
        <v>11572.96</v>
      </c>
      <c r="D3945">
        <f t="shared" si="245"/>
        <v>3136</v>
      </c>
      <c r="E3945">
        <f t="shared" si="246"/>
        <v>42708.355599999995</v>
      </c>
      <c r="F3945">
        <f t="shared" si="247"/>
        <v>3136</v>
      </c>
    </row>
    <row r="3946" spans="1:6" x14ac:dyDescent="0.3">
      <c r="A3946">
        <v>49</v>
      </c>
      <c r="B3946">
        <v>95.79</v>
      </c>
      <c r="C3946">
        <f t="shared" si="244"/>
        <v>4693.71</v>
      </c>
      <c r="D3946">
        <f t="shared" si="245"/>
        <v>2401</v>
      </c>
      <c r="E3946">
        <f t="shared" si="246"/>
        <v>9175.7241000000013</v>
      </c>
      <c r="F3946">
        <f t="shared" si="247"/>
        <v>2401</v>
      </c>
    </row>
    <row r="3947" spans="1:6" x14ac:dyDescent="0.3">
      <c r="A3947">
        <v>75</v>
      </c>
      <c r="B3947">
        <v>83.88</v>
      </c>
      <c r="C3947">
        <f t="shared" si="244"/>
        <v>6291</v>
      </c>
      <c r="D3947">
        <f t="shared" si="245"/>
        <v>5625</v>
      </c>
      <c r="E3947">
        <f t="shared" si="246"/>
        <v>7035.8543999999993</v>
      </c>
      <c r="F3947">
        <f t="shared" si="247"/>
        <v>5625</v>
      </c>
    </row>
    <row r="3948" spans="1:6" x14ac:dyDescent="0.3">
      <c r="A3948">
        <v>11</v>
      </c>
      <c r="B3948">
        <v>93.51</v>
      </c>
      <c r="C3948">
        <f t="shared" si="244"/>
        <v>1028.6100000000001</v>
      </c>
      <c r="D3948">
        <f t="shared" si="245"/>
        <v>121</v>
      </c>
      <c r="E3948">
        <f t="shared" si="246"/>
        <v>8744.1201000000001</v>
      </c>
      <c r="F3948">
        <f t="shared" si="247"/>
        <v>121</v>
      </c>
    </row>
    <row r="3949" spans="1:6" x14ac:dyDescent="0.3">
      <c r="A3949">
        <v>61</v>
      </c>
      <c r="B3949">
        <v>116.78</v>
      </c>
      <c r="C3949">
        <f t="shared" si="244"/>
        <v>7123.58</v>
      </c>
      <c r="D3949">
        <f t="shared" si="245"/>
        <v>3721</v>
      </c>
      <c r="E3949">
        <f t="shared" si="246"/>
        <v>13637.5684</v>
      </c>
      <c r="F3949">
        <f t="shared" si="247"/>
        <v>3721</v>
      </c>
    </row>
    <row r="3950" spans="1:6" x14ac:dyDescent="0.3">
      <c r="A3950">
        <v>76</v>
      </c>
      <c r="B3950">
        <v>117.63</v>
      </c>
      <c r="C3950">
        <f t="shared" si="244"/>
        <v>8939.8799999999992</v>
      </c>
      <c r="D3950">
        <f t="shared" si="245"/>
        <v>5776</v>
      </c>
      <c r="E3950">
        <f t="shared" si="246"/>
        <v>13836.8169</v>
      </c>
      <c r="F3950">
        <f t="shared" si="247"/>
        <v>5776</v>
      </c>
    </row>
    <row r="3951" spans="1:6" x14ac:dyDescent="0.3">
      <c r="A3951">
        <v>34</v>
      </c>
      <c r="B3951">
        <v>60.01</v>
      </c>
      <c r="C3951">
        <f t="shared" si="244"/>
        <v>2040.34</v>
      </c>
      <c r="D3951">
        <f t="shared" si="245"/>
        <v>1156</v>
      </c>
      <c r="E3951">
        <f t="shared" si="246"/>
        <v>3601.2000999999996</v>
      </c>
      <c r="F3951">
        <f t="shared" si="247"/>
        <v>1156</v>
      </c>
    </row>
    <row r="3952" spans="1:6" x14ac:dyDescent="0.3">
      <c r="A3952">
        <v>20</v>
      </c>
      <c r="B3952">
        <v>64.599999999999994</v>
      </c>
      <c r="C3952">
        <f t="shared" si="244"/>
        <v>1292</v>
      </c>
      <c r="D3952">
        <f t="shared" si="245"/>
        <v>400</v>
      </c>
      <c r="E3952">
        <f t="shared" si="246"/>
        <v>4173.1599999999989</v>
      </c>
      <c r="F3952">
        <f t="shared" si="247"/>
        <v>400</v>
      </c>
    </row>
    <row r="3953" spans="1:6" x14ac:dyDescent="0.3">
      <c r="A3953">
        <v>79</v>
      </c>
      <c r="B3953">
        <v>92.43</v>
      </c>
      <c r="C3953">
        <f t="shared" si="244"/>
        <v>7301.97</v>
      </c>
      <c r="D3953">
        <f t="shared" si="245"/>
        <v>6241</v>
      </c>
      <c r="E3953">
        <f t="shared" si="246"/>
        <v>8543.304900000001</v>
      </c>
      <c r="F3953">
        <f t="shared" si="247"/>
        <v>6241</v>
      </c>
    </row>
    <row r="3954" spans="1:6" x14ac:dyDescent="0.3">
      <c r="A3954">
        <v>24</v>
      </c>
      <c r="B3954">
        <v>71.63</v>
      </c>
      <c r="C3954">
        <f t="shared" si="244"/>
        <v>1719.12</v>
      </c>
      <c r="D3954">
        <f t="shared" si="245"/>
        <v>576</v>
      </c>
      <c r="E3954">
        <f t="shared" si="246"/>
        <v>5130.8568999999998</v>
      </c>
      <c r="F3954">
        <f t="shared" si="247"/>
        <v>576</v>
      </c>
    </row>
    <row r="3955" spans="1:6" x14ac:dyDescent="0.3">
      <c r="A3955">
        <v>39</v>
      </c>
      <c r="B3955">
        <v>87.79</v>
      </c>
      <c r="C3955">
        <f t="shared" si="244"/>
        <v>3423.8100000000004</v>
      </c>
      <c r="D3955">
        <f t="shared" si="245"/>
        <v>1521</v>
      </c>
      <c r="E3955">
        <f t="shared" si="246"/>
        <v>7707.0841000000009</v>
      </c>
      <c r="F3955">
        <f t="shared" si="247"/>
        <v>1521</v>
      </c>
    </row>
    <row r="3956" spans="1:6" x14ac:dyDescent="0.3">
      <c r="A3956">
        <v>55</v>
      </c>
      <c r="B3956">
        <v>99.64</v>
      </c>
      <c r="C3956">
        <f t="shared" si="244"/>
        <v>5480.2</v>
      </c>
      <c r="D3956">
        <f t="shared" si="245"/>
        <v>3025</v>
      </c>
      <c r="E3956">
        <f t="shared" si="246"/>
        <v>9928.1296000000002</v>
      </c>
      <c r="F3956">
        <f t="shared" si="247"/>
        <v>3025</v>
      </c>
    </row>
    <row r="3957" spans="1:6" x14ac:dyDescent="0.3">
      <c r="A3957">
        <v>16</v>
      </c>
      <c r="B3957">
        <v>86.53</v>
      </c>
      <c r="C3957">
        <f t="shared" si="244"/>
        <v>1384.48</v>
      </c>
      <c r="D3957">
        <f t="shared" si="245"/>
        <v>256</v>
      </c>
      <c r="E3957">
        <f t="shared" si="246"/>
        <v>7487.4409000000005</v>
      </c>
      <c r="F3957">
        <f t="shared" si="247"/>
        <v>256</v>
      </c>
    </row>
    <row r="3958" spans="1:6" x14ac:dyDescent="0.3">
      <c r="A3958">
        <v>36</v>
      </c>
      <c r="B3958">
        <v>200.68</v>
      </c>
      <c r="C3958">
        <f t="shared" si="244"/>
        <v>7224.4800000000005</v>
      </c>
      <c r="D3958">
        <f t="shared" si="245"/>
        <v>1296</v>
      </c>
      <c r="E3958">
        <f t="shared" si="246"/>
        <v>40272.462400000004</v>
      </c>
      <c r="F3958">
        <f t="shared" si="247"/>
        <v>1296</v>
      </c>
    </row>
    <row r="3959" spans="1:6" x14ac:dyDescent="0.3">
      <c r="A3959">
        <v>38</v>
      </c>
      <c r="B3959">
        <v>98.37</v>
      </c>
      <c r="C3959">
        <f t="shared" si="244"/>
        <v>3738.0600000000004</v>
      </c>
      <c r="D3959">
        <f t="shared" si="245"/>
        <v>1444</v>
      </c>
      <c r="E3959">
        <f t="shared" si="246"/>
        <v>9676.6569000000018</v>
      </c>
      <c r="F3959">
        <f t="shared" si="247"/>
        <v>1444</v>
      </c>
    </row>
    <row r="3960" spans="1:6" x14ac:dyDescent="0.3">
      <c r="A3960">
        <v>20</v>
      </c>
      <c r="B3960">
        <v>117.98</v>
      </c>
      <c r="C3960">
        <f t="shared" si="244"/>
        <v>2359.6</v>
      </c>
      <c r="D3960">
        <f t="shared" si="245"/>
        <v>400</v>
      </c>
      <c r="E3960">
        <f t="shared" si="246"/>
        <v>13919.280400000001</v>
      </c>
      <c r="F3960">
        <f t="shared" si="247"/>
        <v>400</v>
      </c>
    </row>
    <row r="3961" spans="1:6" x14ac:dyDescent="0.3">
      <c r="A3961">
        <v>38</v>
      </c>
      <c r="B3961">
        <v>218.6</v>
      </c>
      <c r="C3961">
        <f t="shared" si="244"/>
        <v>8306.7999999999993</v>
      </c>
      <c r="D3961">
        <f t="shared" si="245"/>
        <v>1444</v>
      </c>
      <c r="E3961">
        <f t="shared" si="246"/>
        <v>47785.96</v>
      </c>
      <c r="F3961">
        <f t="shared" si="247"/>
        <v>1444</v>
      </c>
    </row>
    <row r="3962" spans="1:6" x14ac:dyDescent="0.3">
      <c r="A3962">
        <v>52</v>
      </c>
      <c r="B3962">
        <v>101.3</v>
      </c>
      <c r="C3962">
        <f t="shared" si="244"/>
        <v>5267.5999999999995</v>
      </c>
      <c r="D3962">
        <f t="shared" si="245"/>
        <v>2704</v>
      </c>
      <c r="E3962">
        <f t="shared" si="246"/>
        <v>10261.689999999999</v>
      </c>
      <c r="F3962">
        <f t="shared" si="247"/>
        <v>2704</v>
      </c>
    </row>
    <row r="3963" spans="1:6" x14ac:dyDescent="0.3">
      <c r="A3963">
        <v>49</v>
      </c>
      <c r="B3963">
        <v>79.510000000000005</v>
      </c>
      <c r="C3963">
        <f t="shared" si="244"/>
        <v>3895.9900000000002</v>
      </c>
      <c r="D3963">
        <f t="shared" si="245"/>
        <v>2401</v>
      </c>
      <c r="E3963">
        <f t="shared" si="246"/>
        <v>6321.8401000000013</v>
      </c>
      <c r="F3963">
        <f t="shared" si="247"/>
        <v>2401</v>
      </c>
    </row>
    <row r="3964" spans="1:6" x14ac:dyDescent="0.3">
      <c r="A3964">
        <v>80</v>
      </c>
      <c r="B3964">
        <v>223.26</v>
      </c>
      <c r="C3964">
        <f t="shared" si="244"/>
        <v>17860.8</v>
      </c>
      <c r="D3964">
        <f t="shared" si="245"/>
        <v>6400</v>
      </c>
      <c r="E3964">
        <f t="shared" si="246"/>
        <v>49845.027599999994</v>
      </c>
      <c r="F3964">
        <f t="shared" si="247"/>
        <v>6400</v>
      </c>
    </row>
    <row r="3965" spans="1:6" x14ac:dyDescent="0.3">
      <c r="A3965">
        <v>75</v>
      </c>
      <c r="B3965">
        <v>97.22</v>
      </c>
      <c r="C3965">
        <f t="shared" si="244"/>
        <v>7291.5</v>
      </c>
      <c r="D3965">
        <f t="shared" si="245"/>
        <v>5625</v>
      </c>
      <c r="E3965">
        <f t="shared" si="246"/>
        <v>9451.7284</v>
      </c>
      <c r="F3965">
        <f t="shared" si="247"/>
        <v>5625</v>
      </c>
    </row>
    <row r="3966" spans="1:6" x14ac:dyDescent="0.3">
      <c r="A3966">
        <v>13</v>
      </c>
      <c r="B3966">
        <v>172.27</v>
      </c>
      <c r="C3966">
        <f t="shared" si="244"/>
        <v>2239.5100000000002</v>
      </c>
      <c r="D3966">
        <f t="shared" si="245"/>
        <v>169</v>
      </c>
      <c r="E3966">
        <f t="shared" si="246"/>
        <v>29676.952900000004</v>
      </c>
      <c r="F3966">
        <f t="shared" si="247"/>
        <v>169</v>
      </c>
    </row>
    <row r="3967" spans="1:6" x14ac:dyDescent="0.3">
      <c r="A3967">
        <v>54</v>
      </c>
      <c r="B3967">
        <v>221.83</v>
      </c>
      <c r="C3967">
        <f t="shared" si="244"/>
        <v>11978.820000000002</v>
      </c>
      <c r="D3967">
        <f t="shared" si="245"/>
        <v>2916</v>
      </c>
      <c r="E3967">
        <f t="shared" si="246"/>
        <v>49208.548900000009</v>
      </c>
      <c r="F3967">
        <f t="shared" si="247"/>
        <v>2916</v>
      </c>
    </row>
    <row r="3968" spans="1:6" x14ac:dyDescent="0.3">
      <c r="A3968">
        <v>28</v>
      </c>
      <c r="B3968">
        <v>74.61</v>
      </c>
      <c r="C3968">
        <f t="shared" si="244"/>
        <v>2089.08</v>
      </c>
      <c r="D3968">
        <f t="shared" si="245"/>
        <v>784</v>
      </c>
      <c r="E3968">
        <f t="shared" si="246"/>
        <v>5566.6521000000002</v>
      </c>
      <c r="F3968">
        <f t="shared" si="247"/>
        <v>784</v>
      </c>
    </row>
    <row r="3969" spans="1:6" x14ac:dyDescent="0.3">
      <c r="A3969">
        <v>61</v>
      </c>
      <c r="B3969">
        <v>60.91</v>
      </c>
      <c r="C3969">
        <f t="shared" si="244"/>
        <v>3715.5099999999998</v>
      </c>
      <c r="D3969">
        <f t="shared" si="245"/>
        <v>3721</v>
      </c>
      <c r="E3969">
        <f t="shared" si="246"/>
        <v>3710.0280999999995</v>
      </c>
      <c r="F3969">
        <f t="shared" si="247"/>
        <v>3721</v>
      </c>
    </row>
    <row r="3970" spans="1:6" x14ac:dyDescent="0.3">
      <c r="A3970">
        <v>0.16</v>
      </c>
      <c r="B3970">
        <v>69.790000000000006</v>
      </c>
      <c r="C3970">
        <f t="shared" si="244"/>
        <v>11.166400000000001</v>
      </c>
      <c r="D3970">
        <f t="shared" si="245"/>
        <v>2.5600000000000001E-2</v>
      </c>
      <c r="E3970">
        <f t="shared" si="246"/>
        <v>4870.6441000000004</v>
      </c>
      <c r="F3970">
        <f t="shared" si="247"/>
        <v>2.5600000000000001E-2</v>
      </c>
    </row>
    <row r="3971" spans="1:6" x14ac:dyDescent="0.3">
      <c r="A3971">
        <v>59</v>
      </c>
      <c r="B3971">
        <v>83.6</v>
      </c>
      <c r="C3971">
        <f t="shared" ref="C3971:C4034" si="248">A3971*B3971</f>
        <v>4932.3999999999996</v>
      </c>
      <c r="D3971">
        <f t="shared" ref="D3971:D4034" si="249">A3971*A3971</f>
        <v>3481</v>
      </c>
      <c r="E3971">
        <f t="shared" ref="E3971:E4034" si="250">B3971*B3971</f>
        <v>6988.9599999999991</v>
      </c>
      <c r="F3971">
        <f t="shared" ref="F3971:F4034" si="251">A3971^2</f>
        <v>3481</v>
      </c>
    </row>
    <row r="3972" spans="1:6" x14ac:dyDescent="0.3">
      <c r="A3972">
        <v>12</v>
      </c>
      <c r="B3972">
        <v>83.95</v>
      </c>
      <c r="C3972">
        <f t="shared" si="248"/>
        <v>1007.4000000000001</v>
      </c>
      <c r="D3972">
        <f t="shared" si="249"/>
        <v>144</v>
      </c>
      <c r="E3972">
        <f t="shared" si="250"/>
        <v>7047.6025000000009</v>
      </c>
      <c r="F3972">
        <f t="shared" si="251"/>
        <v>144</v>
      </c>
    </row>
    <row r="3973" spans="1:6" x14ac:dyDescent="0.3">
      <c r="A3973">
        <v>38</v>
      </c>
      <c r="B3973">
        <v>77.5</v>
      </c>
      <c r="C3973">
        <f t="shared" si="248"/>
        <v>2945</v>
      </c>
      <c r="D3973">
        <f t="shared" si="249"/>
        <v>1444</v>
      </c>
      <c r="E3973">
        <f t="shared" si="250"/>
        <v>6006.25</v>
      </c>
      <c r="F3973">
        <f t="shared" si="251"/>
        <v>1444</v>
      </c>
    </row>
    <row r="3974" spans="1:6" x14ac:dyDescent="0.3">
      <c r="A3974">
        <v>15</v>
      </c>
      <c r="B3974">
        <v>64.290000000000006</v>
      </c>
      <c r="C3974">
        <f t="shared" si="248"/>
        <v>964.35000000000014</v>
      </c>
      <c r="D3974">
        <f t="shared" si="249"/>
        <v>225</v>
      </c>
      <c r="E3974">
        <f t="shared" si="250"/>
        <v>4133.2041000000008</v>
      </c>
      <c r="F3974">
        <f t="shared" si="251"/>
        <v>225</v>
      </c>
    </row>
    <row r="3975" spans="1:6" x14ac:dyDescent="0.3">
      <c r="A3975">
        <v>31</v>
      </c>
      <c r="B3975">
        <v>61.1</v>
      </c>
      <c r="C3975">
        <f t="shared" si="248"/>
        <v>1894.1000000000001</v>
      </c>
      <c r="D3975">
        <f t="shared" si="249"/>
        <v>961</v>
      </c>
      <c r="E3975">
        <f t="shared" si="250"/>
        <v>3733.21</v>
      </c>
      <c r="F3975">
        <f t="shared" si="251"/>
        <v>961</v>
      </c>
    </row>
    <row r="3976" spans="1:6" x14ac:dyDescent="0.3">
      <c r="A3976">
        <v>52</v>
      </c>
      <c r="B3976">
        <v>100.71</v>
      </c>
      <c r="C3976">
        <f t="shared" si="248"/>
        <v>5236.92</v>
      </c>
      <c r="D3976">
        <f t="shared" si="249"/>
        <v>2704</v>
      </c>
      <c r="E3976">
        <f t="shared" si="250"/>
        <v>10142.504099999998</v>
      </c>
      <c r="F3976">
        <f t="shared" si="251"/>
        <v>2704</v>
      </c>
    </row>
    <row r="3977" spans="1:6" x14ac:dyDescent="0.3">
      <c r="A3977">
        <v>61</v>
      </c>
      <c r="B3977">
        <v>65.209999999999994</v>
      </c>
      <c r="C3977">
        <f t="shared" si="248"/>
        <v>3977.8099999999995</v>
      </c>
      <c r="D3977">
        <f t="shared" si="249"/>
        <v>3721</v>
      </c>
      <c r="E3977">
        <f t="shared" si="250"/>
        <v>4252.3440999999993</v>
      </c>
      <c r="F3977">
        <f t="shared" si="251"/>
        <v>3721</v>
      </c>
    </row>
    <row r="3978" spans="1:6" x14ac:dyDescent="0.3">
      <c r="A3978">
        <v>50</v>
      </c>
      <c r="B3978">
        <v>119.77</v>
      </c>
      <c r="C3978">
        <f t="shared" si="248"/>
        <v>5988.5</v>
      </c>
      <c r="D3978">
        <f t="shared" si="249"/>
        <v>2500</v>
      </c>
      <c r="E3978">
        <f t="shared" si="250"/>
        <v>14344.8529</v>
      </c>
      <c r="F3978">
        <f t="shared" si="251"/>
        <v>2500</v>
      </c>
    </row>
    <row r="3979" spans="1:6" x14ac:dyDescent="0.3">
      <c r="A3979">
        <v>41</v>
      </c>
      <c r="B3979">
        <v>102.39</v>
      </c>
      <c r="C3979">
        <f t="shared" si="248"/>
        <v>4197.99</v>
      </c>
      <c r="D3979">
        <f t="shared" si="249"/>
        <v>1681</v>
      </c>
      <c r="E3979">
        <f t="shared" si="250"/>
        <v>10483.712100000001</v>
      </c>
      <c r="F3979">
        <f t="shared" si="251"/>
        <v>1681</v>
      </c>
    </row>
    <row r="3980" spans="1:6" x14ac:dyDescent="0.3">
      <c r="A3980">
        <v>20</v>
      </c>
      <c r="B3980">
        <v>59.67</v>
      </c>
      <c r="C3980">
        <f t="shared" si="248"/>
        <v>1193.4000000000001</v>
      </c>
      <c r="D3980">
        <f t="shared" si="249"/>
        <v>400</v>
      </c>
      <c r="E3980">
        <f t="shared" si="250"/>
        <v>3560.5089000000003</v>
      </c>
      <c r="F3980">
        <f t="shared" si="251"/>
        <v>400</v>
      </c>
    </row>
    <row r="3981" spans="1:6" x14ac:dyDescent="0.3">
      <c r="A3981">
        <v>67</v>
      </c>
      <c r="B3981">
        <v>83.16</v>
      </c>
      <c r="C3981">
        <f t="shared" si="248"/>
        <v>5571.7199999999993</v>
      </c>
      <c r="D3981">
        <f t="shared" si="249"/>
        <v>4489</v>
      </c>
      <c r="E3981">
        <f t="shared" si="250"/>
        <v>6915.5855999999994</v>
      </c>
      <c r="F3981">
        <f t="shared" si="251"/>
        <v>4489</v>
      </c>
    </row>
    <row r="3982" spans="1:6" x14ac:dyDescent="0.3">
      <c r="A3982">
        <v>45</v>
      </c>
      <c r="B3982">
        <v>218.1</v>
      </c>
      <c r="C3982">
        <f t="shared" si="248"/>
        <v>9814.5</v>
      </c>
      <c r="D3982">
        <f t="shared" si="249"/>
        <v>2025</v>
      </c>
      <c r="E3982">
        <f t="shared" si="250"/>
        <v>47567.61</v>
      </c>
      <c r="F3982">
        <f t="shared" si="251"/>
        <v>2025</v>
      </c>
    </row>
    <row r="3983" spans="1:6" x14ac:dyDescent="0.3">
      <c r="A3983">
        <v>73</v>
      </c>
      <c r="B3983">
        <v>76.45</v>
      </c>
      <c r="C3983">
        <f t="shared" si="248"/>
        <v>5580.85</v>
      </c>
      <c r="D3983">
        <f t="shared" si="249"/>
        <v>5329</v>
      </c>
      <c r="E3983">
        <f t="shared" si="250"/>
        <v>5844.6025000000009</v>
      </c>
      <c r="F3983">
        <f t="shared" si="251"/>
        <v>5329</v>
      </c>
    </row>
    <row r="3984" spans="1:6" x14ac:dyDescent="0.3">
      <c r="A3984">
        <v>52</v>
      </c>
      <c r="B3984">
        <v>200.46</v>
      </c>
      <c r="C3984">
        <f t="shared" si="248"/>
        <v>10423.92</v>
      </c>
      <c r="D3984">
        <f t="shared" si="249"/>
        <v>2704</v>
      </c>
      <c r="E3984">
        <f t="shared" si="250"/>
        <v>40184.211600000002</v>
      </c>
      <c r="F3984">
        <f t="shared" si="251"/>
        <v>2704</v>
      </c>
    </row>
    <row r="3985" spans="1:6" x14ac:dyDescent="0.3">
      <c r="A3985">
        <v>51</v>
      </c>
      <c r="B3985">
        <v>95.7</v>
      </c>
      <c r="C3985">
        <f t="shared" si="248"/>
        <v>4880.7</v>
      </c>
      <c r="D3985">
        <f t="shared" si="249"/>
        <v>2601</v>
      </c>
      <c r="E3985">
        <f t="shared" si="250"/>
        <v>9158.49</v>
      </c>
      <c r="F3985">
        <f t="shared" si="251"/>
        <v>2601</v>
      </c>
    </row>
    <row r="3986" spans="1:6" x14ac:dyDescent="0.3">
      <c r="A3986">
        <v>56</v>
      </c>
      <c r="B3986">
        <v>70.23</v>
      </c>
      <c r="C3986">
        <f t="shared" si="248"/>
        <v>3932.88</v>
      </c>
      <c r="D3986">
        <f t="shared" si="249"/>
        <v>3136</v>
      </c>
      <c r="E3986">
        <f t="shared" si="250"/>
        <v>4932.2529000000004</v>
      </c>
      <c r="F3986">
        <f t="shared" si="251"/>
        <v>3136</v>
      </c>
    </row>
    <row r="3987" spans="1:6" x14ac:dyDescent="0.3">
      <c r="A3987">
        <v>49</v>
      </c>
      <c r="B3987">
        <v>75.150000000000006</v>
      </c>
      <c r="C3987">
        <f t="shared" si="248"/>
        <v>3682.3500000000004</v>
      </c>
      <c r="D3987">
        <f t="shared" si="249"/>
        <v>2401</v>
      </c>
      <c r="E3987">
        <f t="shared" si="250"/>
        <v>5647.5225000000009</v>
      </c>
      <c r="F3987">
        <f t="shared" si="251"/>
        <v>2401</v>
      </c>
    </row>
    <row r="3988" spans="1:6" x14ac:dyDescent="0.3">
      <c r="A3988">
        <v>10</v>
      </c>
      <c r="B3988">
        <v>95.8</v>
      </c>
      <c r="C3988">
        <f t="shared" si="248"/>
        <v>958</v>
      </c>
      <c r="D3988">
        <f t="shared" si="249"/>
        <v>100</v>
      </c>
      <c r="E3988">
        <f t="shared" si="250"/>
        <v>9177.64</v>
      </c>
      <c r="F3988">
        <f t="shared" si="251"/>
        <v>100</v>
      </c>
    </row>
    <row r="3989" spans="1:6" x14ac:dyDescent="0.3">
      <c r="A3989">
        <v>51</v>
      </c>
      <c r="B3989">
        <v>90.67</v>
      </c>
      <c r="C3989">
        <f t="shared" si="248"/>
        <v>4624.17</v>
      </c>
      <c r="D3989">
        <f t="shared" si="249"/>
        <v>2601</v>
      </c>
      <c r="E3989">
        <f t="shared" si="250"/>
        <v>8221.0488999999998</v>
      </c>
      <c r="F3989">
        <f t="shared" si="251"/>
        <v>2601</v>
      </c>
    </row>
    <row r="3990" spans="1:6" x14ac:dyDescent="0.3">
      <c r="A3990">
        <v>57</v>
      </c>
      <c r="B3990">
        <v>84.79</v>
      </c>
      <c r="C3990">
        <f t="shared" si="248"/>
        <v>4833.0300000000007</v>
      </c>
      <c r="D3990">
        <f t="shared" si="249"/>
        <v>3249</v>
      </c>
      <c r="E3990">
        <f t="shared" si="250"/>
        <v>7189.3441000000012</v>
      </c>
      <c r="F3990">
        <f t="shared" si="251"/>
        <v>3249</v>
      </c>
    </row>
    <row r="3991" spans="1:6" x14ac:dyDescent="0.3">
      <c r="A3991">
        <v>76</v>
      </c>
      <c r="B3991">
        <v>147.5</v>
      </c>
      <c r="C3991">
        <f t="shared" si="248"/>
        <v>11210</v>
      </c>
      <c r="D3991">
        <f t="shared" si="249"/>
        <v>5776</v>
      </c>
      <c r="E3991">
        <f t="shared" si="250"/>
        <v>21756.25</v>
      </c>
      <c r="F3991">
        <f t="shared" si="251"/>
        <v>5776</v>
      </c>
    </row>
    <row r="3992" spans="1:6" x14ac:dyDescent="0.3">
      <c r="A3992">
        <v>28</v>
      </c>
      <c r="B3992">
        <v>134.12</v>
      </c>
      <c r="C3992">
        <f t="shared" si="248"/>
        <v>3755.36</v>
      </c>
      <c r="D3992">
        <f t="shared" si="249"/>
        <v>784</v>
      </c>
      <c r="E3992">
        <f t="shared" si="250"/>
        <v>17988.1744</v>
      </c>
      <c r="F3992">
        <f t="shared" si="251"/>
        <v>784</v>
      </c>
    </row>
    <row r="3993" spans="1:6" x14ac:dyDescent="0.3">
      <c r="A3993">
        <v>57</v>
      </c>
      <c r="B3993">
        <v>82.62</v>
      </c>
      <c r="C3993">
        <f t="shared" si="248"/>
        <v>4709.34</v>
      </c>
      <c r="D3993">
        <f t="shared" si="249"/>
        <v>3249</v>
      </c>
      <c r="E3993">
        <f t="shared" si="250"/>
        <v>6826.0644000000011</v>
      </c>
      <c r="F3993">
        <f t="shared" si="251"/>
        <v>3249</v>
      </c>
    </row>
    <row r="3994" spans="1:6" x14ac:dyDescent="0.3">
      <c r="A3994">
        <v>39</v>
      </c>
      <c r="B3994">
        <v>125.11</v>
      </c>
      <c r="C3994">
        <f t="shared" si="248"/>
        <v>4879.29</v>
      </c>
      <c r="D3994">
        <f t="shared" si="249"/>
        <v>1521</v>
      </c>
      <c r="E3994">
        <f t="shared" si="250"/>
        <v>15652.5121</v>
      </c>
      <c r="F3994">
        <f t="shared" si="251"/>
        <v>1521</v>
      </c>
    </row>
    <row r="3995" spans="1:6" x14ac:dyDescent="0.3">
      <c r="A3995">
        <v>41</v>
      </c>
      <c r="B3995">
        <v>92.14</v>
      </c>
      <c r="C3995">
        <f t="shared" si="248"/>
        <v>3777.7400000000002</v>
      </c>
      <c r="D3995">
        <f t="shared" si="249"/>
        <v>1681</v>
      </c>
      <c r="E3995">
        <f t="shared" si="250"/>
        <v>8489.7795999999998</v>
      </c>
      <c r="F3995">
        <f t="shared" si="251"/>
        <v>1681</v>
      </c>
    </row>
    <row r="3996" spans="1:6" x14ac:dyDescent="0.3">
      <c r="A3996">
        <v>72</v>
      </c>
      <c r="B3996">
        <v>217.79</v>
      </c>
      <c r="C3996">
        <f t="shared" si="248"/>
        <v>15680.88</v>
      </c>
      <c r="D3996">
        <f t="shared" si="249"/>
        <v>5184</v>
      </c>
      <c r="E3996">
        <f t="shared" si="250"/>
        <v>47432.484099999994</v>
      </c>
      <c r="F3996">
        <f t="shared" si="251"/>
        <v>5184</v>
      </c>
    </row>
    <row r="3997" spans="1:6" x14ac:dyDescent="0.3">
      <c r="A3997">
        <v>45</v>
      </c>
      <c r="B3997">
        <v>95.62</v>
      </c>
      <c r="C3997">
        <f t="shared" si="248"/>
        <v>4302.9000000000005</v>
      </c>
      <c r="D3997">
        <f t="shared" si="249"/>
        <v>2025</v>
      </c>
      <c r="E3997">
        <f t="shared" si="250"/>
        <v>9143.1844000000001</v>
      </c>
      <c r="F3997">
        <f t="shared" si="251"/>
        <v>2025</v>
      </c>
    </row>
    <row r="3998" spans="1:6" x14ac:dyDescent="0.3">
      <c r="A3998">
        <v>33</v>
      </c>
      <c r="B3998">
        <v>93.8</v>
      </c>
      <c r="C3998">
        <f t="shared" si="248"/>
        <v>3095.4</v>
      </c>
      <c r="D3998">
        <f t="shared" si="249"/>
        <v>1089</v>
      </c>
      <c r="E3998">
        <f t="shared" si="250"/>
        <v>8798.4399999999987</v>
      </c>
      <c r="F3998">
        <f t="shared" si="251"/>
        <v>1089</v>
      </c>
    </row>
    <row r="3999" spans="1:6" x14ac:dyDescent="0.3">
      <c r="A3999">
        <v>62</v>
      </c>
      <c r="B3999">
        <v>90.61</v>
      </c>
      <c r="C3999">
        <f t="shared" si="248"/>
        <v>5617.82</v>
      </c>
      <c r="D3999">
        <f t="shared" si="249"/>
        <v>3844</v>
      </c>
      <c r="E3999">
        <f t="shared" si="250"/>
        <v>8210.1720999999998</v>
      </c>
      <c r="F3999">
        <f t="shared" si="251"/>
        <v>3844</v>
      </c>
    </row>
    <row r="4000" spans="1:6" x14ac:dyDescent="0.3">
      <c r="A4000">
        <v>27</v>
      </c>
      <c r="B4000">
        <v>139.19999999999999</v>
      </c>
      <c r="C4000">
        <f t="shared" si="248"/>
        <v>3758.3999999999996</v>
      </c>
      <c r="D4000">
        <f t="shared" si="249"/>
        <v>729</v>
      </c>
      <c r="E4000">
        <f t="shared" si="250"/>
        <v>19376.639999999996</v>
      </c>
      <c r="F4000">
        <f t="shared" si="251"/>
        <v>729</v>
      </c>
    </row>
    <row r="4001" spans="1:6" x14ac:dyDescent="0.3">
      <c r="A4001">
        <v>31</v>
      </c>
      <c r="B4001">
        <v>77.010000000000005</v>
      </c>
      <c r="C4001">
        <f t="shared" si="248"/>
        <v>2387.31</v>
      </c>
      <c r="D4001">
        <f t="shared" si="249"/>
        <v>961</v>
      </c>
      <c r="E4001">
        <f t="shared" si="250"/>
        <v>5930.5401000000011</v>
      </c>
      <c r="F4001">
        <f t="shared" si="251"/>
        <v>961</v>
      </c>
    </row>
    <row r="4002" spans="1:6" x14ac:dyDescent="0.3">
      <c r="A4002">
        <v>24</v>
      </c>
      <c r="B4002">
        <v>105.26</v>
      </c>
      <c r="C4002">
        <f t="shared" si="248"/>
        <v>2526.2400000000002</v>
      </c>
      <c r="D4002">
        <f t="shared" si="249"/>
        <v>576</v>
      </c>
      <c r="E4002">
        <f t="shared" si="250"/>
        <v>11079.667600000001</v>
      </c>
      <c r="F4002">
        <f t="shared" si="251"/>
        <v>576</v>
      </c>
    </row>
    <row r="4003" spans="1:6" x14ac:dyDescent="0.3">
      <c r="A4003">
        <v>1.88</v>
      </c>
      <c r="B4003">
        <v>68.349999999999994</v>
      </c>
      <c r="C4003">
        <f t="shared" si="248"/>
        <v>128.49799999999999</v>
      </c>
      <c r="D4003">
        <f t="shared" si="249"/>
        <v>3.5343999999999998</v>
      </c>
      <c r="E4003">
        <f t="shared" si="250"/>
        <v>4671.7224999999989</v>
      </c>
      <c r="F4003">
        <f t="shared" si="251"/>
        <v>3.5343999999999998</v>
      </c>
    </row>
    <row r="4004" spans="1:6" x14ac:dyDescent="0.3">
      <c r="A4004">
        <v>28</v>
      </c>
      <c r="B4004">
        <v>99.07</v>
      </c>
      <c r="C4004">
        <f t="shared" si="248"/>
        <v>2773.96</v>
      </c>
      <c r="D4004">
        <f t="shared" si="249"/>
        <v>784</v>
      </c>
      <c r="E4004">
        <f t="shared" si="250"/>
        <v>9814.8648999999987</v>
      </c>
      <c r="F4004">
        <f t="shared" si="251"/>
        <v>784</v>
      </c>
    </row>
    <row r="4005" spans="1:6" x14ac:dyDescent="0.3">
      <c r="A4005">
        <v>24</v>
      </c>
      <c r="B4005">
        <v>147.74</v>
      </c>
      <c r="C4005">
        <f t="shared" si="248"/>
        <v>3545.76</v>
      </c>
      <c r="D4005">
        <f t="shared" si="249"/>
        <v>576</v>
      </c>
      <c r="E4005">
        <f t="shared" si="250"/>
        <v>21827.107600000003</v>
      </c>
      <c r="F4005">
        <f t="shared" si="251"/>
        <v>576</v>
      </c>
    </row>
    <row r="4006" spans="1:6" x14ac:dyDescent="0.3">
      <c r="A4006">
        <v>30</v>
      </c>
      <c r="B4006">
        <v>61.29</v>
      </c>
      <c r="C4006">
        <f t="shared" si="248"/>
        <v>1838.7</v>
      </c>
      <c r="D4006">
        <f t="shared" si="249"/>
        <v>900</v>
      </c>
      <c r="E4006">
        <f t="shared" si="250"/>
        <v>3756.4640999999997</v>
      </c>
      <c r="F4006">
        <f t="shared" si="251"/>
        <v>900</v>
      </c>
    </row>
    <row r="4007" spans="1:6" x14ac:dyDescent="0.3">
      <c r="A4007">
        <v>38</v>
      </c>
      <c r="B4007">
        <v>98.92</v>
      </c>
      <c r="C4007">
        <f t="shared" si="248"/>
        <v>3758.96</v>
      </c>
      <c r="D4007">
        <f t="shared" si="249"/>
        <v>1444</v>
      </c>
      <c r="E4007">
        <f t="shared" si="250"/>
        <v>9785.1664000000001</v>
      </c>
      <c r="F4007">
        <f t="shared" si="251"/>
        <v>1444</v>
      </c>
    </row>
    <row r="4008" spans="1:6" x14ac:dyDescent="0.3">
      <c r="A4008">
        <v>1.64</v>
      </c>
      <c r="B4008">
        <v>90.74</v>
      </c>
      <c r="C4008">
        <f t="shared" si="248"/>
        <v>148.81359999999998</v>
      </c>
      <c r="D4008">
        <f t="shared" si="249"/>
        <v>2.6895999999999995</v>
      </c>
      <c r="E4008">
        <f t="shared" si="250"/>
        <v>8233.7475999999988</v>
      </c>
      <c r="F4008">
        <f t="shared" si="251"/>
        <v>2.6895999999999995</v>
      </c>
    </row>
    <row r="4009" spans="1:6" x14ac:dyDescent="0.3">
      <c r="A4009">
        <v>0.72</v>
      </c>
      <c r="B4009">
        <v>159.79</v>
      </c>
      <c r="C4009">
        <f t="shared" si="248"/>
        <v>115.04879999999999</v>
      </c>
      <c r="D4009">
        <f t="shared" si="249"/>
        <v>0.51839999999999997</v>
      </c>
      <c r="E4009">
        <f t="shared" si="250"/>
        <v>25532.844099999998</v>
      </c>
      <c r="F4009">
        <f t="shared" si="251"/>
        <v>0.51839999999999997</v>
      </c>
    </row>
    <row r="4010" spans="1:6" x14ac:dyDescent="0.3">
      <c r="A4010">
        <v>57</v>
      </c>
      <c r="B4010">
        <v>233.47</v>
      </c>
      <c r="C4010">
        <f t="shared" si="248"/>
        <v>13307.789999999999</v>
      </c>
      <c r="D4010">
        <f t="shared" si="249"/>
        <v>3249</v>
      </c>
      <c r="E4010">
        <f t="shared" si="250"/>
        <v>54508.240899999997</v>
      </c>
      <c r="F4010">
        <f t="shared" si="251"/>
        <v>3249</v>
      </c>
    </row>
    <row r="4011" spans="1:6" x14ac:dyDescent="0.3">
      <c r="A4011">
        <v>27</v>
      </c>
      <c r="B4011">
        <v>85.53</v>
      </c>
      <c r="C4011">
        <f t="shared" si="248"/>
        <v>2309.31</v>
      </c>
      <c r="D4011">
        <f t="shared" si="249"/>
        <v>729</v>
      </c>
      <c r="E4011">
        <f t="shared" si="250"/>
        <v>7315.3809000000001</v>
      </c>
      <c r="F4011">
        <f t="shared" si="251"/>
        <v>729</v>
      </c>
    </row>
    <row r="4012" spans="1:6" x14ac:dyDescent="0.3">
      <c r="A4012">
        <v>30</v>
      </c>
      <c r="B4012">
        <v>76.7</v>
      </c>
      <c r="C4012">
        <f t="shared" si="248"/>
        <v>2301</v>
      </c>
      <c r="D4012">
        <f t="shared" si="249"/>
        <v>900</v>
      </c>
      <c r="E4012">
        <f t="shared" si="250"/>
        <v>5882.89</v>
      </c>
      <c r="F4012">
        <f t="shared" si="251"/>
        <v>900</v>
      </c>
    </row>
    <row r="4013" spans="1:6" x14ac:dyDescent="0.3">
      <c r="A4013">
        <v>42</v>
      </c>
      <c r="B4013">
        <v>67.87</v>
      </c>
      <c r="C4013">
        <f t="shared" si="248"/>
        <v>2850.54</v>
      </c>
      <c r="D4013">
        <f t="shared" si="249"/>
        <v>1764</v>
      </c>
      <c r="E4013">
        <f t="shared" si="250"/>
        <v>4606.3369000000002</v>
      </c>
      <c r="F4013">
        <f t="shared" si="251"/>
        <v>1764</v>
      </c>
    </row>
    <row r="4014" spans="1:6" x14ac:dyDescent="0.3">
      <c r="A4014">
        <v>36</v>
      </c>
      <c r="B4014">
        <v>77.260000000000005</v>
      </c>
      <c r="C4014">
        <f t="shared" si="248"/>
        <v>2781.36</v>
      </c>
      <c r="D4014">
        <f t="shared" si="249"/>
        <v>1296</v>
      </c>
      <c r="E4014">
        <f t="shared" si="250"/>
        <v>5969.1076000000012</v>
      </c>
      <c r="F4014">
        <f t="shared" si="251"/>
        <v>1296</v>
      </c>
    </row>
    <row r="4015" spans="1:6" x14ac:dyDescent="0.3">
      <c r="A4015">
        <v>44</v>
      </c>
      <c r="B4015">
        <v>91.28</v>
      </c>
      <c r="C4015">
        <f t="shared" si="248"/>
        <v>4016.32</v>
      </c>
      <c r="D4015">
        <f t="shared" si="249"/>
        <v>1936</v>
      </c>
      <c r="E4015">
        <f t="shared" si="250"/>
        <v>8332.0383999999995</v>
      </c>
      <c r="F4015">
        <f t="shared" si="251"/>
        <v>1936</v>
      </c>
    </row>
    <row r="4016" spans="1:6" x14ac:dyDescent="0.3">
      <c r="A4016">
        <v>59</v>
      </c>
      <c r="B4016">
        <v>129.19</v>
      </c>
      <c r="C4016">
        <f t="shared" si="248"/>
        <v>7622.21</v>
      </c>
      <c r="D4016">
        <f t="shared" si="249"/>
        <v>3481</v>
      </c>
      <c r="E4016">
        <f t="shared" si="250"/>
        <v>16690.056099999998</v>
      </c>
      <c r="F4016">
        <f t="shared" si="251"/>
        <v>3481</v>
      </c>
    </row>
    <row r="4017" spans="1:6" x14ac:dyDescent="0.3">
      <c r="A4017">
        <v>61</v>
      </c>
      <c r="B4017">
        <v>97.86</v>
      </c>
      <c r="C4017">
        <f t="shared" si="248"/>
        <v>5969.46</v>
      </c>
      <c r="D4017">
        <f t="shared" si="249"/>
        <v>3721</v>
      </c>
      <c r="E4017">
        <f t="shared" si="250"/>
        <v>9576.5795999999991</v>
      </c>
      <c r="F4017">
        <f t="shared" si="251"/>
        <v>3721</v>
      </c>
    </row>
    <row r="4018" spans="1:6" x14ac:dyDescent="0.3">
      <c r="A4018">
        <v>18</v>
      </c>
      <c r="B4018">
        <v>112.33</v>
      </c>
      <c r="C4018">
        <f t="shared" si="248"/>
        <v>2021.94</v>
      </c>
      <c r="D4018">
        <f t="shared" si="249"/>
        <v>324</v>
      </c>
      <c r="E4018">
        <f t="shared" si="250"/>
        <v>12618.028899999999</v>
      </c>
      <c r="F4018">
        <f t="shared" si="251"/>
        <v>324</v>
      </c>
    </row>
    <row r="4019" spans="1:6" x14ac:dyDescent="0.3">
      <c r="A4019">
        <v>44</v>
      </c>
      <c r="B4019">
        <v>110.41</v>
      </c>
      <c r="C4019">
        <f t="shared" si="248"/>
        <v>4858.04</v>
      </c>
      <c r="D4019">
        <f t="shared" si="249"/>
        <v>1936</v>
      </c>
      <c r="E4019">
        <f t="shared" si="250"/>
        <v>12190.3681</v>
      </c>
      <c r="F4019">
        <f t="shared" si="251"/>
        <v>1936</v>
      </c>
    </row>
    <row r="4020" spans="1:6" x14ac:dyDescent="0.3">
      <c r="A4020">
        <v>16</v>
      </c>
      <c r="B4020">
        <v>91.58</v>
      </c>
      <c r="C4020">
        <f t="shared" si="248"/>
        <v>1465.28</v>
      </c>
      <c r="D4020">
        <f t="shared" si="249"/>
        <v>256</v>
      </c>
      <c r="E4020">
        <f t="shared" si="250"/>
        <v>8386.8963999999996</v>
      </c>
      <c r="F4020">
        <f t="shared" si="251"/>
        <v>256</v>
      </c>
    </row>
    <row r="4021" spans="1:6" x14ac:dyDescent="0.3">
      <c r="A4021">
        <v>13</v>
      </c>
      <c r="B4021">
        <v>58.86</v>
      </c>
      <c r="C4021">
        <f t="shared" si="248"/>
        <v>765.18</v>
      </c>
      <c r="D4021">
        <f t="shared" si="249"/>
        <v>169</v>
      </c>
      <c r="E4021">
        <f t="shared" si="250"/>
        <v>3464.4996000000001</v>
      </c>
      <c r="F4021">
        <f t="shared" si="251"/>
        <v>169</v>
      </c>
    </row>
    <row r="4022" spans="1:6" x14ac:dyDescent="0.3">
      <c r="A4022">
        <v>9</v>
      </c>
      <c r="B4022">
        <v>76.88</v>
      </c>
      <c r="C4022">
        <f t="shared" si="248"/>
        <v>691.92</v>
      </c>
      <c r="D4022">
        <f t="shared" si="249"/>
        <v>81</v>
      </c>
      <c r="E4022">
        <f t="shared" si="250"/>
        <v>5910.5343999999996</v>
      </c>
      <c r="F4022">
        <f t="shared" si="251"/>
        <v>81</v>
      </c>
    </row>
    <row r="4023" spans="1:6" x14ac:dyDescent="0.3">
      <c r="A4023">
        <v>0.16</v>
      </c>
      <c r="B4023">
        <v>109.52</v>
      </c>
      <c r="C4023">
        <f t="shared" si="248"/>
        <v>17.523199999999999</v>
      </c>
      <c r="D4023">
        <f t="shared" si="249"/>
        <v>2.5600000000000001E-2</v>
      </c>
      <c r="E4023">
        <f t="shared" si="250"/>
        <v>11994.6304</v>
      </c>
      <c r="F4023">
        <f t="shared" si="251"/>
        <v>2.5600000000000001E-2</v>
      </c>
    </row>
    <row r="4024" spans="1:6" x14ac:dyDescent="0.3">
      <c r="A4024">
        <v>81</v>
      </c>
      <c r="B4024">
        <v>181.23</v>
      </c>
      <c r="C4024">
        <f t="shared" si="248"/>
        <v>14679.63</v>
      </c>
      <c r="D4024">
        <f t="shared" si="249"/>
        <v>6561</v>
      </c>
      <c r="E4024">
        <f t="shared" si="250"/>
        <v>32844.312899999997</v>
      </c>
      <c r="F4024">
        <f t="shared" si="251"/>
        <v>6561</v>
      </c>
    </row>
    <row r="4025" spans="1:6" x14ac:dyDescent="0.3">
      <c r="A4025">
        <v>38</v>
      </c>
      <c r="B4025">
        <v>103.58</v>
      </c>
      <c r="C4025">
        <f t="shared" si="248"/>
        <v>3936.04</v>
      </c>
      <c r="D4025">
        <f t="shared" si="249"/>
        <v>1444</v>
      </c>
      <c r="E4025">
        <f t="shared" si="250"/>
        <v>10728.8164</v>
      </c>
      <c r="F4025">
        <f t="shared" si="251"/>
        <v>1444</v>
      </c>
    </row>
    <row r="4026" spans="1:6" x14ac:dyDescent="0.3">
      <c r="A4026">
        <v>58</v>
      </c>
      <c r="B4026">
        <v>81.96</v>
      </c>
      <c r="C4026">
        <f t="shared" si="248"/>
        <v>4753.6799999999994</v>
      </c>
      <c r="D4026">
        <f t="shared" si="249"/>
        <v>3364</v>
      </c>
      <c r="E4026">
        <f t="shared" si="250"/>
        <v>6717.4415999999992</v>
      </c>
      <c r="F4026">
        <f t="shared" si="251"/>
        <v>3364</v>
      </c>
    </row>
    <row r="4027" spans="1:6" x14ac:dyDescent="0.3">
      <c r="A4027">
        <v>5</v>
      </c>
      <c r="B4027">
        <v>104.55</v>
      </c>
      <c r="C4027">
        <f t="shared" si="248"/>
        <v>522.75</v>
      </c>
      <c r="D4027">
        <f t="shared" si="249"/>
        <v>25</v>
      </c>
      <c r="E4027">
        <f t="shared" si="250"/>
        <v>10930.702499999999</v>
      </c>
      <c r="F4027">
        <f t="shared" si="251"/>
        <v>25</v>
      </c>
    </row>
    <row r="4028" spans="1:6" x14ac:dyDescent="0.3">
      <c r="A4028">
        <v>64</v>
      </c>
      <c r="B4028">
        <v>76.12</v>
      </c>
      <c r="C4028">
        <f t="shared" si="248"/>
        <v>4871.68</v>
      </c>
      <c r="D4028">
        <f t="shared" si="249"/>
        <v>4096</v>
      </c>
      <c r="E4028">
        <f t="shared" si="250"/>
        <v>5794.2544000000007</v>
      </c>
      <c r="F4028">
        <f t="shared" si="251"/>
        <v>4096</v>
      </c>
    </row>
    <row r="4029" spans="1:6" x14ac:dyDescent="0.3">
      <c r="A4029">
        <v>38</v>
      </c>
      <c r="B4029">
        <v>64.27</v>
      </c>
      <c r="C4029">
        <f t="shared" si="248"/>
        <v>2442.2599999999998</v>
      </c>
      <c r="D4029">
        <f t="shared" si="249"/>
        <v>1444</v>
      </c>
      <c r="E4029">
        <f t="shared" si="250"/>
        <v>4130.6328999999996</v>
      </c>
      <c r="F4029">
        <f t="shared" si="251"/>
        <v>1444</v>
      </c>
    </row>
    <row r="4030" spans="1:6" x14ac:dyDescent="0.3">
      <c r="A4030">
        <v>56</v>
      </c>
      <c r="B4030">
        <v>200.98</v>
      </c>
      <c r="C4030">
        <f t="shared" si="248"/>
        <v>11254.88</v>
      </c>
      <c r="D4030">
        <f t="shared" si="249"/>
        <v>3136</v>
      </c>
      <c r="E4030">
        <f t="shared" si="250"/>
        <v>40392.960399999996</v>
      </c>
      <c r="F4030">
        <f t="shared" si="251"/>
        <v>3136</v>
      </c>
    </row>
    <row r="4031" spans="1:6" x14ac:dyDescent="0.3">
      <c r="A4031">
        <v>58</v>
      </c>
      <c r="B4031">
        <v>101.96</v>
      </c>
      <c r="C4031">
        <f t="shared" si="248"/>
        <v>5913.6799999999994</v>
      </c>
      <c r="D4031">
        <f t="shared" si="249"/>
        <v>3364</v>
      </c>
      <c r="E4031">
        <f t="shared" si="250"/>
        <v>10395.841599999998</v>
      </c>
      <c r="F4031">
        <f t="shared" si="251"/>
        <v>3364</v>
      </c>
    </row>
    <row r="4032" spans="1:6" x14ac:dyDescent="0.3">
      <c r="A4032">
        <v>9</v>
      </c>
      <c r="B4032">
        <v>84.17</v>
      </c>
      <c r="C4032">
        <f t="shared" si="248"/>
        <v>757.53</v>
      </c>
      <c r="D4032">
        <f t="shared" si="249"/>
        <v>81</v>
      </c>
      <c r="E4032">
        <f t="shared" si="250"/>
        <v>7084.5889000000006</v>
      </c>
      <c r="F4032">
        <f t="shared" si="251"/>
        <v>81</v>
      </c>
    </row>
    <row r="4033" spans="1:6" x14ac:dyDescent="0.3">
      <c r="A4033">
        <v>34</v>
      </c>
      <c r="B4033">
        <v>85.79</v>
      </c>
      <c r="C4033">
        <f t="shared" si="248"/>
        <v>2916.86</v>
      </c>
      <c r="D4033">
        <f t="shared" si="249"/>
        <v>1156</v>
      </c>
      <c r="E4033">
        <f t="shared" si="250"/>
        <v>7359.9241000000011</v>
      </c>
      <c r="F4033">
        <f t="shared" si="251"/>
        <v>1156</v>
      </c>
    </row>
    <row r="4034" spans="1:6" x14ac:dyDescent="0.3">
      <c r="A4034">
        <v>79</v>
      </c>
      <c r="B4034">
        <v>71.459999999999994</v>
      </c>
      <c r="C4034">
        <f t="shared" si="248"/>
        <v>5645.3399999999992</v>
      </c>
      <c r="D4034">
        <f t="shared" si="249"/>
        <v>6241</v>
      </c>
      <c r="E4034">
        <f t="shared" si="250"/>
        <v>5106.5315999999993</v>
      </c>
      <c r="F4034">
        <f t="shared" si="251"/>
        <v>6241</v>
      </c>
    </row>
    <row r="4035" spans="1:6" x14ac:dyDescent="0.3">
      <c r="A4035">
        <v>62</v>
      </c>
      <c r="B4035">
        <v>95.49</v>
      </c>
      <c r="C4035">
        <f t="shared" ref="C4035:C4098" si="252">A4035*B4035</f>
        <v>5920.38</v>
      </c>
      <c r="D4035">
        <f t="shared" ref="D4035:D4098" si="253">A4035*A4035</f>
        <v>3844</v>
      </c>
      <c r="E4035">
        <f t="shared" ref="E4035:E4098" si="254">B4035*B4035</f>
        <v>9118.3400999999994</v>
      </c>
      <c r="F4035">
        <f t="shared" ref="F4035:F4098" si="255">A4035^2</f>
        <v>3844</v>
      </c>
    </row>
    <row r="4036" spans="1:6" x14ac:dyDescent="0.3">
      <c r="A4036">
        <v>60</v>
      </c>
      <c r="B4036">
        <v>87.62</v>
      </c>
      <c r="C4036">
        <f t="shared" si="252"/>
        <v>5257.2000000000007</v>
      </c>
      <c r="D4036">
        <f t="shared" si="253"/>
        <v>3600</v>
      </c>
      <c r="E4036">
        <f t="shared" si="254"/>
        <v>7677.2644000000009</v>
      </c>
      <c r="F4036">
        <f t="shared" si="255"/>
        <v>3600</v>
      </c>
    </row>
    <row r="4037" spans="1:6" x14ac:dyDescent="0.3">
      <c r="A4037">
        <v>42</v>
      </c>
      <c r="B4037">
        <v>118.55</v>
      </c>
      <c r="C4037">
        <f t="shared" si="252"/>
        <v>4979.0999999999995</v>
      </c>
      <c r="D4037">
        <f t="shared" si="253"/>
        <v>1764</v>
      </c>
      <c r="E4037">
        <f t="shared" si="254"/>
        <v>14054.102499999999</v>
      </c>
      <c r="F4037">
        <f t="shared" si="255"/>
        <v>1764</v>
      </c>
    </row>
    <row r="4038" spans="1:6" x14ac:dyDescent="0.3">
      <c r="A4038">
        <v>59</v>
      </c>
      <c r="B4038">
        <v>82.14</v>
      </c>
      <c r="C4038">
        <f t="shared" si="252"/>
        <v>4846.26</v>
      </c>
      <c r="D4038">
        <f t="shared" si="253"/>
        <v>3481</v>
      </c>
      <c r="E4038">
        <f t="shared" si="254"/>
        <v>6746.9795999999997</v>
      </c>
      <c r="F4038">
        <f t="shared" si="255"/>
        <v>3481</v>
      </c>
    </row>
    <row r="4039" spans="1:6" x14ac:dyDescent="0.3">
      <c r="A4039">
        <v>54</v>
      </c>
      <c r="B4039">
        <v>219.67</v>
      </c>
      <c r="C4039">
        <f t="shared" si="252"/>
        <v>11862.179999999998</v>
      </c>
      <c r="D4039">
        <f t="shared" si="253"/>
        <v>2916</v>
      </c>
      <c r="E4039">
        <f t="shared" si="254"/>
        <v>48254.908899999995</v>
      </c>
      <c r="F4039">
        <f t="shared" si="255"/>
        <v>2916</v>
      </c>
    </row>
    <row r="4040" spans="1:6" x14ac:dyDescent="0.3">
      <c r="A4040">
        <v>59</v>
      </c>
      <c r="B4040">
        <v>135.84</v>
      </c>
      <c r="C4040">
        <f t="shared" si="252"/>
        <v>8014.56</v>
      </c>
      <c r="D4040">
        <f t="shared" si="253"/>
        <v>3481</v>
      </c>
      <c r="E4040">
        <f t="shared" si="254"/>
        <v>18452.5056</v>
      </c>
      <c r="F4040">
        <f t="shared" si="255"/>
        <v>3481</v>
      </c>
    </row>
    <row r="4041" spans="1:6" x14ac:dyDescent="0.3">
      <c r="A4041">
        <v>15</v>
      </c>
      <c r="B4041">
        <v>74.83</v>
      </c>
      <c r="C4041">
        <f t="shared" si="252"/>
        <v>1122.45</v>
      </c>
      <c r="D4041">
        <f t="shared" si="253"/>
        <v>225</v>
      </c>
      <c r="E4041">
        <f t="shared" si="254"/>
        <v>5599.5288999999993</v>
      </c>
      <c r="F4041">
        <f t="shared" si="255"/>
        <v>225</v>
      </c>
    </row>
    <row r="4042" spans="1:6" x14ac:dyDescent="0.3">
      <c r="A4042">
        <v>14</v>
      </c>
      <c r="B4042">
        <v>60.37</v>
      </c>
      <c r="C4042">
        <f t="shared" si="252"/>
        <v>845.18</v>
      </c>
      <c r="D4042">
        <f t="shared" si="253"/>
        <v>196</v>
      </c>
      <c r="E4042">
        <f t="shared" si="254"/>
        <v>3644.5368999999996</v>
      </c>
      <c r="F4042">
        <f t="shared" si="255"/>
        <v>196</v>
      </c>
    </row>
    <row r="4043" spans="1:6" x14ac:dyDescent="0.3">
      <c r="A4043">
        <v>5</v>
      </c>
      <c r="B4043">
        <v>67.28</v>
      </c>
      <c r="C4043">
        <f t="shared" si="252"/>
        <v>336.4</v>
      </c>
      <c r="D4043">
        <f t="shared" si="253"/>
        <v>25</v>
      </c>
      <c r="E4043">
        <f t="shared" si="254"/>
        <v>4526.5983999999999</v>
      </c>
      <c r="F4043">
        <f t="shared" si="255"/>
        <v>25</v>
      </c>
    </row>
    <row r="4044" spans="1:6" x14ac:dyDescent="0.3">
      <c r="A4044">
        <v>17</v>
      </c>
      <c r="B4044">
        <v>77.790000000000006</v>
      </c>
      <c r="C4044">
        <f t="shared" si="252"/>
        <v>1322.43</v>
      </c>
      <c r="D4044">
        <f t="shared" si="253"/>
        <v>289</v>
      </c>
      <c r="E4044">
        <f t="shared" si="254"/>
        <v>6051.2841000000008</v>
      </c>
      <c r="F4044">
        <f t="shared" si="255"/>
        <v>289</v>
      </c>
    </row>
    <row r="4045" spans="1:6" x14ac:dyDescent="0.3">
      <c r="A4045">
        <v>13</v>
      </c>
      <c r="B4045">
        <v>88.51</v>
      </c>
      <c r="C4045">
        <f t="shared" si="252"/>
        <v>1150.6300000000001</v>
      </c>
      <c r="D4045">
        <f t="shared" si="253"/>
        <v>169</v>
      </c>
      <c r="E4045">
        <f t="shared" si="254"/>
        <v>7834.0201000000006</v>
      </c>
      <c r="F4045">
        <f t="shared" si="255"/>
        <v>169</v>
      </c>
    </row>
    <row r="4046" spans="1:6" x14ac:dyDescent="0.3">
      <c r="A4046">
        <v>48</v>
      </c>
      <c r="B4046">
        <v>90.38</v>
      </c>
      <c r="C4046">
        <f t="shared" si="252"/>
        <v>4338.24</v>
      </c>
      <c r="D4046">
        <f t="shared" si="253"/>
        <v>2304</v>
      </c>
      <c r="E4046">
        <f t="shared" si="254"/>
        <v>8168.5443999999989</v>
      </c>
      <c r="F4046">
        <f t="shared" si="255"/>
        <v>2304</v>
      </c>
    </row>
    <row r="4047" spans="1:6" x14ac:dyDescent="0.3">
      <c r="A4047">
        <v>37</v>
      </c>
      <c r="B4047">
        <v>156.69</v>
      </c>
      <c r="C4047">
        <f t="shared" si="252"/>
        <v>5797.53</v>
      </c>
      <c r="D4047">
        <f t="shared" si="253"/>
        <v>1369</v>
      </c>
      <c r="E4047">
        <f t="shared" si="254"/>
        <v>24551.756099999999</v>
      </c>
      <c r="F4047">
        <f t="shared" si="255"/>
        <v>1369</v>
      </c>
    </row>
    <row r="4048" spans="1:6" x14ac:dyDescent="0.3">
      <c r="A4048">
        <v>69</v>
      </c>
      <c r="B4048">
        <v>207.6</v>
      </c>
      <c r="C4048">
        <f t="shared" si="252"/>
        <v>14324.4</v>
      </c>
      <c r="D4048">
        <f t="shared" si="253"/>
        <v>4761</v>
      </c>
      <c r="E4048">
        <f t="shared" si="254"/>
        <v>43097.759999999995</v>
      </c>
      <c r="F4048">
        <f t="shared" si="255"/>
        <v>4761</v>
      </c>
    </row>
    <row r="4049" spans="1:6" x14ac:dyDescent="0.3">
      <c r="A4049">
        <v>74</v>
      </c>
      <c r="B4049">
        <v>158.9</v>
      </c>
      <c r="C4049">
        <f t="shared" si="252"/>
        <v>11758.6</v>
      </c>
      <c r="D4049">
        <f t="shared" si="253"/>
        <v>5476</v>
      </c>
      <c r="E4049">
        <f t="shared" si="254"/>
        <v>25249.210000000003</v>
      </c>
      <c r="F4049">
        <f t="shared" si="255"/>
        <v>5476</v>
      </c>
    </row>
    <row r="4050" spans="1:6" x14ac:dyDescent="0.3">
      <c r="A4050">
        <v>54</v>
      </c>
      <c r="B4050">
        <v>247.97</v>
      </c>
      <c r="C4050">
        <f t="shared" si="252"/>
        <v>13390.38</v>
      </c>
      <c r="D4050">
        <f t="shared" si="253"/>
        <v>2916</v>
      </c>
      <c r="E4050">
        <f t="shared" si="254"/>
        <v>61489.120900000002</v>
      </c>
      <c r="F4050">
        <f t="shared" si="255"/>
        <v>2916</v>
      </c>
    </row>
    <row r="4051" spans="1:6" x14ac:dyDescent="0.3">
      <c r="A4051">
        <v>64</v>
      </c>
      <c r="B4051">
        <v>114.71</v>
      </c>
      <c r="C4051">
        <f t="shared" si="252"/>
        <v>7341.44</v>
      </c>
      <c r="D4051">
        <f t="shared" si="253"/>
        <v>4096</v>
      </c>
      <c r="E4051">
        <f t="shared" si="254"/>
        <v>13158.384099999999</v>
      </c>
      <c r="F4051">
        <f t="shared" si="255"/>
        <v>4096</v>
      </c>
    </row>
    <row r="4052" spans="1:6" x14ac:dyDescent="0.3">
      <c r="A4052">
        <v>26</v>
      </c>
      <c r="B4052">
        <v>58.55</v>
      </c>
      <c r="C4052">
        <f t="shared" si="252"/>
        <v>1522.3</v>
      </c>
      <c r="D4052">
        <f t="shared" si="253"/>
        <v>676</v>
      </c>
      <c r="E4052">
        <f t="shared" si="254"/>
        <v>3428.1024999999995</v>
      </c>
      <c r="F4052">
        <f t="shared" si="255"/>
        <v>676</v>
      </c>
    </row>
    <row r="4053" spans="1:6" x14ac:dyDescent="0.3">
      <c r="A4053">
        <v>55</v>
      </c>
      <c r="B4053">
        <v>231.15</v>
      </c>
      <c r="C4053">
        <f t="shared" si="252"/>
        <v>12713.25</v>
      </c>
      <c r="D4053">
        <f t="shared" si="253"/>
        <v>3025</v>
      </c>
      <c r="E4053">
        <f t="shared" si="254"/>
        <v>53430.322500000002</v>
      </c>
      <c r="F4053">
        <f t="shared" si="255"/>
        <v>3025</v>
      </c>
    </row>
    <row r="4054" spans="1:6" x14ac:dyDescent="0.3">
      <c r="A4054">
        <v>74</v>
      </c>
      <c r="B4054">
        <v>68.180000000000007</v>
      </c>
      <c r="C4054">
        <f t="shared" si="252"/>
        <v>5045.3200000000006</v>
      </c>
      <c r="D4054">
        <f t="shared" si="253"/>
        <v>5476</v>
      </c>
      <c r="E4054">
        <f t="shared" si="254"/>
        <v>4648.5124000000005</v>
      </c>
      <c r="F4054">
        <f t="shared" si="255"/>
        <v>5476</v>
      </c>
    </row>
    <row r="4055" spans="1:6" x14ac:dyDescent="0.3">
      <c r="A4055">
        <v>0.48</v>
      </c>
      <c r="B4055">
        <v>118.75</v>
      </c>
      <c r="C4055">
        <f t="shared" si="252"/>
        <v>57</v>
      </c>
      <c r="D4055">
        <f t="shared" si="253"/>
        <v>0.23039999999999999</v>
      </c>
      <c r="E4055">
        <f t="shared" si="254"/>
        <v>14101.5625</v>
      </c>
      <c r="F4055">
        <f t="shared" si="255"/>
        <v>0.23039999999999999</v>
      </c>
    </row>
    <row r="4056" spans="1:6" x14ac:dyDescent="0.3">
      <c r="A4056">
        <v>41</v>
      </c>
      <c r="B4056">
        <v>186.54</v>
      </c>
      <c r="C4056">
        <f t="shared" si="252"/>
        <v>7648.1399999999994</v>
      </c>
      <c r="D4056">
        <f t="shared" si="253"/>
        <v>1681</v>
      </c>
      <c r="E4056">
        <f t="shared" si="254"/>
        <v>34797.171599999994</v>
      </c>
      <c r="F4056">
        <f t="shared" si="255"/>
        <v>1681</v>
      </c>
    </row>
    <row r="4057" spans="1:6" x14ac:dyDescent="0.3">
      <c r="A4057">
        <v>68</v>
      </c>
      <c r="B4057">
        <v>96.14</v>
      </c>
      <c r="C4057">
        <f t="shared" si="252"/>
        <v>6537.52</v>
      </c>
      <c r="D4057">
        <f t="shared" si="253"/>
        <v>4624</v>
      </c>
      <c r="E4057">
        <f t="shared" si="254"/>
        <v>9242.8996000000006</v>
      </c>
      <c r="F4057">
        <f t="shared" si="255"/>
        <v>4624</v>
      </c>
    </row>
    <row r="4058" spans="1:6" x14ac:dyDescent="0.3">
      <c r="A4058">
        <v>9</v>
      </c>
      <c r="B4058">
        <v>69.52</v>
      </c>
      <c r="C4058">
        <f t="shared" si="252"/>
        <v>625.67999999999995</v>
      </c>
      <c r="D4058">
        <f t="shared" si="253"/>
        <v>81</v>
      </c>
      <c r="E4058">
        <f t="shared" si="254"/>
        <v>4833.0303999999996</v>
      </c>
      <c r="F4058">
        <f t="shared" si="255"/>
        <v>81</v>
      </c>
    </row>
    <row r="4059" spans="1:6" x14ac:dyDescent="0.3">
      <c r="A4059">
        <v>36</v>
      </c>
      <c r="B4059">
        <v>101.93</v>
      </c>
      <c r="C4059">
        <f t="shared" si="252"/>
        <v>3669.4800000000005</v>
      </c>
      <c r="D4059">
        <f t="shared" si="253"/>
        <v>1296</v>
      </c>
      <c r="E4059">
        <f t="shared" si="254"/>
        <v>10389.724900000001</v>
      </c>
      <c r="F4059">
        <f t="shared" si="255"/>
        <v>1296</v>
      </c>
    </row>
    <row r="4060" spans="1:6" x14ac:dyDescent="0.3">
      <c r="A4060">
        <v>17</v>
      </c>
      <c r="B4060">
        <v>71.58</v>
      </c>
      <c r="C4060">
        <f t="shared" si="252"/>
        <v>1216.8599999999999</v>
      </c>
      <c r="D4060">
        <f t="shared" si="253"/>
        <v>289</v>
      </c>
      <c r="E4060">
        <f t="shared" si="254"/>
        <v>5123.6963999999998</v>
      </c>
      <c r="F4060">
        <f t="shared" si="255"/>
        <v>289</v>
      </c>
    </row>
    <row r="4061" spans="1:6" x14ac:dyDescent="0.3">
      <c r="A4061">
        <v>24</v>
      </c>
      <c r="B4061">
        <v>83.1</v>
      </c>
      <c r="C4061">
        <f t="shared" si="252"/>
        <v>1994.3999999999999</v>
      </c>
      <c r="D4061">
        <f t="shared" si="253"/>
        <v>576</v>
      </c>
      <c r="E4061">
        <f t="shared" si="254"/>
        <v>6905.6099999999988</v>
      </c>
      <c r="F4061">
        <f t="shared" si="255"/>
        <v>576</v>
      </c>
    </row>
    <row r="4062" spans="1:6" x14ac:dyDescent="0.3">
      <c r="A4062">
        <v>69</v>
      </c>
      <c r="B4062">
        <v>110.96</v>
      </c>
      <c r="C4062">
        <f t="shared" si="252"/>
        <v>7656.24</v>
      </c>
      <c r="D4062">
        <f t="shared" si="253"/>
        <v>4761</v>
      </c>
      <c r="E4062">
        <f t="shared" si="254"/>
        <v>12312.121599999999</v>
      </c>
      <c r="F4062">
        <f t="shared" si="255"/>
        <v>4761</v>
      </c>
    </row>
    <row r="4063" spans="1:6" x14ac:dyDescent="0.3">
      <c r="A4063">
        <v>38</v>
      </c>
      <c r="B4063">
        <v>122.83</v>
      </c>
      <c r="C4063">
        <f t="shared" si="252"/>
        <v>4667.54</v>
      </c>
      <c r="D4063">
        <f t="shared" si="253"/>
        <v>1444</v>
      </c>
      <c r="E4063">
        <f t="shared" si="254"/>
        <v>15087.2089</v>
      </c>
      <c r="F4063">
        <f t="shared" si="255"/>
        <v>1444</v>
      </c>
    </row>
    <row r="4064" spans="1:6" x14ac:dyDescent="0.3">
      <c r="A4064">
        <v>69</v>
      </c>
      <c r="B4064">
        <v>91.65</v>
      </c>
      <c r="C4064">
        <f t="shared" si="252"/>
        <v>6323.85</v>
      </c>
      <c r="D4064">
        <f t="shared" si="253"/>
        <v>4761</v>
      </c>
      <c r="E4064">
        <f t="shared" si="254"/>
        <v>8399.7225000000017</v>
      </c>
      <c r="F4064">
        <f t="shared" si="255"/>
        <v>4761</v>
      </c>
    </row>
    <row r="4065" spans="1:6" x14ac:dyDescent="0.3">
      <c r="A4065">
        <v>32</v>
      </c>
      <c r="B4065">
        <v>84.1</v>
      </c>
      <c r="C4065">
        <f t="shared" si="252"/>
        <v>2691.2</v>
      </c>
      <c r="D4065">
        <f t="shared" si="253"/>
        <v>1024</v>
      </c>
      <c r="E4065">
        <f t="shared" si="254"/>
        <v>7072.8099999999995</v>
      </c>
      <c r="F4065">
        <f t="shared" si="255"/>
        <v>1024</v>
      </c>
    </row>
    <row r="4066" spans="1:6" x14ac:dyDescent="0.3">
      <c r="A4066">
        <v>25</v>
      </c>
      <c r="B4066">
        <v>118.85</v>
      </c>
      <c r="C4066">
        <f t="shared" si="252"/>
        <v>2971.25</v>
      </c>
      <c r="D4066">
        <f t="shared" si="253"/>
        <v>625</v>
      </c>
      <c r="E4066">
        <f t="shared" si="254"/>
        <v>14125.322499999998</v>
      </c>
      <c r="F4066">
        <f t="shared" si="255"/>
        <v>625</v>
      </c>
    </row>
    <row r="4067" spans="1:6" x14ac:dyDescent="0.3">
      <c r="A4067">
        <v>2</v>
      </c>
      <c r="B4067">
        <v>89.32</v>
      </c>
      <c r="C4067">
        <f t="shared" si="252"/>
        <v>178.64</v>
      </c>
      <c r="D4067">
        <f t="shared" si="253"/>
        <v>4</v>
      </c>
      <c r="E4067">
        <f t="shared" si="254"/>
        <v>7978.0623999999989</v>
      </c>
      <c r="F4067">
        <f t="shared" si="255"/>
        <v>4</v>
      </c>
    </row>
    <row r="4068" spans="1:6" x14ac:dyDescent="0.3">
      <c r="A4068">
        <v>79</v>
      </c>
      <c r="B4068">
        <v>128.72</v>
      </c>
      <c r="C4068">
        <f t="shared" si="252"/>
        <v>10168.879999999999</v>
      </c>
      <c r="D4068">
        <f t="shared" si="253"/>
        <v>6241</v>
      </c>
      <c r="E4068">
        <f t="shared" si="254"/>
        <v>16568.838400000001</v>
      </c>
      <c r="F4068">
        <f t="shared" si="255"/>
        <v>6241</v>
      </c>
    </row>
    <row r="4069" spans="1:6" x14ac:dyDescent="0.3">
      <c r="A4069">
        <v>28</v>
      </c>
      <c r="B4069">
        <v>98.05</v>
      </c>
      <c r="C4069">
        <f t="shared" si="252"/>
        <v>2745.4</v>
      </c>
      <c r="D4069">
        <f t="shared" si="253"/>
        <v>784</v>
      </c>
      <c r="E4069">
        <f t="shared" si="254"/>
        <v>9613.8024999999998</v>
      </c>
      <c r="F4069">
        <f t="shared" si="255"/>
        <v>784</v>
      </c>
    </row>
    <row r="4070" spans="1:6" x14ac:dyDescent="0.3">
      <c r="A4070">
        <v>16</v>
      </c>
      <c r="B4070">
        <v>102.1</v>
      </c>
      <c r="C4070">
        <f t="shared" si="252"/>
        <v>1633.6</v>
      </c>
      <c r="D4070">
        <f t="shared" si="253"/>
        <v>256</v>
      </c>
      <c r="E4070">
        <f t="shared" si="254"/>
        <v>10424.409999999998</v>
      </c>
      <c r="F4070">
        <f t="shared" si="255"/>
        <v>256</v>
      </c>
    </row>
    <row r="4071" spans="1:6" x14ac:dyDescent="0.3">
      <c r="A4071">
        <v>31</v>
      </c>
      <c r="B4071">
        <v>108.62</v>
      </c>
      <c r="C4071">
        <f t="shared" si="252"/>
        <v>3367.2200000000003</v>
      </c>
      <c r="D4071">
        <f t="shared" si="253"/>
        <v>961</v>
      </c>
      <c r="E4071">
        <f t="shared" si="254"/>
        <v>11798.304400000001</v>
      </c>
      <c r="F4071">
        <f t="shared" si="255"/>
        <v>961</v>
      </c>
    </row>
    <row r="4072" spans="1:6" x14ac:dyDescent="0.3">
      <c r="A4072">
        <v>66</v>
      </c>
      <c r="B4072">
        <v>96.19</v>
      </c>
      <c r="C4072">
        <f t="shared" si="252"/>
        <v>6348.54</v>
      </c>
      <c r="D4072">
        <f t="shared" si="253"/>
        <v>4356</v>
      </c>
      <c r="E4072">
        <f t="shared" si="254"/>
        <v>9252.5160999999989</v>
      </c>
      <c r="F4072">
        <f t="shared" si="255"/>
        <v>4356</v>
      </c>
    </row>
    <row r="4073" spans="1:6" x14ac:dyDescent="0.3">
      <c r="A4073">
        <v>57</v>
      </c>
      <c r="B4073">
        <v>98.07</v>
      </c>
      <c r="C4073">
        <f t="shared" si="252"/>
        <v>5589.99</v>
      </c>
      <c r="D4073">
        <f t="shared" si="253"/>
        <v>3249</v>
      </c>
      <c r="E4073">
        <f t="shared" si="254"/>
        <v>9617.7248999999993</v>
      </c>
      <c r="F4073">
        <f t="shared" si="255"/>
        <v>3249</v>
      </c>
    </row>
    <row r="4074" spans="1:6" x14ac:dyDescent="0.3">
      <c r="A4074">
        <v>61</v>
      </c>
      <c r="B4074">
        <v>71.400000000000006</v>
      </c>
      <c r="C4074">
        <f t="shared" si="252"/>
        <v>4355.4000000000005</v>
      </c>
      <c r="D4074">
        <f t="shared" si="253"/>
        <v>3721</v>
      </c>
      <c r="E4074">
        <f t="shared" si="254"/>
        <v>5097.9600000000009</v>
      </c>
      <c r="F4074">
        <f t="shared" si="255"/>
        <v>3721</v>
      </c>
    </row>
    <row r="4075" spans="1:6" x14ac:dyDescent="0.3">
      <c r="A4075">
        <v>74</v>
      </c>
      <c r="B4075">
        <v>82.27</v>
      </c>
      <c r="C4075">
        <f t="shared" si="252"/>
        <v>6087.98</v>
      </c>
      <c r="D4075">
        <f t="shared" si="253"/>
        <v>5476</v>
      </c>
      <c r="E4075">
        <f t="shared" si="254"/>
        <v>6768.352899999999</v>
      </c>
      <c r="F4075">
        <f t="shared" si="255"/>
        <v>5476</v>
      </c>
    </row>
    <row r="4076" spans="1:6" x14ac:dyDescent="0.3">
      <c r="A4076">
        <v>70</v>
      </c>
      <c r="B4076">
        <v>158.33000000000001</v>
      </c>
      <c r="C4076">
        <f t="shared" si="252"/>
        <v>11083.1</v>
      </c>
      <c r="D4076">
        <f t="shared" si="253"/>
        <v>4900</v>
      </c>
      <c r="E4076">
        <f t="shared" si="254"/>
        <v>25068.388900000005</v>
      </c>
      <c r="F4076">
        <f t="shared" si="255"/>
        <v>4900</v>
      </c>
    </row>
    <row r="4077" spans="1:6" x14ac:dyDescent="0.3">
      <c r="A4077">
        <v>8</v>
      </c>
      <c r="B4077">
        <v>102.5</v>
      </c>
      <c r="C4077">
        <f t="shared" si="252"/>
        <v>820</v>
      </c>
      <c r="D4077">
        <f t="shared" si="253"/>
        <v>64</v>
      </c>
      <c r="E4077">
        <f t="shared" si="254"/>
        <v>10506.25</v>
      </c>
      <c r="F4077">
        <f t="shared" si="255"/>
        <v>64</v>
      </c>
    </row>
    <row r="4078" spans="1:6" x14ac:dyDescent="0.3">
      <c r="A4078">
        <v>49</v>
      </c>
      <c r="B4078">
        <v>72.180000000000007</v>
      </c>
      <c r="C4078">
        <f t="shared" si="252"/>
        <v>3536.82</v>
      </c>
      <c r="D4078">
        <f t="shared" si="253"/>
        <v>2401</v>
      </c>
      <c r="E4078">
        <f t="shared" si="254"/>
        <v>5209.952400000001</v>
      </c>
      <c r="F4078">
        <f t="shared" si="255"/>
        <v>2401</v>
      </c>
    </row>
    <row r="4079" spans="1:6" x14ac:dyDescent="0.3">
      <c r="A4079">
        <v>30</v>
      </c>
      <c r="B4079">
        <v>95.94</v>
      </c>
      <c r="C4079">
        <f t="shared" si="252"/>
        <v>2878.2</v>
      </c>
      <c r="D4079">
        <f t="shared" si="253"/>
        <v>900</v>
      </c>
      <c r="E4079">
        <f t="shared" si="254"/>
        <v>9204.4835999999996</v>
      </c>
      <c r="F4079">
        <f t="shared" si="255"/>
        <v>900</v>
      </c>
    </row>
    <row r="4080" spans="1:6" x14ac:dyDescent="0.3">
      <c r="A4080">
        <v>51</v>
      </c>
      <c r="B4080">
        <v>87.15</v>
      </c>
      <c r="C4080">
        <f t="shared" si="252"/>
        <v>4444.6500000000005</v>
      </c>
      <c r="D4080">
        <f t="shared" si="253"/>
        <v>2601</v>
      </c>
      <c r="E4080">
        <f t="shared" si="254"/>
        <v>7595.1225000000013</v>
      </c>
      <c r="F4080">
        <f t="shared" si="255"/>
        <v>2601</v>
      </c>
    </row>
    <row r="4081" spans="1:6" x14ac:dyDescent="0.3">
      <c r="A4081">
        <v>10</v>
      </c>
      <c r="B4081">
        <v>82.59</v>
      </c>
      <c r="C4081">
        <f t="shared" si="252"/>
        <v>825.90000000000009</v>
      </c>
      <c r="D4081">
        <f t="shared" si="253"/>
        <v>100</v>
      </c>
      <c r="E4081">
        <f t="shared" si="254"/>
        <v>6821.1081000000004</v>
      </c>
      <c r="F4081">
        <f t="shared" si="255"/>
        <v>100</v>
      </c>
    </row>
    <row r="4082" spans="1:6" x14ac:dyDescent="0.3">
      <c r="A4082">
        <v>34</v>
      </c>
      <c r="B4082">
        <v>89.31</v>
      </c>
      <c r="C4082">
        <f t="shared" si="252"/>
        <v>3036.54</v>
      </c>
      <c r="D4082">
        <f t="shared" si="253"/>
        <v>1156</v>
      </c>
      <c r="E4082">
        <f t="shared" si="254"/>
        <v>7976.2761</v>
      </c>
      <c r="F4082">
        <f t="shared" si="255"/>
        <v>1156</v>
      </c>
    </row>
    <row r="4083" spans="1:6" x14ac:dyDescent="0.3">
      <c r="A4083">
        <v>40</v>
      </c>
      <c r="B4083">
        <v>64.84</v>
      </c>
      <c r="C4083">
        <f t="shared" si="252"/>
        <v>2593.6000000000004</v>
      </c>
      <c r="D4083">
        <f t="shared" si="253"/>
        <v>1600</v>
      </c>
      <c r="E4083">
        <f t="shared" si="254"/>
        <v>4204.2256000000007</v>
      </c>
      <c r="F4083">
        <f t="shared" si="255"/>
        <v>1600</v>
      </c>
    </row>
    <row r="4084" spans="1:6" x14ac:dyDescent="0.3">
      <c r="A4084">
        <v>3</v>
      </c>
      <c r="B4084">
        <v>107.52</v>
      </c>
      <c r="C4084">
        <f t="shared" si="252"/>
        <v>322.56</v>
      </c>
      <c r="D4084">
        <f t="shared" si="253"/>
        <v>9</v>
      </c>
      <c r="E4084">
        <f t="shared" si="254"/>
        <v>11560.550399999998</v>
      </c>
      <c r="F4084">
        <f t="shared" si="255"/>
        <v>9</v>
      </c>
    </row>
    <row r="4085" spans="1:6" x14ac:dyDescent="0.3">
      <c r="A4085">
        <v>45</v>
      </c>
      <c r="B4085">
        <v>92.76</v>
      </c>
      <c r="C4085">
        <f t="shared" si="252"/>
        <v>4174.2</v>
      </c>
      <c r="D4085">
        <f t="shared" si="253"/>
        <v>2025</v>
      </c>
      <c r="E4085">
        <f t="shared" si="254"/>
        <v>8604.4176000000007</v>
      </c>
      <c r="F4085">
        <f t="shared" si="255"/>
        <v>2025</v>
      </c>
    </row>
    <row r="4086" spans="1:6" x14ac:dyDescent="0.3">
      <c r="A4086">
        <v>4</v>
      </c>
      <c r="B4086">
        <v>79.16</v>
      </c>
      <c r="C4086">
        <f t="shared" si="252"/>
        <v>316.64</v>
      </c>
      <c r="D4086">
        <f t="shared" si="253"/>
        <v>16</v>
      </c>
      <c r="E4086">
        <f t="shared" si="254"/>
        <v>6266.3055999999997</v>
      </c>
      <c r="F4086">
        <f t="shared" si="255"/>
        <v>16</v>
      </c>
    </row>
    <row r="4087" spans="1:6" x14ac:dyDescent="0.3">
      <c r="A4087">
        <v>52</v>
      </c>
      <c r="B4087">
        <v>87</v>
      </c>
      <c r="C4087">
        <f t="shared" si="252"/>
        <v>4524</v>
      </c>
      <c r="D4087">
        <f t="shared" si="253"/>
        <v>2704</v>
      </c>
      <c r="E4087">
        <f t="shared" si="254"/>
        <v>7569</v>
      </c>
      <c r="F4087">
        <f t="shared" si="255"/>
        <v>2704</v>
      </c>
    </row>
    <row r="4088" spans="1:6" x14ac:dyDescent="0.3">
      <c r="A4088">
        <v>68</v>
      </c>
      <c r="B4088">
        <v>145.25</v>
      </c>
      <c r="C4088">
        <f t="shared" si="252"/>
        <v>9877</v>
      </c>
      <c r="D4088">
        <f t="shared" si="253"/>
        <v>4624</v>
      </c>
      <c r="E4088">
        <f t="shared" si="254"/>
        <v>21097.5625</v>
      </c>
      <c r="F4088">
        <f t="shared" si="255"/>
        <v>4624</v>
      </c>
    </row>
    <row r="4089" spans="1:6" x14ac:dyDescent="0.3">
      <c r="A4089">
        <v>8</v>
      </c>
      <c r="B4089">
        <v>125.14</v>
      </c>
      <c r="C4089">
        <f t="shared" si="252"/>
        <v>1001.12</v>
      </c>
      <c r="D4089">
        <f t="shared" si="253"/>
        <v>64</v>
      </c>
      <c r="E4089">
        <f t="shared" si="254"/>
        <v>15660.0196</v>
      </c>
      <c r="F4089">
        <f t="shared" si="255"/>
        <v>64</v>
      </c>
    </row>
    <row r="4090" spans="1:6" x14ac:dyDescent="0.3">
      <c r="A4090">
        <v>82</v>
      </c>
      <c r="B4090">
        <v>88.6</v>
      </c>
      <c r="C4090">
        <f t="shared" si="252"/>
        <v>7265.2</v>
      </c>
      <c r="D4090">
        <f t="shared" si="253"/>
        <v>6724</v>
      </c>
      <c r="E4090">
        <f t="shared" si="254"/>
        <v>7849.9599999999991</v>
      </c>
      <c r="F4090">
        <f t="shared" si="255"/>
        <v>6724</v>
      </c>
    </row>
    <row r="4091" spans="1:6" x14ac:dyDescent="0.3">
      <c r="A4091">
        <v>36</v>
      </c>
      <c r="B4091">
        <v>57.59</v>
      </c>
      <c r="C4091">
        <f t="shared" si="252"/>
        <v>2073.2400000000002</v>
      </c>
      <c r="D4091">
        <f t="shared" si="253"/>
        <v>1296</v>
      </c>
      <c r="E4091">
        <f t="shared" si="254"/>
        <v>3316.6081000000004</v>
      </c>
      <c r="F4091">
        <f t="shared" si="255"/>
        <v>1296</v>
      </c>
    </row>
    <row r="4092" spans="1:6" x14ac:dyDescent="0.3">
      <c r="A4092">
        <v>42</v>
      </c>
      <c r="B4092">
        <v>59.43</v>
      </c>
      <c r="C4092">
        <f t="shared" si="252"/>
        <v>2496.06</v>
      </c>
      <c r="D4092">
        <f t="shared" si="253"/>
        <v>1764</v>
      </c>
      <c r="E4092">
        <f t="shared" si="254"/>
        <v>3531.9249</v>
      </c>
      <c r="F4092">
        <f t="shared" si="255"/>
        <v>1764</v>
      </c>
    </row>
    <row r="4093" spans="1:6" x14ac:dyDescent="0.3">
      <c r="A4093">
        <v>27</v>
      </c>
      <c r="B4093">
        <v>65.430000000000007</v>
      </c>
      <c r="C4093">
        <f t="shared" si="252"/>
        <v>1766.6100000000001</v>
      </c>
      <c r="D4093">
        <f t="shared" si="253"/>
        <v>729</v>
      </c>
      <c r="E4093">
        <f t="shared" si="254"/>
        <v>4281.0849000000007</v>
      </c>
      <c r="F4093">
        <f t="shared" si="255"/>
        <v>729</v>
      </c>
    </row>
    <row r="4094" spans="1:6" x14ac:dyDescent="0.3">
      <c r="A4094">
        <v>55</v>
      </c>
      <c r="B4094">
        <v>154.03</v>
      </c>
      <c r="C4094">
        <f t="shared" si="252"/>
        <v>8471.65</v>
      </c>
      <c r="D4094">
        <f t="shared" si="253"/>
        <v>3025</v>
      </c>
      <c r="E4094">
        <f t="shared" si="254"/>
        <v>23725.240900000001</v>
      </c>
      <c r="F4094">
        <f t="shared" si="255"/>
        <v>3025</v>
      </c>
    </row>
    <row r="4095" spans="1:6" x14ac:dyDescent="0.3">
      <c r="A4095">
        <v>31</v>
      </c>
      <c r="B4095">
        <v>139.81</v>
      </c>
      <c r="C4095">
        <f t="shared" si="252"/>
        <v>4334.1099999999997</v>
      </c>
      <c r="D4095">
        <f t="shared" si="253"/>
        <v>961</v>
      </c>
      <c r="E4095">
        <f t="shared" si="254"/>
        <v>19546.8361</v>
      </c>
      <c r="F4095">
        <f t="shared" si="255"/>
        <v>961</v>
      </c>
    </row>
    <row r="4096" spans="1:6" x14ac:dyDescent="0.3">
      <c r="A4096">
        <v>82</v>
      </c>
      <c r="B4096">
        <v>111.81</v>
      </c>
      <c r="C4096">
        <f t="shared" si="252"/>
        <v>9168.42</v>
      </c>
      <c r="D4096">
        <f t="shared" si="253"/>
        <v>6724</v>
      </c>
      <c r="E4096">
        <f t="shared" si="254"/>
        <v>12501.4761</v>
      </c>
      <c r="F4096">
        <f t="shared" si="255"/>
        <v>6724</v>
      </c>
    </row>
    <row r="4097" spans="1:6" x14ac:dyDescent="0.3">
      <c r="A4097">
        <v>57</v>
      </c>
      <c r="B4097">
        <v>106.84</v>
      </c>
      <c r="C4097">
        <f t="shared" si="252"/>
        <v>6089.88</v>
      </c>
      <c r="D4097">
        <f t="shared" si="253"/>
        <v>3249</v>
      </c>
      <c r="E4097">
        <f t="shared" si="254"/>
        <v>11414.785600000001</v>
      </c>
      <c r="F4097">
        <f t="shared" si="255"/>
        <v>3249</v>
      </c>
    </row>
    <row r="4098" spans="1:6" x14ac:dyDescent="0.3">
      <c r="A4098">
        <v>78</v>
      </c>
      <c r="B4098">
        <v>221.06</v>
      </c>
      <c r="C4098">
        <f t="shared" si="252"/>
        <v>17242.68</v>
      </c>
      <c r="D4098">
        <f t="shared" si="253"/>
        <v>6084</v>
      </c>
      <c r="E4098">
        <f t="shared" si="254"/>
        <v>48867.5236</v>
      </c>
      <c r="F4098">
        <f t="shared" si="255"/>
        <v>6084</v>
      </c>
    </row>
    <row r="4099" spans="1:6" x14ac:dyDescent="0.3">
      <c r="A4099">
        <v>55</v>
      </c>
      <c r="B4099">
        <v>69.97</v>
      </c>
      <c r="C4099">
        <f t="shared" ref="C4099:C4162" si="256">A4099*B4099</f>
        <v>3848.35</v>
      </c>
      <c r="D4099">
        <f t="shared" ref="D4099:D4162" si="257">A4099*A4099</f>
        <v>3025</v>
      </c>
      <c r="E4099">
        <f t="shared" ref="E4099:E4162" si="258">B4099*B4099</f>
        <v>4895.8009000000002</v>
      </c>
      <c r="F4099">
        <f t="shared" ref="F4099:F4162" si="259">A4099^2</f>
        <v>3025</v>
      </c>
    </row>
    <row r="4100" spans="1:6" x14ac:dyDescent="0.3">
      <c r="A4100">
        <v>51</v>
      </c>
      <c r="B4100">
        <v>77.069999999999993</v>
      </c>
      <c r="C4100">
        <f t="shared" si="256"/>
        <v>3930.5699999999997</v>
      </c>
      <c r="D4100">
        <f t="shared" si="257"/>
        <v>2601</v>
      </c>
      <c r="E4100">
        <f t="shared" si="258"/>
        <v>5939.7848999999987</v>
      </c>
      <c r="F4100">
        <f t="shared" si="259"/>
        <v>2601</v>
      </c>
    </row>
    <row r="4101" spans="1:6" x14ac:dyDescent="0.3">
      <c r="A4101">
        <v>80</v>
      </c>
      <c r="B4101">
        <v>59.49</v>
      </c>
      <c r="C4101">
        <f t="shared" si="256"/>
        <v>4759.2</v>
      </c>
      <c r="D4101">
        <f t="shared" si="257"/>
        <v>6400</v>
      </c>
      <c r="E4101">
        <f t="shared" si="258"/>
        <v>3539.0601000000001</v>
      </c>
      <c r="F4101">
        <f t="shared" si="259"/>
        <v>6400</v>
      </c>
    </row>
    <row r="4102" spans="1:6" x14ac:dyDescent="0.3">
      <c r="A4102">
        <v>17</v>
      </c>
      <c r="B4102">
        <v>109.39</v>
      </c>
      <c r="C4102">
        <f t="shared" si="256"/>
        <v>1859.63</v>
      </c>
      <c r="D4102">
        <f t="shared" si="257"/>
        <v>289</v>
      </c>
      <c r="E4102">
        <f t="shared" si="258"/>
        <v>11966.1721</v>
      </c>
      <c r="F4102">
        <f t="shared" si="259"/>
        <v>289</v>
      </c>
    </row>
    <row r="4103" spans="1:6" x14ac:dyDescent="0.3">
      <c r="A4103">
        <v>61</v>
      </c>
      <c r="B4103">
        <v>93.97</v>
      </c>
      <c r="C4103">
        <f t="shared" si="256"/>
        <v>5732.17</v>
      </c>
      <c r="D4103">
        <f t="shared" si="257"/>
        <v>3721</v>
      </c>
      <c r="E4103">
        <f t="shared" si="258"/>
        <v>8830.3608999999997</v>
      </c>
      <c r="F4103">
        <f t="shared" si="259"/>
        <v>3721</v>
      </c>
    </row>
    <row r="4104" spans="1:6" x14ac:dyDescent="0.3">
      <c r="A4104">
        <v>62</v>
      </c>
      <c r="B4104">
        <v>163.16999999999999</v>
      </c>
      <c r="C4104">
        <f t="shared" si="256"/>
        <v>10116.539999999999</v>
      </c>
      <c r="D4104">
        <f t="shared" si="257"/>
        <v>3844</v>
      </c>
      <c r="E4104">
        <f t="shared" si="258"/>
        <v>26624.448899999996</v>
      </c>
      <c r="F4104">
        <f t="shared" si="259"/>
        <v>3844</v>
      </c>
    </row>
    <row r="4105" spans="1:6" x14ac:dyDescent="0.3">
      <c r="A4105">
        <v>14</v>
      </c>
      <c r="B4105">
        <v>124.39</v>
      </c>
      <c r="C4105">
        <f t="shared" si="256"/>
        <v>1741.46</v>
      </c>
      <c r="D4105">
        <f t="shared" si="257"/>
        <v>196</v>
      </c>
      <c r="E4105">
        <f t="shared" si="258"/>
        <v>15472.872100000001</v>
      </c>
      <c r="F4105">
        <f t="shared" si="259"/>
        <v>196</v>
      </c>
    </row>
    <row r="4106" spans="1:6" x14ac:dyDescent="0.3">
      <c r="A4106">
        <v>62</v>
      </c>
      <c r="B4106">
        <v>212.62</v>
      </c>
      <c r="C4106">
        <f t="shared" si="256"/>
        <v>13182.44</v>
      </c>
      <c r="D4106">
        <f t="shared" si="257"/>
        <v>3844</v>
      </c>
      <c r="E4106">
        <f t="shared" si="258"/>
        <v>45207.2644</v>
      </c>
      <c r="F4106">
        <f t="shared" si="259"/>
        <v>3844</v>
      </c>
    </row>
    <row r="4107" spans="1:6" x14ac:dyDescent="0.3">
      <c r="A4107">
        <v>56</v>
      </c>
      <c r="B4107">
        <v>128.63</v>
      </c>
      <c r="C4107">
        <f t="shared" si="256"/>
        <v>7203.28</v>
      </c>
      <c r="D4107">
        <f t="shared" si="257"/>
        <v>3136</v>
      </c>
      <c r="E4107">
        <f t="shared" si="258"/>
        <v>16545.676899999999</v>
      </c>
      <c r="F4107">
        <f t="shared" si="259"/>
        <v>3136</v>
      </c>
    </row>
    <row r="4108" spans="1:6" x14ac:dyDescent="0.3">
      <c r="A4108">
        <v>41</v>
      </c>
      <c r="B4108">
        <v>84.1</v>
      </c>
      <c r="C4108">
        <f t="shared" si="256"/>
        <v>3448.1</v>
      </c>
      <c r="D4108">
        <f t="shared" si="257"/>
        <v>1681</v>
      </c>
      <c r="E4108">
        <f t="shared" si="258"/>
        <v>7072.8099999999995</v>
      </c>
      <c r="F4108">
        <f t="shared" si="259"/>
        <v>1681</v>
      </c>
    </row>
    <row r="4109" spans="1:6" x14ac:dyDescent="0.3">
      <c r="A4109">
        <v>59</v>
      </c>
      <c r="B4109">
        <v>77.599999999999994</v>
      </c>
      <c r="C4109">
        <f t="shared" si="256"/>
        <v>4578.3999999999996</v>
      </c>
      <c r="D4109">
        <f t="shared" si="257"/>
        <v>3481</v>
      </c>
      <c r="E4109">
        <f t="shared" si="258"/>
        <v>6021.7599999999993</v>
      </c>
      <c r="F4109">
        <f t="shared" si="259"/>
        <v>3481</v>
      </c>
    </row>
    <row r="4110" spans="1:6" x14ac:dyDescent="0.3">
      <c r="A4110">
        <v>29</v>
      </c>
      <c r="B4110">
        <v>70.510000000000005</v>
      </c>
      <c r="C4110">
        <f t="shared" si="256"/>
        <v>2044.7900000000002</v>
      </c>
      <c r="D4110">
        <f t="shared" si="257"/>
        <v>841</v>
      </c>
      <c r="E4110">
        <f t="shared" si="258"/>
        <v>4971.660100000001</v>
      </c>
      <c r="F4110">
        <f t="shared" si="259"/>
        <v>841</v>
      </c>
    </row>
    <row r="4111" spans="1:6" x14ac:dyDescent="0.3">
      <c r="A4111">
        <v>39</v>
      </c>
      <c r="B4111">
        <v>109.19</v>
      </c>
      <c r="C4111">
        <f t="shared" si="256"/>
        <v>4258.41</v>
      </c>
      <c r="D4111">
        <f t="shared" si="257"/>
        <v>1521</v>
      </c>
      <c r="E4111">
        <f t="shared" si="258"/>
        <v>11922.456099999999</v>
      </c>
      <c r="F4111">
        <f t="shared" si="259"/>
        <v>1521</v>
      </c>
    </row>
    <row r="4112" spans="1:6" x14ac:dyDescent="0.3">
      <c r="A4112">
        <v>66</v>
      </c>
      <c r="B4112">
        <v>55.23</v>
      </c>
      <c r="C4112">
        <f t="shared" si="256"/>
        <v>3645.18</v>
      </c>
      <c r="D4112">
        <f t="shared" si="257"/>
        <v>4356</v>
      </c>
      <c r="E4112">
        <f t="shared" si="258"/>
        <v>3050.3528999999999</v>
      </c>
      <c r="F4112">
        <f t="shared" si="259"/>
        <v>4356</v>
      </c>
    </row>
    <row r="4113" spans="1:6" x14ac:dyDescent="0.3">
      <c r="A4113">
        <v>35</v>
      </c>
      <c r="B4113">
        <v>120.15</v>
      </c>
      <c r="C4113">
        <f t="shared" si="256"/>
        <v>4205.25</v>
      </c>
      <c r="D4113">
        <f t="shared" si="257"/>
        <v>1225</v>
      </c>
      <c r="E4113">
        <f t="shared" si="258"/>
        <v>14436.022500000001</v>
      </c>
      <c r="F4113">
        <f t="shared" si="259"/>
        <v>1225</v>
      </c>
    </row>
    <row r="4114" spans="1:6" x14ac:dyDescent="0.3">
      <c r="A4114">
        <v>36</v>
      </c>
      <c r="B4114">
        <v>72.16</v>
      </c>
      <c r="C4114">
        <f t="shared" si="256"/>
        <v>2597.7599999999998</v>
      </c>
      <c r="D4114">
        <f t="shared" si="257"/>
        <v>1296</v>
      </c>
      <c r="E4114">
        <f t="shared" si="258"/>
        <v>5207.0655999999999</v>
      </c>
      <c r="F4114">
        <f t="shared" si="259"/>
        <v>1296</v>
      </c>
    </row>
    <row r="4115" spans="1:6" x14ac:dyDescent="0.3">
      <c r="A4115">
        <v>35</v>
      </c>
      <c r="B4115">
        <v>95.89</v>
      </c>
      <c r="C4115">
        <f t="shared" si="256"/>
        <v>3356.15</v>
      </c>
      <c r="D4115">
        <f t="shared" si="257"/>
        <v>1225</v>
      </c>
      <c r="E4115">
        <f t="shared" si="258"/>
        <v>9194.8921000000009</v>
      </c>
      <c r="F4115">
        <f t="shared" si="259"/>
        <v>1225</v>
      </c>
    </row>
    <row r="4116" spans="1:6" x14ac:dyDescent="0.3">
      <c r="A4116">
        <v>26</v>
      </c>
      <c r="B4116">
        <v>64.680000000000007</v>
      </c>
      <c r="C4116">
        <f t="shared" si="256"/>
        <v>1681.6800000000003</v>
      </c>
      <c r="D4116">
        <f t="shared" si="257"/>
        <v>676</v>
      </c>
      <c r="E4116">
        <f t="shared" si="258"/>
        <v>4183.5024000000012</v>
      </c>
      <c r="F4116">
        <f t="shared" si="259"/>
        <v>676</v>
      </c>
    </row>
    <row r="4117" spans="1:6" x14ac:dyDescent="0.3">
      <c r="A4117">
        <v>31</v>
      </c>
      <c r="B4117">
        <v>70.510000000000005</v>
      </c>
      <c r="C4117">
        <f t="shared" si="256"/>
        <v>2185.81</v>
      </c>
      <c r="D4117">
        <f t="shared" si="257"/>
        <v>961</v>
      </c>
      <c r="E4117">
        <f t="shared" si="258"/>
        <v>4971.660100000001</v>
      </c>
      <c r="F4117">
        <f t="shared" si="259"/>
        <v>961</v>
      </c>
    </row>
    <row r="4118" spans="1:6" x14ac:dyDescent="0.3">
      <c r="A4118">
        <v>56</v>
      </c>
      <c r="B4118">
        <v>81.77</v>
      </c>
      <c r="C4118">
        <f t="shared" si="256"/>
        <v>4579.12</v>
      </c>
      <c r="D4118">
        <f t="shared" si="257"/>
        <v>3136</v>
      </c>
      <c r="E4118">
        <f t="shared" si="258"/>
        <v>6686.3328999999994</v>
      </c>
      <c r="F4118">
        <f t="shared" si="259"/>
        <v>3136</v>
      </c>
    </row>
    <row r="4119" spans="1:6" x14ac:dyDescent="0.3">
      <c r="A4119">
        <v>36</v>
      </c>
      <c r="B4119">
        <v>66.47</v>
      </c>
      <c r="C4119">
        <f t="shared" si="256"/>
        <v>2392.92</v>
      </c>
      <c r="D4119">
        <f t="shared" si="257"/>
        <v>1296</v>
      </c>
      <c r="E4119">
        <f t="shared" si="258"/>
        <v>4418.2609000000002</v>
      </c>
      <c r="F4119">
        <f t="shared" si="259"/>
        <v>1296</v>
      </c>
    </row>
    <row r="4120" spans="1:6" x14ac:dyDescent="0.3">
      <c r="A4120">
        <v>41</v>
      </c>
      <c r="B4120">
        <v>146.08000000000001</v>
      </c>
      <c r="C4120">
        <f t="shared" si="256"/>
        <v>5989.2800000000007</v>
      </c>
      <c r="D4120">
        <f t="shared" si="257"/>
        <v>1681</v>
      </c>
      <c r="E4120">
        <f t="shared" si="258"/>
        <v>21339.366400000003</v>
      </c>
      <c r="F4120">
        <f t="shared" si="259"/>
        <v>1681</v>
      </c>
    </row>
    <row r="4121" spans="1:6" x14ac:dyDescent="0.3">
      <c r="A4121">
        <v>50</v>
      </c>
      <c r="B4121">
        <v>91.68</v>
      </c>
      <c r="C4121">
        <f t="shared" si="256"/>
        <v>4584</v>
      </c>
      <c r="D4121">
        <f t="shared" si="257"/>
        <v>2500</v>
      </c>
      <c r="E4121">
        <f t="shared" si="258"/>
        <v>8405.2224000000006</v>
      </c>
      <c r="F4121">
        <f t="shared" si="259"/>
        <v>2500</v>
      </c>
    </row>
    <row r="4122" spans="1:6" x14ac:dyDescent="0.3">
      <c r="A4122">
        <v>42</v>
      </c>
      <c r="B4122">
        <v>108.96</v>
      </c>
      <c r="C4122">
        <f t="shared" si="256"/>
        <v>4576.32</v>
      </c>
      <c r="D4122">
        <f t="shared" si="257"/>
        <v>1764</v>
      </c>
      <c r="E4122">
        <f t="shared" si="258"/>
        <v>11872.281599999998</v>
      </c>
      <c r="F4122">
        <f t="shared" si="259"/>
        <v>1764</v>
      </c>
    </row>
    <row r="4123" spans="1:6" x14ac:dyDescent="0.3">
      <c r="A4123">
        <v>79</v>
      </c>
      <c r="B4123">
        <v>113.41</v>
      </c>
      <c r="C4123">
        <f t="shared" si="256"/>
        <v>8959.39</v>
      </c>
      <c r="D4123">
        <f t="shared" si="257"/>
        <v>6241</v>
      </c>
      <c r="E4123">
        <f t="shared" si="258"/>
        <v>12861.828099999999</v>
      </c>
      <c r="F4123">
        <f t="shared" si="259"/>
        <v>6241</v>
      </c>
    </row>
    <row r="4124" spans="1:6" x14ac:dyDescent="0.3">
      <c r="A4124">
        <v>57</v>
      </c>
      <c r="B4124">
        <v>111.08</v>
      </c>
      <c r="C4124">
        <f t="shared" si="256"/>
        <v>6331.5599999999995</v>
      </c>
      <c r="D4124">
        <f t="shared" si="257"/>
        <v>3249</v>
      </c>
      <c r="E4124">
        <f t="shared" si="258"/>
        <v>12338.7664</v>
      </c>
      <c r="F4124">
        <f t="shared" si="259"/>
        <v>3249</v>
      </c>
    </row>
    <row r="4125" spans="1:6" x14ac:dyDescent="0.3">
      <c r="A4125">
        <v>68</v>
      </c>
      <c r="B4125">
        <v>217.74</v>
      </c>
      <c r="C4125">
        <f t="shared" si="256"/>
        <v>14806.32</v>
      </c>
      <c r="D4125">
        <f t="shared" si="257"/>
        <v>4624</v>
      </c>
      <c r="E4125">
        <f t="shared" si="258"/>
        <v>47410.707600000002</v>
      </c>
      <c r="F4125">
        <f t="shared" si="259"/>
        <v>4624</v>
      </c>
    </row>
    <row r="4126" spans="1:6" x14ac:dyDescent="0.3">
      <c r="A4126">
        <v>25</v>
      </c>
      <c r="B4126">
        <v>78.5</v>
      </c>
      <c r="C4126">
        <f t="shared" si="256"/>
        <v>1962.5</v>
      </c>
      <c r="D4126">
        <f t="shared" si="257"/>
        <v>625</v>
      </c>
      <c r="E4126">
        <f t="shared" si="258"/>
        <v>6162.25</v>
      </c>
      <c r="F4126">
        <f t="shared" si="259"/>
        <v>625</v>
      </c>
    </row>
    <row r="4127" spans="1:6" x14ac:dyDescent="0.3">
      <c r="A4127">
        <v>69</v>
      </c>
      <c r="B4127">
        <v>89.06</v>
      </c>
      <c r="C4127">
        <f t="shared" si="256"/>
        <v>6145.14</v>
      </c>
      <c r="D4127">
        <f t="shared" si="257"/>
        <v>4761</v>
      </c>
      <c r="E4127">
        <f t="shared" si="258"/>
        <v>7931.6836000000003</v>
      </c>
      <c r="F4127">
        <f t="shared" si="259"/>
        <v>4761</v>
      </c>
    </row>
    <row r="4128" spans="1:6" x14ac:dyDescent="0.3">
      <c r="A4128">
        <v>42</v>
      </c>
      <c r="B4128">
        <v>74.8</v>
      </c>
      <c r="C4128">
        <f t="shared" si="256"/>
        <v>3141.6</v>
      </c>
      <c r="D4128">
        <f t="shared" si="257"/>
        <v>1764</v>
      </c>
      <c r="E4128">
        <f t="shared" si="258"/>
        <v>5595.04</v>
      </c>
      <c r="F4128">
        <f t="shared" si="259"/>
        <v>1764</v>
      </c>
    </row>
    <row r="4129" spans="1:6" x14ac:dyDescent="0.3">
      <c r="A4129">
        <v>37</v>
      </c>
      <c r="B4129">
        <v>80.2</v>
      </c>
      <c r="C4129">
        <f t="shared" si="256"/>
        <v>2967.4</v>
      </c>
      <c r="D4129">
        <f t="shared" si="257"/>
        <v>1369</v>
      </c>
      <c r="E4129">
        <f t="shared" si="258"/>
        <v>6432.0400000000009</v>
      </c>
      <c r="F4129">
        <f t="shared" si="259"/>
        <v>1369</v>
      </c>
    </row>
    <row r="4130" spans="1:6" x14ac:dyDescent="0.3">
      <c r="A4130">
        <v>2</v>
      </c>
      <c r="B4130">
        <v>76.52</v>
      </c>
      <c r="C4130">
        <f t="shared" si="256"/>
        <v>153.04</v>
      </c>
      <c r="D4130">
        <f t="shared" si="257"/>
        <v>4</v>
      </c>
      <c r="E4130">
        <f t="shared" si="258"/>
        <v>5855.3103999999994</v>
      </c>
      <c r="F4130">
        <f t="shared" si="259"/>
        <v>4</v>
      </c>
    </row>
    <row r="4131" spans="1:6" x14ac:dyDescent="0.3">
      <c r="A4131">
        <v>78</v>
      </c>
      <c r="B4131">
        <v>208.99</v>
      </c>
      <c r="C4131">
        <f t="shared" si="256"/>
        <v>16301.220000000001</v>
      </c>
      <c r="D4131">
        <f t="shared" si="257"/>
        <v>6084</v>
      </c>
      <c r="E4131">
        <f t="shared" si="258"/>
        <v>43676.820100000004</v>
      </c>
      <c r="F4131">
        <f t="shared" si="259"/>
        <v>6084</v>
      </c>
    </row>
    <row r="4132" spans="1:6" x14ac:dyDescent="0.3">
      <c r="A4132">
        <v>36</v>
      </c>
      <c r="B4132">
        <v>99.72</v>
      </c>
      <c r="C4132">
        <f t="shared" si="256"/>
        <v>3589.92</v>
      </c>
      <c r="D4132">
        <f t="shared" si="257"/>
        <v>1296</v>
      </c>
      <c r="E4132">
        <f t="shared" si="258"/>
        <v>9944.0784000000003</v>
      </c>
      <c r="F4132">
        <f t="shared" si="259"/>
        <v>1296</v>
      </c>
    </row>
    <row r="4133" spans="1:6" x14ac:dyDescent="0.3">
      <c r="A4133">
        <v>10</v>
      </c>
      <c r="B4133">
        <v>102.97</v>
      </c>
      <c r="C4133">
        <f t="shared" si="256"/>
        <v>1029.7</v>
      </c>
      <c r="D4133">
        <f t="shared" si="257"/>
        <v>100</v>
      </c>
      <c r="E4133">
        <f t="shared" si="258"/>
        <v>10602.820900000001</v>
      </c>
      <c r="F4133">
        <f t="shared" si="259"/>
        <v>100</v>
      </c>
    </row>
    <row r="4134" spans="1:6" x14ac:dyDescent="0.3">
      <c r="A4134">
        <v>39</v>
      </c>
      <c r="B4134">
        <v>197.36</v>
      </c>
      <c r="C4134">
        <f t="shared" si="256"/>
        <v>7697.0400000000009</v>
      </c>
      <c r="D4134">
        <f t="shared" si="257"/>
        <v>1521</v>
      </c>
      <c r="E4134">
        <f t="shared" si="258"/>
        <v>38950.969600000004</v>
      </c>
      <c r="F4134">
        <f t="shared" si="259"/>
        <v>1521</v>
      </c>
    </row>
    <row r="4135" spans="1:6" x14ac:dyDescent="0.3">
      <c r="A4135">
        <v>4</v>
      </c>
      <c r="B4135">
        <v>98.56</v>
      </c>
      <c r="C4135">
        <f t="shared" si="256"/>
        <v>394.24</v>
      </c>
      <c r="D4135">
        <f t="shared" si="257"/>
        <v>16</v>
      </c>
      <c r="E4135">
        <f t="shared" si="258"/>
        <v>9714.0735999999997</v>
      </c>
      <c r="F4135">
        <f t="shared" si="259"/>
        <v>16</v>
      </c>
    </row>
    <row r="4136" spans="1:6" x14ac:dyDescent="0.3">
      <c r="A4136">
        <v>48</v>
      </c>
      <c r="B4136">
        <v>86.06</v>
      </c>
      <c r="C4136">
        <f t="shared" si="256"/>
        <v>4130.88</v>
      </c>
      <c r="D4136">
        <f t="shared" si="257"/>
        <v>2304</v>
      </c>
      <c r="E4136">
        <f t="shared" si="258"/>
        <v>7406.3236000000006</v>
      </c>
      <c r="F4136">
        <f t="shared" si="259"/>
        <v>2304</v>
      </c>
    </row>
    <row r="4137" spans="1:6" x14ac:dyDescent="0.3">
      <c r="A4137">
        <v>72</v>
      </c>
      <c r="B4137">
        <v>123.08</v>
      </c>
      <c r="C4137">
        <f t="shared" si="256"/>
        <v>8861.76</v>
      </c>
      <c r="D4137">
        <f t="shared" si="257"/>
        <v>5184</v>
      </c>
      <c r="E4137">
        <f t="shared" si="258"/>
        <v>15148.686399999999</v>
      </c>
      <c r="F4137">
        <f t="shared" si="259"/>
        <v>5184</v>
      </c>
    </row>
    <row r="4138" spans="1:6" x14ac:dyDescent="0.3">
      <c r="A4138">
        <v>63</v>
      </c>
      <c r="B4138">
        <v>75</v>
      </c>
      <c r="C4138">
        <f t="shared" si="256"/>
        <v>4725</v>
      </c>
      <c r="D4138">
        <f t="shared" si="257"/>
        <v>3969</v>
      </c>
      <c r="E4138">
        <f t="shared" si="258"/>
        <v>5625</v>
      </c>
      <c r="F4138">
        <f t="shared" si="259"/>
        <v>3969</v>
      </c>
    </row>
    <row r="4139" spans="1:6" x14ac:dyDescent="0.3">
      <c r="A4139">
        <v>28</v>
      </c>
      <c r="B4139">
        <v>105.9</v>
      </c>
      <c r="C4139">
        <f t="shared" si="256"/>
        <v>2965.2000000000003</v>
      </c>
      <c r="D4139">
        <f t="shared" si="257"/>
        <v>784</v>
      </c>
      <c r="E4139">
        <f t="shared" si="258"/>
        <v>11214.810000000001</v>
      </c>
      <c r="F4139">
        <f t="shared" si="259"/>
        <v>784</v>
      </c>
    </row>
    <row r="4140" spans="1:6" x14ac:dyDescent="0.3">
      <c r="A4140">
        <v>80</v>
      </c>
      <c r="B4140">
        <v>73.87</v>
      </c>
      <c r="C4140">
        <f t="shared" si="256"/>
        <v>5909.6</v>
      </c>
      <c r="D4140">
        <f t="shared" si="257"/>
        <v>6400</v>
      </c>
      <c r="E4140">
        <f t="shared" si="258"/>
        <v>5456.7769000000008</v>
      </c>
      <c r="F4140">
        <f t="shared" si="259"/>
        <v>6400</v>
      </c>
    </row>
    <row r="4141" spans="1:6" x14ac:dyDescent="0.3">
      <c r="A4141">
        <v>49</v>
      </c>
      <c r="B4141">
        <v>78.040000000000006</v>
      </c>
      <c r="C4141">
        <f t="shared" si="256"/>
        <v>3823.9600000000005</v>
      </c>
      <c r="D4141">
        <f t="shared" si="257"/>
        <v>2401</v>
      </c>
      <c r="E4141">
        <f t="shared" si="258"/>
        <v>6090.2416000000012</v>
      </c>
      <c r="F4141">
        <f t="shared" si="259"/>
        <v>2401</v>
      </c>
    </row>
    <row r="4142" spans="1:6" x14ac:dyDescent="0.3">
      <c r="A4142">
        <v>57</v>
      </c>
      <c r="B4142">
        <v>107.74</v>
      </c>
      <c r="C4142">
        <f t="shared" si="256"/>
        <v>6141.1799999999994</v>
      </c>
      <c r="D4142">
        <f t="shared" si="257"/>
        <v>3249</v>
      </c>
      <c r="E4142">
        <f t="shared" si="258"/>
        <v>11607.907599999999</v>
      </c>
      <c r="F4142">
        <f t="shared" si="259"/>
        <v>3249</v>
      </c>
    </row>
    <row r="4143" spans="1:6" x14ac:dyDescent="0.3">
      <c r="A4143">
        <v>59</v>
      </c>
      <c r="B4143">
        <v>60.64</v>
      </c>
      <c r="C4143">
        <f t="shared" si="256"/>
        <v>3577.76</v>
      </c>
      <c r="D4143">
        <f t="shared" si="257"/>
        <v>3481</v>
      </c>
      <c r="E4143">
        <f t="shared" si="258"/>
        <v>3677.2096000000001</v>
      </c>
      <c r="F4143">
        <f t="shared" si="259"/>
        <v>3481</v>
      </c>
    </row>
    <row r="4144" spans="1:6" x14ac:dyDescent="0.3">
      <c r="A4144">
        <v>43</v>
      </c>
      <c r="B4144">
        <v>82.57</v>
      </c>
      <c r="C4144">
        <f t="shared" si="256"/>
        <v>3550.5099999999998</v>
      </c>
      <c r="D4144">
        <f t="shared" si="257"/>
        <v>1849</v>
      </c>
      <c r="E4144">
        <f t="shared" si="258"/>
        <v>6817.8048999999992</v>
      </c>
      <c r="F4144">
        <f t="shared" si="259"/>
        <v>1849</v>
      </c>
    </row>
    <row r="4145" spans="1:6" x14ac:dyDescent="0.3">
      <c r="A4145">
        <v>47</v>
      </c>
      <c r="B4145">
        <v>115.98</v>
      </c>
      <c r="C4145">
        <f t="shared" si="256"/>
        <v>5451.06</v>
      </c>
      <c r="D4145">
        <f t="shared" si="257"/>
        <v>2209</v>
      </c>
      <c r="E4145">
        <f t="shared" si="258"/>
        <v>13451.360400000001</v>
      </c>
      <c r="F4145">
        <f t="shared" si="259"/>
        <v>2209</v>
      </c>
    </row>
    <row r="4146" spans="1:6" x14ac:dyDescent="0.3">
      <c r="A4146">
        <v>54</v>
      </c>
      <c r="B4146">
        <v>110.38</v>
      </c>
      <c r="C4146">
        <f t="shared" si="256"/>
        <v>5960.5199999999995</v>
      </c>
      <c r="D4146">
        <f t="shared" si="257"/>
        <v>2916</v>
      </c>
      <c r="E4146">
        <f t="shared" si="258"/>
        <v>12183.7444</v>
      </c>
      <c r="F4146">
        <f t="shared" si="259"/>
        <v>2916</v>
      </c>
    </row>
    <row r="4147" spans="1:6" x14ac:dyDescent="0.3">
      <c r="A4147">
        <v>57</v>
      </c>
      <c r="B4147">
        <v>92.59</v>
      </c>
      <c r="C4147">
        <f t="shared" si="256"/>
        <v>5277.63</v>
      </c>
      <c r="D4147">
        <f t="shared" si="257"/>
        <v>3249</v>
      </c>
      <c r="E4147">
        <f t="shared" si="258"/>
        <v>8572.9081000000006</v>
      </c>
      <c r="F4147">
        <f t="shared" si="259"/>
        <v>3249</v>
      </c>
    </row>
    <row r="4148" spans="1:6" x14ac:dyDescent="0.3">
      <c r="A4148">
        <v>56</v>
      </c>
      <c r="B4148">
        <v>82.64</v>
      </c>
      <c r="C4148">
        <f t="shared" si="256"/>
        <v>4627.84</v>
      </c>
      <c r="D4148">
        <f t="shared" si="257"/>
        <v>3136</v>
      </c>
      <c r="E4148">
        <f t="shared" si="258"/>
        <v>6829.3696</v>
      </c>
      <c r="F4148">
        <f t="shared" si="259"/>
        <v>3136</v>
      </c>
    </row>
    <row r="4149" spans="1:6" x14ac:dyDescent="0.3">
      <c r="A4149">
        <v>66</v>
      </c>
      <c r="B4149">
        <v>70.28</v>
      </c>
      <c r="C4149">
        <f t="shared" si="256"/>
        <v>4638.4800000000005</v>
      </c>
      <c r="D4149">
        <f t="shared" si="257"/>
        <v>4356</v>
      </c>
      <c r="E4149">
        <f t="shared" si="258"/>
        <v>4939.2784000000001</v>
      </c>
      <c r="F4149">
        <f t="shared" si="259"/>
        <v>4356</v>
      </c>
    </row>
    <row r="4150" spans="1:6" x14ac:dyDescent="0.3">
      <c r="A4150">
        <v>18</v>
      </c>
      <c r="B4150">
        <v>106.54</v>
      </c>
      <c r="C4150">
        <f t="shared" si="256"/>
        <v>1917.72</v>
      </c>
      <c r="D4150">
        <f t="shared" si="257"/>
        <v>324</v>
      </c>
      <c r="E4150">
        <f t="shared" si="258"/>
        <v>11350.771600000002</v>
      </c>
      <c r="F4150">
        <f t="shared" si="259"/>
        <v>324</v>
      </c>
    </row>
    <row r="4151" spans="1:6" x14ac:dyDescent="0.3">
      <c r="A4151">
        <v>81</v>
      </c>
      <c r="B4151">
        <v>59.11</v>
      </c>
      <c r="C4151">
        <f t="shared" si="256"/>
        <v>4787.91</v>
      </c>
      <c r="D4151">
        <f t="shared" si="257"/>
        <v>6561</v>
      </c>
      <c r="E4151">
        <f t="shared" si="258"/>
        <v>3493.9920999999999</v>
      </c>
      <c r="F4151">
        <f t="shared" si="259"/>
        <v>6561</v>
      </c>
    </row>
    <row r="4152" spans="1:6" x14ac:dyDescent="0.3">
      <c r="A4152">
        <v>30</v>
      </c>
      <c r="B4152">
        <v>58.89</v>
      </c>
      <c r="C4152">
        <f t="shared" si="256"/>
        <v>1766.7</v>
      </c>
      <c r="D4152">
        <f t="shared" si="257"/>
        <v>900</v>
      </c>
      <c r="E4152">
        <f t="shared" si="258"/>
        <v>3468.0320999999999</v>
      </c>
      <c r="F4152">
        <f t="shared" si="259"/>
        <v>900</v>
      </c>
    </row>
    <row r="4153" spans="1:6" x14ac:dyDescent="0.3">
      <c r="A4153">
        <v>8</v>
      </c>
      <c r="B4153">
        <v>129.66</v>
      </c>
      <c r="C4153">
        <f t="shared" si="256"/>
        <v>1037.28</v>
      </c>
      <c r="D4153">
        <f t="shared" si="257"/>
        <v>64</v>
      </c>
      <c r="E4153">
        <f t="shared" si="258"/>
        <v>16811.7156</v>
      </c>
      <c r="F4153">
        <f t="shared" si="259"/>
        <v>64</v>
      </c>
    </row>
    <row r="4154" spans="1:6" x14ac:dyDescent="0.3">
      <c r="A4154">
        <v>55</v>
      </c>
      <c r="B4154">
        <v>73.569999999999993</v>
      </c>
      <c r="C4154">
        <f t="shared" si="256"/>
        <v>4046.3499999999995</v>
      </c>
      <c r="D4154">
        <f t="shared" si="257"/>
        <v>3025</v>
      </c>
      <c r="E4154">
        <f t="shared" si="258"/>
        <v>5412.544899999999</v>
      </c>
      <c r="F4154">
        <f t="shared" si="259"/>
        <v>3025</v>
      </c>
    </row>
    <row r="4155" spans="1:6" x14ac:dyDescent="0.3">
      <c r="A4155">
        <v>79</v>
      </c>
      <c r="B4155">
        <v>72.040000000000006</v>
      </c>
      <c r="C4155">
        <f t="shared" si="256"/>
        <v>5691.1600000000008</v>
      </c>
      <c r="D4155">
        <f t="shared" si="257"/>
        <v>6241</v>
      </c>
      <c r="E4155">
        <f t="shared" si="258"/>
        <v>5189.7616000000007</v>
      </c>
      <c r="F4155">
        <f t="shared" si="259"/>
        <v>6241</v>
      </c>
    </row>
    <row r="4156" spans="1:6" x14ac:dyDescent="0.3">
      <c r="A4156">
        <v>49</v>
      </c>
      <c r="B4156">
        <v>125.63</v>
      </c>
      <c r="C4156">
        <f t="shared" si="256"/>
        <v>6155.87</v>
      </c>
      <c r="D4156">
        <f t="shared" si="257"/>
        <v>2401</v>
      </c>
      <c r="E4156">
        <f t="shared" si="258"/>
        <v>15782.8969</v>
      </c>
      <c r="F4156">
        <f t="shared" si="259"/>
        <v>2401</v>
      </c>
    </row>
    <row r="4157" spans="1:6" x14ac:dyDescent="0.3">
      <c r="A4157">
        <v>53</v>
      </c>
      <c r="B4157">
        <v>77.94</v>
      </c>
      <c r="C4157">
        <f t="shared" si="256"/>
        <v>4130.82</v>
      </c>
      <c r="D4157">
        <f t="shared" si="257"/>
        <v>2809</v>
      </c>
      <c r="E4157">
        <f t="shared" si="258"/>
        <v>6074.6435999999994</v>
      </c>
      <c r="F4157">
        <f t="shared" si="259"/>
        <v>2809</v>
      </c>
    </row>
    <row r="4158" spans="1:6" x14ac:dyDescent="0.3">
      <c r="A4158">
        <v>26</v>
      </c>
      <c r="B4158">
        <v>68.989999999999995</v>
      </c>
      <c r="C4158">
        <f t="shared" si="256"/>
        <v>1793.7399999999998</v>
      </c>
      <c r="D4158">
        <f t="shared" si="257"/>
        <v>676</v>
      </c>
      <c r="E4158">
        <f t="shared" si="258"/>
        <v>4759.6200999999992</v>
      </c>
      <c r="F4158">
        <f t="shared" si="259"/>
        <v>676</v>
      </c>
    </row>
    <row r="4159" spans="1:6" x14ac:dyDescent="0.3">
      <c r="A4159">
        <v>14</v>
      </c>
      <c r="B4159">
        <v>111.76</v>
      </c>
      <c r="C4159">
        <f t="shared" si="256"/>
        <v>1564.64</v>
      </c>
      <c r="D4159">
        <f t="shared" si="257"/>
        <v>196</v>
      </c>
      <c r="E4159">
        <f t="shared" si="258"/>
        <v>12490.297600000002</v>
      </c>
      <c r="F4159">
        <f t="shared" si="259"/>
        <v>196</v>
      </c>
    </row>
    <row r="4160" spans="1:6" x14ac:dyDescent="0.3">
      <c r="A4160">
        <v>25</v>
      </c>
      <c r="B4160">
        <v>65.36</v>
      </c>
      <c r="C4160">
        <f t="shared" si="256"/>
        <v>1634</v>
      </c>
      <c r="D4160">
        <f t="shared" si="257"/>
        <v>625</v>
      </c>
      <c r="E4160">
        <f t="shared" si="258"/>
        <v>4271.9295999999995</v>
      </c>
      <c r="F4160">
        <f t="shared" si="259"/>
        <v>625</v>
      </c>
    </row>
    <row r="4161" spans="1:6" x14ac:dyDescent="0.3">
      <c r="A4161">
        <v>20</v>
      </c>
      <c r="B4161">
        <v>80.27</v>
      </c>
      <c r="C4161">
        <f t="shared" si="256"/>
        <v>1605.3999999999999</v>
      </c>
      <c r="D4161">
        <f t="shared" si="257"/>
        <v>400</v>
      </c>
      <c r="E4161">
        <f t="shared" si="258"/>
        <v>6443.272899999999</v>
      </c>
      <c r="F4161">
        <f t="shared" si="259"/>
        <v>400</v>
      </c>
    </row>
    <row r="4162" spans="1:6" x14ac:dyDescent="0.3">
      <c r="A4162">
        <v>18</v>
      </c>
      <c r="B4162">
        <v>81.73</v>
      </c>
      <c r="C4162">
        <f t="shared" si="256"/>
        <v>1471.14</v>
      </c>
      <c r="D4162">
        <f t="shared" si="257"/>
        <v>324</v>
      </c>
      <c r="E4162">
        <f t="shared" si="258"/>
        <v>6679.7929000000004</v>
      </c>
      <c r="F4162">
        <f t="shared" si="259"/>
        <v>324</v>
      </c>
    </row>
    <row r="4163" spans="1:6" x14ac:dyDescent="0.3">
      <c r="A4163">
        <v>38</v>
      </c>
      <c r="B4163">
        <v>79.22</v>
      </c>
      <c r="C4163">
        <f t="shared" ref="C4163:C4226" si="260">A4163*B4163</f>
        <v>3010.36</v>
      </c>
      <c r="D4163">
        <f t="shared" ref="D4163:D4226" si="261">A4163*A4163</f>
        <v>1444</v>
      </c>
      <c r="E4163">
        <f t="shared" ref="E4163:E4226" si="262">B4163*B4163</f>
        <v>6275.8083999999999</v>
      </c>
      <c r="F4163">
        <f t="shared" ref="F4163:F4226" si="263">A4163^2</f>
        <v>1444</v>
      </c>
    </row>
    <row r="4164" spans="1:6" x14ac:dyDescent="0.3">
      <c r="A4164">
        <v>72</v>
      </c>
      <c r="B4164">
        <v>142.63</v>
      </c>
      <c r="C4164">
        <f t="shared" si="260"/>
        <v>10269.36</v>
      </c>
      <c r="D4164">
        <f t="shared" si="261"/>
        <v>5184</v>
      </c>
      <c r="E4164">
        <f t="shared" si="262"/>
        <v>20343.316899999998</v>
      </c>
      <c r="F4164">
        <f t="shared" si="263"/>
        <v>5184</v>
      </c>
    </row>
    <row r="4165" spans="1:6" x14ac:dyDescent="0.3">
      <c r="A4165">
        <v>52</v>
      </c>
      <c r="B4165">
        <v>97.05</v>
      </c>
      <c r="C4165">
        <f t="shared" si="260"/>
        <v>5046.5999999999995</v>
      </c>
      <c r="D4165">
        <f t="shared" si="261"/>
        <v>2704</v>
      </c>
      <c r="E4165">
        <f t="shared" si="262"/>
        <v>9418.7024999999994</v>
      </c>
      <c r="F4165">
        <f t="shared" si="263"/>
        <v>2704</v>
      </c>
    </row>
    <row r="4166" spans="1:6" x14ac:dyDescent="0.3">
      <c r="A4166">
        <v>82</v>
      </c>
      <c r="B4166">
        <v>222.52</v>
      </c>
      <c r="C4166">
        <f t="shared" si="260"/>
        <v>18246.64</v>
      </c>
      <c r="D4166">
        <f t="shared" si="261"/>
        <v>6724</v>
      </c>
      <c r="E4166">
        <f t="shared" si="262"/>
        <v>49515.150400000006</v>
      </c>
      <c r="F4166">
        <f t="shared" si="263"/>
        <v>6724</v>
      </c>
    </row>
    <row r="4167" spans="1:6" x14ac:dyDescent="0.3">
      <c r="A4167">
        <v>71</v>
      </c>
      <c r="B4167">
        <v>70.38</v>
      </c>
      <c r="C4167">
        <f t="shared" si="260"/>
        <v>4996.9799999999996</v>
      </c>
      <c r="D4167">
        <f t="shared" si="261"/>
        <v>5041</v>
      </c>
      <c r="E4167">
        <f t="shared" si="262"/>
        <v>4953.344399999999</v>
      </c>
      <c r="F4167">
        <f t="shared" si="263"/>
        <v>5041</v>
      </c>
    </row>
    <row r="4168" spans="1:6" x14ac:dyDescent="0.3">
      <c r="A4168">
        <v>46</v>
      </c>
      <c r="B4168">
        <v>114.46</v>
      </c>
      <c r="C4168">
        <f t="shared" si="260"/>
        <v>5265.16</v>
      </c>
      <c r="D4168">
        <f t="shared" si="261"/>
        <v>2116</v>
      </c>
      <c r="E4168">
        <f t="shared" si="262"/>
        <v>13101.091599999998</v>
      </c>
      <c r="F4168">
        <f t="shared" si="263"/>
        <v>2116</v>
      </c>
    </row>
    <row r="4169" spans="1:6" x14ac:dyDescent="0.3">
      <c r="A4169">
        <v>33</v>
      </c>
      <c r="B4169">
        <v>64.62</v>
      </c>
      <c r="C4169">
        <f t="shared" si="260"/>
        <v>2132.46</v>
      </c>
      <c r="D4169">
        <f t="shared" si="261"/>
        <v>1089</v>
      </c>
      <c r="E4169">
        <f t="shared" si="262"/>
        <v>4175.7444000000005</v>
      </c>
      <c r="F4169">
        <f t="shared" si="263"/>
        <v>1089</v>
      </c>
    </row>
    <row r="4170" spans="1:6" x14ac:dyDescent="0.3">
      <c r="A4170">
        <v>37</v>
      </c>
      <c r="B4170">
        <v>94.12</v>
      </c>
      <c r="C4170">
        <f t="shared" si="260"/>
        <v>3482.44</v>
      </c>
      <c r="D4170">
        <f t="shared" si="261"/>
        <v>1369</v>
      </c>
      <c r="E4170">
        <f t="shared" si="262"/>
        <v>8858.5744000000013</v>
      </c>
      <c r="F4170">
        <f t="shared" si="263"/>
        <v>1369</v>
      </c>
    </row>
    <row r="4171" spans="1:6" x14ac:dyDescent="0.3">
      <c r="A4171">
        <v>54</v>
      </c>
      <c r="B4171">
        <v>70.19</v>
      </c>
      <c r="C4171">
        <f t="shared" si="260"/>
        <v>3790.2599999999998</v>
      </c>
      <c r="D4171">
        <f t="shared" si="261"/>
        <v>2916</v>
      </c>
      <c r="E4171">
        <f t="shared" si="262"/>
        <v>4926.6360999999997</v>
      </c>
      <c r="F4171">
        <f t="shared" si="263"/>
        <v>2916</v>
      </c>
    </row>
    <row r="4172" spans="1:6" x14ac:dyDescent="0.3">
      <c r="A4172">
        <v>5</v>
      </c>
      <c r="B4172">
        <v>55.35</v>
      </c>
      <c r="C4172">
        <f t="shared" si="260"/>
        <v>276.75</v>
      </c>
      <c r="D4172">
        <f t="shared" si="261"/>
        <v>25</v>
      </c>
      <c r="E4172">
        <f t="shared" si="262"/>
        <v>3063.6224999999999</v>
      </c>
      <c r="F4172">
        <f t="shared" si="263"/>
        <v>25</v>
      </c>
    </row>
    <row r="4173" spans="1:6" x14ac:dyDescent="0.3">
      <c r="A4173">
        <v>45</v>
      </c>
      <c r="B4173">
        <v>115.52</v>
      </c>
      <c r="C4173">
        <f t="shared" si="260"/>
        <v>5198.3999999999996</v>
      </c>
      <c r="D4173">
        <f t="shared" si="261"/>
        <v>2025</v>
      </c>
      <c r="E4173">
        <f t="shared" si="262"/>
        <v>13344.8704</v>
      </c>
      <c r="F4173">
        <f t="shared" si="263"/>
        <v>2025</v>
      </c>
    </row>
    <row r="4174" spans="1:6" x14ac:dyDescent="0.3">
      <c r="A4174">
        <v>14</v>
      </c>
      <c r="B4174">
        <v>60.7</v>
      </c>
      <c r="C4174">
        <f t="shared" si="260"/>
        <v>849.80000000000007</v>
      </c>
      <c r="D4174">
        <f t="shared" si="261"/>
        <v>196</v>
      </c>
      <c r="E4174">
        <f t="shared" si="262"/>
        <v>3684.4900000000002</v>
      </c>
      <c r="F4174">
        <f t="shared" si="263"/>
        <v>196</v>
      </c>
    </row>
    <row r="4175" spans="1:6" x14ac:dyDescent="0.3">
      <c r="A4175">
        <v>5</v>
      </c>
      <c r="B4175">
        <v>69.239999999999995</v>
      </c>
      <c r="C4175">
        <f t="shared" si="260"/>
        <v>346.2</v>
      </c>
      <c r="D4175">
        <f t="shared" si="261"/>
        <v>25</v>
      </c>
      <c r="E4175">
        <f t="shared" si="262"/>
        <v>4794.1775999999991</v>
      </c>
      <c r="F4175">
        <f t="shared" si="263"/>
        <v>25</v>
      </c>
    </row>
    <row r="4176" spans="1:6" x14ac:dyDescent="0.3">
      <c r="A4176">
        <v>35</v>
      </c>
      <c r="B4176">
        <v>103.29</v>
      </c>
      <c r="C4176">
        <f t="shared" si="260"/>
        <v>3615.15</v>
      </c>
      <c r="D4176">
        <f t="shared" si="261"/>
        <v>1225</v>
      </c>
      <c r="E4176">
        <f t="shared" si="262"/>
        <v>10668.824100000002</v>
      </c>
      <c r="F4176">
        <f t="shared" si="263"/>
        <v>1225</v>
      </c>
    </row>
    <row r="4177" spans="1:6" x14ac:dyDescent="0.3">
      <c r="A4177">
        <v>20</v>
      </c>
      <c r="B4177">
        <v>92.74</v>
      </c>
      <c r="C4177">
        <f t="shared" si="260"/>
        <v>1854.8</v>
      </c>
      <c r="D4177">
        <f t="shared" si="261"/>
        <v>400</v>
      </c>
      <c r="E4177">
        <f t="shared" si="262"/>
        <v>8600.7075999999997</v>
      </c>
      <c r="F4177">
        <f t="shared" si="263"/>
        <v>400</v>
      </c>
    </row>
    <row r="4178" spans="1:6" x14ac:dyDescent="0.3">
      <c r="A4178">
        <v>51</v>
      </c>
      <c r="B4178">
        <v>232.64</v>
      </c>
      <c r="C4178">
        <f t="shared" si="260"/>
        <v>11864.64</v>
      </c>
      <c r="D4178">
        <f t="shared" si="261"/>
        <v>2601</v>
      </c>
      <c r="E4178">
        <f t="shared" si="262"/>
        <v>54121.369599999991</v>
      </c>
      <c r="F4178">
        <f t="shared" si="263"/>
        <v>2601</v>
      </c>
    </row>
    <row r="4179" spans="1:6" x14ac:dyDescent="0.3">
      <c r="A4179">
        <v>40</v>
      </c>
      <c r="B4179">
        <v>82.46</v>
      </c>
      <c r="C4179">
        <f t="shared" si="260"/>
        <v>3298.3999999999996</v>
      </c>
      <c r="D4179">
        <f t="shared" si="261"/>
        <v>1600</v>
      </c>
      <c r="E4179">
        <f t="shared" si="262"/>
        <v>6799.6515999999992</v>
      </c>
      <c r="F4179">
        <f t="shared" si="263"/>
        <v>1600</v>
      </c>
    </row>
    <row r="4180" spans="1:6" x14ac:dyDescent="0.3">
      <c r="A4180">
        <v>79</v>
      </c>
      <c r="B4180">
        <v>63.57</v>
      </c>
      <c r="C4180">
        <f t="shared" si="260"/>
        <v>5022.03</v>
      </c>
      <c r="D4180">
        <f t="shared" si="261"/>
        <v>6241</v>
      </c>
      <c r="E4180">
        <f t="shared" si="262"/>
        <v>4041.1449000000002</v>
      </c>
      <c r="F4180">
        <f t="shared" si="263"/>
        <v>6241</v>
      </c>
    </row>
    <row r="4181" spans="1:6" x14ac:dyDescent="0.3">
      <c r="A4181">
        <v>61</v>
      </c>
      <c r="B4181">
        <v>73.239999999999995</v>
      </c>
      <c r="C4181">
        <f t="shared" si="260"/>
        <v>4467.6399999999994</v>
      </c>
      <c r="D4181">
        <f t="shared" si="261"/>
        <v>3721</v>
      </c>
      <c r="E4181">
        <f t="shared" si="262"/>
        <v>5364.0975999999991</v>
      </c>
      <c r="F4181">
        <f t="shared" si="263"/>
        <v>3721</v>
      </c>
    </row>
    <row r="4182" spans="1:6" x14ac:dyDescent="0.3">
      <c r="A4182">
        <v>33</v>
      </c>
      <c r="B4182">
        <v>78.430000000000007</v>
      </c>
      <c r="C4182">
        <f t="shared" si="260"/>
        <v>2588.19</v>
      </c>
      <c r="D4182">
        <f t="shared" si="261"/>
        <v>1089</v>
      </c>
      <c r="E4182">
        <f t="shared" si="262"/>
        <v>6151.264900000001</v>
      </c>
      <c r="F4182">
        <f t="shared" si="263"/>
        <v>1089</v>
      </c>
    </row>
    <row r="4183" spans="1:6" x14ac:dyDescent="0.3">
      <c r="A4183">
        <v>27</v>
      </c>
      <c r="B4183">
        <v>57.46</v>
      </c>
      <c r="C4183">
        <f t="shared" si="260"/>
        <v>1551.42</v>
      </c>
      <c r="D4183">
        <f t="shared" si="261"/>
        <v>729</v>
      </c>
      <c r="E4183">
        <f t="shared" si="262"/>
        <v>3301.6516000000001</v>
      </c>
      <c r="F4183">
        <f t="shared" si="263"/>
        <v>729</v>
      </c>
    </row>
    <row r="4184" spans="1:6" x14ac:dyDescent="0.3">
      <c r="A4184">
        <v>28</v>
      </c>
      <c r="B4184">
        <v>104.16</v>
      </c>
      <c r="C4184">
        <f t="shared" si="260"/>
        <v>2916.48</v>
      </c>
      <c r="D4184">
        <f t="shared" si="261"/>
        <v>784</v>
      </c>
      <c r="E4184">
        <f t="shared" si="262"/>
        <v>10849.3056</v>
      </c>
      <c r="F4184">
        <f t="shared" si="263"/>
        <v>784</v>
      </c>
    </row>
    <row r="4185" spans="1:6" x14ac:dyDescent="0.3">
      <c r="A4185">
        <v>67</v>
      </c>
      <c r="B4185">
        <v>110.42</v>
      </c>
      <c r="C4185">
        <f t="shared" si="260"/>
        <v>7398.14</v>
      </c>
      <c r="D4185">
        <f t="shared" si="261"/>
        <v>4489</v>
      </c>
      <c r="E4185">
        <f t="shared" si="262"/>
        <v>12192.5764</v>
      </c>
      <c r="F4185">
        <f t="shared" si="263"/>
        <v>4489</v>
      </c>
    </row>
    <row r="4186" spans="1:6" x14ac:dyDescent="0.3">
      <c r="A4186">
        <v>35</v>
      </c>
      <c r="B4186">
        <v>119.4</v>
      </c>
      <c r="C4186">
        <f t="shared" si="260"/>
        <v>4179</v>
      </c>
      <c r="D4186">
        <f t="shared" si="261"/>
        <v>1225</v>
      </c>
      <c r="E4186">
        <f t="shared" si="262"/>
        <v>14256.36</v>
      </c>
      <c r="F4186">
        <f t="shared" si="263"/>
        <v>1225</v>
      </c>
    </row>
    <row r="4187" spans="1:6" x14ac:dyDescent="0.3">
      <c r="A4187">
        <v>78</v>
      </c>
      <c r="B4187">
        <v>119.13</v>
      </c>
      <c r="C4187">
        <f t="shared" si="260"/>
        <v>9292.14</v>
      </c>
      <c r="D4187">
        <f t="shared" si="261"/>
        <v>6084</v>
      </c>
      <c r="E4187">
        <f t="shared" si="262"/>
        <v>14191.956899999999</v>
      </c>
      <c r="F4187">
        <f t="shared" si="263"/>
        <v>6084</v>
      </c>
    </row>
    <row r="4188" spans="1:6" x14ac:dyDescent="0.3">
      <c r="A4188">
        <v>20</v>
      </c>
      <c r="B4188">
        <v>120.22</v>
      </c>
      <c r="C4188">
        <f t="shared" si="260"/>
        <v>2404.4</v>
      </c>
      <c r="D4188">
        <f t="shared" si="261"/>
        <v>400</v>
      </c>
      <c r="E4188">
        <f t="shared" si="262"/>
        <v>14452.848399999999</v>
      </c>
      <c r="F4188">
        <f t="shared" si="263"/>
        <v>400</v>
      </c>
    </row>
    <row r="4189" spans="1:6" x14ac:dyDescent="0.3">
      <c r="A4189">
        <v>43</v>
      </c>
      <c r="B4189">
        <v>80.8</v>
      </c>
      <c r="C4189">
        <f t="shared" si="260"/>
        <v>3474.4</v>
      </c>
      <c r="D4189">
        <f t="shared" si="261"/>
        <v>1849</v>
      </c>
      <c r="E4189">
        <f t="shared" si="262"/>
        <v>6528.6399999999994</v>
      </c>
      <c r="F4189">
        <f t="shared" si="263"/>
        <v>1849</v>
      </c>
    </row>
    <row r="4190" spans="1:6" x14ac:dyDescent="0.3">
      <c r="A4190">
        <v>27</v>
      </c>
      <c r="B4190">
        <v>57.96</v>
      </c>
      <c r="C4190">
        <f t="shared" si="260"/>
        <v>1564.92</v>
      </c>
      <c r="D4190">
        <f t="shared" si="261"/>
        <v>729</v>
      </c>
      <c r="E4190">
        <f t="shared" si="262"/>
        <v>3359.3616000000002</v>
      </c>
      <c r="F4190">
        <f t="shared" si="263"/>
        <v>729</v>
      </c>
    </row>
    <row r="4191" spans="1:6" x14ac:dyDescent="0.3">
      <c r="A4191">
        <v>45</v>
      </c>
      <c r="B4191">
        <v>81.239999999999995</v>
      </c>
      <c r="C4191">
        <f t="shared" si="260"/>
        <v>3655.7999999999997</v>
      </c>
      <c r="D4191">
        <f t="shared" si="261"/>
        <v>2025</v>
      </c>
      <c r="E4191">
        <f t="shared" si="262"/>
        <v>6599.9375999999993</v>
      </c>
      <c r="F4191">
        <f t="shared" si="263"/>
        <v>2025</v>
      </c>
    </row>
    <row r="4192" spans="1:6" x14ac:dyDescent="0.3">
      <c r="A4192">
        <v>11</v>
      </c>
      <c r="B4192">
        <v>88.79</v>
      </c>
      <c r="C4192">
        <f t="shared" si="260"/>
        <v>976.69</v>
      </c>
      <c r="D4192">
        <f t="shared" si="261"/>
        <v>121</v>
      </c>
      <c r="E4192">
        <f t="shared" si="262"/>
        <v>7883.6641000000009</v>
      </c>
      <c r="F4192">
        <f t="shared" si="263"/>
        <v>121</v>
      </c>
    </row>
    <row r="4193" spans="1:6" x14ac:dyDescent="0.3">
      <c r="A4193">
        <v>31</v>
      </c>
      <c r="B4193">
        <v>70.91</v>
      </c>
      <c r="C4193">
        <f t="shared" si="260"/>
        <v>2198.21</v>
      </c>
      <c r="D4193">
        <f t="shared" si="261"/>
        <v>961</v>
      </c>
      <c r="E4193">
        <f t="shared" si="262"/>
        <v>5028.2280999999994</v>
      </c>
      <c r="F4193">
        <f t="shared" si="263"/>
        <v>961</v>
      </c>
    </row>
    <row r="4194" spans="1:6" x14ac:dyDescent="0.3">
      <c r="A4194">
        <v>30</v>
      </c>
      <c r="B4194">
        <v>87.12</v>
      </c>
      <c r="C4194">
        <f t="shared" si="260"/>
        <v>2613.6000000000004</v>
      </c>
      <c r="D4194">
        <f t="shared" si="261"/>
        <v>900</v>
      </c>
      <c r="E4194">
        <f t="shared" si="262"/>
        <v>7589.894400000001</v>
      </c>
      <c r="F4194">
        <f t="shared" si="263"/>
        <v>900</v>
      </c>
    </row>
    <row r="4195" spans="1:6" x14ac:dyDescent="0.3">
      <c r="A4195">
        <v>27</v>
      </c>
      <c r="B4195">
        <v>126.09</v>
      </c>
      <c r="C4195">
        <f t="shared" si="260"/>
        <v>3404.4300000000003</v>
      </c>
      <c r="D4195">
        <f t="shared" si="261"/>
        <v>729</v>
      </c>
      <c r="E4195">
        <f t="shared" si="262"/>
        <v>15898.688100000001</v>
      </c>
      <c r="F4195">
        <f t="shared" si="263"/>
        <v>729</v>
      </c>
    </row>
    <row r="4196" spans="1:6" x14ac:dyDescent="0.3">
      <c r="A4196">
        <v>34</v>
      </c>
      <c r="B4196">
        <v>76.42</v>
      </c>
      <c r="C4196">
        <f t="shared" si="260"/>
        <v>2598.2800000000002</v>
      </c>
      <c r="D4196">
        <f t="shared" si="261"/>
        <v>1156</v>
      </c>
      <c r="E4196">
        <f t="shared" si="262"/>
        <v>5840.0164000000004</v>
      </c>
      <c r="F4196">
        <f t="shared" si="263"/>
        <v>1156</v>
      </c>
    </row>
    <row r="4197" spans="1:6" x14ac:dyDescent="0.3">
      <c r="A4197">
        <v>19</v>
      </c>
      <c r="B4197">
        <v>56.33</v>
      </c>
      <c r="C4197">
        <f t="shared" si="260"/>
        <v>1070.27</v>
      </c>
      <c r="D4197">
        <f t="shared" si="261"/>
        <v>361</v>
      </c>
      <c r="E4197">
        <f t="shared" si="262"/>
        <v>3173.0688999999998</v>
      </c>
      <c r="F4197">
        <f t="shared" si="263"/>
        <v>361</v>
      </c>
    </row>
    <row r="4198" spans="1:6" x14ac:dyDescent="0.3">
      <c r="A4198">
        <v>3</v>
      </c>
      <c r="B4198">
        <v>131.81</v>
      </c>
      <c r="C4198">
        <f t="shared" si="260"/>
        <v>395.43</v>
      </c>
      <c r="D4198">
        <f t="shared" si="261"/>
        <v>9</v>
      </c>
      <c r="E4198">
        <f t="shared" si="262"/>
        <v>17373.876100000001</v>
      </c>
      <c r="F4198">
        <f t="shared" si="263"/>
        <v>9</v>
      </c>
    </row>
    <row r="4199" spans="1:6" x14ac:dyDescent="0.3">
      <c r="A4199">
        <v>53</v>
      </c>
      <c r="B4199">
        <v>95.23</v>
      </c>
      <c r="C4199">
        <f t="shared" si="260"/>
        <v>5047.1900000000005</v>
      </c>
      <c r="D4199">
        <f t="shared" si="261"/>
        <v>2809</v>
      </c>
      <c r="E4199">
        <f t="shared" si="262"/>
        <v>9068.7529000000013</v>
      </c>
      <c r="F4199">
        <f t="shared" si="263"/>
        <v>2809</v>
      </c>
    </row>
    <row r="4200" spans="1:6" x14ac:dyDescent="0.3">
      <c r="A4200">
        <v>81</v>
      </c>
      <c r="B4200">
        <v>71.180000000000007</v>
      </c>
      <c r="C4200">
        <f t="shared" si="260"/>
        <v>5765.5800000000008</v>
      </c>
      <c r="D4200">
        <f t="shared" si="261"/>
        <v>6561</v>
      </c>
      <c r="E4200">
        <f t="shared" si="262"/>
        <v>5066.5924000000014</v>
      </c>
      <c r="F4200">
        <f t="shared" si="263"/>
        <v>6561</v>
      </c>
    </row>
    <row r="4201" spans="1:6" x14ac:dyDescent="0.3">
      <c r="A4201">
        <v>44</v>
      </c>
      <c r="B4201">
        <v>87.71</v>
      </c>
      <c r="C4201">
        <f t="shared" si="260"/>
        <v>3859.24</v>
      </c>
      <c r="D4201">
        <f t="shared" si="261"/>
        <v>1936</v>
      </c>
      <c r="E4201">
        <f t="shared" si="262"/>
        <v>7693.0440999999992</v>
      </c>
      <c r="F4201">
        <f t="shared" si="263"/>
        <v>1936</v>
      </c>
    </row>
    <row r="4202" spans="1:6" x14ac:dyDescent="0.3">
      <c r="A4202">
        <v>59</v>
      </c>
      <c r="B4202">
        <v>115.68</v>
      </c>
      <c r="C4202">
        <f t="shared" si="260"/>
        <v>6825.1200000000008</v>
      </c>
      <c r="D4202">
        <f t="shared" si="261"/>
        <v>3481</v>
      </c>
      <c r="E4202">
        <f t="shared" si="262"/>
        <v>13381.862400000002</v>
      </c>
      <c r="F4202">
        <f t="shared" si="263"/>
        <v>3481</v>
      </c>
    </row>
    <row r="4203" spans="1:6" x14ac:dyDescent="0.3">
      <c r="A4203">
        <v>43</v>
      </c>
      <c r="B4203">
        <v>207.37</v>
      </c>
      <c r="C4203">
        <f t="shared" si="260"/>
        <v>8916.91</v>
      </c>
      <c r="D4203">
        <f t="shared" si="261"/>
        <v>1849</v>
      </c>
      <c r="E4203">
        <f t="shared" si="262"/>
        <v>43002.316900000005</v>
      </c>
      <c r="F4203">
        <f t="shared" si="263"/>
        <v>1849</v>
      </c>
    </row>
    <row r="4204" spans="1:6" x14ac:dyDescent="0.3">
      <c r="A4204">
        <v>32</v>
      </c>
      <c r="B4204">
        <v>74.430000000000007</v>
      </c>
      <c r="C4204">
        <f t="shared" si="260"/>
        <v>2381.7600000000002</v>
      </c>
      <c r="D4204">
        <f t="shared" si="261"/>
        <v>1024</v>
      </c>
      <c r="E4204">
        <f t="shared" si="262"/>
        <v>5539.8249000000014</v>
      </c>
      <c r="F4204">
        <f t="shared" si="263"/>
        <v>1024</v>
      </c>
    </row>
    <row r="4205" spans="1:6" x14ac:dyDescent="0.3">
      <c r="A4205">
        <v>5</v>
      </c>
      <c r="B4205">
        <v>75.099999999999994</v>
      </c>
      <c r="C4205">
        <f t="shared" si="260"/>
        <v>375.5</v>
      </c>
      <c r="D4205">
        <f t="shared" si="261"/>
        <v>25</v>
      </c>
      <c r="E4205">
        <f t="shared" si="262"/>
        <v>5640.0099999999993</v>
      </c>
      <c r="F4205">
        <f t="shared" si="263"/>
        <v>25</v>
      </c>
    </row>
    <row r="4206" spans="1:6" x14ac:dyDescent="0.3">
      <c r="A4206">
        <v>31</v>
      </c>
      <c r="B4206">
        <v>69.72</v>
      </c>
      <c r="C4206">
        <f t="shared" si="260"/>
        <v>2161.3200000000002</v>
      </c>
      <c r="D4206">
        <f t="shared" si="261"/>
        <v>961</v>
      </c>
      <c r="E4206">
        <f t="shared" si="262"/>
        <v>4860.8783999999996</v>
      </c>
      <c r="F4206">
        <f t="shared" si="263"/>
        <v>961</v>
      </c>
    </row>
    <row r="4207" spans="1:6" x14ac:dyDescent="0.3">
      <c r="A4207">
        <v>47</v>
      </c>
      <c r="B4207">
        <v>111.84</v>
      </c>
      <c r="C4207">
        <f t="shared" si="260"/>
        <v>5256.4800000000005</v>
      </c>
      <c r="D4207">
        <f t="shared" si="261"/>
        <v>2209</v>
      </c>
      <c r="E4207">
        <f t="shared" si="262"/>
        <v>12508.185600000001</v>
      </c>
      <c r="F4207">
        <f t="shared" si="263"/>
        <v>2209</v>
      </c>
    </row>
    <row r="4208" spans="1:6" x14ac:dyDescent="0.3">
      <c r="A4208">
        <v>12</v>
      </c>
      <c r="B4208">
        <v>111.08</v>
      </c>
      <c r="C4208">
        <f t="shared" si="260"/>
        <v>1332.96</v>
      </c>
      <c r="D4208">
        <f t="shared" si="261"/>
        <v>144</v>
      </c>
      <c r="E4208">
        <f t="shared" si="262"/>
        <v>12338.7664</v>
      </c>
      <c r="F4208">
        <f t="shared" si="263"/>
        <v>144</v>
      </c>
    </row>
    <row r="4209" spans="1:6" x14ac:dyDescent="0.3">
      <c r="A4209">
        <v>40</v>
      </c>
      <c r="B4209">
        <v>201.96</v>
      </c>
      <c r="C4209">
        <f t="shared" si="260"/>
        <v>8078.4000000000005</v>
      </c>
      <c r="D4209">
        <f t="shared" si="261"/>
        <v>1600</v>
      </c>
      <c r="E4209">
        <f t="shared" si="262"/>
        <v>40787.8416</v>
      </c>
      <c r="F4209">
        <f t="shared" si="263"/>
        <v>1600</v>
      </c>
    </row>
    <row r="4210" spans="1:6" x14ac:dyDescent="0.3">
      <c r="A4210">
        <v>49</v>
      </c>
      <c r="B4210">
        <v>68.680000000000007</v>
      </c>
      <c r="C4210">
        <f t="shared" si="260"/>
        <v>3365.32</v>
      </c>
      <c r="D4210">
        <f t="shared" si="261"/>
        <v>2401</v>
      </c>
      <c r="E4210">
        <f t="shared" si="262"/>
        <v>4716.9424000000008</v>
      </c>
      <c r="F4210">
        <f t="shared" si="263"/>
        <v>2401</v>
      </c>
    </row>
    <row r="4211" spans="1:6" x14ac:dyDescent="0.3">
      <c r="A4211">
        <v>38</v>
      </c>
      <c r="B4211">
        <v>56.9</v>
      </c>
      <c r="C4211">
        <f t="shared" si="260"/>
        <v>2162.1999999999998</v>
      </c>
      <c r="D4211">
        <f t="shared" si="261"/>
        <v>1444</v>
      </c>
      <c r="E4211">
        <f t="shared" si="262"/>
        <v>3237.6099999999997</v>
      </c>
      <c r="F4211">
        <f t="shared" si="263"/>
        <v>1444</v>
      </c>
    </row>
    <row r="4212" spans="1:6" x14ac:dyDescent="0.3">
      <c r="A4212">
        <v>15</v>
      </c>
      <c r="B4212">
        <v>91.16</v>
      </c>
      <c r="C4212">
        <f t="shared" si="260"/>
        <v>1367.3999999999999</v>
      </c>
      <c r="D4212">
        <f t="shared" si="261"/>
        <v>225</v>
      </c>
      <c r="E4212">
        <f t="shared" si="262"/>
        <v>8310.1455999999998</v>
      </c>
      <c r="F4212">
        <f t="shared" si="263"/>
        <v>225</v>
      </c>
    </row>
    <row r="4213" spans="1:6" x14ac:dyDescent="0.3">
      <c r="A4213">
        <v>81</v>
      </c>
      <c r="B4213">
        <v>99.44</v>
      </c>
      <c r="C4213">
        <f t="shared" si="260"/>
        <v>8054.6399999999994</v>
      </c>
      <c r="D4213">
        <f t="shared" si="261"/>
        <v>6561</v>
      </c>
      <c r="E4213">
        <f t="shared" si="262"/>
        <v>9888.3135999999995</v>
      </c>
      <c r="F4213">
        <f t="shared" si="263"/>
        <v>6561</v>
      </c>
    </row>
    <row r="4214" spans="1:6" x14ac:dyDescent="0.3">
      <c r="A4214">
        <v>48</v>
      </c>
      <c r="B4214">
        <v>78.849999999999994</v>
      </c>
      <c r="C4214">
        <f t="shared" si="260"/>
        <v>3784.7999999999997</v>
      </c>
      <c r="D4214">
        <f t="shared" si="261"/>
        <v>2304</v>
      </c>
      <c r="E4214">
        <f t="shared" si="262"/>
        <v>6217.3224999999993</v>
      </c>
      <c r="F4214">
        <f t="shared" si="263"/>
        <v>2304</v>
      </c>
    </row>
    <row r="4215" spans="1:6" x14ac:dyDescent="0.3">
      <c r="A4215">
        <v>24</v>
      </c>
      <c r="B4215">
        <v>123.89</v>
      </c>
      <c r="C4215">
        <f t="shared" si="260"/>
        <v>2973.36</v>
      </c>
      <c r="D4215">
        <f t="shared" si="261"/>
        <v>576</v>
      </c>
      <c r="E4215">
        <f t="shared" si="262"/>
        <v>15348.732099999999</v>
      </c>
      <c r="F4215">
        <f t="shared" si="263"/>
        <v>576</v>
      </c>
    </row>
    <row r="4216" spans="1:6" x14ac:dyDescent="0.3">
      <c r="A4216">
        <v>47</v>
      </c>
      <c r="B4216">
        <v>90.44</v>
      </c>
      <c r="C4216">
        <f t="shared" si="260"/>
        <v>4250.68</v>
      </c>
      <c r="D4216">
        <f t="shared" si="261"/>
        <v>2209</v>
      </c>
      <c r="E4216">
        <f t="shared" si="262"/>
        <v>8179.3935999999994</v>
      </c>
      <c r="F4216">
        <f t="shared" si="263"/>
        <v>2209</v>
      </c>
    </row>
    <row r="4217" spans="1:6" x14ac:dyDescent="0.3">
      <c r="A4217">
        <v>13</v>
      </c>
      <c r="B4217">
        <v>138.44</v>
      </c>
      <c r="C4217">
        <f t="shared" si="260"/>
        <v>1799.72</v>
      </c>
      <c r="D4217">
        <f t="shared" si="261"/>
        <v>169</v>
      </c>
      <c r="E4217">
        <f t="shared" si="262"/>
        <v>19165.633600000001</v>
      </c>
      <c r="F4217">
        <f t="shared" si="263"/>
        <v>169</v>
      </c>
    </row>
    <row r="4218" spans="1:6" x14ac:dyDescent="0.3">
      <c r="A4218">
        <v>16</v>
      </c>
      <c r="B4218">
        <v>75.06</v>
      </c>
      <c r="C4218">
        <f t="shared" si="260"/>
        <v>1200.96</v>
      </c>
      <c r="D4218">
        <f t="shared" si="261"/>
        <v>256</v>
      </c>
      <c r="E4218">
        <f t="shared" si="262"/>
        <v>5634.0036</v>
      </c>
      <c r="F4218">
        <f t="shared" si="263"/>
        <v>256</v>
      </c>
    </row>
    <row r="4219" spans="1:6" x14ac:dyDescent="0.3">
      <c r="A4219">
        <v>64</v>
      </c>
      <c r="B4219">
        <v>85.66</v>
      </c>
      <c r="C4219">
        <f t="shared" si="260"/>
        <v>5482.24</v>
      </c>
      <c r="D4219">
        <f t="shared" si="261"/>
        <v>4096</v>
      </c>
      <c r="E4219">
        <f t="shared" si="262"/>
        <v>7337.6355999999996</v>
      </c>
      <c r="F4219">
        <f t="shared" si="263"/>
        <v>4096</v>
      </c>
    </row>
    <row r="4220" spans="1:6" x14ac:dyDescent="0.3">
      <c r="A4220">
        <v>11</v>
      </c>
      <c r="B4220">
        <v>102.76</v>
      </c>
      <c r="C4220">
        <f t="shared" si="260"/>
        <v>1130.3600000000001</v>
      </c>
      <c r="D4220">
        <f t="shared" si="261"/>
        <v>121</v>
      </c>
      <c r="E4220">
        <f t="shared" si="262"/>
        <v>10559.617600000001</v>
      </c>
      <c r="F4220">
        <f t="shared" si="263"/>
        <v>121</v>
      </c>
    </row>
    <row r="4221" spans="1:6" x14ac:dyDescent="0.3">
      <c r="A4221">
        <v>55</v>
      </c>
      <c r="B4221">
        <v>71.790000000000006</v>
      </c>
      <c r="C4221">
        <f t="shared" si="260"/>
        <v>3948.4500000000003</v>
      </c>
      <c r="D4221">
        <f t="shared" si="261"/>
        <v>3025</v>
      </c>
      <c r="E4221">
        <f t="shared" si="262"/>
        <v>5153.8041000000012</v>
      </c>
      <c r="F4221">
        <f t="shared" si="263"/>
        <v>3025</v>
      </c>
    </row>
    <row r="4222" spans="1:6" x14ac:dyDescent="0.3">
      <c r="A4222">
        <v>38</v>
      </c>
      <c r="B4222">
        <v>167.16</v>
      </c>
      <c r="C4222">
        <f t="shared" si="260"/>
        <v>6352.08</v>
      </c>
      <c r="D4222">
        <f t="shared" si="261"/>
        <v>1444</v>
      </c>
      <c r="E4222">
        <f t="shared" si="262"/>
        <v>27942.4656</v>
      </c>
      <c r="F4222">
        <f t="shared" si="263"/>
        <v>1444</v>
      </c>
    </row>
    <row r="4223" spans="1:6" x14ac:dyDescent="0.3">
      <c r="A4223">
        <v>37</v>
      </c>
      <c r="B4223">
        <v>131.05000000000001</v>
      </c>
      <c r="C4223">
        <f t="shared" si="260"/>
        <v>4848.8500000000004</v>
      </c>
      <c r="D4223">
        <f t="shared" si="261"/>
        <v>1369</v>
      </c>
      <c r="E4223">
        <f t="shared" si="262"/>
        <v>17174.102500000005</v>
      </c>
      <c r="F4223">
        <f t="shared" si="263"/>
        <v>1369</v>
      </c>
    </row>
    <row r="4224" spans="1:6" x14ac:dyDescent="0.3">
      <c r="A4224">
        <v>34</v>
      </c>
      <c r="B4224">
        <v>86.92</v>
      </c>
      <c r="C4224">
        <f t="shared" si="260"/>
        <v>2955.28</v>
      </c>
      <c r="D4224">
        <f t="shared" si="261"/>
        <v>1156</v>
      </c>
      <c r="E4224">
        <f t="shared" si="262"/>
        <v>7555.0864000000001</v>
      </c>
      <c r="F4224">
        <f t="shared" si="263"/>
        <v>1156</v>
      </c>
    </row>
    <row r="4225" spans="1:6" x14ac:dyDescent="0.3">
      <c r="A4225">
        <v>52</v>
      </c>
      <c r="B4225">
        <v>59.62</v>
      </c>
      <c r="C4225">
        <f t="shared" si="260"/>
        <v>3100.24</v>
      </c>
      <c r="D4225">
        <f t="shared" si="261"/>
        <v>2704</v>
      </c>
      <c r="E4225">
        <f t="shared" si="262"/>
        <v>3554.5443999999998</v>
      </c>
      <c r="F4225">
        <f t="shared" si="263"/>
        <v>2704</v>
      </c>
    </row>
    <row r="4226" spans="1:6" x14ac:dyDescent="0.3">
      <c r="A4226">
        <v>50</v>
      </c>
      <c r="B4226">
        <v>103.72</v>
      </c>
      <c r="C4226">
        <f t="shared" si="260"/>
        <v>5186</v>
      </c>
      <c r="D4226">
        <f t="shared" si="261"/>
        <v>2500</v>
      </c>
      <c r="E4226">
        <f t="shared" si="262"/>
        <v>10757.838400000001</v>
      </c>
      <c r="F4226">
        <f t="shared" si="263"/>
        <v>2500</v>
      </c>
    </row>
    <row r="4227" spans="1:6" x14ac:dyDescent="0.3">
      <c r="A4227">
        <v>37</v>
      </c>
      <c r="B4227">
        <v>77.099999999999994</v>
      </c>
      <c r="C4227">
        <f t="shared" ref="C4227:C4290" si="264">A4227*B4227</f>
        <v>2852.7</v>
      </c>
      <c r="D4227">
        <f t="shared" ref="D4227:D4290" si="265">A4227*A4227</f>
        <v>1369</v>
      </c>
      <c r="E4227">
        <f t="shared" ref="E4227:E4290" si="266">B4227*B4227</f>
        <v>5944.4099999999989</v>
      </c>
      <c r="F4227">
        <f t="shared" ref="F4227:F4290" si="267">A4227^2</f>
        <v>1369</v>
      </c>
    </row>
    <row r="4228" spans="1:6" x14ac:dyDescent="0.3">
      <c r="A4228">
        <v>55</v>
      </c>
      <c r="B4228">
        <v>94.75</v>
      </c>
      <c r="C4228">
        <f t="shared" si="264"/>
        <v>5211.25</v>
      </c>
      <c r="D4228">
        <f t="shared" si="265"/>
        <v>3025</v>
      </c>
      <c r="E4228">
        <f t="shared" si="266"/>
        <v>8977.5625</v>
      </c>
      <c r="F4228">
        <f t="shared" si="267"/>
        <v>3025</v>
      </c>
    </row>
    <row r="4229" spans="1:6" x14ac:dyDescent="0.3">
      <c r="A4229">
        <v>2</v>
      </c>
      <c r="B4229">
        <v>77.72</v>
      </c>
      <c r="C4229">
        <f t="shared" si="264"/>
        <v>155.44</v>
      </c>
      <c r="D4229">
        <f t="shared" si="265"/>
        <v>4</v>
      </c>
      <c r="E4229">
        <f t="shared" si="266"/>
        <v>6040.3984</v>
      </c>
      <c r="F4229">
        <f t="shared" si="267"/>
        <v>4</v>
      </c>
    </row>
    <row r="4230" spans="1:6" x14ac:dyDescent="0.3">
      <c r="A4230">
        <v>68</v>
      </c>
      <c r="B4230">
        <v>76.09</v>
      </c>
      <c r="C4230">
        <f t="shared" si="264"/>
        <v>5174.12</v>
      </c>
      <c r="D4230">
        <f t="shared" si="265"/>
        <v>4624</v>
      </c>
      <c r="E4230">
        <f t="shared" si="266"/>
        <v>5789.6881000000003</v>
      </c>
      <c r="F4230">
        <f t="shared" si="267"/>
        <v>4624</v>
      </c>
    </row>
    <row r="4231" spans="1:6" x14ac:dyDescent="0.3">
      <c r="A4231">
        <v>27</v>
      </c>
      <c r="B4231">
        <v>61.8</v>
      </c>
      <c r="C4231">
        <f t="shared" si="264"/>
        <v>1668.6</v>
      </c>
      <c r="D4231">
        <f t="shared" si="265"/>
        <v>729</v>
      </c>
      <c r="E4231">
        <f t="shared" si="266"/>
        <v>3819.24</v>
      </c>
      <c r="F4231">
        <f t="shared" si="267"/>
        <v>729</v>
      </c>
    </row>
    <row r="4232" spans="1:6" x14ac:dyDescent="0.3">
      <c r="A4232">
        <v>17</v>
      </c>
      <c r="B4232">
        <v>92.97</v>
      </c>
      <c r="C4232">
        <f t="shared" si="264"/>
        <v>1580.49</v>
      </c>
      <c r="D4232">
        <f t="shared" si="265"/>
        <v>289</v>
      </c>
      <c r="E4232">
        <f t="shared" si="266"/>
        <v>8643.4208999999992</v>
      </c>
      <c r="F4232">
        <f t="shared" si="267"/>
        <v>289</v>
      </c>
    </row>
    <row r="4233" spans="1:6" x14ac:dyDescent="0.3">
      <c r="A4233">
        <v>53</v>
      </c>
      <c r="B4233">
        <v>83.73</v>
      </c>
      <c r="C4233">
        <f t="shared" si="264"/>
        <v>4437.6900000000005</v>
      </c>
      <c r="D4233">
        <f t="shared" si="265"/>
        <v>2809</v>
      </c>
      <c r="E4233">
        <f t="shared" si="266"/>
        <v>7010.7129000000004</v>
      </c>
      <c r="F4233">
        <f t="shared" si="267"/>
        <v>2809</v>
      </c>
    </row>
    <row r="4234" spans="1:6" x14ac:dyDescent="0.3">
      <c r="A4234">
        <v>5</v>
      </c>
      <c r="B4234">
        <v>79.33</v>
      </c>
      <c r="C4234">
        <f t="shared" si="264"/>
        <v>396.65</v>
      </c>
      <c r="D4234">
        <f t="shared" si="265"/>
        <v>25</v>
      </c>
      <c r="E4234">
        <f t="shared" si="266"/>
        <v>6293.2488999999996</v>
      </c>
      <c r="F4234">
        <f t="shared" si="267"/>
        <v>25</v>
      </c>
    </row>
    <row r="4235" spans="1:6" x14ac:dyDescent="0.3">
      <c r="A4235">
        <v>3</v>
      </c>
      <c r="B4235">
        <v>108.32</v>
      </c>
      <c r="C4235">
        <f t="shared" si="264"/>
        <v>324.95999999999998</v>
      </c>
      <c r="D4235">
        <f t="shared" si="265"/>
        <v>9</v>
      </c>
      <c r="E4235">
        <f t="shared" si="266"/>
        <v>11733.222399999999</v>
      </c>
      <c r="F4235">
        <f t="shared" si="267"/>
        <v>9</v>
      </c>
    </row>
    <row r="4236" spans="1:6" x14ac:dyDescent="0.3">
      <c r="A4236">
        <v>20</v>
      </c>
      <c r="B4236">
        <v>103.65</v>
      </c>
      <c r="C4236">
        <f t="shared" si="264"/>
        <v>2073</v>
      </c>
      <c r="D4236">
        <f t="shared" si="265"/>
        <v>400</v>
      </c>
      <c r="E4236">
        <f t="shared" si="266"/>
        <v>10743.322500000002</v>
      </c>
      <c r="F4236">
        <f t="shared" si="267"/>
        <v>400</v>
      </c>
    </row>
    <row r="4237" spans="1:6" x14ac:dyDescent="0.3">
      <c r="A4237">
        <v>19</v>
      </c>
      <c r="B4237">
        <v>86.19</v>
      </c>
      <c r="C4237">
        <f t="shared" si="264"/>
        <v>1637.61</v>
      </c>
      <c r="D4237">
        <f t="shared" si="265"/>
        <v>361</v>
      </c>
      <c r="E4237">
        <f t="shared" si="266"/>
        <v>7428.7160999999996</v>
      </c>
      <c r="F4237">
        <f t="shared" si="267"/>
        <v>361</v>
      </c>
    </row>
    <row r="4238" spans="1:6" x14ac:dyDescent="0.3">
      <c r="A4238">
        <v>31</v>
      </c>
      <c r="B4238">
        <v>131.41999999999999</v>
      </c>
      <c r="C4238">
        <f t="shared" si="264"/>
        <v>4074.0199999999995</v>
      </c>
      <c r="D4238">
        <f t="shared" si="265"/>
        <v>961</v>
      </c>
      <c r="E4238">
        <f t="shared" si="266"/>
        <v>17271.216399999998</v>
      </c>
      <c r="F4238">
        <f t="shared" si="267"/>
        <v>961</v>
      </c>
    </row>
    <row r="4239" spans="1:6" x14ac:dyDescent="0.3">
      <c r="A4239">
        <v>63</v>
      </c>
      <c r="B4239">
        <v>69.459999999999994</v>
      </c>
      <c r="C4239">
        <f t="shared" si="264"/>
        <v>4375.9799999999996</v>
      </c>
      <c r="D4239">
        <f t="shared" si="265"/>
        <v>3969</v>
      </c>
      <c r="E4239">
        <f t="shared" si="266"/>
        <v>4824.6915999999992</v>
      </c>
      <c r="F4239">
        <f t="shared" si="267"/>
        <v>3969</v>
      </c>
    </row>
    <row r="4240" spans="1:6" x14ac:dyDescent="0.3">
      <c r="A4240">
        <v>49</v>
      </c>
      <c r="B4240">
        <v>76.78</v>
      </c>
      <c r="C4240">
        <f t="shared" si="264"/>
        <v>3762.2200000000003</v>
      </c>
      <c r="D4240">
        <f t="shared" si="265"/>
        <v>2401</v>
      </c>
      <c r="E4240">
        <f t="shared" si="266"/>
        <v>5895.1684000000005</v>
      </c>
      <c r="F4240">
        <f t="shared" si="267"/>
        <v>2401</v>
      </c>
    </row>
    <row r="4241" spans="1:6" x14ac:dyDescent="0.3">
      <c r="A4241">
        <v>72</v>
      </c>
      <c r="B4241">
        <v>103.78</v>
      </c>
      <c r="C4241">
        <f t="shared" si="264"/>
        <v>7472.16</v>
      </c>
      <c r="D4241">
        <f t="shared" si="265"/>
        <v>5184</v>
      </c>
      <c r="E4241">
        <f t="shared" si="266"/>
        <v>10770.288399999999</v>
      </c>
      <c r="F4241">
        <f t="shared" si="267"/>
        <v>5184</v>
      </c>
    </row>
    <row r="4242" spans="1:6" x14ac:dyDescent="0.3">
      <c r="A4242">
        <v>50</v>
      </c>
      <c r="B4242">
        <v>213.43</v>
      </c>
      <c r="C4242">
        <f t="shared" si="264"/>
        <v>10671.5</v>
      </c>
      <c r="D4242">
        <f t="shared" si="265"/>
        <v>2500</v>
      </c>
      <c r="E4242">
        <f t="shared" si="266"/>
        <v>45552.3649</v>
      </c>
      <c r="F4242">
        <f t="shared" si="267"/>
        <v>2500</v>
      </c>
    </row>
    <row r="4243" spans="1:6" x14ac:dyDescent="0.3">
      <c r="A4243">
        <v>41</v>
      </c>
      <c r="B4243">
        <v>93.52</v>
      </c>
      <c r="C4243">
        <f t="shared" si="264"/>
        <v>3834.3199999999997</v>
      </c>
      <c r="D4243">
        <f t="shared" si="265"/>
        <v>1681</v>
      </c>
      <c r="E4243">
        <f t="shared" si="266"/>
        <v>8745.9903999999988</v>
      </c>
      <c r="F4243">
        <f t="shared" si="267"/>
        <v>1681</v>
      </c>
    </row>
    <row r="4244" spans="1:6" x14ac:dyDescent="0.3">
      <c r="A4244">
        <v>40</v>
      </c>
      <c r="B4244">
        <v>115.07</v>
      </c>
      <c r="C4244">
        <f t="shared" si="264"/>
        <v>4602.7999999999993</v>
      </c>
      <c r="D4244">
        <f t="shared" si="265"/>
        <v>1600</v>
      </c>
      <c r="E4244">
        <f t="shared" si="266"/>
        <v>13241.104899999998</v>
      </c>
      <c r="F4244">
        <f t="shared" si="267"/>
        <v>1600</v>
      </c>
    </row>
    <row r="4245" spans="1:6" x14ac:dyDescent="0.3">
      <c r="A4245">
        <v>17</v>
      </c>
      <c r="B4245">
        <v>69.45</v>
      </c>
      <c r="C4245">
        <f t="shared" si="264"/>
        <v>1180.6500000000001</v>
      </c>
      <c r="D4245">
        <f t="shared" si="265"/>
        <v>289</v>
      </c>
      <c r="E4245">
        <f t="shared" si="266"/>
        <v>4823.3025000000007</v>
      </c>
      <c r="F4245">
        <f t="shared" si="267"/>
        <v>289</v>
      </c>
    </row>
    <row r="4246" spans="1:6" x14ac:dyDescent="0.3">
      <c r="A4246">
        <v>3</v>
      </c>
      <c r="B4246">
        <v>81</v>
      </c>
      <c r="C4246">
        <f t="shared" si="264"/>
        <v>243</v>
      </c>
      <c r="D4246">
        <f t="shared" si="265"/>
        <v>9</v>
      </c>
      <c r="E4246">
        <f t="shared" si="266"/>
        <v>6561</v>
      </c>
      <c r="F4246">
        <f t="shared" si="267"/>
        <v>9</v>
      </c>
    </row>
    <row r="4247" spans="1:6" x14ac:dyDescent="0.3">
      <c r="A4247">
        <v>33</v>
      </c>
      <c r="B4247">
        <v>83.16</v>
      </c>
      <c r="C4247">
        <f t="shared" si="264"/>
        <v>2744.2799999999997</v>
      </c>
      <c r="D4247">
        <f t="shared" si="265"/>
        <v>1089</v>
      </c>
      <c r="E4247">
        <f t="shared" si="266"/>
        <v>6915.5855999999994</v>
      </c>
      <c r="F4247">
        <f t="shared" si="267"/>
        <v>1089</v>
      </c>
    </row>
    <row r="4248" spans="1:6" x14ac:dyDescent="0.3">
      <c r="A4248">
        <v>12</v>
      </c>
      <c r="B4248">
        <v>108.63</v>
      </c>
      <c r="C4248">
        <f t="shared" si="264"/>
        <v>1303.56</v>
      </c>
      <c r="D4248">
        <f t="shared" si="265"/>
        <v>144</v>
      </c>
      <c r="E4248">
        <f t="shared" si="266"/>
        <v>11800.4769</v>
      </c>
      <c r="F4248">
        <f t="shared" si="267"/>
        <v>144</v>
      </c>
    </row>
    <row r="4249" spans="1:6" x14ac:dyDescent="0.3">
      <c r="A4249">
        <v>23</v>
      </c>
      <c r="B4249">
        <v>88.06</v>
      </c>
      <c r="C4249">
        <f t="shared" si="264"/>
        <v>2025.38</v>
      </c>
      <c r="D4249">
        <f t="shared" si="265"/>
        <v>529</v>
      </c>
      <c r="E4249">
        <f t="shared" si="266"/>
        <v>7754.5636000000004</v>
      </c>
      <c r="F4249">
        <f t="shared" si="267"/>
        <v>529</v>
      </c>
    </row>
    <row r="4250" spans="1:6" x14ac:dyDescent="0.3">
      <c r="A4250">
        <v>31</v>
      </c>
      <c r="B4250">
        <v>80.569999999999993</v>
      </c>
      <c r="C4250">
        <f t="shared" si="264"/>
        <v>2497.6699999999996</v>
      </c>
      <c r="D4250">
        <f t="shared" si="265"/>
        <v>961</v>
      </c>
      <c r="E4250">
        <f t="shared" si="266"/>
        <v>6491.5248999999985</v>
      </c>
      <c r="F4250">
        <f t="shared" si="267"/>
        <v>961</v>
      </c>
    </row>
    <row r="4251" spans="1:6" x14ac:dyDescent="0.3">
      <c r="A4251">
        <v>65</v>
      </c>
      <c r="B4251">
        <v>248.24</v>
      </c>
      <c r="C4251">
        <f t="shared" si="264"/>
        <v>16135.6</v>
      </c>
      <c r="D4251">
        <f t="shared" si="265"/>
        <v>4225</v>
      </c>
      <c r="E4251">
        <f t="shared" si="266"/>
        <v>61623.097600000001</v>
      </c>
      <c r="F4251">
        <f t="shared" si="267"/>
        <v>4225</v>
      </c>
    </row>
    <row r="4252" spans="1:6" x14ac:dyDescent="0.3">
      <c r="A4252">
        <v>43</v>
      </c>
      <c r="B4252">
        <v>57.79</v>
      </c>
      <c r="C4252">
        <f t="shared" si="264"/>
        <v>2484.9699999999998</v>
      </c>
      <c r="D4252">
        <f t="shared" si="265"/>
        <v>1849</v>
      </c>
      <c r="E4252">
        <f t="shared" si="266"/>
        <v>3339.6840999999999</v>
      </c>
      <c r="F4252">
        <f t="shared" si="267"/>
        <v>1849</v>
      </c>
    </row>
    <row r="4253" spans="1:6" x14ac:dyDescent="0.3">
      <c r="A4253">
        <v>22</v>
      </c>
      <c r="B4253">
        <v>87.4</v>
      </c>
      <c r="C4253">
        <f t="shared" si="264"/>
        <v>1922.8000000000002</v>
      </c>
      <c r="D4253">
        <f t="shared" si="265"/>
        <v>484</v>
      </c>
      <c r="E4253">
        <f t="shared" si="266"/>
        <v>7638.7600000000011</v>
      </c>
      <c r="F4253">
        <f t="shared" si="267"/>
        <v>484</v>
      </c>
    </row>
    <row r="4254" spans="1:6" x14ac:dyDescent="0.3">
      <c r="A4254">
        <v>7</v>
      </c>
      <c r="B4254">
        <v>76.63</v>
      </c>
      <c r="C4254">
        <f t="shared" si="264"/>
        <v>536.41</v>
      </c>
      <c r="D4254">
        <f t="shared" si="265"/>
        <v>49</v>
      </c>
      <c r="E4254">
        <f t="shared" si="266"/>
        <v>5872.156899999999</v>
      </c>
      <c r="F4254">
        <f t="shared" si="267"/>
        <v>49</v>
      </c>
    </row>
    <row r="4255" spans="1:6" x14ac:dyDescent="0.3">
      <c r="A4255">
        <v>81</v>
      </c>
      <c r="B4255">
        <v>58.01</v>
      </c>
      <c r="C4255">
        <f t="shared" si="264"/>
        <v>4698.8099999999995</v>
      </c>
      <c r="D4255">
        <f t="shared" si="265"/>
        <v>6561</v>
      </c>
      <c r="E4255">
        <f t="shared" si="266"/>
        <v>3365.1600999999996</v>
      </c>
      <c r="F4255">
        <f t="shared" si="267"/>
        <v>6561</v>
      </c>
    </row>
    <row r="4256" spans="1:6" x14ac:dyDescent="0.3">
      <c r="A4256">
        <v>10</v>
      </c>
      <c r="B4256">
        <v>77.430000000000007</v>
      </c>
      <c r="C4256">
        <f t="shared" si="264"/>
        <v>774.30000000000007</v>
      </c>
      <c r="D4256">
        <f t="shared" si="265"/>
        <v>100</v>
      </c>
      <c r="E4256">
        <f t="shared" si="266"/>
        <v>5995.4049000000014</v>
      </c>
      <c r="F4256">
        <f t="shared" si="267"/>
        <v>100</v>
      </c>
    </row>
    <row r="4257" spans="1:6" x14ac:dyDescent="0.3">
      <c r="A4257">
        <v>18</v>
      </c>
      <c r="B4257">
        <v>101.12</v>
      </c>
      <c r="C4257">
        <f t="shared" si="264"/>
        <v>1820.16</v>
      </c>
      <c r="D4257">
        <f t="shared" si="265"/>
        <v>324</v>
      </c>
      <c r="E4257">
        <f t="shared" si="266"/>
        <v>10225.254400000002</v>
      </c>
      <c r="F4257">
        <f t="shared" si="267"/>
        <v>324</v>
      </c>
    </row>
    <row r="4258" spans="1:6" x14ac:dyDescent="0.3">
      <c r="A4258">
        <v>5</v>
      </c>
      <c r="B4258">
        <v>64.45</v>
      </c>
      <c r="C4258">
        <f t="shared" si="264"/>
        <v>322.25</v>
      </c>
      <c r="D4258">
        <f t="shared" si="265"/>
        <v>25</v>
      </c>
      <c r="E4258">
        <f t="shared" si="266"/>
        <v>4153.8025000000007</v>
      </c>
      <c r="F4258">
        <f t="shared" si="267"/>
        <v>25</v>
      </c>
    </row>
    <row r="4259" spans="1:6" x14ac:dyDescent="0.3">
      <c r="A4259">
        <v>24</v>
      </c>
      <c r="B4259">
        <v>79.42</v>
      </c>
      <c r="C4259">
        <f t="shared" si="264"/>
        <v>1906.08</v>
      </c>
      <c r="D4259">
        <f t="shared" si="265"/>
        <v>576</v>
      </c>
      <c r="E4259">
        <f t="shared" si="266"/>
        <v>6307.5364</v>
      </c>
      <c r="F4259">
        <f t="shared" si="267"/>
        <v>576</v>
      </c>
    </row>
    <row r="4260" spans="1:6" x14ac:dyDescent="0.3">
      <c r="A4260">
        <v>45</v>
      </c>
      <c r="B4260">
        <v>82.94</v>
      </c>
      <c r="C4260">
        <f t="shared" si="264"/>
        <v>3732.2999999999997</v>
      </c>
      <c r="D4260">
        <f t="shared" si="265"/>
        <v>2025</v>
      </c>
      <c r="E4260">
        <f t="shared" si="266"/>
        <v>6879.0436</v>
      </c>
      <c r="F4260">
        <f t="shared" si="267"/>
        <v>2025</v>
      </c>
    </row>
    <row r="4261" spans="1:6" x14ac:dyDescent="0.3">
      <c r="A4261">
        <v>46</v>
      </c>
      <c r="B4261">
        <v>81.58</v>
      </c>
      <c r="C4261">
        <f t="shared" si="264"/>
        <v>3752.68</v>
      </c>
      <c r="D4261">
        <f t="shared" si="265"/>
        <v>2116</v>
      </c>
      <c r="E4261">
        <f t="shared" si="266"/>
        <v>6655.2964000000002</v>
      </c>
      <c r="F4261">
        <f t="shared" si="267"/>
        <v>2116</v>
      </c>
    </row>
    <row r="4262" spans="1:6" x14ac:dyDescent="0.3">
      <c r="A4262">
        <v>64</v>
      </c>
      <c r="B4262">
        <v>62.21</v>
      </c>
      <c r="C4262">
        <f t="shared" si="264"/>
        <v>3981.44</v>
      </c>
      <c r="D4262">
        <f t="shared" si="265"/>
        <v>4096</v>
      </c>
      <c r="E4262">
        <f t="shared" si="266"/>
        <v>3870.0841</v>
      </c>
      <c r="F4262">
        <f t="shared" si="267"/>
        <v>4096</v>
      </c>
    </row>
    <row r="4263" spans="1:6" x14ac:dyDescent="0.3">
      <c r="A4263">
        <v>25</v>
      </c>
      <c r="B4263">
        <v>229.94</v>
      </c>
      <c r="C4263">
        <f t="shared" si="264"/>
        <v>5748.5</v>
      </c>
      <c r="D4263">
        <f t="shared" si="265"/>
        <v>625</v>
      </c>
      <c r="E4263">
        <f t="shared" si="266"/>
        <v>52872.403599999998</v>
      </c>
      <c r="F4263">
        <f t="shared" si="267"/>
        <v>625</v>
      </c>
    </row>
    <row r="4264" spans="1:6" x14ac:dyDescent="0.3">
      <c r="A4264">
        <v>12</v>
      </c>
      <c r="B4264">
        <v>116.06</v>
      </c>
      <c r="C4264">
        <f t="shared" si="264"/>
        <v>1392.72</v>
      </c>
      <c r="D4264">
        <f t="shared" si="265"/>
        <v>144</v>
      </c>
      <c r="E4264">
        <f t="shared" si="266"/>
        <v>13469.9236</v>
      </c>
      <c r="F4264">
        <f t="shared" si="267"/>
        <v>144</v>
      </c>
    </row>
    <row r="4265" spans="1:6" x14ac:dyDescent="0.3">
      <c r="A4265">
        <v>81</v>
      </c>
      <c r="B4265">
        <v>117.77</v>
      </c>
      <c r="C4265">
        <f t="shared" si="264"/>
        <v>9539.369999999999</v>
      </c>
      <c r="D4265">
        <f t="shared" si="265"/>
        <v>6561</v>
      </c>
      <c r="E4265">
        <f t="shared" si="266"/>
        <v>13869.7729</v>
      </c>
      <c r="F4265">
        <f t="shared" si="267"/>
        <v>6561</v>
      </c>
    </row>
    <row r="4266" spans="1:6" x14ac:dyDescent="0.3">
      <c r="A4266">
        <v>65</v>
      </c>
      <c r="B4266">
        <v>66.69</v>
      </c>
      <c r="C4266">
        <f t="shared" si="264"/>
        <v>4334.8499999999995</v>
      </c>
      <c r="D4266">
        <f t="shared" si="265"/>
        <v>4225</v>
      </c>
      <c r="E4266">
        <f t="shared" si="266"/>
        <v>4447.5560999999998</v>
      </c>
      <c r="F4266">
        <f t="shared" si="267"/>
        <v>4225</v>
      </c>
    </row>
    <row r="4267" spans="1:6" x14ac:dyDescent="0.3">
      <c r="A4267">
        <v>40</v>
      </c>
      <c r="B4267">
        <v>122.23</v>
      </c>
      <c r="C4267">
        <f t="shared" si="264"/>
        <v>4889.2</v>
      </c>
      <c r="D4267">
        <f t="shared" si="265"/>
        <v>1600</v>
      </c>
      <c r="E4267">
        <f t="shared" si="266"/>
        <v>14940.172900000001</v>
      </c>
      <c r="F4267">
        <f t="shared" si="267"/>
        <v>1600</v>
      </c>
    </row>
    <row r="4268" spans="1:6" x14ac:dyDescent="0.3">
      <c r="A4268">
        <v>81</v>
      </c>
      <c r="B4268">
        <v>168.68</v>
      </c>
      <c r="C4268">
        <f t="shared" si="264"/>
        <v>13663.08</v>
      </c>
      <c r="D4268">
        <f t="shared" si="265"/>
        <v>6561</v>
      </c>
      <c r="E4268">
        <f t="shared" si="266"/>
        <v>28452.942400000004</v>
      </c>
      <c r="F4268">
        <f t="shared" si="267"/>
        <v>6561</v>
      </c>
    </row>
    <row r="4269" spans="1:6" x14ac:dyDescent="0.3">
      <c r="A4269">
        <v>36</v>
      </c>
      <c r="B4269">
        <v>119.9</v>
      </c>
      <c r="C4269">
        <f t="shared" si="264"/>
        <v>4316.4000000000005</v>
      </c>
      <c r="D4269">
        <f t="shared" si="265"/>
        <v>1296</v>
      </c>
      <c r="E4269">
        <f t="shared" si="266"/>
        <v>14376.010000000002</v>
      </c>
      <c r="F4269">
        <f t="shared" si="267"/>
        <v>1296</v>
      </c>
    </row>
    <row r="4270" spans="1:6" x14ac:dyDescent="0.3">
      <c r="A4270">
        <v>32</v>
      </c>
      <c r="B4270">
        <v>110.33</v>
      </c>
      <c r="C4270">
        <f t="shared" si="264"/>
        <v>3530.56</v>
      </c>
      <c r="D4270">
        <f t="shared" si="265"/>
        <v>1024</v>
      </c>
      <c r="E4270">
        <f t="shared" si="266"/>
        <v>12172.7089</v>
      </c>
      <c r="F4270">
        <f t="shared" si="267"/>
        <v>1024</v>
      </c>
    </row>
    <row r="4271" spans="1:6" x14ac:dyDescent="0.3">
      <c r="A4271">
        <v>31</v>
      </c>
      <c r="B4271">
        <v>77.95</v>
      </c>
      <c r="C4271">
        <f t="shared" si="264"/>
        <v>2416.4500000000003</v>
      </c>
      <c r="D4271">
        <f t="shared" si="265"/>
        <v>961</v>
      </c>
      <c r="E4271">
        <f t="shared" si="266"/>
        <v>6076.2025000000003</v>
      </c>
      <c r="F4271">
        <f t="shared" si="267"/>
        <v>961</v>
      </c>
    </row>
    <row r="4272" spans="1:6" x14ac:dyDescent="0.3">
      <c r="A4272">
        <v>55</v>
      </c>
      <c r="B4272">
        <v>80.349999999999994</v>
      </c>
      <c r="C4272">
        <f t="shared" si="264"/>
        <v>4419.25</v>
      </c>
      <c r="D4272">
        <f t="shared" si="265"/>
        <v>3025</v>
      </c>
      <c r="E4272">
        <f t="shared" si="266"/>
        <v>6456.1224999999995</v>
      </c>
      <c r="F4272">
        <f t="shared" si="267"/>
        <v>3025</v>
      </c>
    </row>
    <row r="4273" spans="1:6" x14ac:dyDescent="0.3">
      <c r="A4273">
        <v>39</v>
      </c>
      <c r="B4273">
        <v>57.38</v>
      </c>
      <c r="C4273">
        <f t="shared" si="264"/>
        <v>2237.8200000000002</v>
      </c>
      <c r="D4273">
        <f t="shared" si="265"/>
        <v>1521</v>
      </c>
      <c r="E4273">
        <f t="shared" si="266"/>
        <v>3292.4644000000003</v>
      </c>
      <c r="F4273">
        <f t="shared" si="267"/>
        <v>1521</v>
      </c>
    </row>
    <row r="4274" spans="1:6" x14ac:dyDescent="0.3">
      <c r="A4274">
        <v>17</v>
      </c>
      <c r="B4274">
        <v>96.47</v>
      </c>
      <c r="C4274">
        <f t="shared" si="264"/>
        <v>1639.99</v>
      </c>
      <c r="D4274">
        <f t="shared" si="265"/>
        <v>289</v>
      </c>
      <c r="E4274">
        <f t="shared" si="266"/>
        <v>9306.4609</v>
      </c>
      <c r="F4274">
        <f t="shared" si="267"/>
        <v>289</v>
      </c>
    </row>
    <row r="4275" spans="1:6" x14ac:dyDescent="0.3">
      <c r="A4275">
        <v>31</v>
      </c>
      <c r="B4275">
        <v>70.66</v>
      </c>
      <c r="C4275">
        <f t="shared" si="264"/>
        <v>2190.46</v>
      </c>
      <c r="D4275">
        <f t="shared" si="265"/>
        <v>961</v>
      </c>
      <c r="E4275">
        <f t="shared" si="266"/>
        <v>4992.8355999999994</v>
      </c>
      <c r="F4275">
        <f t="shared" si="267"/>
        <v>961</v>
      </c>
    </row>
    <row r="4276" spans="1:6" x14ac:dyDescent="0.3">
      <c r="A4276">
        <v>36</v>
      </c>
      <c r="B4276">
        <v>202.06</v>
      </c>
      <c r="C4276">
        <f t="shared" si="264"/>
        <v>7274.16</v>
      </c>
      <c r="D4276">
        <f t="shared" si="265"/>
        <v>1296</v>
      </c>
      <c r="E4276">
        <f t="shared" si="266"/>
        <v>40828.243600000002</v>
      </c>
      <c r="F4276">
        <f t="shared" si="267"/>
        <v>1296</v>
      </c>
    </row>
    <row r="4277" spans="1:6" x14ac:dyDescent="0.3">
      <c r="A4277">
        <v>5</v>
      </c>
      <c r="B4277">
        <v>91.3</v>
      </c>
      <c r="C4277">
        <f t="shared" si="264"/>
        <v>456.5</v>
      </c>
      <c r="D4277">
        <f t="shared" si="265"/>
        <v>25</v>
      </c>
      <c r="E4277">
        <f t="shared" si="266"/>
        <v>8335.6899999999987</v>
      </c>
      <c r="F4277">
        <f t="shared" si="267"/>
        <v>25</v>
      </c>
    </row>
    <row r="4278" spans="1:6" x14ac:dyDescent="0.3">
      <c r="A4278">
        <v>29</v>
      </c>
      <c r="B4278">
        <v>67.56</v>
      </c>
      <c r="C4278">
        <f t="shared" si="264"/>
        <v>1959.24</v>
      </c>
      <c r="D4278">
        <f t="shared" si="265"/>
        <v>841</v>
      </c>
      <c r="E4278">
        <f t="shared" si="266"/>
        <v>4564.3536000000004</v>
      </c>
      <c r="F4278">
        <f t="shared" si="267"/>
        <v>841</v>
      </c>
    </row>
    <row r="4279" spans="1:6" x14ac:dyDescent="0.3">
      <c r="A4279">
        <v>2</v>
      </c>
      <c r="B4279">
        <v>126.12</v>
      </c>
      <c r="C4279">
        <f t="shared" si="264"/>
        <v>252.24</v>
      </c>
      <c r="D4279">
        <f t="shared" si="265"/>
        <v>4</v>
      </c>
      <c r="E4279">
        <f t="shared" si="266"/>
        <v>15906.254400000002</v>
      </c>
      <c r="F4279">
        <f t="shared" si="267"/>
        <v>4</v>
      </c>
    </row>
    <row r="4280" spans="1:6" x14ac:dyDescent="0.3">
      <c r="A4280">
        <v>62</v>
      </c>
      <c r="B4280">
        <v>86.4</v>
      </c>
      <c r="C4280">
        <f t="shared" si="264"/>
        <v>5356.8</v>
      </c>
      <c r="D4280">
        <f t="shared" si="265"/>
        <v>3844</v>
      </c>
      <c r="E4280">
        <f t="shared" si="266"/>
        <v>7464.9600000000009</v>
      </c>
      <c r="F4280">
        <f t="shared" si="267"/>
        <v>3844</v>
      </c>
    </row>
    <row r="4281" spans="1:6" x14ac:dyDescent="0.3">
      <c r="A4281">
        <v>45</v>
      </c>
      <c r="B4281">
        <v>103.22</v>
      </c>
      <c r="C4281">
        <f t="shared" si="264"/>
        <v>4644.8999999999996</v>
      </c>
      <c r="D4281">
        <f t="shared" si="265"/>
        <v>2025</v>
      </c>
      <c r="E4281">
        <f t="shared" si="266"/>
        <v>10654.368399999999</v>
      </c>
      <c r="F4281">
        <f t="shared" si="267"/>
        <v>2025</v>
      </c>
    </row>
    <row r="4282" spans="1:6" x14ac:dyDescent="0.3">
      <c r="A4282">
        <v>18</v>
      </c>
      <c r="B4282">
        <v>88.85</v>
      </c>
      <c r="C4282">
        <f t="shared" si="264"/>
        <v>1599.3</v>
      </c>
      <c r="D4282">
        <f t="shared" si="265"/>
        <v>324</v>
      </c>
      <c r="E4282">
        <f t="shared" si="266"/>
        <v>7894.3224999999993</v>
      </c>
      <c r="F4282">
        <f t="shared" si="267"/>
        <v>324</v>
      </c>
    </row>
    <row r="4283" spans="1:6" x14ac:dyDescent="0.3">
      <c r="A4283">
        <v>29</v>
      </c>
      <c r="B4283">
        <v>63.9</v>
      </c>
      <c r="C4283">
        <f t="shared" si="264"/>
        <v>1853.1</v>
      </c>
      <c r="D4283">
        <f t="shared" si="265"/>
        <v>841</v>
      </c>
      <c r="E4283">
        <f t="shared" si="266"/>
        <v>4083.21</v>
      </c>
      <c r="F4283">
        <f t="shared" si="267"/>
        <v>841</v>
      </c>
    </row>
    <row r="4284" spans="1:6" x14ac:dyDescent="0.3">
      <c r="A4284">
        <v>52</v>
      </c>
      <c r="B4284">
        <v>81.319999999999993</v>
      </c>
      <c r="C4284">
        <f t="shared" si="264"/>
        <v>4228.6399999999994</v>
      </c>
      <c r="D4284">
        <f t="shared" si="265"/>
        <v>2704</v>
      </c>
      <c r="E4284">
        <f t="shared" si="266"/>
        <v>6612.942399999999</v>
      </c>
      <c r="F4284">
        <f t="shared" si="267"/>
        <v>2704</v>
      </c>
    </row>
    <row r="4285" spans="1:6" x14ac:dyDescent="0.3">
      <c r="A4285">
        <v>59</v>
      </c>
      <c r="B4285">
        <v>253.93</v>
      </c>
      <c r="C4285">
        <f t="shared" si="264"/>
        <v>14981.87</v>
      </c>
      <c r="D4285">
        <f t="shared" si="265"/>
        <v>3481</v>
      </c>
      <c r="E4285">
        <f t="shared" si="266"/>
        <v>64480.444900000002</v>
      </c>
      <c r="F4285">
        <f t="shared" si="267"/>
        <v>3481</v>
      </c>
    </row>
    <row r="4286" spans="1:6" x14ac:dyDescent="0.3">
      <c r="A4286">
        <v>69</v>
      </c>
      <c r="B4286">
        <v>78.11</v>
      </c>
      <c r="C4286">
        <f t="shared" si="264"/>
        <v>5389.59</v>
      </c>
      <c r="D4286">
        <f t="shared" si="265"/>
        <v>4761</v>
      </c>
      <c r="E4286">
        <f t="shared" si="266"/>
        <v>6101.1720999999998</v>
      </c>
      <c r="F4286">
        <f t="shared" si="267"/>
        <v>4761</v>
      </c>
    </row>
    <row r="4287" spans="1:6" x14ac:dyDescent="0.3">
      <c r="A4287">
        <v>71</v>
      </c>
      <c r="B4287">
        <v>134.65</v>
      </c>
      <c r="C4287">
        <f t="shared" si="264"/>
        <v>9560.15</v>
      </c>
      <c r="D4287">
        <f t="shared" si="265"/>
        <v>5041</v>
      </c>
      <c r="E4287">
        <f t="shared" si="266"/>
        <v>18130.622500000001</v>
      </c>
      <c r="F4287">
        <f t="shared" si="267"/>
        <v>5041</v>
      </c>
    </row>
    <row r="4288" spans="1:6" x14ac:dyDescent="0.3">
      <c r="A4288">
        <v>3</v>
      </c>
      <c r="B4288">
        <v>194.75</v>
      </c>
      <c r="C4288">
        <f t="shared" si="264"/>
        <v>584.25</v>
      </c>
      <c r="D4288">
        <f t="shared" si="265"/>
        <v>9</v>
      </c>
      <c r="E4288">
        <f t="shared" si="266"/>
        <v>37927.5625</v>
      </c>
      <c r="F4288">
        <f t="shared" si="267"/>
        <v>9</v>
      </c>
    </row>
    <row r="4289" spans="1:6" x14ac:dyDescent="0.3">
      <c r="A4289">
        <v>33</v>
      </c>
      <c r="B4289">
        <v>77.94</v>
      </c>
      <c r="C4289">
        <f t="shared" si="264"/>
        <v>2572.02</v>
      </c>
      <c r="D4289">
        <f t="shared" si="265"/>
        <v>1089</v>
      </c>
      <c r="E4289">
        <f t="shared" si="266"/>
        <v>6074.6435999999994</v>
      </c>
      <c r="F4289">
        <f t="shared" si="267"/>
        <v>1089</v>
      </c>
    </row>
    <row r="4290" spans="1:6" x14ac:dyDescent="0.3">
      <c r="A4290">
        <v>43</v>
      </c>
      <c r="B4290">
        <v>56.94</v>
      </c>
      <c r="C4290">
        <f t="shared" si="264"/>
        <v>2448.42</v>
      </c>
      <c r="D4290">
        <f t="shared" si="265"/>
        <v>1849</v>
      </c>
      <c r="E4290">
        <f t="shared" si="266"/>
        <v>3242.1635999999999</v>
      </c>
      <c r="F4290">
        <f t="shared" si="267"/>
        <v>1849</v>
      </c>
    </row>
    <row r="4291" spans="1:6" x14ac:dyDescent="0.3">
      <c r="A4291">
        <v>39</v>
      </c>
      <c r="B4291">
        <v>117.03</v>
      </c>
      <c r="C4291">
        <f t="shared" ref="C4291:C4354" si="268">A4291*B4291</f>
        <v>4564.17</v>
      </c>
      <c r="D4291">
        <f t="shared" ref="D4291:D4354" si="269">A4291*A4291</f>
        <v>1521</v>
      </c>
      <c r="E4291">
        <f t="shared" ref="E4291:E4354" si="270">B4291*B4291</f>
        <v>13696.0209</v>
      </c>
      <c r="F4291">
        <f t="shared" ref="F4291:F4354" si="271">A4291^2</f>
        <v>1521</v>
      </c>
    </row>
    <row r="4292" spans="1:6" x14ac:dyDescent="0.3">
      <c r="A4292">
        <v>60</v>
      </c>
      <c r="B4292">
        <v>207.84</v>
      </c>
      <c r="C4292">
        <f t="shared" si="268"/>
        <v>12470.4</v>
      </c>
      <c r="D4292">
        <f t="shared" si="269"/>
        <v>3600</v>
      </c>
      <c r="E4292">
        <f t="shared" si="270"/>
        <v>43197.465600000003</v>
      </c>
      <c r="F4292">
        <f t="shared" si="271"/>
        <v>3600</v>
      </c>
    </row>
    <row r="4293" spans="1:6" x14ac:dyDescent="0.3">
      <c r="A4293">
        <v>54</v>
      </c>
      <c r="B4293">
        <v>228.26</v>
      </c>
      <c r="C4293">
        <f t="shared" si="268"/>
        <v>12326.039999999999</v>
      </c>
      <c r="D4293">
        <f t="shared" si="269"/>
        <v>2916</v>
      </c>
      <c r="E4293">
        <f t="shared" si="270"/>
        <v>52102.627599999993</v>
      </c>
      <c r="F4293">
        <f t="shared" si="271"/>
        <v>2916</v>
      </c>
    </row>
    <row r="4294" spans="1:6" x14ac:dyDescent="0.3">
      <c r="A4294">
        <v>61</v>
      </c>
      <c r="B4294">
        <v>84.43</v>
      </c>
      <c r="C4294">
        <f t="shared" si="268"/>
        <v>5150.2300000000005</v>
      </c>
      <c r="D4294">
        <f t="shared" si="269"/>
        <v>3721</v>
      </c>
      <c r="E4294">
        <f t="shared" si="270"/>
        <v>7128.4249000000009</v>
      </c>
      <c r="F4294">
        <f t="shared" si="271"/>
        <v>3721</v>
      </c>
    </row>
    <row r="4295" spans="1:6" x14ac:dyDescent="0.3">
      <c r="A4295">
        <v>0.24</v>
      </c>
      <c r="B4295">
        <v>57.09</v>
      </c>
      <c r="C4295">
        <f t="shared" si="268"/>
        <v>13.701600000000001</v>
      </c>
      <c r="D4295">
        <f t="shared" si="269"/>
        <v>5.7599999999999998E-2</v>
      </c>
      <c r="E4295">
        <f t="shared" si="270"/>
        <v>3259.2681000000002</v>
      </c>
      <c r="F4295">
        <f t="shared" si="271"/>
        <v>5.7599999999999998E-2</v>
      </c>
    </row>
    <row r="4296" spans="1:6" x14ac:dyDescent="0.3">
      <c r="A4296">
        <v>11</v>
      </c>
      <c r="B4296">
        <v>94.89</v>
      </c>
      <c r="C4296">
        <f t="shared" si="268"/>
        <v>1043.79</v>
      </c>
      <c r="D4296">
        <f t="shared" si="269"/>
        <v>121</v>
      </c>
      <c r="E4296">
        <f t="shared" si="270"/>
        <v>9004.1121000000003</v>
      </c>
      <c r="F4296">
        <f t="shared" si="271"/>
        <v>121</v>
      </c>
    </row>
    <row r="4297" spans="1:6" x14ac:dyDescent="0.3">
      <c r="A4297">
        <v>75</v>
      </c>
      <c r="B4297">
        <v>132.46</v>
      </c>
      <c r="C4297">
        <f t="shared" si="268"/>
        <v>9934.5</v>
      </c>
      <c r="D4297">
        <f t="shared" si="269"/>
        <v>5625</v>
      </c>
      <c r="E4297">
        <f t="shared" si="270"/>
        <v>17545.651600000001</v>
      </c>
      <c r="F4297">
        <f t="shared" si="271"/>
        <v>5625</v>
      </c>
    </row>
    <row r="4298" spans="1:6" x14ac:dyDescent="0.3">
      <c r="A4298">
        <v>64</v>
      </c>
      <c r="B4298">
        <v>75.13</v>
      </c>
      <c r="C4298">
        <f t="shared" si="268"/>
        <v>4808.32</v>
      </c>
      <c r="D4298">
        <f t="shared" si="269"/>
        <v>4096</v>
      </c>
      <c r="E4298">
        <f t="shared" si="270"/>
        <v>5644.5168999999996</v>
      </c>
      <c r="F4298">
        <f t="shared" si="271"/>
        <v>4096</v>
      </c>
    </row>
    <row r="4299" spans="1:6" x14ac:dyDescent="0.3">
      <c r="A4299">
        <v>78</v>
      </c>
      <c r="B4299">
        <v>76.64</v>
      </c>
      <c r="C4299">
        <f t="shared" si="268"/>
        <v>5977.92</v>
      </c>
      <c r="D4299">
        <f t="shared" si="269"/>
        <v>6084</v>
      </c>
      <c r="E4299">
        <f t="shared" si="270"/>
        <v>5873.6895999999997</v>
      </c>
      <c r="F4299">
        <f t="shared" si="271"/>
        <v>6084</v>
      </c>
    </row>
    <row r="4300" spans="1:6" x14ac:dyDescent="0.3">
      <c r="A4300">
        <v>14</v>
      </c>
      <c r="B4300">
        <v>91.32</v>
      </c>
      <c r="C4300">
        <f t="shared" si="268"/>
        <v>1278.48</v>
      </c>
      <c r="D4300">
        <f t="shared" si="269"/>
        <v>196</v>
      </c>
      <c r="E4300">
        <f t="shared" si="270"/>
        <v>8339.3423999999995</v>
      </c>
      <c r="F4300">
        <f t="shared" si="271"/>
        <v>196</v>
      </c>
    </row>
    <row r="4301" spans="1:6" x14ac:dyDescent="0.3">
      <c r="A4301">
        <v>66</v>
      </c>
      <c r="B4301">
        <v>85.9</v>
      </c>
      <c r="C4301">
        <f t="shared" si="268"/>
        <v>5669.4000000000005</v>
      </c>
      <c r="D4301">
        <f t="shared" si="269"/>
        <v>4356</v>
      </c>
      <c r="E4301">
        <f t="shared" si="270"/>
        <v>7378.8100000000013</v>
      </c>
      <c r="F4301">
        <f t="shared" si="271"/>
        <v>4356</v>
      </c>
    </row>
    <row r="4302" spans="1:6" x14ac:dyDescent="0.3">
      <c r="A4302">
        <v>48</v>
      </c>
      <c r="B4302">
        <v>76.19</v>
      </c>
      <c r="C4302">
        <f t="shared" si="268"/>
        <v>3657.12</v>
      </c>
      <c r="D4302">
        <f t="shared" si="269"/>
        <v>2304</v>
      </c>
      <c r="E4302">
        <f t="shared" si="270"/>
        <v>5804.9160999999995</v>
      </c>
      <c r="F4302">
        <f t="shared" si="271"/>
        <v>2304</v>
      </c>
    </row>
    <row r="4303" spans="1:6" x14ac:dyDescent="0.3">
      <c r="A4303">
        <v>44</v>
      </c>
      <c r="B4303">
        <v>85.77</v>
      </c>
      <c r="C4303">
        <f t="shared" si="268"/>
        <v>3773.8799999999997</v>
      </c>
      <c r="D4303">
        <f t="shared" si="269"/>
        <v>1936</v>
      </c>
      <c r="E4303">
        <f t="shared" si="270"/>
        <v>7356.4928999999993</v>
      </c>
      <c r="F4303">
        <f t="shared" si="271"/>
        <v>1936</v>
      </c>
    </row>
    <row r="4304" spans="1:6" x14ac:dyDescent="0.3">
      <c r="A4304">
        <v>30</v>
      </c>
      <c r="B4304">
        <v>63.42</v>
      </c>
      <c r="C4304">
        <f t="shared" si="268"/>
        <v>1902.6000000000001</v>
      </c>
      <c r="D4304">
        <f t="shared" si="269"/>
        <v>900</v>
      </c>
      <c r="E4304">
        <f t="shared" si="270"/>
        <v>4022.0964000000004</v>
      </c>
      <c r="F4304">
        <f t="shared" si="271"/>
        <v>900</v>
      </c>
    </row>
    <row r="4305" spans="1:6" x14ac:dyDescent="0.3">
      <c r="A4305">
        <v>1.48</v>
      </c>
      <c r="B4305">
        <v>112.02</v>
      </c>
      <c r="C4305">
        <f t="shared" si="268"/>
        <v>165.78959999999998</v>
      </c>
      <c r="D4305">
        <f t="shared" si="269"/>
        <v>2.1903999999999999</v>
      </c>
      <c r="E4305">
        <f t="shared" si="270"/>
        <v>12548.480399999999</v>
      </c>
      <c r="F4305">
        <f t="shared" si="271"/>
        <v>2.1903999999999999</v>
      </c>
    </row>
    <row r="4306" spans="1:6" x14ac:dyDescent="0.3">
      <c r="A4306">
        <v>61</v>
      </c>
      <c r="B4306">
        <v>203.76</v>
      </c>
      <c r="C4306">
        <f t="shared" si="268"/>
        <v>12429.359999999999</v>
      </c>
      <c r="D4306">
        <f t="shared" si="269"/>
        <v>3721</v>
      </c>
      <c r="E4306">
        <f t="shared" si="270"/>
        <v>41518.137599999995</v>
      </c>
      <c r="F4306">
        <f t="shared" si="271"/>
        <v>3721</v>
      </c>
    </row>
    <row r="4307" spans="1:6" x14ac:dyDescent="0.3">
      <c r="A4307">
        <v>54</v>
      </c>
      <c r="B4307">
        <v>98.44</v>
      </c>
      <c r="C4307">
        <f t="shared" si="268"/>
        <v>5315.76</v>
      </c>
      <c r="D4307">
        <f t="shared" si="269"/>
        <v>2916</v>
      </c>
      <c r="E4307">
        <f t="shared" si="270"/>
        <v>9690.4336000000003</v>
      </c>
      <c r="F4307">
        <f t="shared" si="271"/>
        <v>2916</v>
      </c>
    </row>
    <row r="4308" spans="1:6" x14ac:dyDescent="0.3">
      <c r="A4308">
        <v>22</v>
      </c>
      <c r="B4308">
        <v>79.569999999999993</v>
      </c>
      <c r="C4308">
        <f t="shared" si="268"/>
        <v>1750.54</v>
      </c>
      <c r="D4308">
        <f t="shared" si="269"/>
        <v>484</v>
      </c>
      <c r="E4308">
        <f t="shared" si="270"/>
        <v>6331.3848999999991</v>
      </c>
      <c r="F4308">
        <f t="shared" si="271"/>
        <v>484</v>
      </c>
    </row>
    <row r="4309" spans="1:6" x14ac:dyDescent="0.3">
      <c r="A4309">
        <v>47</v>
      </c>
      <c r="B4309">
        <v>63.98</v>
      </c>
      <c r="C4309">
        <f t="shared" si="268"/>
        <v>3007.06</v>
      </c>
      <c r="D4309">
        <f t="shared" si="269"/>
        <v>2209</v>
      </c>
      <c r="E4309">
        <f t="shared" si="270"/>
        <v>4093.4403999999995</v>
      </c>
      <c r="F4309">
        <f t="shared" si="271"/>
        <v>2209</v>
      </c>
    </row>
    <row r="4310" spans="1:6" x14ac:dyDescent="0.3">
      <c r="A4310">
        <v>67</v>
      </c>
      <c r="B4310">
        <v>101.46</v>
      </c>
      <c r="C4310">
        <f t="shared" si="268"/>
        <v>6797.82</v>
      </c>
      <c r="D4310">
        <f t="shared" si="269"/>
        <v>4489</v>
      </c>
      <c r="E4310">
        <f t="shared" si="270"/>
        <v>10294.131599999999</v>
      </c>
      <c r="F4310">
        <f t="shared" si="271"/>
        <v>4489</v>
      </c>
    </row>
    <row r="4311" spans="1:6" x14ac:dyDescent="0.3">
      <c r="A4311">
        <v>53</v>
      </c>
      <c r="B4311">
        <v>74.66</v>
      </c>
      <c r="C4311">
        <f t="shared" si="268"/>
        <v>3956.98</v>
      </c>
      <c r="D4311">
        <f t="shared" si="269"/>
        <v>2809</v>
      </c>
      <c r="E4311">
        <f t="shared" si="270"/>
        <v>5574.1155999999992</v>
      </c>
      <c r="F4311">
        <f t="shared" si="271"/>
        <v>2809</v>
      </c>
    </row>
    <row r="4312" spans="1:6" x14ac:dyDescent="0.3">
      <c r="A4312">
        <v>45</v>
      </c>
      <c r="B4312">
        <v>68.66</v>
      </c>
      <c r="C4312">
        <f t="shared" si="268"/>
        <v>3089.7</v>
      </c>
      <c r="D4312">
        <f t="shared" si="269"/>
        <v>2025</v>
      </c>
      <c r="E4312">
        <f t="shared" si="270"/>
        <v>4714.1955999999991</v>
      </c>
      <c r="F4312">
        <f t="shared" si="271"/>
        <v>2025</v>
      </c>
    </row>
    <row r="4313" spans="1:6" x14ac:dyDescent="0.3">
      <c r="A4313">
        <v>65</v>
      </c>
      <c r="B4313">
        <v>205.78</v>
      </c>
      <c r="C4313">
        <f t="shared" si="268"/>
        <v>13375.7</v>
      </c>
      <c r="D4313">
        <f t="shared" si="269"/>
        <v>4225</v>
      </c>
      <c r="E4313">
        <f t="shared" si="270"/>
        <v>42345.4084</v>
      </c>
      <c r="F4313">
        <f t="shared" si="271"/>
        <v>4225</v>
      </c>
    </row>
    <row r="4314" spans="1:6" x14ac:dyDescent="0.3">
      <c r="A4314">
        <v>39</v>
      </c>
      <c r="B4314">
        <v>111.24</v>
      </c>
      <c r="C4314">
        <f t="shared" si="268"/>
        <v>4338.3599999999997</v>
      </c>
      <c r="D4314">
        <f t="shared" si="269"/>
        <v>1521</v>
      </c>
      <c r="E4314">
        <f t="shared" si="270"/>
        <v>12374.337599999999</v>
      </c>
      <c r="F4314">
        <f t="shared" si="271"/>
        <v>1521</v>
      </c>
    </row>
    <row r="4315" spans="1:6" x14ac:dyDescent="0.3">
      <c r="A4315">
        <v>57</v>
      </c>
      <c r="B4315">
        <v>134.76</v>
      </c>
      <c r="C4315">
        <f t="shared" si="268"/>
        <v>7681.32</v>
      </c>
      <c r="D4315">
        <f t="shared" si="269"/>
        <v>3249</v>
      </c>
      <c r="E4315">
        <f t="shared" si="270"/>
        <v>18160.257599999997</v>
      </c>
      <c r="F4315">
        <f t="shared" si="271"/>
        <v>3249</v>
      </c>
    </row>
    <row r="4316" spans="1:6" x14ac:dyDescent="0.3">
      <c r="A4316">
        <v>45</v>
      </c>
      <c r="B4316">
        <v>110.1</v>
      </c>
      <c r="C4316">
        <f t="shared" si="268"/>
        <v>4954.5</v>
      </c>
      <c r="D4316">
        <f t="shared" si="269"/>
        <v>2025</v>
      </c>
      <c r="E4316">
        <f t="shared" si="270"/>
        <v>12122.009999999998</v>
      </c>
      <c r="F4316">
        <f t="shared" si="271"/>
        <v>2025</v>
      </c>
    </row>
    <row r="4317" spans="1:6" x14ac:dyDescent="0.3">
      <c r="A4317">
        <v>28</v>
      </c>
      <c r="B4317">
        <v>100.8</v>
      </c>
      <c r="C4317">
        <f t="shared" si="268"/>
        <v>2822.4</v>
      </c>
      <c r="D4317">
        <f t="shared" si="269"/>
        <v>784</v>
      </c>
      <c r="E4317">
        <f t="shared" si="270"/>
        <v>10160.64</v>
      </c>
      <c r="F4317">
        <f t="shared" si="271"/>
        <v>784</v>
      </c>
    </row>
    <row r="4318" spans="1:6" x14ac:dyDescent="0.3">
      <c r="A4318">
        <v>30</v>
      </c>
      <c r="B4318">
        <v>113.08</v>
      </c>
      <c r="C4318">
        <f t="shared" si="268"/>
        <v>3392.4</v>
      </c>
      <c r="D4318">
        <f t="shared" si="269"/>
        <v>900</v>
      </c>
      <c r="E4318">
        <f t="shared" si="270"/>
        <v>12787.0864</v>
      </c>
      <c r="F4318">
        <f t="shared" si="271"/>
        <v>900</v>
      </c>
    </row>
    <row r="4319" spans="1:6" x14ac:dyDescent="0.3">
      <c r="A4319">
        <v>31</v>
      </c>
      <c r="B4319">
        <v>56.48</v>
      </c>
      <c r="C4319">
        <f t="shared" si="268"/>
        <v>1750.8799999999999</v>
      </c>
      <c r="D4319">
        <f t="shared" si="269"/>
        <v>961</v>
      </c>
      <c r="E4319">
        <f t="shared" si="270"/>
        <v>3189.9903999999997</v>
      </c>
      <c r="F4319">
        <f t="shared" si="271"/>
        <v>961</v>
      </c>
    </row>
    <row r="4320" spans="1:6" x14ac:dyDescent="0.3">
      <c r="A4320">
        <v>70</v>
      </c>
      <c r="B4320">
        <v>77.77</v>
      </c>
      <c r="C4320">
        <f t="shared" si="268"/>
        <v>5443.9</v>
      </c>
      <c r="D4320">
        <f t="shared" si="269"/>
        <v>4900</v>
      </c>
      <c r="E4320">
        <f t="shared" si="270"/>
        <v>6048.1728999999996</v>
      </c>
      <c r="F4320">
        <f t="shared" si="271"/>
        <v>4900</v>
      </c>
    </row>
    <row r="4321" spans="1:6" x14ac:dyDescent="0.3">
      <c r="A4321">
        <v>17</v>
      </c>
      <c r="B4321">
        <v>104.02</v>
      </c>
      <c r="C4321">
        <f t="shared" si="268"/>
        <v>1768.34</v>
      </c>
      <c r="D4321">
        <f t="shared" si="269"/>
        <v>289</v>
      </c>
      <c r="E4321">
        <f t="shared" si="270"/>
        <v>10820.160399999999</v>
      </c>
      <c r="F4321">
        <f t="shared" si="271"/>
        <v>289</v>
      </c>
    </row>
    <row r="4322" spans="1:6" x14ac:dyDescent="0.3">
      <c r="A4322">
        <v>44</v>
      </c>
      <c r="B4322">
        <v>83.59</v>
      </c>
      <c r="C4322">
        <f t="shared" si="268"/>
        <v>3677.96</v>
      </c>
      <c r="D4322">
        <f t="shared" si="269"/>
        <v>1936</v>
      </c>
      <c r="E4322">
        <f t="shared" si="270"/>
        <v>6987.2881000000007</v>
      </c>
      <c r="F4322">
        <f t="shared" si="271"/>
        <v>1936</v>
      </c>
    </row>
    <row r="4323" spans="1:6" x14ac:dyDescent="0.3">
      <c r="A4323">
        <v>65</v>
      </c>
      <c r="B4323">
        <v>179.67</v>
      </c>
      <c r="C4323">
        <f t="shared" si="268"/>
        <v>11678.55</v>
      </c>
      <c r="D4323">
        <f t="shared" si="269"/>
        <v>4225</v>
      </c>
      <c r="E4323">
        <f t="shared" si="270"/>
        <v>32281.308899999996</v>
      </c>
      <c r="F4323">
        <f t="shared" si="271"/>
        <v>4225</v>
      </c>
    </row>
    <row r="4324" spans="1:6" x14ac:dyDescent="0.3">
      <c r="A4324">
        <v>6</v>
      </c>
      <c r="B4324">
        <v>91.89</v>
      </c>
      <c r="C4324">
        <f t="shared" si="268"/>
        <v>551.34</v>
      </c>
      <c r="D4324">
        <f t="shared" si="269"/>
        <v>36</v>
      </c>
      <c r="E4324">
        <f t="shared" si="270"/>
        <v>8443.7721000000001</v>
      </c>
      <c r="F4324">
        <f t="shared" si="271"/>
        <v>36</v>
      </c>
    </row>
    <row r="4325" spans="1:6" x14ac:dyDescent="0.3">
      <c r="A4325">
        <v>15</v>
      </c>
      <c r="B4325">
        <v>78.900000000000006</v>
      </c>
      <c r="C4325">
        <f t="shared" si="268"/>
        <v>1183.5</v>
      </c>
      <c r="D4325">
        <f t="shared" si="269"/>
        <v>225</v>
      </c>
      <c r="E4325">
        <f t="shared" si="270"/>
        <v>6225.2100000000009</v>
      </c>
      <c r="F4325">
        <f t="shared" si="271"/>
        <v>225</v>
      </c>
    </row>
    <row r="4326" spans="1:6" x14ac:dyDescent="0.3">
      <c r="A4326">
        <v>80</v>
      </c>
      <c r="B4326">
        <v>230.74</v>
      </c>
      <c r="C4326">
        <f t="shared" si="268"/>
        <v>18459.2</v>
      </c>
      <c r="D4326">
        <f t="shared" si="269"/>
        <v>6400</v>
      </c>
      <c r="E4326">
        <f t="shared" si="270"/>
        <v>53240.947600000007</v>
      </c>
      <c r="F4326">
        <f t="shared" si="271"/>
        <v>6400</v>
      </c>
    </row>
    <row r="4327" spans="1:6" x14ac:dyDescent="0.3">
      <c r="A4327">
        <v>54</v>
      </c>
      <c r="B4327">
        <v>216.19</v>
      </c>
      <c r="C4327">
        <f t="shared" si="268"/>
        <v>11674.26</v>
      </c>
      <c r="D4327">
        <f t="shared" si="269"/>
        <v>2916</v>
      </c>
      <c r="E4327">
        <f t="shared" si="270"/>
        <v>46738.116099999999</v>
      </c>
      <c r="F4327">
        <f t="shared" si="271"/>
        <v>2916</v>
      </c>
    </row>
    <row r="4328" spans="1:6" x14ac:dyDescent="0.3">
      <c r="A4328">
        <v>79</v>
      </c>
      <c r="B4328">
        <v>83.7</v>
      </c>
      <c r="C4328">
        <f t="shared" si="268"/>
        <v>6612.3</v>
      </c>
      <c r="D4328">
        <f t="shared" si="269"/>
        <v>6241</v>
      </c>
      <c r="E4328">
        <f t="shared" si="270"/>
        <v>7005.6900000000005</v>
      </c>
      <c r="F4328">
        <f t="shared" si="271"/>
        <v>6241</v>
      </c>
    </row>
    <row r="4329" spans="1:6" x14ac:dyDescent="0.3">
      <c r="A4329">
        <v>60</v>
      </c>
      <c r="B4329">
        <v>200.66</v>
      </c>
      <c r="C4329">
        <f t="shared" si="268"/>
        <v>12039.6</v>
      </c>
      <c r="D4329">
        <f t="shared" si="269"/>
        <v>3600</v>
      </c>
      <c r="E4329">
        <f t="shared" si="270"/>
        <v>40264.435599999997</v>
      </c>
      <c r="F4329">
        <f t="shared" si="271"/>
        <v>3600</v>
      </c>
    </row>
    <row r="4330" spans="1:6" x14ac:dyDescent="0.3">
      <c r="A4330">
        <v>12</v>
      </c>
      <c r="B4330">
        <v>73.989999999999995</v>
      </c>
      <c r="C4330">
        <f t="shared" si="268"/>
        <v>887.87999999999988</v>
      </c>
      <c r="D4330">
        <f t="shared" si="269"/>
        <v>144</v>
      </c>
      <c r="E4330">
        <f t="shared" si="270"/>
        <v>5474.5200999999988</v>
      </c>
      <c r="F4330">
        <f t="shared" si="271"/>
        <v>144</v>
      </c>
    </row>
    <row r="4331" spans="1:6" x14ac:dyDescent="0.3">
      <c r="A4331">
        <v>36</v>
      </c>
      <c r="B4331">
        <v>228.5</v>
      </c>
      <c r="C4331">
        <f t="shared" si="268"/>
        <v>8226</v>
      </c>
      <c r="D4331">
        <f t="shared" si="269"/>
        <v>1296</v>
      </c>
      <c r="E4331">
        <f t="shared" si="270"/>
        <v>52212.25</v>
      </c>
      <c r="F4331">
        <f t="shared" si="271"/>
        <v>1296</v>
      </c>
    </row>
    <row r="4332" spans="1:6" x14ac:dyDescent="0.3">
      <c r="A4332">
        <v>54</v>
      </c>
      <c r="B4332">
        <v>70.430000000000007</v>
      </c>
      <c r="C4332">
        <f t="shared" si="268"/>
        <v>3803.2200000000003</v>
      </c>
      <c r="D4332">
        <f t="shared" si="269"/>
        <v>2916</v>
      </c>
      <c r="E4332">
        <f t="shared" si="270"/>
        <v>4960.3849000000009</v>
      </c>
      <c r="F4332">
        <f t="shared" si="271"/>
        <v>2916</v>
      </c>
    </row>
    <row r="4333" spans="1:6" x14ac:dyDescent="0.3">
      <c r="A4333">
        <v>63</v>
      </c>
      <c r="B4333">
        <v>74.39</v>
      </c>
      <c r="C4333">
        <f t="shared" si="268"/>
        <v>4686.57</v>
      </c>
      <c r="D4333">
        <f t="shared" si="269"/>
        <v>3969</v>
      </c>
      <c r="E4333">
        <f t="shared" si="270"/>
        <v>5533.8721000000005</v>
      </c>
      <c r="F4333">
        <f t="shared" si="271"/>
        <v>3969</v>
      </c>
    </row>
    <row r="4334" spans="1:6" x14ac:dyDescent="0.3">
      <c r="A4334">
        <v>2</v>
      </c>
      <c r="B4334">
        <v>102.92</v>
      </c>
      <c r="C4334">
        <f t="shared" si="268"/>
        <v>205.84</v>
      </c>
      <c r="D4334">
        <f t="shared" si="269"/>
        <v>4</v>
      </c>
      <c r="E4334">
        <f t="shared" si="270"/>
        <v>10592.526400000001</v>
      </c>
      <c r="F4334">
        <f t="shared" si="271"/>
        <v>4</v>
      </c>
    </row>
    <row r="4335" spans="1:6" x14ac:dyDescent="0.3">
      <c r="A4335">
        <v>28</v>
      </c>
      <c r="B4335">
        <v>87.91</v>
      </c>
      <c r="C4335">
        <f t="shared" si="268"/>
        <v>2461.48</v>
      </c>
      <c r="D4335">
        <f t="shared" si="269"/>
        <v>784</v>
      </c>
      <c r="E4335">
        <f t="shared" si="270"/>
        <v>7728.168099999999</v>
      </c>
      <c r="F4335">
        <f t="shared" si="271"/>
        <v>784</v>
      </c>
    </row>
    <row r="4336" spans="1:6" x14ac:dyDescent="0.3">
      <c r="A4336">
        <v>38</v>
      </c>
      <c r="B4336">
        <v>118.55</v>
      </c>
      <c r="C4336">
        <f t="shared" si="268"/>
        <v>4504.8999999999996</v>
      </c>
      <c r="D4336">
        <f t="shared" si="269"/>
        <v>1444</v>
      </c>
      <c r="E4336">
        <f t="shared" si="270"/>
        <v>14054.102499999999</v>
      </c>
      <c r="F4336">
        <f t="shared" si="271"/>
        <v>1444</v>
      </c>
    </row>
    <row r="4337" spans="1:6" x14ac:dyDescent="0.3">
      <c r="A4337">
        <v>37</v>
      </c>
      <c r="B4337">
        <v>232.29</v>
      </c>
      <c r="C4337">
        <f t="shared" si="268"/>
        <v>8594.73</v>
      </c>
      <c r="D4337">
        <f t="shared" si="269"/>
        <v>1369</v>
      </c>
      <c r="E4337">
        <f t="shared" si="270"/>
        <v>53958.644099999998</v>
      </c>
      <c r="F4337">
        <f t="shared" si="271"/>
        <v>1369</v>
      </c>
    </row>
    <row r="4338" spans="1:6" x14ac:dyDescent="0.3">
      <c r="A4338">
        <v>80</v>
      </c>
      <c r="B4338">
        <v>125.32</v>
      </c>
      <c r="C4338">
        <f t="shared" si="268"/>
        <v>10025.599999999999</v>
      </c>
      <c r="D4338">
        <f t="shared" si="269"/>
        <v>6400</v>
      </c>
      <c r="E4338">
        <f t="shared" si="270"/>
        <v>15705.102399999998</v>
      </c>
      <c r="F4338">
        <f t="shared" si="271"/>
        <v>6400</v>
      </c>
    </row>
    <row r="4339" spans="1:6" x14ac:dyDescent="0.3">
      <c r="A4339">
        <v>43</v>
      </c>
      <c r="B4339">
        <v>78.98</v>
      </c>
      <c r="C4339">
        <f t="shared" si="268"/>
        <v>3396.1400000000003</v>
      </c>
      <c r="D4339">
        <f t="shared" si="269"/>
        <v>1849</v>
      </c>
      <c r="E4339">
        <f t="shared" si="270"/>
        <v>6237.840400000001</v>
      </c>
      <c r="F4339">
        <f t="shared" si="271"/>
        <v>1849</v>
      </c>
    </row>
    <row r="4340" spans="1:6" x14ac:dyDescent="0.3">
      <c r="A4340">
        <v>60</v>
      </c>
      <c r="B4340">
        <v>100.2</v>
      </c>
      <c r="C4340">
        <f t="shared" si="268"/>
        <v>6012</v>
      </c>
      <c r="D4340">
        <f t="shared" si="269"/>
        <v>3600</v>
      </c>
      <c r="E4340">
        <f t="shared" si="270"/>
        <v>10040.040000000001</v>
      </c>
      <c r="F4340">
        <f t="shared" si="271"/>
        <v>3600</v>
      </c>
    </row>
    <row r="4341" spans="1:6" x14ac:dyDescent="0.3">
      <c r="A4341">
        <v>66</v>
      </c>
      <c r="B4341">
        <v>200.91</v>
      </c>
      <c r="C4341">
        <f t="shared" si="268"/>
        <v>13260.06</v>
      </c>
      <c r="D4341">
        <f t="shared" si="269"/>
        <v>4356</v>
      </c>
      <c r="E4341">
        <f t="shared" si="270"/>
        <v>40364.828099999999</v>
      </c>
      <c r="F4341">
        <f t="shared" si="271"/>
        <v>4356</v>
      </c>
    </row>
    <row r="4342" spans="1:6" x14ac:dyDescent="0.3">
      <c r="A4342">
        <v>45</v>
      </c>
      <c r="B4342">
        <v>95.24</v>
      </c>
      <c r="C4342">
        <f t="shared" si="268"/>
        <v>4285.8</v>
      </c>
      <c r="D4342">
        <f t="shared" si="269"/>
        <v>2025</v>
      </c>
      <c r="E4342">
        <f t="shared" si="270"/>
        <v>9070.6575999999986</v>
      </c>
      <c r="F4342">
        <f t="shared" si="271"/>
        <v>2025</v>
      </c>
    </row>
    <row r="4343" spans="1:6" x14ac:dyDescent="0.3">
      <c r="A4343">
        <v>29</v>
      </c>
      <c r="B4343">
        <v>56.64</v>
      </c>
      <c r="C4343">
        <f t="shared" si="268"/>
        <v>1642.56</v>
      </c>
      <c r="D4343">
        <f t="shared" si="269"/>
        <v>841</v>
      </c>
      <c r="E4343">
        <f t="shared" si="270"/>
        <v>3208.0896000000002</v>
      </c>
      <c r="F4343">
        <f t="shared" si="271"/>
        <v>841</v>
      </c>
    </row>
    <row r="4344" spans="1:6" x14ac:dyDescent="0.3">
      <c r="A4344">
        <v>4</v>
      </c>
      <c r="B4344">
        <v>80.48</v>
      </c>
      <c r="C4344">
        <f t="shared" si="268"/>
        <v>321.92</v>
      </c>
      <c r="D4344">
        <f t="shared" si="269"/>
        <v>16</v>
      </c>
      <c r="E4344">
        <f t="shared" si="270"/>
        <v>6477.0304000000006</v>
      </c>
      <c r="F4344">
        <f t="shared" si="271"/>
        <v>16</v>
      </c>
    </row>
    <row r="4345" spans="1:6" x14ac:dyDescent="0.3">
      <c r="A4345">
        <v>48</v>
      </c>
      <c r="B4345">
        <v>112.96</v>
      </c>
      <c r="C4345">
        <f t="shared" si="268"/>
        <v>5422.08</v>
      </c>
      <c r="D4345">
        <f t="shared" si="269"/>
        <v>2304</v>
      </c>
      <c r="E4345">
        <f t="shared" si="270"/>
        <v>12759.961599999999</v>
      </c>
      <c r="F4345">
        <f t="shared" si="271"/>
        <v>2304</v>
      </c>
    </row>
    <row r="4346" spans="1:6" x14ac:dyDescent="0.3">
      <c r="A4346">
        <v>68</v>
      </c>
      <c r="B4346">
        <v>236.04</v>
      </c>
      <c r="C4346">
        <f t="shared" si="268"/>
        <v>16050.72</v>
      </c>
      <c r="D4346">
        <f t="shared" si="269"/>
        <v>4624</v>
      </c>
      <c r="E4346">
        <f t="shared" si="270"/>
        <v>55714.881599999993</v>
      </c>
      <c r="F4346">
        <f t="shared" si="271"/>
        <v>4624</v>
      </c>
    </row>
    <row r="4347" spans="1:6" x14ac:dyDescent="0.3">
      <c r="A4347">
        <v>57</v>
      </c>
      <c r="B4347">
        <v>73</v>
      </c>
      <c r="C4347">
        <f t="shared" si="268"/>
        <v>4161</v>
      </c>
      <c r="D4347">
        <f t="shared" si="269"/>
        <v>3249</v>
      </c>
      <c r="E4347">
        <f t="shared" si="270"/>
        <v>5329</v>
      </c>
      <c r="F4347">
        <f t="shared" si="271"/>
        <v>3249</v>
      </c>
    </row>
    <row r="4348" spans="1:6" x14ac:dyDescent="0.3">
      <c r="A4348">
        <v>29</v>
      </c>
      <c r="B4348">
        <v>61.13</v>
      </c>
      <c r="C4348">
        <f t="shared" si="268"/>
        <v>1772.77</v>
      </c>
      <c r="D4348">
        <f t="shared" si="269"/>
        <v>841</v>
      </c>
      <c r="E4348">
        <f t="shared" si="270"/>
        <v>3736.8769000000002</v>
      </c>
      <c r="F4348">
        <f t="shared" si="271"/>
        <v>841</v>
      </c>
    </row>
    <row r="4349" spans="1:6" x14ac:dyDescent="0.3">
      <c r="A4349">
        <v>30</v>
      </c>
      <c r="B4349">
        <v>88.56</v>
      </c>
      <c r="C4349">
        <f t="shared" si="268"/>
        <v>2656.8</v>
      </c>
      <c r="D4349">
        <f t="shared" si="269"/>
        <v>900</v>
      </c>
      <c r="E4349">
        <f t="shared" si="270"/>
        <v>7842.8736000000008</v>
      </c>
      <c r="F4349">
        <f t="shared" si="271"/>
        <v>900</v>
      </c>
    </row>
    <row r="4350" spans="1:6" x14ac:dyDescent="0.3">
      <c r="A4350">
        <v>47</v>
      </c>
      <c r="B4350">
        <v>66.16</v>
      </c>
      <c r="C4350">
        <f t="shared" si="268"/>
        <v>3109.52</v>
      </c>
      <c r="D4350">
        <f t="shared" si="269"/>
        <v>2209</v>
      </c>
      <c r="E4350">
        <f t="shared" si="270"/>
        <v>4377.1455999999998</v>
      </c>
      <c r="F4350">
        <f t="shared" si="271"/>
        <v>2209</v>
      </c>
    </row>
    <row r="4351" spans="1:6" x14ac:dyDescent="0.3">
      <c r="A4351">
        <v>73</v>
      </c>
      <c r="B4351">
        <v>88.98</v>
      </c>
      <c r="C4351">
        <f t="shared" si="268"/>
        <v>6495.54</v>
      </c>
      <c r="D4351">
        <f t="shared" si="269"/>
        <v>5329</v>
      </c>
      <c r="E4351">
        <f t="shared" si="270"/>
        <v>7917.4404000000004</v>
      </c>
      <c r="F4351">
        <f t="shared" si="271"/>
        <v>5329</v>
      </c>
    </row>
    <row r="4352" spans="1:6" x14ac:dyDescent="0.3">
      <c r="A4352">
        <v>66</v>
      </c>
      <c r="B4352">
        <v>94.39</v>
      </c>
      <c r="C4352">
        <f t="shared" si="268"/>
        <v>6229.74</v>
      </c>
      <c r="D4352">
        <f t="shared" si="269"/>
        <v>4356</v>
      </c>
      <c r="E4352">
        <f t="shared" si="270"/>
        <v>8909.4721000000009</v>
      </c>
      <c r="F4352">
        <f t="shared" si="271"/>
        <v>4356</v>
      </c>
    </row>
    <row r="4353" spans="1:6" x14ac:dyDescent="0.3">
      <c r="A4353">
        <v>39</v>
      </c>
      <c r="B4353">
        <v>87.39</v>
      </c>
      <c r="C4353">
        <f t="shared" si="268"/>
        <v>3408.21</v>
      </c>
      <c r="D4353">
        <f t="shared" si="269"/>
        <v>1521</v>
      </c>
      <c r="E4353">
        <f t="shared" si="270"/>
        <v>7637.0120999999999</v>
      </c>
      <c r="F4353">
        <f t="shared" si="271"/>
        <v>1521</v>
      </c>
    </row>
    <row r="4354" spans="1:6" x14ac:dyDescent="0.3">
      <c r="A4354">
        <v>66</v>
      </c>
      <c r="B4354">
        <v>77.91</v>
      </c>
      <c r="C4354">
        <f t="shared" si="268"/>
        <v>5142.0599999999995</v>
      </c>
      <c r="D4354">
        <f t="shared" si="269"/>
        <v>4356</v>
      </c>
      <c r="E4354">
        <f t="shared" si="270"/>
        <v>6069.9680999999991</v>
      </c>
      <c r="F4354">
        <f t="shared" si="271"/>
        <v>4356</v>
      </c>
    </row>
    <row r="4355" spans="1:6" x14ac:dyDescent="0.3">
      <c r="A4355">
        <v>52</v>
      </c>
      <c r="B4355">
        <v>86.85</v>
      </c>
      <c r="C4355">
        <f t="shared" ref="C4355:C4418" si="272">A4355*B4355</f>
        <v>4516.2</v>
      </c>
      <c r="D4355">
        <f t="shared" ref="D4355:D4418" si="273">A4355*A4355</f>
        <v>2704</v>
      </c>
      <c r="E4355">
        <f t="shared" ref="E4355:E4418" si="274">B4355*B4355</f>
        <v>7542.9224999999988</v>
      </c>
      <c r="F4355">
        <f t="shared" ref="F4355:F4418" si="275">A4355^2</f>
        <v>2704</v>
      </c>
    </row>
    <row r="4356" spans="1:6" x14ac:dyDescent="0.3">
      <c r="A4356">
        <v>34</v>
      </c>
      <c r="B4356">
        <v>94.37</v>
      </c>
      <c r="C4356">
        <f t="shared" si="272"/>
        <v>3208.58</v>
      </c>
      <c r="D4356">
        <f t="shared" si="273"/>
        <v>1156</v>
      </c>
      <c r="E4356">
        <f t="shared" si="274"/>
        <v>8905.6969000000008</v>
      </c>
      <c r="F4356">
        <f t="shared" si="275"/>
        <v>1156</v>
      </c>
    </row>
    <row r="4357" spans="1:6" x14ac:dyDescent="0.3">
      <c r="A4357">
        <v>79</v>
      </c>
      <c r="B4357">
        <v>76.64</v>
      </c>
      <c r="C4357">
        <f t="shared" si="272"/>
        <v>6054.56</v>
      </c>
      <c r="D4357">
        <f t="shared" si="273"/>
        <v>6241</v>
      </c>
      <c r="E4357">
        <f t="shared" si="274"/>
        <v>5873.6895999999997</v>
      </c>
      <c r="F4357">
        <f t="shared" si="275"/>
        <v>6241</v>
      </c>
    </row>
    <row r="4358" spans="1:6" x14ac:dyDescent="0.3">
      <c r="A4358">
        <v>39</v>
      </c>
      <c r="B4358">
        <v>254.95</v>
      </c>
      <c r="C4358">
        <f t="shared" si="272"/>
        <v>9943.0499999999993</v>
      </c>
      <c r="D4358">
        <f t="shared" si="273"/>
        <v>1521</v>
      </c>
      <c r="E4358">
        <f t="shared" si="274"/>
        <v>64999.502499999995</v>
      </c>
      <c r="F4358">
        <f t="shared" si="275"/>
        <v>1521</v>
      </c>
    </row>
    <row r="4359" spans="1:6" x14ac:dyDescent="0.3">
      <c r="A4359">
        <v>61</v>
      </c>
      <c r="B4359">
        <v>107.33</v>
      </c>
      <c r="C4359">
        <f t="shared" si="272"/>
        <v>6547.13</v>
      </c>
      <c r="D4359">
        <f t="shared" si="273"/>
        <v>3721</v>
      </c>
      <c r="E4359">
        <f t="shared" si="274"/>
        <v>11519.7289</v>
      </c>
      <c r="F4359">
        <f t="shared" si="275"/>
        <v>3721</v>
      </c>
    </row>
    <row r="4360" spans="1:6" x14ac:dyDescent="0.3">
      <c r="A4360">
        <v>26</v>
      </c>
      <c r="B4360">
        <v>80.94</v>
      </c>
      <c r="C4360">
        <f t="shared" si="272"/>
        <v>2104.44</v>
      </c>
      <c r="D4360">
        <f t="shared" si="273"/>
        <v>676</v>
      </c>
      <c r="E4360">
        <f t="shared" si="274"/>
        <v>6551.2835999999998</v>
      </c>
      <c r="F4360">
        <f t="shared" si="275"/>
        <v>676</v>
      </c>
    </row>
    <row r="4361" spans="1:6" x14ac:dyDescent="0.3">
      <c r="A4361">
        <v>37</v>
      </c>
      <c r="B4361">
        <v>112.02</v>
      </c>
      <c r="C4361">
        <f t="shared" si="272"/>
        <v>4144.74</v>
      </c>
      <c r="D4361">
        <f t="shared" si="273"/>
        <v>1369</v>
      </c>
      <c r="E4361">
        <f t="shared" si="274"/>
        <v>12548.480399999999</v>
      </c>
      <c r="F4361">
        <f t="shared" si="275"/>
        <v>1369</v>
      </c>
    </row>
    <row r="4362" spans="1:6" x14ac:dyDescent="0.3">
      <c r="A4362">
        <v>66</v>
      </c>
      <c r="B4362">
        <v>196.58</v>
      </c>
      <c r="C4362">
        <f t="shared" si="272"/>
        <v>12974.28</v>
      </c>
      <c r="D4362">
        <f t="shared" si="273"/>
        <v>4356</v>
      </c>
      <c r="E4362">
        <f t="shared" si="274"/>
        <v>38643.696400000008</v>
      </c>
      <c r="F4362">
        <f t="shared" si="275"/>
        <v>4356</v>
      </c>
    </row>
    <row r="4363" spans="1:6" x14ac:dyDescent="0.3">
      <c r="A4363">
        <v>16</v>
      </c>
      <c r="B4363">
        <v>89.14</v>
      </c>
      <c r="C4363">
        <f t="shared" si="272"/>
        <v>1426.24</v>
      </c>
      <c r="D4363">
        <f t="shared" si="273"/>
        <v>256</v>
      </c>
      <c r="E4363">
        <f t="shared" si="274"/>
        <v>7945.9395999999997</v>
      </c>
      <c r="F4363">
        <f t="shared" si="275"/>
        <v>256</v>
      </c>
    </row>
    <row r="4364" spans="1:6" x14ac:dyDescent="0.3">
      <c r="A4364">
        <v>51</v>
      </c>
      <c r="B4364">
        <v>69.94</v>
      </c>
      <c r="C4364">
        <f t="shared" si="272"/>
        <v>3566.94</v>
      </c>
      <c r="D4364">
        <f t="shared" si="273"/>
        <v>2601</v>
      </c>
      <c r="E4364">
        <f t="shared" si="274"/>
        <v>4891.6035999999995</v>
      </c>
      <c r="F4364">
        <f t="shared" si="275"/>
        <v>2601</v>
      </c>
    </row>
    <row r="4365" spans="1:6" x14ac:dyDescent="0.3">
      <c r="A4365">
        <v>15</v>
      </c>
      <c r="B4365">
        <v>55.79</v>
      </c>
      <c r="C4365">
        <f t="shared" si="272"/>
        <v>836.85</v>
      </c>
      <c r="D4365">
        <f t="shared" si="273"/>
        <v>225</v>
      </c>
      <c r="E4365">
        <f t="shared" si="274"/>
        <v>3112.5241000000001</v>
      </c>
      <c r="F4365">
        <f t="shared" si="275"/>
        <v>225</v>
      </c>
    </row>
    <row r="4366" spans="1:6" x14ac:dyDescent="0.3">
      <c r="A4366">
        <v>1.72</v>
      </c>
      <c r="B4366">
        <v>73.08</v>
      </c>
      <c r="C4366">
        <f t="shared" si="272"/>
        <v>125.69759999999999</v>
      </c>
      <c r="D4366">
        <f t="shared" si="273"/>
        <v>2.9583999999999997</v>
      </c>
      <c r="E4366">
        <f t="shared" si="274"/>
        <v>5340.6863999999996</v>
      </c>
      <c r="F4366">
        <f t="shared" si="275"/>
        <v>2.9583999999999997</v>
      </c>
    </row>
    <row r="4367" spans="1:6" x14ac:dyDescent="0.3">
      <c r="A4367">
        <v>60</v>
      </c>
      <c r="B4367">
        <v>96.02</v>
      </c>
      <c r="C4367">
        <f t="shared" si="272"/>
        <v>5761.2</v>
      </c>
      <c r="D4367">
        <f t="shared" si="273"/>
        <v>3600</v>
      </c>
      <c r="E4367">
        <f t="shared" si="274"/>
        <v>9219.8403999999991</v>
      </c>
      <c r="F4367">
        <f t="shared" si="275"/>
        <v>3600</v>
      </c>
    </row>
    <row r="4368" spans="1:6" x14ac:dyDescent="0.3">
      <c r="A4368">
        <v>66</v>
      </c>
      <c r="B4368">
        <v>189.82</v>
      </c>
      <c r="C4368">
        <f t="shared" si="272"/>
        <v>12528.119999999999</v>
      </c>
      <c r="D4368">
        <f t="shared" si="273"/>
        <v>4356</v>
      </c>
      <c r="E4368">
        <f t="shared" si="274"/>
        <v>36031.632399999995</v>
      </c>
      <c r="F4368">
        <f t="shared" si="275"/>
        <v>4356</v>
      </c>
    </row>
    <row r="4369" spans="1:6" x14ac:dyDescent="0.3">
      <c r="A4369">
        <v>75</v>
      </c>
      <c r="B4369">
        <v>89.68</v>
      </c>
      <c r="C4369">
        <f t="shared" si="272"/>
        <v>6726.0000000000009</v>
      </c>
      <c r="D4369">
        <f t="shared" si="273"/>
        <v>5625</v>
      </c>
      <c r="E4369">
        <f t="shared" si="274"/>
        <v>8042.5024000000012</v>
      </c>
      <c r="F4369">
        <f t="shared" si="275"/>
        <v>5625</v>
      </c>
    </row>
    <row r="4370" spans="1:6" x14ac:dyDescent="0.3">
      <c r="A4370">
        <v>40</v>
      </c>
      <c r="B4370">
        <v>101.06</v>
      </c>
      <c r="C4370">
        <f t="shared" si="272"/>
        <v>4042.4</v>
      </c>
      <c r="D4370">
        <f t="shared" si="273"/>
        <v>1600</v>
      </c>
      <c r="E4370">
        <f t="shared" si="274"/>
        <v>10213.123600000001</v>
      </c>
      <c r="F4370">
        <f t="shared" si="275"/>
        <v>1600</v>
      </c>
    </row>
    <row r="4371" spans="1:6" x14ac:dyDescent="0.3">
      <c r="A4371">
        <v>52</v>
      </c>
      <c r="B4371">
        <v>62.66</v>
      </c>
      <c r="C4371">
        <f t="shared" si="272"/>
        <v>3258.3199999999997</v>
      </c>
      <c r="D4371">
        <f t="shared" si="273"/>
        <v>2704</v>
      </c>
      <c r="E4371">
        <f t="shared" si="274"/>
        <v>3926.2755999999995</v>
      </c>
      <c r="F4371">
        <f t="shared" si="275"/>
        <v>2704</v>
      </c>
    </row>
    <row r="4372" spans="1:6" x14ac:dyDescent="0.3">
      <c r="A4372">
        <v>13</v>
      </c>
      <c r="B4372">
        <v>84.03</v>
      </c>
      <c r="C4372">
        <f t="shared" si="272"/>
        <v>1092.3900000000001</v>
      </c>
      <c r="D4372">
        <f t="shared" si="273"/>
        <v>169</v>
      </c>
      <c r="E4372">
        <f t="shared" si="274"/>
        <v>7061.0409</v>
      </c>
      <c r="F4372">
        <f t="shared" si="275"/>
        <v>169</v>
      </c>
    </row>
    <row r="4373" spans="1:6" x14ac:dyDescent="0.3">
      <c r="A4373">
        <v>44</v>
      </c>
      <c r="B4373">
        <v>108.38</v>
      </c>
      <c r="C4373">
        <f t="shared" si="272"/>
        <v>4768.7199999999993</v>
      </c>
      <c r="D4373">
        <f t="shared" si="273"/>
        <v>1936</v>
      </c>
      <c r="E4373">
        <f t="shared" si="274"/>
        <v>11746.224399999999</v>
      </c>
      <c r="F4373">
        <f t="shared" si="275"/>
        <v>1936</v>
      </c>
    </row>
    <row r="4374" spans="1:6" x14ac:dyDescent="0.3">
      <c r="A4374">
        <v>37</v>
      </c>
      <c r="B4374">
        <v>78.790000000000006</v>
      </c>
      <c r="C4374">
        <f t="shared" si="272"/>
        <v>2915.23</v>
      </c>
      <c r="D4374">
        <f t="shared" si="273"/>
        <v>1369</v>
      </c>
      <c r="E4374">
        <f t="shared" si="274"/>
        <v>6207.8641000000007</v>
      </c>
      <c r="F4374">
        <f t="shared" si="275"/>
        <v>1369</v>
      </c>
    </row>
    <row r="4375" spans="1:6" x14ac:dyDescent="0.3">
      <c r="A4375">
        <v>2</v>
      </c>
      <c r="B4375">
        <v>76.12</v>
      </c>
      <c r="C4375">
        <f t="shared" si="272"/>
        <v>152.24</v>
      </c>
      <c r="D4375">
        <f t="shared" si="273"/>
        <v>4</v>
      </c>
      <c r="E4375">
        <f t="shared" si="274"/>
        <v>5794.2544000000007</v>
      </c>
      <c r="F4375">
        <f t="shared" si="275"/>
        <v>4</v>
      </c>
    </row>
    <row r="4376" spans="1:6" x14ac:dyDescent="0.3">
      <c r="A4376">
        <v>48</v>
      </c>
      <c r="B4376">
        <v>68.010000000000005</v>
      </c>
      <c r="C4376">
        <f t="shared" si="272"/>
        <v>3264.4800000000005</v>
      </c>
      <c r="D4376">
        <f t="shared" si="273"/>
        <v>2304</v>
      </c>
      <c r="E4376">
        <f t="shared" si="274"/>
        <v>4625.3601000000008</v>
      </c>
      <c r="F4376">
        <f t="shared" si="275"/>
        <v>2304</v>
      </c>
    </row>
    <row r="4377" spans="1:6" x14ac:dyDescent="0.3">
      <c r="A4377">
        <v>81</v>
      </c>
      <c r="B4377">
        <v>90.11</v>
      </c>
      <c r="C4377">
        <f t="shared" si="272"/>
        <v>7298.91</v>
      </c>
      <c r="D4377">
        <f t="shared" si="273"/>
        <v>6561</v>
      </c>
      <c r="E4377">
        <f t="shared" si="274"/>
        <v>8119.8121000000001</v>
      </c>
      <c r="F4377">
        <f t="shared" si="275"/>
        <v>6561</v>
      </c>
    </row>
    <row r="4378" spans="1:6" x14ac:dyDescent="0.3">
      <c r="A4378">
        <v>76</v>
      </c>
      <c r="B4378">
        <v>193.61</v>
      </c>
      <c r="C4378">
        <f t="shared" si="272"/>
        <v>14714.36</v>
      </c>
      <c r="D4378">
        <f t="shared" si="273"/>
        <v>5776</v>
      </c>
      <c r="E4378">
        <f t="shared" si="274"/>
        <v>37484.832100000007</v>
      </c>
      <c r="F4378">
        <f t="shared" si="275"/>
        <v>5776</v>
      </c>
    </row>
    <row r="4379" spans="1:6" x14ac:dyDescent="0.3">
      <c r="A4379">
        <v>58</v>
      </c>
      <c r="B4379">
        <v>195.74</v>
      </c>
      <c r="C4379">
        <f t="shared" si="272"/>
        <v>11352.92</v>
      </c>
      <c r="D4379">
        <f t="shared" si="273"/>
        <v>3364</v>
      </c>
      <c r="E4379">
        <f t="shared" si="274"/>
        <v>38314.147600000004</v>
      </c>
      <c r="F4379">
        <f t="shared" si="275"/>
        <v>3364</v>
      </c>
    </row>
    <row r="4380" spans="1:6" x14ac:dyDescent="0.3">
      <c r="A4380">
        <v>11</v>
      </c>
      <c r="B4380">
        <v>94.77</v>
      </c>
      <c r="C4380">
        <f t="shared" si="272"/>
        <v>1042.47</v>
      </c>
      <c r="D4380">
        <f t="shared" si="273"/>
        <v>121</v>
      </c>
      <c r="E4380">
        <f t="shared" si="274"/>
        <v>8981.3528999999999</v>
      </c>
      <c r="F4380">
        <f t="shared" si="275"/>
        <v>121</v>
      </c>
    </row>
    <row r="4381" spans="1:6" x14ac:dyDescent="0.3">
      <c r="A4381">
        <v>9</v>
      </c>
      <c r="B4381">
        <v>85</v>
      </c>
      <c r="C4381">
        <f t="shared" si="272"/>
        <v>765</v>
      </c>
      <c r="D4381">
        <f t="shared" si="273"/>
        <v>81</v>
      </c>
      <c r="E4381">
        <f t="shared" si="274"/>
        <v>7225</v>
      </c>
      <c r="F4381">
        <f t="shared" si="275"/>
        <v>81</v>
      </c>
    </row>
    <row r="4382" spans="1:6" x14ac:dyDescent="0.3">
      <c r="A4382">
        <v>54</v>
      </c>
      <c r="B4382">
        <v>141.37</v>
      </c>
      <c r="C4382">
        <f t="shared" si="272"/>
        <v>7633.9800000000005</v>
      </c>
      <c r="D4382">
        <f t="shared" si="273"/>
        <v>2916</v>
      </c>
      <c r="E4382">
        <f t="shared" si="274"/>
        <v>19985.476900000001</v>
      </c>
      <c r="F4382">
        <f t="shared" si="275"/>
        <v>2916</v>
      </c>
    </row>
    <row r="4383" spans="1:6" x14ac:dyDescent="0.3">
      <c r="A4383">
        <v>37</v>
      </c>
      <c r="B4383">
        <v>90.71</v>
      </c>
      <c r="C4383">
        <f t="shared" si="272"/>
        <v>3356.27</v>
      </c>
      <c r="D4383">
        <f t="shared" si="273"/>
        <v>1369</v>
      </c>
      <c r="E4383">
        <f t="shared" si="274"/>
        <v>8228.3040999999994</v>
      </c>
      <c r="F4383">
        <f t="shared" si="275"/>
        <v>1369</v>
      </c>
    </row>
    <row r="4384" spans="1:6" x14ac:dyDescent="0.3">
      <c r="A4384">
        <v>16</v>
      </c>
      <c r="B4384">
        <v>106.8</v>
      </c>
      <c r="C4384">
        <f t="shared" si="272"/>
        <v>1708.8</v>
      </c>
      <c r="D4384">
        <f t="shared" si="273"/>
        <v>256</v>
      </c>
      <c r="E4384">
        <f t="shared" si="274"/>
        <v>11406.24</v>
      </c>
      <c r="F4384">
        <f t="shared" si="275"/>
        <v>256</v>
      </c>
    </row>
    <row r="4385" spans="1:6" x14ac:dyDescent="0.3">
      <c r="A4385">
        <v>11</v>
      </c>
      <c r="B4385">
        <v>121.66</v>
      </c>
      <c r="C4385">
        <f t="shared" si="272"/>
        <v>1338.26</v>
      </c>
      <c r="D4385">
        <f t="shared" si="273"/>
        <v>121</v>
      </c>
      <c r="E4385">
        <f t="shared" si="274"/>
        <v>14801.1556</v>
      </c>
      <c r="F4385">
        <f t="shared" si="275"/>
        <v>121</v>
      </c>
    </row>
    <row r="4386" spans="1:6" x14ac:dyDescent="0.3">
      <c r="A4386">
        <v>32</v>
      </c>
      <c r="B4386">
        <v>85.18</v>
      </c>
      <c r="C4386">
        <f t="shared" si="272"/>
        <v>2725.76</v>
      </c>
      <c r="D4386">
        <f t="shared" si="273"/>
        <v>1024</v>
      </c>
      <c r="E4386">
        <f t="shared" si="274"/>
        <v>7255.6324000000013</v>
      </c>
      <c r="F4386">
        <f t="shared" si="275"/>
        <v>1024</v>
      </c>
    </row>
    <row r="4387" spans="1:6" x14ac:dyDescent="0.3">
      <c r="A4387">
        <v>26</v>
      </c>
      <c r="B4387">
        <v>130.07</v>
      </c>
      <c r="C4387">
        <f t="shared" si="272"/>
        <v>3381.8199999999997</v>
      </c>
      <c r="D4387">
        <f t="shared" si="273"/>
        <v>676</v>
      </c>
      <c r="E4387">
        <f t="shared" si="274"/>
        <v>16918.204899999997</v>
      </c>
      <c r="F4387">
        <f t="shared" si="275"/>
        <v>676</v>
      </c>
    </row>
    <row r="4388" spans="1:6" x14ac:dyDescent="0.3">
      <c r="A4388">
        <v>21</v>
      </c>
      <c r="B4388">
        <v>74.239999999999995</v>
      </c>
      <c r="C4388">
        <f t="shared" si="272"/>
        <v>1559.04</v>
      </c>
      <c r="D4388">
        <f t="shared" si="273"/>
        <v>441</v>
      </c>
      <c r="E4388">
        <f t="shared" si="274"/>
        <v>5511.5775999999996</v>
      </c>
      <c r="F4388">
        <f t="shared" si="275"/>
        <v>441</v>
      </c>
    </row>
    <row r="4389" spans="1:6" x14ac:dyDescent="0.3">
      <c r="A4389">
        <v>45</v>
      </c>
      <c r="B4389">
        <v>79.98</v>
      </c>
      <c r="C4389">
        <f t="shared" si="272"/>
        <v>3599.1000000000004</v>
      </c>
      <c r="D4389">
        <f t="shared" si="273"/>
        <v>2025</v>
      </c>
      <c r="E4389">
        <f t="shared" si="274"/>
        <v>6396.800400000001</v>
      </c>
      <c r="F4389">
        <f t="shared" si="275"/>
        <v>2025</v>
      </c>
    </row>
    <row r="4390" spans="1:6" x14ac:dyDescent="0.3">
      <c r="A4390">
        <v>40</v>
      </c>
      <c r="B4390">
        <v>106.76</v>
      </c>
      <c r="C4390">
        <f t="shared" si="272"/>
        <v>4270.4000000000005</v>
      </c>
      <c r="D4390">
        <f t="shared" si="273"/>
        <v>1600</v>
      </c>
      <c r="E4390">
        <f t="shared" si="274"/>
        <v>11397.697600000001</v>
      </c>
      <c r="F4390">
        <f t="shared" si="275"/>
        <v>1600</v>
      </c>
    </row>
    <row r="4391" spans="1:6" x14ac:dyDescent="0.3">
      <c r="A4391">
        <v>41</v>
      </c>
      <c r="B4391">
        <v>76.34</v>
      </c>
      <c r="C4391">
        <f t="shared" si="272"/>
        <v>3129.94</v>
      </c>
      <c r="D4391">
        <f t="shared" si="273"/>
        <v>1681</v>
      </c>
      <c r="E4391">
        <f t="shared" si="274"/>
        <v>5827.7956000000004</v>
      </c>
      <c r="F4391">
        <f t="shared" si="275"/>
        <v>1681</v>
      </c>
    </row>
    <row r="4392" spans="1:6" x14ac:dyDescent="0.3">
      <c r="A4392">
        <v>71</v>
      </c>
      <c r="B4392">
        <v>221.24</v>
      </c>
      <c r="C4392">
        <f t="shared" si="272"/>
        <v>15708.04</v>
      </c>
      <c r="D4392">
        <f t="shared" si="273"/>
        <v>5041</v>
      </c>
      <c r="E4392">
        <f t="shared" si="274"/>
        <v>48947.137600000002</v>
      </c>
      <c r="F4392">
        <f t="shared" si="275"/>
        <v>5041</v>
      </c>
    </row>
    <row r="4393" spans="1:6" x14ac:dyDescent="0.3">
      <c r="A4393">
        <v>16</v>
      </c>
      <c r="B4393">
        <v>80.55</v>
      </c>
      <c r="C4393">
        <f t="shared" si="272"/>
        <v>1288.8</v>
      </c>
      <c r="D4393">
        <f t="shared" si="273"/>
        <v>256</v>
      </c>
      <c r="E4393">
        <f t="shared" si="274"/>
        <v>6488.3024999999998</v>
      </c>
      <c r="F4393">
        <f t="shared" si="275"/>
        <v>256</v>
      </c>
    </row>
    <row r="4394" spans="1:6" x14ac:dyDescent="0.3">
      <c r="A4394">
        <v>7</v>
      </c>
      <c r="B4394">
        <v>63.98</v>
      </c>
      <c r="C4394">
        <f t="shared" si="272"/>
        <v>447.85999999999996</v>
      </c>
      <c r="D4394">
        <f t="shared" si="273"/>
        <v>49</v>
      </c>
      <c r="E4394">
        <f t="shared" si="274"/>
        <v>4093.4403999999995</v>
      </c>
      <c r="F4394">
        <f t="shared" si="275"/>
        <v>49</v>
      </c>
    </row>
    <row r="4395" spans="1:6" x14ac:dyDescent="0.3">
      <c r="A4395">
        <v>27</v>
      </c>
      <c r="B4395">
        <v>55.93</v>
      </c>
      <c r="C4395">
        <f t="shared" si="272"/>
        <v>1510.11</v>
      </c>
      <c r="D4395">
        <f t="shared" si="273"/>
        <v>729</v>
      </c>
      <c r="E4395">
        <f t="shared" si="274"/>
        <v>3128.1648999999998</v>
      </c>
      <c r="F4395">
        <f t="shared" si="275"/>
        <v>729</v>
      </c>
    </row>
    <row r="4396" spans="1:6" x14ac:dyDescent="0.3">
      <c r="A4396">
        <v>22</v>
      </c>
      <c r="B4396">
        <v>73.94</v>
      </c>
      <c r="C4396">
        <f t="shared" si="272"/>
        <v>1626.6799999999998</v>
      </c>
      <c r="D4396">
        <f t="shared" si="273"/>
        <v>484</v>
      </c>
      <c r="E4396">
        <f t="shared" si="274"/>
        <v>5467.1235999999999</v>
      </c>
      <c r="F4396">
        <f t="shared" si="275"/>
        <v>484</v>
      </c>
    </row>
    <row r="4397" spans="1:6" x14ac:dyDescent="0.3">
      <c r="A4397">
        <v>79</v>
      </c>
      <c r="B4397">
        <v>65.58</v>
      </c>
      <c r="C4397">
        <f t="shared" si="272"/>
        <v>5180.82</v>
      </c>
      <c r="D4397">
        <f t="shared" si="273"/>
        <v>6241</v>
      </c>
      <c r="E4397">
        <f t="shared" si="274"/>
        <v>4300.7363999999998</v>
      </c>
      <c r="F4397">
        <f t="shared" si="275"/>
        <v>6241</v>
      </c>
    </row>
    <row r="4398" spans="1:6" x14ac:dyDescent="0.3">
      <c r="A4398">
        <v>38</v>
      </c>
      <c r="B4398">
        <v>83.8</v>
      </c>
      <c r="C4398">
        <f t="shared" si="272"/>
        <v>3184.4</v>
      </c>
      <c r="D4398">
        <f t="shared" si="273"/>
        <v>1444</v>
      </c>
      <c r="E4398">
        <f t="shared" si="274"/>
        <v>7022.44</v>
      </c>
      <c r="F4398">
        <f t="shared" si="275"/>
        <v>1444</v>
      </c>
    </row>
    <row r="4399" spans="1:6" x14ac:dyDescent="0.3">
      <c r="A4399">
        <v>64</v>
      </c>
      <c r="B4399">
        <v>95.87</v>
      </c>
      <c r="C4399">
        <f t="shared" si="272"/>
        <v>6135.68</v>
      </c>
      <c r="D4399">
        <f t="shared" si="273"/>
        <v>4096</v>
      </c>
      <c r="E4399">
        <f t="shared" si="274"/>
        <v>9191.0569000000014</v>
      </c>
      <c r="F4399">
        <f t="shared" si="275"/>
        <v>4096</v>
      </c>
    </row>
    <row r="4400" spans="1:6" x14ac:dyDescent="0.3">
      <c r="A4400">
        <v>4</v>
      </c>
      <c r="B4400">
        <v>112.83</v>
      </c>
      <c r="C4400">
        <f t="shared" si="272"/>
        <v>451.32</v>
      </c>
      <c r="D4400">
        <f t="shared" si="273"/>
        <v>16</v>
      </c>
      <c r="E4400">
        <f t="shared" si="274"/>
        <v>12730.608899999999</v>
      </c>
      <c r="F4400">
        <f t="shared" si="275"/>
        <v>16</v>
      </c>
    </row>
    <row r="4401" spans="1:6" x14ac:dyDescent="0.3">
      <c r="A4401">
        <v>23</v>
      </c>
      <c r="B4401">
        <v>84.93</v>
      </c>
      <c r="C4401">
        <f t="shared" si="272"/>
        <v>1953.39</v>
      </c>
      <c r="D4401">
        <f t="shared" si="273"/>
        <v>529</v>
      </c>
      <c r="E4401">
        <f t="shared" si="274"/>
        <v>7213.1049000000012</v>
      </c>
      <c r="F4401">
        <f t="shared" si="275"/>
        <v>529</v>
      </c>
    </row>
    <row r="4402" spans="1:6" x14ac:dyDescent="0.3">
      <c r="A4402">
        <v>35</v>
      </c>
      <c r="B4402">
        <v>103.08</v>
      </c>
      <c r="C4402">
        <f t="shared" si="272"/>
        <v>3607.7999999999997</v>
      </c>
      <c r="D4402">
        <f t="shared" si="273"/>
        <v>1225</v>
      </c>
      <c r="E4402">
        <f t="shared" si="274"/>
        <v>10625.4864</v>
      </c>
      <c r="F4402">
        <f t="shared" si="275"/>
        <v>1225</v>
      </c>
    </row>
    <row r="4403" spans="1:6" x14ac:dyDescent="0.3">
      <c r="A4403">
        <v>66</v>
      </c>
      <c r="B4403">
        <v>85.98</v>
      </c>
      <c r="C4403">
        <f t="shared" si="272"/>
        <v>5674.68</v>
      </c>
      <c r="D4403">
        <f t="shared" si="273"/>
        <v>4356</v>
      </c>
      <c r="E4403">
        <f t="shared" si="274"/>
        <v>7392.5604000000003</v>
      </c>
      <c r="F4403">
        <f t="shared" si="275"/>
        <v>4356</v>
      </c>
    </row>
    <row r="4404" spans="1:6" x14ac:dyDescent="0.3">
      <c r="A4404">
        <v>34</v>
      </c>
      <c r="B4404">
        <v>83.75</v>
      </c>
      <c r="C4404">
        <f t="shared" si="272"/>
        <v>2847.5</v>
      </c>
      <c r="D4404">
        <f t="shared" si="273"/>
        <v>1156</v>
      </c>
      <c r="E4404">
        <f t="shared" si="274"/>
        <v>7014.0625</v>
      </c>
      <c r="F4404">
        <f t="shared" si="275"/>
        <v>1156</v>
      </c>
    </row>
    <row r="4405" spans="1:6" x14ac:dyDescent="0.3">
      <c r="A4405">
        <v>19</v>
      </c>
      <c r="B4405">
        <v>125.43</v>
      </c>
      <c r="C4405">
        <f t="shared" si="272"/>
        <v>2383.17</v>
      </c>
      <c r="D4405">
        <f t="shared" si="273"/>
        <v>361</v>
      </c>
      <c r="E4405">
        <f t="shared" si="274"/>
        <v>15732.684900000002</v>
      </c>
      <c r="F4405">
        <f t="shared" si="275"/>
        <v>361</v>
      </c>
    </row>
    <row r="4406" spans="1:6" x14ac:dyDescent="0.3">
      <c r="A4406">
        <v>73</v>
      </c>
      <c r="B4406">
        <v>101.58</v>
      </c>
      <c r="C4406">
        <f t="shared" si="272"/>
        <v>7415.34</v>
      </c>
      <c r="D4406">
        <f t="shared" si="273"/>
        <v>5329</v>
      </c>
      <c r="E4406">
        <f t="shared" si="274"/>
        <v>10318.4964</v>
      </c>
      <c r="F4406">
        <f t="shared" si="275"/>
        <v>5329</v>
      </c>
    </row>
    <row r="4407" spans="1:6" x14ac:dyDescent="0.3">
      <c r="A4407">
        <v>70</v>
      </c>
      <c r="B4407">
        <v>149.80000000000001</v>
      </c>
      <c r="C4407">
        <f t="shared" si="272"/>
        <v>10486</v>
      </c>
      <c r="D4407">
        <f t="shared" si="273"/>
        <v>4900</v>
      </c>
      <c r="E4407">
        <f t="shared" si="274"/>
        <v>22440.040000000005</v>
      </c>
      <c r="F4407">
        <f t="shared" si="275"/>
        <v>4900</v>
      </c>
    </row>
    <row r="4408" spans="1:6" x14ac:dyDescent="0.3">
      <c r="A4408">
        <v>45</v>
      </c>
      <c r="B4408">
        <v>112.55</v>
      </c>
      <c r="C4408">
        <f t="shared" si="272"/>
        <v>5064.75</v>
      </c>
      <c r="D4408">
        <f t="shared" si="273"/>
        <v>2025</v>
      </c>
      <c r="E4408">
        <f t="shared" si="274"/>
        <v>12667.502499999999</v>
      </c>
      <c r="F4408">
        <f t="shared" si="275"/>
        <v>2025</v>
      </c>
    </row>
    <row r="4409" spans="1:6" x14ac:dyDescent="0.3">
      <c r="A4409">
        <v>34</v>
      </c>
      <c r="B4409">
        <v>70.87</v>
      </c>
      <c r="C4409">
        <f t="shared" si="272"/>
        <v>2409.58</v>
      </c>
      <c r="D4409">
        <f t="shared" si="273"/>
        <v>1156</v>
      </c>
      <c r="E4409">
        <f t="shared" si="274"/>
        <v>5022.5569000000005</v>
      </c>
      <c r="F4409">
        <f t="shared" si="275"/>
        <v>1156</v>
      </c>
    </row>
    <row r="4410" spans="1:6" x14ac:dyDescent="0.3">
      <c r="A4410">
        <v>81</v>
      </c>
      <c r="B4410">
        <v>92.96</v>
      </c>
      <c r="C4410">
        <f t="shared" si="272"/>
        <v>7529.7599999999993</v>
      </c>
      <c r="D4410">
        <f t="shared" si="273"/>
        <v>6561</v>
      </c>
      <c r="E4410">
        <f t="shared" si="274"/>
        <v>8641.5615999999991</v>
      </c>
      <c r="F4410">
        <f t="shared" si="275"/>
        <v>6561</v>
      </c>
    </row>
    <row r="4411" spans="1:6" x14ac:dyDescent="0.3">
      <c r="A4411">
        <v>0.72</v>
      </c>
      <c r="B4411">
        <v>112.19</v>
      </c>
      <c r="C4411">
        <f t="shared" si="272"/>
        <v>80.776799999999994</v>
      </c>
      <c r="D4411">
        <f t="shared" si="273"/>
        <v>0.51839999999999997</v>
      </c>
      <c r="E4411">
        <f t="shared" si="274"/>
        <v>12586.596099999999</v>
      </c>
      <c r="F4411">
        <f t="shared" si="275"/>
        <v>0.51839999999999997</v>
      </c>
    </row>
    <row r="4412" spans="1:6" x14ac:dyDescent="0.3">
      <c r="A4412">
        <v>13</v>
      </c>
      <c r="B4412">
        <v>85.08</v>
      </c>
      <c r="C4412">
        <f t="shared" si="272"/>
        <v>1106.04</v>
      </c>
      <c r="D4412">
        <f t="shared" si="273"/>
        <v>169</v>
      </c>
      <c r="E4412">
        <f t="shared" si="274"/>
        <v>7238.6063999999997</v>
      </c>
      <c r="F4412">
        <f t="shared" si="275"/>
        <v>169</v>
      </c>
    </row>
    <row r="4413" spans="1:6" x14ac:dyDescent="0.3">
      <c r="A4413">
        <v>57</v>
      </c>
      <c r="B4413">
        <v>112.37</v>
      </c>
      <c r="C4413">
        <f t="shared" si="272"/>
        <v>6405.09</v>
      </c>
      <c r="D4413">
        <f t="shared" si="273"/>
        <v>3249</v>
      </c>
      <c r="E4413">
        <f t="shared" si="274"/>
        <v>12627.016900000001</v>
      </c>
      <c r="F4413">
        <f t="shared" si="275"/>
        <v>3249</v>
      </c>
    </row>
    <row r="4414" spans="1:6" x14ac:dyDescent="0.3">
      <c r="A4414">
        <v>38</v>
      </c>
      <c r="B4414">
        <v>151.26</v>
      </c>
      <c r="C4414">
        <f t="shared" si="272"/>
        <v>5747.8799999999992</v>
      </c>
      <c r="D4414">
        <f t="shared" si="273"/>
        <v>1444</v>
      </c>
      <c r="E4414">
        <f t="shared" si="274"/>
        <v>22879.587599999999</v>
      </c>
      <c r="F4414">
        <f t="shared" si="275"/>
        <v>1444</v>
      </c>
    </row>
    <row r="4415" spans="1:6" x14ac:dyDescent="0.3">
      <c r="A4415">
        <v>21</v>
      </c>
      <c r="B4415">
        <v>73.81</v>
      </c>
      <c r="C4415">
        <f t="shared" si="272"/>
        <v>1550.01</v>
      </c>
      <c r="D4415">
        <f t="shared" si="273"/>
        <v>441</v>
      </c>
      <c r="E4415">
        <f t="shared" si="274"/>
        <v>5447.9161000000004</v>
      </c>
      <c r="F4415">
        <f t="shared" si="275"/>
        <v>441</v>
      </c>
    </row>
    <row r="4416" spans="1:6" x14ac:dyDescent="0.3">
      <c r="A4416">
        <v>38</v>
      </c>
      <c r="B4416">
        <v>77.2</v>
      </c>
      <c r="C4416">
        <f t="shared" si="272"/>
        <v>2933.6</v>
      </c>
      <c r="D4416">
        <f t="shared" si="273"/>
        <v>1444</v>
      </c>
      <c r="E4416">
        <f t="shared" si="274"/>
        <v>5959.84</v>
      </c>
      <c r="F4416">
        <f t="shared" si="275"/>
        <v>1444</v>
      </c>
    </row>
    <row r="4417" spans="1:6" x14ac:dyDescent="0.3">
      <c r="A4417">
        <v>41</v>
      </c>
      <c r="B4417">
        <v>76.08</v>
      </c>
      <c r="C4417">
        <f t="shared" si="272"/>
        <v>3119.2799999999997</v>
      </c>
      <c r="D4417">
        <f t="shared" si="273"/>
        <v>1681</v>
      </c>
      <c r="E4417">
        <f t="shared" si="274"/>
        <v>5788.1664000000001</v>
      </c>
      <c r="F4417">
        <f t="shared" si="275"/>
        <v>1681</v>
      </c>
    </row>
    <row r="4418" spans="1:6" x14ac:dyDescent="0.3">
      <c r="A4418">
        <v>26</v>
      </c>
      <c r="B4418">
        <v>123.98</v>
      </c>
      <c r="C4418">
        <f t="shared" si="272"/>
        <v>3223.48</v>
      </c>
      <c r="D4418">
        <f t="shared" si="273"/>
        <v>676</v>
      </c>
      <c r="E4418">
        <f t="shared" si="274"/>
        <v>15371.040400000002</v>
      </c>
      <c r="F4418">
        <f t="shared" si="275"/>
        <v>676</v>
      </c>
    </row>
    <row r="4419" spans="1:6" x14ac:dyDescent="0.3">
      <c r="A4419">
        <v>48</v>
      </c>
      <c r="B4419">
        <v>108.51</v>
      </c>
      <c r="C4419">
        <f t="shared" ref="C4419:C4482" si="276">A4419*B4419</f>
        <v>5208.4800000000005</v>
      </c>
      <c r="D4419">
        <f t="shared" ref="D4419:D4482" si="277">A4419*A4419</f>
        <v>2304</v>
      </c>
      <c r="E4419">
        <f t="shared" ref="E4419:E4482" si="278">B4419*B4419</f>
        <v>11774.420100000001</v>
      </c>
      <c r="F4419">
        <f t="shared" ref="F4419:F4482" si="279">A4419^2</f>
        <v>2304</v>
      </c>
    </row>
    <row r="4420" spans="1:6" x14ac:dyDescent="0.3">
      <c r="A4420">
        <v>18</v>
      </c>
      <c r="B4420">
        <v>98.07</v>
      </c>
      <c r="C4420">
        <f t="shared" si="276"/>
        <v>1765.2599999999998</v>
      </c>
      <c r="D4420">
        <f t="shared" si="277"/>
        <v>324</v>
      </c>
      <c r="E4420">
        <f t="shared" si="278"/>
        <v>9617.7248999999993</v>
      </c>
      <c r="F4420">
        <f t="shared" si="279"/>
        <v>324</v>
      </c>
    </row>
    <row r="4421" spans="1:6" x14ac:dyDescent="0.3">
      <c r="A4421">
        <v>66</v>
      </c>
      <c r="B4421">
        <v>85.82</v>
      </c>
      <c r="C4421">
        <f t="shared" si="276"/>
        <v>5664.12</v>
      </c>
      <c r="D4421">
        <f t="shared" si="277"/>
        <v>4356</v>
      </c>
      <c r="E4421">
        <f t="shared" si="278"/>
        <v>7365.0723999999991</v>
      </c>
      <c r="F4421">
        <f t="shared" si="279"/>
        <v>4356</v>
      </c>
    </row>
    <row r="4422" spans="1:6" x14ac:dyDescent="0.3">
      <c r="A4422">
        <v>27</v>
      </c>
      <c r="B4422">
        <v>86.21</v>
      </c>
      <c r="C4422">
        <f t="shared" si="276"/>
        <v>2327.6699999999996</v>
      </c>
      <c r="D4422">
        <f t="shared" si="277"/>
        <v>729</v>
      </c>
      <c r="E4422">
        <f t="shared" si="278"/>
        <v>7432.1640999999991</v>
      </c>
      <c r="F4422">
        <f t="shared" si="279"/>
        <v>729</v>
      </c>
    </row>
    <row r="4423" spans="1:6" x14ac:dyDescent="0.3">
      <c r="A4423">
        <v>18</v>
      </c>
      <c r="B4423">
        <v>99.01</v>
      </c>
      <c r="C4423">
        <f t="shared" si="276"/>
        <v>1782.18</v>
      </c>
      <c r="D4423">
        <f t="shared" si="277"/>
        <v>324</v>
      </c>
      <c r="E4423">
        <f t="shared" si="278"/>
        <v>9802.9801000000007</v>
      </c>
      <c r="F4423">
        <f t="shared" si="279"/>
        <v>324</v>
      </c>
    </row>
    <row r="4424" spans="1:6" x14ac:dyDescent="0.3">
      <c r="A4424">
        <v>20</v>
      </c>
      <c r="B4424">
        <v>79.53</v>
      </c>
      <c r="C4424">
        <f t="shared" si="276"/>
        <v>1590.6</v>
      </c>
      <c r="D4424">
        <f t="shared" si="277"/>
        <v>400</v>
      </c>
      <c r="E4424">
        <f t="shared" si="278"/>
        <v>6325.0209000000004</v>
      </c>
      <c r="F4424">
        <f t="shared" si="279"/>
        <v>400</v>
      </c>
    </row>
    <row r="4425" spans="1:6" x14ac:dyDescent="0.3">
      <c r="A4425">
        <v>11</v>
      </c>
      <c r="B4425">
        <v>80.08</v>
      </c>
      <c r="C4425">
        <f t="shared" si="276"/>
        <v>880.88</v>
      </c>
      <c r="D4425">
        <f t="shared" si="277"/>
        <v>121</v>
      </c>
      <c r="E4425">
        <f t="shared" si="278"/>
        <v>6412.8063999999995</v>
      </c>
      <c r="F4425">
        <f t="shared" si="279"/>
        <v>121</v>
      </c>
    </row>
    <row r="4426" spans="1:6" x14ac:dyDescent="0.3">
      <c r="A4426">
        <v>7</v>
      </c>
      <c r="B4426">
        <v>69.47</v>
      </c>
      <c r="C4426">
        <f t="shared" si="276"/>
        <v>486.28999999999996</v>
      </c>
      <c r="D4426">
        <f t="shared" si="277"/>
        <v>49</v>
      </c>
      <c r="E4426">
        <f t="shared" si="278"/>
        <v>4826.0808999999999</v>
      </c>
      <c r="F4426">
        <f t="shared" si="279"/>
        <v>49</v>
      </c>
    </row>
    <row r="4427" spans="1:6" x14ac:dyDescent="0.3">
      <c r="A4427">
        <v>54</v>
      </c>
      <c r="B4427">
        <v>85.07</v>
      </c>
      <c r="C4427">
        <f t="shared" si="276"/>
        <v>4593.78</v>
      </c>
      <c r="D4427">
        <f t="shared" si="277"/>
        <v>2916</v>
      </c>
      <c r="E4427">
        <f t="shared" si="278"/>
        <v>7236.9048999999986</v>
      </c>
      <c r="F4427">
        <f t="shared" si="279"/>
        <v>2916</v>
      </c>
    </row>
    <row r="4428" spans="1:6" x14ac:dyDescent="0.3">
      <c r="A4428">
        <v>43</v>
      </c>
      <c r="B4428">
        <v>88</v>
      </c>
      <c r="C4428">
        <f t="shared" si="276"/>
        <v>3784</v>
      </c>
      <c r="D4428">
        <f t="shared" si="277"/>
        <v>1849</v>
      </c>
      <c r="E4428">
        <f t="shared" si="278"/>
        <v>7744</v>
      </c>
      <c r="F4428">
        <f t="shared" si="279"/>
        <v>1849</v>
      </c>
    </row>
    <row r="4429" spans="1:6" x14ac:dyDescent="0.3">
      <c r="A4429">
        <v>61</v>
      </c>
      <c r="B4429">
        <v>144.13999999999999</v>
      </c>
      <c r="C4429">
        <f t="shared" si="276"/>
        <v>8792.5399999999991</v>
      </c>
      <c r="D4429">
        <f t="shared" si="277"/>
        <v>3721</v>
      </c>
      <c r="E4429">
        <f t="shared" si="278"/>
        <v>20776.339599999996</v>
      </c>
      <c r="F4429">
        <f t="shared" si="279"/>
        <v>3721</v>
      </c>
    </row>
    <row r="4430" spans="1:6" x14ac:dyDescent="0.3">
      <c r="A4430">
        <v>31</v>
      </c>
      <c r="B4430">
        <v>78.8</v>
      </c>
      <c r="C4430">
        <f t="shared" si="276"/>
        <v>2442.7999999999997</v>
      </c>
      <c r="D4430">
        <f t="shared" si="277"/>
        <v>961</v>
      </c>
      <c r="E4430">
        <f t="shared" si="278"/>
        <v>6209.44</v>
      </c>
      <c r="F4430">
        <f t="shared" si="279"/>
        <v>961</v>
      </c>
    </row>
    <row r="4431" spans="1:6" x14ac:dyDescent="0.3">
      <c r="A4431">
        <v>40</v>
      </c>
      <c r="B4431">
        <v>86.78</v>
      </c>
      <c r="C4431">
        <f t="shared" si="276"/>
        <v>3471.2</v>
      </c>
      <c r="D4431">
        <f t="shared" si="277"/>
        <v>1600</v>
      </c>
      <c r="E4431">
        <f t="shared" si="278"/>
        <v>7530.7683999999999</v>
      </c>
      <c r="F4431">
        <f t="shared" si="279"/>
        <v>1600</v>
      </c>
    </row>
    <row r="4432" spans="1:6" x14ac:dyDescent="0.3">
      <c r="A4432">
        <v>71</v>
      </c>
      <c r="B4432">
        <v>105.72</v>
      </c>
      <c r="C4432">
        <f t="shared" si="276"/>
        <v>7506.12</v>
      </c>
      <c r="D4432">
        <f t="shared" si="277"/>
        <v>5041</v>
      </c>
      <c r="E4432">
        <f t="shared" si="278"/>
        <v>11176.7184</v>
      </c>
      <c r="F4432">
        <f t="shared" si="279"/>
        <v>5041</v>
      </c>
    </row>
    <row r="4433" spans="1:6" x14ac:dyDescent="0.3">
      <c r="A4433">
        <v>57</v>
      </c>
      <c r="B4433">
        <v>64.37</v>
      </c>
      <c r="C4433">
        <f t="shared" si="276"/>
        <v>3669.09</v>
      </c>
      <c r="D4433">
        <f t="shared" si="277"/>
        <v>3249</v>
      </c>
      <c r="E4433">
        <f t="shared" si="278"/>
        <v>4143.496900000001</v>
      </c>
      <c r="F4433">
        <f t="shared" si="279"/>
        <v>3249</v>
      </c>
    </row>
    <row r="4434" spans="1:6" x14ac:dyDescent="0.3">
      <c r="A4434">
        <v>13</v>
      </c>
      <c r="B4434">
        <v>146.1</v>
      </c>
      <c r="C4434">
        <f t="shared" si="276"/>
        <v>1899.3</v>
      </c>
      <c r="D4434">
        <f t="shared" si="277"/>
        <v>169</v>
      </c>
      <c r="E4434">
        <f t="shared" si="278"/>
        <v>21345.21</v>
      </c>
      <c r="F4434">
        <f t="shared" si="279"/>
        <v>169</v>
      </c>
    </row>
    <row r="4435" spans="1:6" x14ac:dyDescent="0.3">
      <c r="A4435">
        <v>21</v>
      </c>
      <c r="B4435">
        <v>58.66</v>
      </c>
      <c r="C4435">
        <f t="shared" si="276"/>
        <v>1231.8599999999999</v>
      </c>
      <c r="D4435">
        <f t="shared" si="277"/>
        <v>441</v>
      </c>
      <c r="E4435">
        <f t="shared" si="278"/>
        <v>3440.9955999999997</v>
      </c>
      <c r="F4435">
        <f t="shared" si="279"/>
        <v>441</v>
      </c>
    </row>
    <row r="4436" spans="1:6" x14ac:dyDescent="0.3">
      <c r="A4436">
        <v>63</v>
      </c>
      <c r="B4436">
        <v>192.5</v>
      </c>
      <c r="C4436">
        <f t="shared" si="276"/>
        <v>12127.5</v>
      </c>
      <c r="D4436">
        <f t="shared" si="277"/>
        <v>3969</v>
      </c>
      <c r="E4436">
        <f t="shared" si="278"/>
        <v>37056.25</v>
      </c>
      <c r="F4436">
        <f t="shared" si="279"/>
        <v>3969</v>
      </c>
    </row>
    <row r="4437" spans="1:6" x14ac:dyDescent="0.3">
      <c r="A4437">
        <v>7</v>
      </c>
      <c r="B4437">
        <v>103.5</v>
      </c>
      <c r="C4437">
        <f t="shared" si="276"/>
        <v>724.5</v>
      </c>
      <c r="D4437">
        <f t="shared" si="277"/>
        <v>49</v>
      </c>
      <c r="E4437">
        <f t="shared" si="278"/>
        <v>10712.25</v>
      </c>
      <c r="F4437">
        <f t="shared" si="279"/>
        <v>49</v>
      </c>
    </row>
    <row r="4438" spans="1:6" x14ac:dyDescent="0.3">
      <c r="A4438">
        <v>78</v>
      </c>
      <c r="B4438">
        <v>89.42</v>
      </c>
      <c r="C4438">
        <f t="shared" si="276"/>
        <v>6974.76</v>
      </c>
      <c r="D4438">
        <f t="shared" si="277"/>
        <v>6084</v>
      </c>
      <c r="E4438">
        <f t="shared" si="278"/>
        <v>7995.9364000000005</v>
      </c>
      <c r="F4438">
        <f t="shared" si="279"/>
        <v>6084</v>
      </c>
    </row>
    <row r="4439" spans="1:6" x14ac:dyDescent="0.3">
      <c r="A4439">
        <v>66</v>
      </c>
      <c r="B4439">
        <v>212.92</v>
      </c>
      <c r="C4439">
        <f t="shared" si="276"/>
        <v>14052.72</v>
      </c>
      <c r="D4439">
        <f t="shared" si="277"/>
        <v>4356</v>
      </c>
      <c r="E4439">
        <f t="shared" si="278"/>
        <v>45334.926399999997</v>
      </c>
      <c r="F4439">
        <f t="shared" si="279"/>
        <v>4356</v>
      </c>
    </row>
    <row r="4440" spans="1:6" x14ac:dyDescent="0.3">
      <c r="A4440">
        <v>41</v>
      </c>
      <c r="B4440">
        <v>60.73</v>
      </c>
      <c r="C4440">
        <f t="shared" si="276"/>
        <v>2489.9299999999998</v>
      </c>
      <c r="D4440">
        <f t="shared" si="277"/>
        <v>1681</v>
      </c>
      <c r="E4440">
        <f t="shared" si="278"/>
        <v>3688.1328999999996</v>
      </c>
      <c r="F4440">
        <f t="shared" si="279"/>
        <v>1681</v>
      </c>
    </row>
    <row r="4441" spans="1:6" x14ac:dyDescent="0.3">
      <c r="A4441">
        <v>11</v>
      </c>
      <c r="B4441">
        <v>73.180000000000007</v>
      </c>
      <c r="C4441">
        <f t="shared" si="276"/>
        <v>804.98</v>
      </c>
      <c r="D4441">
        <f t="shared" si="277"/>
        <v>121</v>
      </c>
      <c r="E4441">
        <f t="shared" si="278"/>
        <v>5355.3124000000007</v>
      </c>
      <c r="F4441">
        <f t="shared" si="279"/>
        <v>121</v>
      </c>
    </row>
    <row r="4442" spans="1:6" x14ac:dyDescent="0.3">
      <c r="A4442">
        <v>55</v>
      </c>
      <c r="B4442">
        <v>82.26</v>
      </c>
      <c r="C4442">
        <f t="shared" si="276"/>
        <v>4524.3</v>
      </c>
      <c r="D4442">
        <f t="shared" si="277"/>
        <v>3025</v>
      </c>
      <c r="E4442">
        <f t="shared" si="278"/>
        <v>6766.7076000000006</v>
      </c>
      <c r="F4442">
        <f t="shared" si="279"/>
        <v>3025</v>
      </c>
    </row>
    <row r="4443" spans="1:6" x14ac:dyDescent="0.3">
      <c r="A4443">
        <v>42</v>
      </c>
      <c r="B4443">
        <v>87.4</v>
      </c>
      <c r="C4443">
        <f t="shared" si="276"/>
        <v>3670.8</v>
      </c>
      <c r="D4443">
        <f t="shared" si="277"/>
        <v>1764</v>
      </c>
      <c r="E4443">
        <f t="shared" si="278"/>
        <v>7638.7600000000011</v>
      </c>
      <c r="F4443">
        <f t="shared" si="279"/>
        <v>1764</v>
      </c>
    </row>
    <row r="4444" spans="1:6" x14ac:dyDescent="0.3">
      <c r="A4444">
        <v>51</v>
      </c>
      <c r="B4444">
        <v>86.95</v>
      </c>
      <c r="C4444">
        <f t="shared" si="276"/>
        <v>4434.45</v>
      </c>
      <c r="D4444">
        <f t="shared" si="277"/>
        <v>2601</v>
      </c>
      <c r="E4444">
        <f t="shared" si="278"/>
        <v>7560.3025000000007</v>
      </c>
      <c r="F4444">
        <f t="shared" si="279"/>
        <v>2601</v>
      </c>
    </row>
    <row r="4445" spans="1:6" x14ac:dyDescent="0.3">
      <c r="A4445">
        <v>79</v>
      </c>
      <c r="B4445">
        <v>74</v>
      </c>
      <c r="C4445">
        <f t="shared" si="276"/>
        <v>5846</v>
      </c>
      <c r="D4445">
        <f t="shared" si="277"/>
        <v>6241</v>
      </c>
      <c r="E4445">
        <f t="shared" si="278"/>
        <v>5476</v>
      </c>
      <c r="F4445">
        <f t="shared" si="279"/>
        <v>6241</v>
      </c>
    </row>
    <row r="4446" spans="1:6" x14ac:dyDescent="0.3">
      <c r="A4446">
        <v>28</v>
      </c>
      <c r="B4446">
        <v>73.98</v>
      </c>
      <c r="C4446">
        <f t="shared" si="276"/>
        <v>2071.44</v>
      </c>
      <c r="D4446">
        <f t="shared" si="277"/>
        <v>784</v>
      </c>
      <c r="E4446">
        <f t="shared" si="278"/>
        <v>5473.0404000000008</v>
      </c>
      <c r="F4446">
        <f t="shared" si="279"/>
        <v>784</v>
      </c>
    </row>
    <row r="4447" spans="1:6" x14ac:dyDescent="0.3">
      <c r="A4447">
        <v>73</v>
      </c>
      <c r="B4447">
        <v>124.78</v>
      </c>
      <c r="C4447">
        <f t="shared" si="276"/>
        <v>9108.94</v>
      </c>
      <c r="D4447">
        <f t="shared" si="277"/>
        <v>5329</v>
      </c>
      <c r="E4447">
        <f t="shared" si="278"/>
        <v>15570.0484</v>
      </c>
      <c r="F4447">
        <f t="shared" si="279"/>
        <v>5329</v>
      </c>
    </row>
    <row r="4448" spans="1:6" x14ac:dyDescent="0.3">
      <c r="A4448">
        <v>42</v>
      </c>
      <c r="B4448">
        <v>191.94</v>
      </c>
      <c r="C4448">
        <f t="shared" si="276"/>
        <v>8061.48</v>
      </c>
      <c r="D4448">
        <f t="shared" si="277"/>
        <v>1764</v>
      </c>
      <c r="E4448">
        <f t="shared" si="278"/>
        <v>36840.963599999995</v>
      </c>
      <c r="F4448">
        <f t="shared" si="279"/>
        <v>1764</v>
      </c>
    </row>
    <row r="4449" spans="1:6" x14ac:dyDescent="0.3">
      <c r="A4449">
        <v>37</v>
      </c>
      <c r="B4449">
        <v>247.87</v>
      </c>
      <c r="C4449">
        <f t="shared" si="276"/>
        <v>9171.19</v>
      </c>
      <c r="D4449">
        <f t="shared" si="277"/>
        <v>1369</v>
      </c>
      <c r="E4449">
        <f t="shared" si="278"/>
        <v>61439.536899999999</v>
      </c>
      <c r="F4449">
        <f t="shared" si="279"/>
        <v>1369</v>
      </c>
    </row>
    <row r="4450" spans="1:6" x14ac:dyDescent="0.3">
      <c r="A4450">
        <v>78</v>
      </c>
      <c r="B4450">
        <v>83.2</v>
      </c>
      <c r="C4450">
        <f t="shared" si="276"/>
        <v>6489.6</v>
      </c>
      <c r="D4450">
        <f t="shared" si="277"/>
        <v>6084</v>
      </c>
      <c r="E4450">
        <f t="shared" si="278"/>
        <v>6922.2400000000007</v>
      </c>
      <c r="F4450">
        <f t="shared" si="279"/>
        <v>6084</v>
      </c>
    </row>
    <row r="4451" spans="1:6" x14ac:dyDescent="0.3">
      <c r="A4451">
        <v>74</v>
      </c>
      <c r="B4451">
        <v>88.62</v>
      </c>
      <c r="C4451">
        <f t="shared" si="276"/>
        <v>6557.88</v>
      </c>
      <c r="D4451">
        <f t="shared" si="277"/>
        <v>5476</v>
      </c>
      <c r="E4451">
        <f t="shared" si="278"/>
        <v>7853.5044000000007</v>
      </c>
      <c r="F4451">
        <f t="shared" si="279"/>
        <v>5476</v>
      </c>
    </row>
    <row r="4452" spans="1:6" x14ac:dyDescent="0.3">
      <c r="A4452">
        <v>59</v>
      </c>
      <c r="B4452">
        <v>81.510000000000005</v>
      </c>
      <c r="C4452">
        <f t="shared" si="276"/>
        <v>4809.09</v>
      </c>
      <c r="D4452">
        <f t="shared" si="277"/>
        <v>3481</v>
      </c>
      <c r="E4452">
        <f t="shared" si="278"/>
        <v>6643.8801000000012</v>
      </c>
      <c r="F4452">
        <f t="shared" si="279"/>
        <v>3481</v>
      </c>
    </row>
    <row r="4453" spans="1:6" x14ac:dyDescent="0.3">
      <c r="A4453">
        <v>78</v>
      </c>
      <c r="B4453">
        <v>101.76</v>
      </c>
      <c r="C4453">
        <f t="shared" si="276"/>
        <v>7937.2800000000007</v>
      </c>
      <c r="D4453">
        <f t="shared" si="277"/>
        <v>6084</v>
      </c>
      <c r="E4453">
        <f t="shared" si="278"/>
        <v>10355.097600000001</v>
      </c>
      <c r="F4453">
        <f t="shared" si="279"/>
        <v>6084</v>
      </c>
    </row>
    <row r="4454" spans="1:6" x14ac:dyDescent="0.3">
      <c r="A4454">
        <v>82</v>
      </c>
      <c r="B4454">
        <v>115.71</v>
      </c>
      <c r="C4454">
        <f t="shared" si="276"/>
        <v>9488.2199999999993</v>
      </c>
      <c r="D4454">
        <f t="shared" si="277"/>
        <v>6724</v>
      </c>
      <c r="E4454">
        <f t="shared" si="278"/>
        <v>13388.804099999999</v>
      </c>
      <c r="F4454">
        <f t="shared" si="279"/>
        <v>6724</v>
      </c>
    </row>
    <row r="4455" spans="1:6" x14ac:dyDescent="0.3">
      <c r="A4455">
        <v>71</v>
      </c>
      <c r="B4455">
        <v>229.73</v>
      </c>
      <c r="C4455">
        <f t="shared" si="276"/>
        <v>16310.83</v>
      </c>
      <c r="D4455">
        <f t="shared" si="277"/>
        <v>5041</v>
      </c>
      <c r="E4455">
        <f t="shared" si="278"/>
        <v>52775.872899999995</v>
      </c>
      <c r="F4455">
        <f t="shared" si="279"/>
        <v>5041</v>
      </c>
    </row>
    <row r="4456" spans="1:6" x14ac:dyDescent="0.3">
      <c r="A4456">
        <v>19</v>
      </c>
      <c r="B4456">
        <v>57.4</v>
      </c>
      <c r="C4456">
        <f t="shared" si="276"/>
        <v>1090.5999999999999</v>
      </c>
      <c r="D4456">
        <f t="shared" si="277"/>
        <v>361</v>
      </c>
      <c r="E4456">
        <f t="shared" si="278"/>
        <v>3294.7599999999998</v>
      </c>
      <c r="F4456">
        <f t="shared" si="279"/>
        <v>361</v>
      </c>
    </row>
    <row r="4457" spans="1:6" x14ac:dyDescent="0.3">
      <c r="A4457">
        <v>18</v>
      </c>
      <c r="B4457">
        <v>100.47</v>
      </c>
      <c r="C4457">
        <f t="shared" si="276"/>
        <v>1808.46</v>
      </c>
      <c r="D4457">
        <f t="shared" si="277"/>
        <v>324</v>
      </c>
      <c r="E4457">
        <f t="shared" si="278"/>
        <v>10094.2209</v>
      </c>
      <c r="F4457">
        <f t="shared" si="279"/>
        <v>324</v>
      </c>
    </row>
    <row r="4458" spans="1:6" x14ac:dyDescent="0.3">
      <c r="A4458">
        <v>53</v>
      </c>
      <c r="B4458">
        <v>81.36</v>
      </c>
      <c r="C4458">
        <f t="shared" si="276"/>
        <v>4312.08</v>
      </c>
      <c r="D4458">
        <f t="shared" si="277"/>
        <v>2809</v>
      </c>
      <c r="E4458">
        <f t="shared" si="278"/>
        <v>6619.4495999999999</v>
      </c>
      <c r="F4458">
        <f t="shared" si="279"/>
        <v>2809</v>
      </c>
    </row>
    <row r="4459" spans="1:6" x14ac:dyDescent="0.3">
      <c r="A4459">
        <v>62</v>
      </c>
      <c r="B4459">
        <v>261.67</v>
      </c>
      <c r="C4459">
        <f t="shared" si="276"/>
        <v>16223.54</v>
      </c>
      <c r="D4459">
        <f t="shared" si="277"/>
        <v>3844</v>
      </c>
      <c r="E4459">
        <f t="shared" si="278"/>
        <v>68471.188900000008</v>
      </c>
      <c r="F4459">
        <f t="shared" si="279"/>
        <v>3844</v>
      </c>
    </row>
    <row r="4460" spans="1:6" x14ac:dyDescent="0.3">
      <c r="A4460">
        <v>3</v>
      </c>
      <c r="B4460">
        <v>110.2</v>
      </c>
      <c r="C4460">
        <f t="shared" si="276"/>
        <v>330.6</v>
      </c>
      <c r="D4460">
        <f t="shared" si="277"/>
        <v>9</v>
      </c>
      <c r="E4460">
        <f t="shared" si="278"/>
        <v>12144.04</v>
      </c>
      <c r="F4460">
        <f t="shared" si="279"/>
        <v>9</v>
      </c>
    </row>
    <row r="4461" spans="1:6" x14ac:dyDescent="0.3">
      <c r="A4461">
        <v>49</v>
      </c>
      <c r="B4461">
        <v>98.9</v>
      </c>
      <c r="C4461">
        <f t="shared" si="276"/>
        <v>4846.1000000000004</v>
      </c>
      <c r="D4461">
        <f t="shared" si="277"/>
        <v>2401</v>
      </c>
      <c r="E4461">
        <f t="shared" si="278"/>
        <v>9781.2100000000009</v>
      </c>
      <c r="F4461">
        <f t="shared" si="279"/>
        <v>2401</v>
      </c>
    </row>
    <row r="4462" spans="1:6" x14ac:dyDescent="0.3">
      <c r="A4462">
        <v>51</v>
      </c>
      <c r="B4462">
        <v>95.19</v>
      </c>
      <c r="C4462">
        <f t="shared" si="276"/>
        <v>4854.6899999999996</v>
      </c>
      <c r="D4462">
        <f t="shared" si="277"/>
        <v>2601</v>
      </c>
      <c r="E4462">
        <f t="shared" si="278"/>
        <v>9061.1360999999997</v>
      </c>
      <c r="F4462">
        <f t="shared" si="279"/>
        <v>2601</v>
      </c>
    </row>
    <row r="4463" spans="1:6" x14ac:dyDescent="0.3">
      <c r="A4463">
        <v>53</v>
      </c>
      <c r="B4463">
        <v>105.28</v>
      </c>
      <c r="C4463">
        <f t="shared" si="276"/>
        <v>5579.84</v>
      </c>
      <c r="D4463">
        <f t="shared" si="277"/>
        <v>2809</v>
      </c>
      <c r="E4463">
        <f t="shared" si="278"/>
        <v>11083.8784</v>
      </c>
      <c r="F4463">
        <f t="shared" si="279"/>
        <v>2809</v>
      </c>
    </row>
    <row r="4464" spans="1:6" x14ac:dyDescent="0.3">
      <c r="A4464">
        <v>10</v>
      </c>
      <c r="B4464">
        <v>83.03</v>
      </c>
      <c r="C4464">
        <f t="shared" si="276"/>
        <v>830.3</v>
      </c>
      <c r="D4464">
        <f t="shared" si="277"/>
        <v>100</v>
      </c>
      <c r="E4464">
        <f t="shared" si="278"/>
        <v>6893.9809000000005</v>
      </c>
      <c r="F4464">
        <f t="shared" si="279"/>
        <v>100</v>
      </c>
    </row>
    <row r="4465" spans="1:6" x14ac:dyDescent="0.3">
      <c r="A4465">
        <v>54</v>
      </c>
      <c r="B4465">
        <v>89.41</v>
      </c>
      <c r="C4465">
        <f t="shared" si="276"/>
        <v>4828.1399999999994</v>
      </c>
      <c r="D4465">
        <f t="shared" si="277"/>
        <v>2916</v>
      </c>
      <c r="E4465">
        <f t="shared" si="278"/>
        <v>7994.1480999999994</v>
      </c>
      <c r="F4465">
        <f t="shared" si="279"/>
        <v>2916</v>
      </c>
    </row>
    <row r="4466" spans="1:6" x14ac:dyDescent="0.3">
      <c r="A4466">
        <v>40</v>
      </c>
      <c r="B4466">
        <v>70.56</v>
      </c>
      <c r="C4466">
        <f t="shared" si="276"/>
        <v>2822.4</v>
      </c>
      <c r="D4466">
        <f t="shared" si="277"/>
        <v>1600</v>
      </c>
      <c r="E4466">
        <f t="shared" si="278"/>
        <v>4978.7136</v>
      </c>
      <c r="F4466">
        <f t="shared" si="279"/>
        <v>1600</v>
      </c>
    </row>
    <row r="4467" spans="1:6" x14ac:dyDescent="0.3">
      <c r="A4467">
        <v>3</v>
      </c>
      <c r="B4467">
        <v>78.790000000000006</v>
      </c>
      <c r="C4467">
        <f t="shared" si="276"/>
        <v>236.37</v>
      </c>
      <c r="D4467">
        <f t="shared" si="277"/>
        <v>9</v>
      </c>
      <c r="E4467">
        <f t="shared" si="278"/>
        <v>6207.8641000000007</v>
      </c>
      <c r="F4467">
        <f t="shared" si="279"/>
        <v>9</v>
      </c>
    </row>
    <row r="4468" spans="1:6" x14ac:dyDescent="0.3">
      <c r="A4468">
        <v>12</v>
      </c>
      <c r="B4468">
        <v>70.13</v>
      </c>
      <c r="C4468">
        <f t="shared" si="276"/>
        <v>841.56</v>
      </c>
      <c r="D4468">
        <f t="shared" si="277"/>
        <v>144</v>
      </c>
      <c r="E4468">
        <f t="shared" si="278"/>
        <v>4918.2168999999994</v>
      </c>
      <c r="F4468">
        <f t="shared" si="279"/>
        <v>144</v>
      </c>
    </row>
    <row r="4469" spans="1:6" x14ac:dyDescent="0.3">
      <c r="A4469">
        <v>56</v>
      </c>
      <c r="B4469">
        <v>62.68</v>
      </c>
      <c r="C4469">
        <f t="shared" si="276"/>
        <v>3510.08</v>
      </c>
      <c r="D4469">
        <f t="shared" si="277"/>
        <v>3136</v>
      </c>
      <c r="E4469">
        <f t="shared" si="278"/>
        <v>3928.7824000000001</v>
      </c>
      <c r="F4469">
        <f t="shared" si="279"/>
        <v>3136</v>
      </c>
    </row>
    <row r="4470" spans="1:6" x14ac:dyDescent="0.3">
      <c r="A4470">
        <v>43</v>
      </c>
      <c r="B4470">
        <v>71.77</v>
      </c>
      <c r="C4470">
        <f t="shared" si="276"/>
        <v>3086.1099999999997</v>
      </c>
      <c r="D4470">
        <f t="shared" si="277"/>
        <v>1849</v>
      </c>
      <c r="E4470">
        <f t="shared" si="278"/>
        <v>5150.9328999999998</v>
      </c>
      <c r="F4470">
        <f t="shared" si="279"/>
        <v>1849</v>
      </c>
    </row>
    <row r="4471" spans="1:6" x14ac:dyDescent="0.3">
      <c r="A4471">
        <v>28</v>
      </c>
      <c r="B4471">
        <v>77.989999999999995</v>
      </c>
      <c r="C4471">
        <f t="shared" si="276"/>
        <v>2183.7199999999998</v>
      </c>
      <c r="D4471">
        <f t="shared" si="277"/>
        <v>784</v>
      </c>
      <c r="E4471">
        <f t="shared" si="278"/>
        <v>6082.4400999999989</v>
      </c>
      <c r="F4471">
        <f t="shared" si="279"/>
        <v>784</v>
      </c>
    </row>
    <row r="4472" spans="1:6" x14ac:dyDescent="0.3">
      <c r="A4472">
        <v>28</v>
      </c>
      <c r="B4472">
        <v>256.74</v>
      </c>
      <c r="C4472">
        <f t="shared" si="276"/>
        <v>7188.72</v>
      </c>
      <c r="D4472">
        <f t="shared" si="277"/>
        <v>784</v>
      </c>
      <c r="E4472">
        <f t="shared" si="278"/>
        <v>65915.42760000001</v>
      </c>
      <c r="F4472">
        <f t="shared" si="279"/>
        <v>784</v>
      </c>
    </row>
    <row r="4473" spans="1:6" x14ac:dyDescent="0.3">
      <c r="A4473">
        <v>56</v>
      </c>
      <c r="B4473">
        <v>93.72</v>
      </c>
      <c r="C4473">
        <f t="shared" si="276"/>
        <v>5248.32</v>
      </c>
      <c r="D4473">
        <f t="shared" si="277"/>
        <v>3136</v>
      </c>
      <c r="E4473">
        <f t="shared" si="278"/>
        <v>8783.4383999999991</v>
      </c>
      <c r="F4473">
        <f t="shared" si="279"/>
        <v>3136</v>
      </c>
    </row>
    <row r="4474" spans="1:6" x14ac:dyDescent="0.3">
      <c r="A4474">
        <v>14</v>
      </c>
      <c r="B4474">
        <v>63.74</v>
      </c>
      <c r="C4474">
        <f t="shared" si="276"/>
        <v>892.36</v>
      </c>
      <c r="D4474">
        <f t="shared" si="277"/>
        <v>196</v>
      </c>
      <c r="E4474">
        <f t="shared" si="278"/>
        <v>4062.7876000000001</v>
      </c>
      <c r="F4474">
        <f t="shared" si="279"/>
        <v>196</v>
      </c>
    </row>
    <row r="4475" spans="1:6" x14ac:dyDescent="0.3">
      <c r="A4475">
        <v>63</v>
      </c>
      <c r="B4475">
        <v>60.67</v>
      </c>
      <c r="C4475">
        <f t="shared" si="276"/>
        <v>3822.21</v>
      </c>
      <c r="D4475">
        <f t="shared" si="277"/>
        <v>3969</v>
      </c>
      <c r="E4475">
        <f t="shared" si="278"/>
        <v>3680.8489000000004</v>
      </c>
      <c r="F4475">
        <f t="shared" si="279"/>
        <v>3969</v>
      </c>
    </row>
    <row r="4476" spans="1:6" x14ac:dyDescent="0.3">
      <c r="A4476">
        <v>29</v>
      </c>
      <c r="B4476">
        <v>112.08</v>
      </c>
      <c r="C4476">
        <f t="shared" si="276"/>
        <v>3250.32</v>
      </c>
      <c r="D4476">
        <f t="shared" si="277"/>
        <v>841</v>
      </c>
      <c r="E4476">
        <f t="shared" si="278"/>
        <v>12561.9264</v>
      </c>
      <c r="F4476">
        <f t="shared" si="279"/>
        <v>841</v>
      </c>
    </row>
    <row r="4477" spans="1:6" x14ac:dyDescent="0.3">
      <c r="A4477">
        <v>48</v>
      </c>
      <c r="B4477">
        <v>221.08</v>
      </c>
      <c r="C4477">
        <f t="shared" si="276"/>
        <v>10611.84</v>
      </c>
      <c r="D4477">
        <f t="shared" si="277"/>
        <v>2304</v>
      </c>
      <c r="E4477">
        <f t="shared" si="278"/>
        <v>48876.366400000006</v>
      </c>
      <c r="F4477">
        <f t="shared" si="279"/>
        <v>2304</v>
      </c>
    </row>
    <row r="4478" spans="1:6" x14ac:dyDescent="0.3">
      <c r="A4478">
        <v>47</v>
      </c>
      <c r="B4478">
        <v>101.81</v>
      </c>
      <c r="C4478">
        <f t="shared" si="276"/>
        <v>4785.07</v>
      </c>
      <c r="D4478">
        <f t="shared" si="277"/>
        <v>2209</v>
      </c>
      <c r="E4478">
        <f t="shared" si="278"/>
        <v>10365.276100000001</v>
      </c>
      <c r="F4478">
        <f t="shared" si="279"/>
        <v>2209</v>
      </c>
    </row>
    <row r="4479" spans="1:6" x14ac:dyDescent="0.3">
      <c r="A4479">
        <v>63</v>
      </c>
      <c r="B4479">
        <v>60.17</v>
      </c>
      <c r="C4479">
        <f t="shared" si="276"/>
        <v>3790.71</v>
      </c>
      <c r="D4479">
        <f t="shared" si="277"/>
        <v>3969</v>
      </c>
      <c r="E4479">
        <f t="shared" si="278"/>
        <v>3620.4289000000003</v>
      </c>
      <c r="F4479">
        <f t="shared" si="279"/>
        <v>3969</v>
      </c>
    </row>
    <row r="4480" spans="1:6" x14ac:dyDescent="0.3">
      <c r="A4480">
        <v>40</v>
      </c>
      <c r="B4480">
        <v>65.290000000000006</v>
      </c>
      <c r="C4480">
        <f t="shared" si="276"/>
        <v>2611.6000000000004</v>
      </c>
      <c r="D4480">
        <f t="shared" si="277"/>
        <v>1600</v>
      </c>
      <c r="E4480">
        <f t="shared" si="278"/>
        <v>4262.7841000000008</v>
      </c>
      <c r="F4480">
        <f t="shared" si="279"/>
        <v>1600</v>
      </c>
    </row>
    <row r="4481" spans="1:6" x14ac:dyDescent="0.3">
      <c r="A4481">
        <v>40</v>
      </c>
      <c r="B4481">
        <v>153.24</v>
      </c>
      <c r="C4481">
        <f t="shared" si="276"/>
        <v>6129.6</v>
      </c>
      <c r="D4481">
        <f t="shared" si="277"/>
        <v>1600</v>
      </c>
      <c r="E4481">
        <f t="shared" si="278"/>
        <v>23482.497600000002</v>
      </c>
      <c r="F4481">
        <f t="shared" si="279"/>
        <v>1600</v>
      </c>
    </row>
    <row r="4482" spans="1:6" x14ac:dyDescent="0.3">
      <c r="A4482">
        <v>55</v>
      </c>
      <c r="B4482">
        <v>61.42</v>
      </c>
      <c r="C4482">
        <f t="shared" si="276"/>
        <v>3378.1</v>
      </c>
      <c r="D4482">
        <f t="shared" si="277"/>
        <v>3025</v>
      </c>
      <c r="E4482">
        <f t="shared" si="278"/>
        <v>3772.4164000000001</v>
      </c>
      <c r="F4482">
        <f t="shared" si="279"/>
        <v>3025</v>
      </c>
    </row>
    <row r="4483" spans="1:6" x14ac:dyDescent="0.3">
      <c r="A4483">
        <v>43</v>
      </c>
      <c r="B4483">
        <v>86.67</v>
      </c>
      <c r="C4483">
        <f t="shared" ref="C4483:C4546" si="280">A4483*B4483</f>
        <v>3726.81</v>
      </c>
      <c r="D4483">
        <f t="shared" ref="D4483:D4546" si="281">A4483*A4483</f>
        <v>1849</v>
      </c>
      <c r="E4483">
        <f t="shared" ref="E4483:E4546" si="282">B4483*B4483</f>
        <v>7511.6889000000001</v>
      </c>
      <c r="F4483">
        <f t="shared" ref="F4483:F4546" si="283">A4483^2</f>
        <v>1849</v>
      </c>
    </row>
    <row r="4484" spans="1:6" x14ac:dyDescent="0.3">
      <c r="A4484">
        <v>59</v>
      </c>
      <c r="B4484">
        <v>82.42</v>
      </c>
      <c r="C4484">
        <f t="shared" si="280"/>
        <v>4862.78</v>
      </c>
      <c r="D4484">
        <f t="shared" si="281"/>
        <v>3481</v>
      </c>
      <c r="E4484">
        <f t="shared" si="282"/>
        <v>6793.0564000000004</v>
      </c>
      <c r="F4484">
        <f t="shared" si="283"/>
        <v>3481</v>
      </c>
    </row>
    <row r="4485" spans="1:6" x14ac:dyDescent="0.3">
      <c r="A4485">
        <v>78</v>
      </c>
      <c r="B4485">
        <v>100.54</v>
      </c>
      <c r="C4485">
        <f t="shared" si="280"/>
        <v>7842.1200000000008</v>
      </c>
      <c r="D4485">
        <f t="shared" si="281"/>
        <v>6084</v>
      </c>
      <c r="E4485">
        <f t="shared" si="282"/>
        <v>10108.2916</v>
      </c>
      <c r="F4485">
        <f t="shared" si="283"/>
        <v>6084</v>
      </c>
    </row>
    <row r="4486" spans="1:6" x14ac:dyDescent="0.3">
      <c r="A4486">
        <v>27</v>
      </c>
      <c r="B4486">
        <v>111.48</v>
      </c>
      <c r="C4486">
        <f t="shared" si="280"/>
        <v>3009.96</v>
      </c>
      <c r="D4486">
        <f t="shared" si="281"/>
        <v>729</v>
      </c>
      <c r="E4486">
        <f t="shared" si="282"/>
        <v>12427.790400000002</v>
      </c>
      <c r="F4486">
        <f t="shared" si="283"/>
        <v>729</v>
      </c>
    </row>
    <row r="4487" spans="1:6" x14ac:dyDescent="0.3">
      <c r="A4487">
        <v>49</v>
      </c>
      <c r="B4487">
        <v>85.33</v>
      </c>
      <c r="C4487">
        <f t="shared" si="280"/>
        <v>4181.17</v>
      </c>
      <c r="D4487">
        <f t="shared" si="281"/>
        <v>2401</v>
      </c>
      <c r="E4487">
        <f t="shared" si="282"/>
        <v>7281.2088999999996</v>
      </c>
      <c r="F4487">
        <f t="shared" si="283"/>
        <v>2401</v>
      </c>
    </row>
    <row r="4488" spans="1:6" x14ac:dyDescent="0.3">
      <c r="A4488">
        <v>14</v>
      </c>
      <c r="B4488">
        <v>126.57</v>
      </c>
      <c r="C4488">
        <f t="shared" si="280"/>
        <v>1771.98</v>
      </c>
      <c r="D4488">
        <f t="shared" si="281"/>
        <v>196</v>
      </c>
      <c r="E4488">
        <f t="shared" si="282"/>
        <v>16019.964899999999</v>
      </c>
      <c r="F4488">
        <f t="shared" si="283"/>
        <v>196</v>
      </c>
    </row>
    <row r="4489" spans="1:6" x14ac:dyDescent="0.3">
      <c r="A4489">
        <v>17</v>
      </c>
      <c r="B4489">
        <v>81.510000000000005</v>
      </c>
      <c r="C4489">
        <f t="shared" si="280"/>
        <v>1385.67</v>
      </c>
      <c r="D4489">
        <f t="shared" si="281"/>
        <v>289</v>
      </c>
      <c r="E4489">
        <f t="shared" si="282"/>
        <v>6643.8801000000012</v>
      </c>
      <c r="F4489">
        <f t="shared" si="283"/>
        <v>289</v>
      </c>
    </row>
    <row r="4490" spans="1:6" x14ac:dyDescent="0.3">
      <c r="A4490">
        <v>42</v>
      </c>
      <c r="B4490">
        <v>67.97</v>
      </c>
      <c r="C4490">
        <f t="shared" si="280"/>
        <v>2854.74</v>
      </c>
      <c r="D4490">
        <f t="shared" si="281"/>
        <v>1764</v>
      </c>
      <c r="E4490">
        <f t="shared" si="282"/>
        <v>4619.9209000000001</v>
      </c>
      <c r="F4490">
        <f t="shared" si="283"/>
        <v>1764</v>
      </c>
    </row>
    <row r="4491" spans="1:6" x14ac:dyDescent="0.3">
      <c r="A4491">
        <v>36</v>
      </c>
      <c r="B4491">
        <v>77.92</v>
      </c>
      <c r="C4491">
        <f t="shared" si="280"/>
        <v>2805.12</v>
      </c>
      <c r="D4491">
        <f t="shared" si="281"/>
        <v>1296</v>
      </c>
      <c r="E4491">
        <f t="shared" si="282"/>
        <v>6071.5264000000006</v>
      </c>
      <c r="F4491">
        <f t="shared" si="283"/>
        <v>1296</v>
      </c>
    </row>
    <row r="4492" spans="1:6" x14ac:dyDescent="0.3">
      <c r="A4492">
        <v>19</v>
      </c>
      <c r="B4492">
        <v>80.540000000000006</v>
      </c>
      <c r="C4492">
        <f t="shared" si="280"/>
        <v>1530.2600000000002</v>
      </c>
      <c r="D4492">
        <f t="shared" si="281"/>
        <v>361</v>
      </c>
      <c r="E4492">
        <f t="shared" si="282"/>
        <v>6486.691600000001</v>
      </c>
      <c r="F4492">
        <f t="shared" si="283"/>
        <v>361</v>
      </c>
    </row>
    <row r="4493" spans="1:6" x14ac:dyDescent="0.3">
      <c r="A4493">
        <v>55</v>
      </c>
      <c r="B4493">
        <v>76.47</v>
      </c>
      <c r="C4493">
        <f t="shared" si="280"/>
        <v>4205.8500000000004</v>
      </c>
      <c r="D4493">
        <f t="shared" si="281"/>
        <v>3025</v>
      </c>
      <c r="E4493">
        <f t="shared" si="282"/>
        <v>5847.6608999999999</v>
      </c>
      <c r="F4493">
        <f t="shared" si="283"/>
        <v>3025</v>
      </c>
    </row>
    <row r="4494" spans="1:6" x14ac:dyDescent="0.3">
      <c r="A4494">
        <v>8</v>
      </c>
      <c r="B4494">
        <v>87.15</v>
      </c>
      <c r="C4494">
        <f t="shared" si="280"/>
        <v>697.2</v>
      </c>
      <c r="D4494">
        <f t="shared" si="281"/>
        <v>64</v>
      </c>
      <c r="E4494">
        <f t="shared" si="282"/>
        <v>7595.1225000000013</v>
      </c>
      <c r="F4494">
        <f t="shared" si="283"/>
        <v>64</v>
      </c>
    </row>
    <row r="4495" spans="1:6" x14ac:dyDescent="0.3">
      <c r="A4495">
        <v>56</v>
      </c>
      <c r="B4495">
        <v>86.07</v>
      </c>
      <c r="C4495">
        <f t="shared" si="280"/>
        <v>4819.92</v>
      </c>
      <c r="D4495">
        <f t="shared" si="281"/>
        <v>3136</v>
      </c>
      <c r="E4495">
        <f t="shared" si="282"/>
        <v>7408.044899999999</v>
      </c>
      <c r="F4495">
        <f t="shared" si="283"/>
        <v>3136</v>
      </c>
    </row>
    <row r="4496" spans="1:6" x14ac:dyDescent="0.3">
      <c r="A4496">
        <v>54</v>
      </c>
      <c r="B4496">
        <v>106.52</v>
      </c>
      <c r="C4496">
        <f t="shared" si="280"/>
        <v>5752.08</v>
      </c>
      <c r="D4496">
        <f t="shared" si="281"/>
        <v>2916</v>
      </c>
      <c r="E4496">
        <f t="shared" si="282"/>
        <v>11346.510399999999</v>
      </c>
      <c r="F4496">
        <f t="shared" si="283"/>
        <v>2916</v>
      </c>
    </row>
    <row r="4497" spans="1:6" x14ac:dyDescent="0.3">
      <c r="A4497">
        <v>15</v>
      </c>
      <c r="B4497">
        <v>94.24</v>
      </c>
      <c r="C4497">
        <f t="shared" si="280"/>
        <v>1413.6</v>
      </c>
      <c r="D4497">
        <f t="shared" si="281"/>
        <v>225</v>
      </c>
      <c r="E4497">
        <f t="shared" si="282"/>
        <v>8881.1775999999991</v>
      </c>
      <c r="F4497">
        <f t="shared" si="283"/>
        <v>225</v>
      </c>
    </row>
    <row r="4498" spans="1:6" x14ac:dyDescent="0.3">
      <c r="A4498">
        <v>43</v>
      </c>
      <c r="B4498">
        <v>89.73</v>
      </c>
      <c r="C4498">
        <f t="shared" si="280"/>
        <v>3858.3900000000003</v>
      </c>
      <c r="D4498">
        <f t="shared" si="281"/>
        <v>1849</v>
      </c>
      <c r="E4498">
        <f t="shared" si="282"/>
        <v>8051.4729000000007</v>
      </c>
      <c r="F4498">
        <f t="shared" si="283"/>
        <v>1849</v>
      </c>
    </row>
    <row r="4499" spans="1:6" x14ac:dyDescent="0.3">
      <c r="A4499">
        <v>52</v>
      </c>
      <c r="B4499">
        <v>208.39</v>
      </c>
      <c r="C4499">
        <f t="shared" si="280"/>
        <v>10836.279999999999</v>
      </c>
      <c r="D4499">
        <f t="shared" si="281"/>
        <v>2704</v>
      </c>
      <c r="E4499">
        <f t="shared" si="282"/>
        <v>43426.392099999997</v>
      </c>
      <c r="F4499">
        <f t="shared" si="283"/>
        <v>2704</v>
      </c>
    </row>
    <row r="4500" spans="1:6" x14ac:dyDescent="0.3">
      <c r="A4500">
        <v>62</v>
      </c>
      <c r="B4500">
        <v>128.61000000000001</v>
      </c>
      <c r="C4500">
        <f t="shared" si="280"/>
        <v>7973.8200000000006</v>
      </c>
      <c r="D4500">
        <f t="shared" si="281"/>
        <v>3844</v>
      </c>
      <c r="E4500">
        <f t="shared" si="282"/>
        <v>16540.532100000004</v>
      </c>
      <c r="F4500">
        <f t="shared" si="283"/>
        <v>3844</v>
      </c>
    </row>
    <row r="4501" spans="1:6" x14ac:dyDescent="0.3">
      <c r="A4501">
        <v>54</v>
      </c>
      <c r="B4501">
        <v>57.56</v>
      </c>
      <c r="C4501">
        <f t="shared" si="280"/>
        <v>3108.2400000000002</v>
      </c>
      <c r="D4501">
        <f t="shared" si="281"/>
        <v>2916</v>
      </c>
      <c r="E4501">
        <f t="shared" si="282"/>
        <v>3313.1536000000001</v>
      </c>
      <c r="F4501">
        <f t="shared" si="283"/>
        <v>2916</v>
      </c>
    </row>
    <row r="4502" spans="1:6" x14ac:dyDescent="0.3">
      <c r="A4502">
        <v>60</v>
      </c>
      <c r="B4502">
        <v>227.23</v>
      </c>
      <c r="C4502">
        <f t="shared" si="280"/>
        <v>13633.8</v>
      </c>
      <c r="D4502">
        <f t="shared" si="281"/>
        <v>3600</v>
      </c>
      <c r="E4502">
        <f t="shared" si="282"/>
        <v>51633.472899999993</v>
      </c>
      <c r="F4502">
        <f t="shared" si="283"/>
        <v>3600</v>
      </c>
    </row>
    <row r="4503" spans="1:6" x14ac:dyDescent="0.3">
      <c r="A4503">
        <v>7</v>
      </c>
      <c r="B4503">
        <v>77.760000000000005</v>
      </c>
      <c r="C4503">
        <f t="shared" si="280"/>
        <v>544.32000000000005</v>
      </c>
      <c r="D4503">
        <f t="shared" si="281"/>
        <v>49</v>
      </c>
      <c r="E4503">
        <f t="shared" si="282"/>
        <v>6046.6176000000005</v>
      </c>
      <c r="F4503">
        <f t="shared" si="283"/>
        <v>49</v>
      </c>
    </row>
    <row r="4504" spans="1:6" x14ac:dyDescent="0.3">
      <c r="A4504">
        <v>3</v>
      </c>
      <c r="B4504">
        <v>72.760000000000005</v>
      </c>
      <c r="C4504">
        <f t="shared" si="280"/>
        <v>218.28000000000003</v>
      </c>
      <c r="D4504">
        <f t="shared" si="281"/>
        <v>9</v>
      </c>
      <c r="E4504">
        <f t="shared" si="282"/>
        <v>5294.017600000001</v>
      </c>
      <c r="F4504">
        <f t="shared" si="283"/>
        <v>9</v>
      </c>
    </row>
    <row r="4505" spans="1:6" x14ac:dyDescent="0.3">
      <c r="A4505">
        <v>39</v>
      </c>
      <c r="B4505">
        <v>90.11</v>
      </c>
      <c r="C4505">
        <f t="shared" si="280"/>
        <v>3514.29</v>
      </c>
      <c r="D4505">
        <f t="shared" si="281"/>
        <v>1521</v>
      </c>
      <c r="E4505">
        <f t="shared" si="282"/>
        <v>8119.8121000000001</v>
      </c>
      <c r="F4505">
        <f t="shared" si="283"/>
        <v>1521</v>
      </c>
    </row>
    <row r="4506" spans="1:6" x14ac:dyDescent="0.3">
      <c r="A4506">
        <v>60</v>
      </c>
      <c r="B4506">
        <v>203.27</v>
      </c>
      <c r="C4506">
        <f t="shared" si="280"/>
        <v>12196.2</v>
      </c>
      <c r="D4506">
        <f t="shared" si="281"/>
        <v>3600</v>
      </c>
      <c r="E4506">
        <f t="shared" si="282"/>
        <v>41318.692900000002</v>
      </c>
      <c r="F4506">
        <f t="shared" si="283"/>
        <v>3600</v>
      </c>
    </row>
    <row r="4507" spans="1:6" x14ac:dyDescent="0.3">
      <c r="A4507">
        <v>60</v>
      </c>
      <c r="B4507">
        <v>234.5</v>
      </c>
      <c r="C4507">
        <f t="shared" si="280"/>
        <v>14070</v>
      </c>
      <c r="D4507">
        <f t="shared" si="281"/>
        <v>3600</v>
      </c>
      <c r="E4507">
        <f t="shared" si="282"/>
        <v>54990.25</v>
      </c>
      <c r="F4507">
        <f t="shared" si="283"/>
        <v>3600</v>
      </c>
    </row>
    <row r="4508" spans="1:6" x14ac:dyDescent="0.3">
      <c r="A4508">
        <v>46</v>
      </c>
      <c r="B4508">
        <v>71.12</v>
      </c>
      <c r="C4508">
        <f t="shared" si="280"/>
        <v>3271.5200000000004</v>
      </c>
      <c r="D4508">
        <f t="shared" si="281"/>
        <v>2116</v>
      </c>
      <c r="E4508">
        <f t="shared" si="282"/>
        <v>5058.0544000000009</v>
      </c>
      <c r="F4508">
        <f t="shared" si="283"/>
        <v>2116</v>
      </c>
    </row>
    <row r="4509" spans="1:6" x14ac:dyDescent="0.3">
      <c r="A4509">
        <v>26</v>
      </c>
      <c r="B4509">
        <v>190.67</v>
      </c>
      <c r="C4509">
        <f t="shared" si="280"/>
        <v>4957.42</v>
      </c>
      <c r="D4509">
        <f t="shared" si="281"/>
        <v>676</v>
      </c>
      <c r="E4509">
        <f t="shared" si="282"/>
        <v>36355.048899999994</v>
      </c>
      <c r="F4509">
        <f t="shared" si="283"/>
        <v>676</v>
      </c>
    </row>
    <row r="4510" spans="1:6" x14ac:dyDescent="0.3">
      <c r="A4510">
        <v>12</v>
      </c>
      <c r="B4510">
        <v>116.04</v>
      </c>
      <c r="C4510">
        <f t="shared" si="280"/>
        <v>1392.48</v>
      </c>
      <c r="D4510">
        <f t="shared" si="281"/>
        <v>144</v>
      </c>
      <c r="E4510">
        <f t="shared" si="282"/>
        <v>13465.281600000002</v>
      </c>
      <c r="F4510">
        <f t="shared" si="283"/>
        <v>144</v>
      </c>
    </row>
    <row r="4511" spans="1:6" x14ac:dyDescent="0.3">
      <c r="A4511">
        <v>16</v>
      </c>
      <c r="B4511">
        <v>82.95</v>
      </c>
      <c r="C4511">
        <f t="shared" si="280"/>
        <v>1327.2</v>
      </c>
      <c r="D4511">
        <f t="shared" si="281"/>
        <v>256</v>
      </c>
      <c r="E4511">
        <f t="shared" si="282"/>
        <v>6880.7025000000003</v>
      </c>
      <c r="F4511">
        <f t="shared" si="283"/>
        <v>256</v>
      </c>
    </row>
    <row r="4512" spans="1:6" x14ac:dyDescent="0.3">
      <c r="A4512">
        <v>2</v>
      </c>
      <c r="B4512">
        <v>112.75</v>
      </c>
      <c r="C4512">
        <f t="shared" si="280"/>
        <v>225.5</v>
      </c>
      <c r="D4512">
        <f t="shared" si="281"/>
        <v>4</v>
      </c>
      <c r="E4512">
        <f t="shared" si="282"/>
        <v>12712.5625</v>
      </c>
      <c r="F4512">
        <f t="shared" si="283"/>
        <v>4</v>
      </c>
    </row>
    <row r="4513" spans="1:6" x14ac:dyDescent="0.3">
      <c r="A4513">
        <v>82</v>
      </c>
      <c r="B4513">
        <v>82.63</v>
      </c>
      <c r="C4513">
        <f t="shared" si="280"/>
        <v>6775.66</v>
      </c>
      <c r="D4513">
        <f t="shared" si="281"/>
        <v>6724</v>
      </c>
      <c r="E4513">
        <f t="shared" si="282"/>
        <v>6827.7168999999994</v>
      </c>
      <c r="F4513">
        <f t="shared" si="283"/>
        <v>6724</v>
      </c>
    </row>
    <row r="4514" spans="1:6" x14ac:dyDescent="0.3">
      <c r="A4514">
        <v>32</v>
      </c>
      <c r="B4514">
        <v>92.75</v>
      </c>
      <c r="C4514">
        <f t="shared" si="280"/>
        <v>2968</v>
      </c>
      <c r="D4514">
        <f t="shared" si="281"/>
        <v>1024</v>
      </c>
      <c r="E4514">
        <f t="shared" si="282"/>
        <v>8602.5625</v>
      </c>
      <c r="F4514">
        <f t="shared" si="283"/>
        <v>1024</v>
      </c>
    </row>
    <row r="4515" spans="1:6" x14ac:dyDescent="0.3">
      <c r="A4515">
        <v>62</v>
      </c>
      <c r="B4515">
        <v>117.63</v>
      </c>
      <c r="C4515">
        <f t="shared" si="280"/>
        <v>7293.0599999999995</v>
      </c>
      <c r="D4515">
        <f t="shared" si="281"/>
        <v>3844</v>
      </c>
      <c r="E4515">
        <f t="shared" si="282"/>
        <v>13836.8169</v>
      </c>
      <c r="F4515">
        <f t="shared" si="283"/>
        <v>3844</v>
      </c>
    </row>
    <row r="4516" spans="1:6" x14ac:dyDescent="0.3">
      <c r="A4516">
        <v>75</v>
      </c>
      <c r="B4516">
        <v>197.06</v>
      </c>
      <c r="C4516">
        <f t="shared" si="280"/>
        <v>14779.5</v>
      </c>
      <c r="D4516">
        <f t="shared" si="281"/>
        <v>5625</v>
      </c>
      <c r="E4516">
        <f t="shared" si="282"/>
        <v>38832.643600000003</v>
      </c>
      <c r="F4516">
        <f t="shared" si="283"/>
        <v>5625</v>
      </c>
    </row>
    <row r="4517" spans="1:6" x14ac:dyDescent="0.3">
      <c r="A4517">
        <v>81</v>
      </c>
      <c r="B4517">
        <v>216.07</v>
      </c>
      <c r="C4517">
        <f t="shared" si="280"/>
        <v>17501.669999999998</v>
      </c>
      <c r="D4517">
        <f t="shared" si="281"/>
        <v>6561</v>
      </c>
      <c r="E4517">
        <f t="shared" si="282"/>
        <v>46686.244899999998</v>
      </c>
      <c r="F4517">
        <f t="shared" si="283"/>
        <v>6561</v>
      </c>
    </row>
    <row r="4518" spans="1:6" x14ac:dyDescent="0.3">
      <c r="A4518">
        <v>37</v>
      </c>
      <c r="B4518">
        <v>76.03</v>
      </c>
      <c r="C4518">
        <f t="shared" si="280"/>
        <v>2813.11</v>
      </c>
      <c r="D4518">
        <f t="shared" si="281"/>
        <v>1369</v>
      </c>
      <c r="E4518">
        <f t="shared" si="282"/>
        <v>5780.5609000000004</v>
      </c>
      <c r="F4518">
        <f t="shared" si="283"/>
        <v>1369</v>
      </c>
    </row>
    <row r="4519" spans="1:6" x14ac:dyDescent="0.3">
      <c r="A4519">
        <v>28</v>
      </c>
      <c r="B4519">
        <v>62.44</v>
      </c>
      <c r="C4519">
        <f t="shared" si="280"/>
        <v>1748.32</v>
      </c>
      <c r="D4519">
        <f t="shared" si="281"/>
        <v>784</v>
      </c>
      <c r="E4519">
        <f t="shared" si="282"/>
        <v>3898.7535999999996</v>
      </c>
      <c r="F4519">
        <f t="shared" si="283"/>
        <v>784</v>
      </c>
    </row>
    <row r="4520" spans="1:6" x14ac:dyDescent="0.3">
      <c r="A4520">
        <v>25</v>
      </c>
      <c r="B4520">
        <v>108.82</v>
      </c>
      <c r="C4520">
        <f t="shared" si="280"/>
        <v>2720.5</v>
      </c>
      <c r="D4520">
        <f t="shared" si="281"/>
        <v>625</v>
      </c>
      <c r="E4520">
        <f t="shared" si="282"/>
        <v>11841.792399999998</v>
      </c>
      <c r="F4520">
        <f t="shared" si="283"/>
        <v>625</v>
      </c>
    </row>
    <row r="4521" spans="1:6" x14ac:dyDescent="0.3">
      <c r="A4521">
        <v>44</v>
      </c>
      <c r="B4521">
        <v>101.66</v>
      </c>
      <c r="C4521">
        <f t="shared" si="280"/>
        <v>4473.04</v>
      </c>
      <c r="D4521">
        <f t="shared" si="281"/>
        <v>1936</v>
      </c>
      <c r="E4521">
        <f t="shared" si="282"/>
        <v>10334.755599999999</v>
      </c>
      <c r="F4521">
        <f t="shared" si="283"/>
        <v>1936</v>
      </c>
    </row>
    <row r="4522" spans="1:6" x14ac:dyDescent="0.3">
      <c r="A4522">
        <v>11</v>
      </c>
      <c r="B4522">
        <v>121.15</v>
      </c>
      <c r="C4522">
        <f t="shared" si="280"/>
        <v>1332.65</v>
      </c>
      <c r="D4522">
        <f t="shared" si="281"/>
        <v>121</v>
      </c>
      <c r="E4522">
        <f t="shared" si="282"/>
        <v>14677.322500000002</v>
      </c>
      <c r="F4522">
        <f t="shared" si="283"/>
        <v>121</v>
      </c>
    </row>
    <row r="4523" spans="1:6" x14ac:dyDescent="0.3">
      <c r="A4523">
        <v>54</v>
      </c>
      <c r="B4523">
        <v>116.44</v>
      </c>
      <c r="C4523">
        <f t="shared" si="280"/>
        <v>6287.76</v>
      </c>
      <c r="D4523">
        <f t="shared" si="281"/>
        <v>2916</v>
      </c>
      <c r="E4523">
        <f t="shared" si="282"/>
        <v>13558.273599999999</v>
      </c>
      <c r="F4523">
        <f t="shared" si="283"/>
        <v>2916</v>
      </c>
    </row>
    <row r="4524" spans="1:6" x14ac:dyDescent="0.3">
      <c r="A4524">
        <v>52</v>
      </c>
      <c r="B4524">
        <v>116.62</v>
      </c>
      <c r="C4524">
        <f t="shared" si="280"/>
        <v>6064.24</v>
      </c>
      <c r="D4524">
        <f t="shared" si="281"/>
        <v>2704</v>
      </c>
      <c r="E4524">
        <f t="shared" si="282"/>
        <v>13600.224400000001</v>
      </c>
      <c r="F4524">
        <f t="shared" si="283"/>
        <v>2704</v>
      </c>
    </row>
    <row r="4525" spans="1:6" x14ac:dyDescent="0.3">
      <c r="A4525">
        <v>43</v>
      </c>
      <c r="B4525">
        <v>93.3</v>
      </c>
      <c r="C4525">
        <f t="shared" si="280"/>
        <v>4011.9</v>
      </c>
      <c r="D4525">
        <f t="shared" si="281"/>
        <v>1849</v>
      </c>
      <c r="E4525">
        <f t="shared" si="282"/>
        <v>8704.89</v>
      </c>
      <c r="F4525">
        <f t="shared" si="283"/>
        <v>1849</v>
      </c>
    </row>
    <row r="4526" spans="1:6" x14ac:dyDescent="0.3">
      <c r="A4526">
        <v>56</v>
      </c>
      <c r="B4526">
        <v>144.33000000000001</v>
      </c>
      <c r="C4526">
        <f t="shared" si="280"/>
        <v>8082.4800000000005</v>
      </c>
      <c r="D4526">
        <f t="shared" si="281"/>
        <v>3136</v>
      </c>
      <c r="E4526">
        <f t="shared" si="282"/>
        <v>20831.148900000004</v>
      </c>
      <c r="F4526">
        <f t="shared" si="283"/>
        <v>3136</v>
      </c>
    </row>
    <row r="4527" spans="1:6" x14ac:dyDescent="0.3">
      <c r="A4527">
        <v>37</v>
      </c>
      <c r="B4527">
        <v>98.02</v>
      </c>
      <c r="C4527">
        <f t="shared" si="280"/>
        <v>3626.74</v>
      </c>
      <c r="D4527">
        <f t="shared" si="281"/>
        <v>1369</v>
      </c>
      <c r="E4527">
        <f t="shared" si="282"/>
        <v>9607.9203999999991</v>
      </c>
      <c r="F4527">
        <f t="shared" si="283"/>
        <v>1369</v>
      </c>
    </row>
    <row r="4528" spans="1:6" x14ac:dyDescent="0.3">
      <c r="A4528">
        <v>60</v>
      </c>
      <c r="B4528">
        <v>80.67</v>
      </c>
      <c r="C4528">
        <f t="shared" si="280"/>
        <v>4840.2</v>
      </c>
      <c r="D4528">
        <f t="shared" si="281"/>
        <v>3600</v>
      </c>
      <c r="E4528">
        <f t="shared" si="282"/>
        <v>6507.6489000000001</v>
      </c>
      <c r="F4528">
        <f t="shared" si="283"/>
        <v>3600</v>
      </c>
    </row>
    <row r="4529" spans="1:6" x14ac:dyDescent="0.3">
      <c r="A4529">
        <v>4</v>
      </c>
      <c r="B4529">
        <v>94.27</v>
      </c>
      <c r="C4529">
        <f t="shared" si="280"/>
        <v>377.08</v>
      </c>
      <c r="D4529">
        <f t="shared" si="281"/>
        <v>16</v>
      </c>
      <c r="E4529">
        <f t="shared" si="282"/>
        <v>8886.8328999999994</v>
      </c>
      <c r="F4529">
        <f t="shared" si="283"/>
        <v>16</v>
      </c>
    </row>
    <row r="4530" spans="1:6" x14ac:dyDescent="0.3">
      <c r="A4530">
        <v>51</v>
      </c>
      <c r="B4530">
        <v>76.349999999999994</v>
      </c>
      <c r="C4530">
        <f t="shared" si="280"/>
        <v>3893.85</v>
      </c>
      <c r="D4530">
        <f t="shared" si="281"/>
        <v>2601</v>
      </c>
      <c r="E4530">
        <f t="shared" si="282"/>
        <v>5829.3224999999993</v>
      </c>
      <c r="F4530">
        <f t="shared" si="283"/>
        <v>2601</v>
      </c>
    </row>
    <row r="4531" spans="1:6" x14ac:dyDescent="0.3">
      <c r="A4531">
        <v>82</v>
      </c>
      <c r="B4531">
        <v>57.56</v>
      </c>
      <c r="C4531">
        <f t="shared" si="280"/>
        <v>4719.92</v>
      </c>
      <c r="D4531">
        <f t="shared" si="281"/>
        <v>6724</v>
      </c>
      <c r="E4531">
        <f t="shared" si="282"/>
        <v>3313.1536000000001</v>
      </c>
      <c r="F4531">
        <f t="shared" si="283"/>
        <v>6724</v>
      </c>
    </row>
    <row r="4532" spans="1:6" x14ac:dyDescent="0.3">
      <c r="A4532">
        <v>56</v>
      </c>
      <c r="B4532">
        <v>179.14</v>
      </c>
      <c r="C4532">
        <f t="shared" si="280"/>
        <v>10031.84</v>
      </c>
      <c r="D4532">
        <f t="shared" si="281"/>
        <v>3136</v>
      </c>
      <c r="E4532">
        <f t="shared" si="282"/>
        <v>32091.139599999995</v>
      </c>
      <c r="F4532">
        <f t="shared" si="283"/>
        <v>3136</v>
      </c>
    </row>
    <row r="4533" spans="1:6" x14ac:dyDescent="0.3">
      <c r="A4533">
        <v>60</v>
      </c>
      <c r="B4533">
        <v>63.49</v>
      </c>
      <c r="C4533">
        <f t="shared" si="280"/>
        <v>3809.4</v>
      </c>
      <c r="D4533">
        <f t="shared" si="281"/>
        <v>3600</v>
      </c>
      <c r="E4533">
        <f t="shared" si="282"/>
        <v>4030.9801000000002</v>
      </c>
      <c r="F4533">
        <f t="shared" si="283"/>
        <v>3600</v>
      </c>
    </row>
    <row r="4534" spans="1:6" x14ac:dyDescent="0.3">
      <c r="A4534">
        <v>35</v>
      </c>
      <c r="B4534">
        <v>145.18</v>
      </c>
      <c r="C4534">
        <f t="shared" si="280"/>
        <v>5081.3</v>
      </c>
      <c r="D4534">
        <f t="shared" si="281"/>
        <v>1225</v>
      </c>
      <c r="E4534">
        <f t="shared" si="282"/>
        <v>21077.232400000001</v>
      </c>
      <c r="F4534">
        <f t="shared" si="283"/>
        <v>1225</v>
      </c>
    </row>
    <row r="4535" spans="1:6" x14ac:dyDescent="0.3">
      <c r="A4535">
        <v>32</v>
      </c>
      <c r="B4535">
        <v>66.3</v>
      </c>
      <c r="C4535">
        <f t="shared" si="280"/>
        <v>2121.6</v>
      </c>
      <c r="D4535">
        <f t="shared" si="281"/>
        <v>1024</v>
      </c>
      <c r="E4535">
        <f t="shared" si="282"/>
        <v>4395.6899999999996</v>
      </c>
      <c r="F4535">
        <f t="shared" si="283"/>
        <v>1024</v>
      </c>
    </row>
    <row r="4536" spans="1:6" x14ac:dyDescent="0.3">
      <c r="A4536">
        <v>45</v>
      </c>
      <c r="B4536">
        <v>120.56</v>
      </c>
      <c r="C4536">
        <f t="shared" si="280"/>
        <v>5425.2</v>
      </c>
      <c r="D4536">
        <f t="shared" si="281"/>
        <v>2025</v>
      </c>
      <c r="E4536">
        <f t="shared" si="282"/>
        <v>14534.713600000001</v>
      </c>
      <c r="F4536">
        <f t="shared" si="283"/>
        <v>2025</v>
      </c>
    </row>
    <row r="4537" spans="1:6" x14ac:dyDescent="0.3">
      <c r="A4537">
        <v>10</v>
      </c>
      <c r="B4537">
        <v>69.2</v>
      </c>
      <c r="C4537">
        <f t="shared" si="280"/>
        <v>692</v>
      </c>
      <c r="D4537">
        <f t="shared" si="281"/>
        <v>100</v>
      </c>
      <c r="E4537">
        <f t="shared" si="282"/>
        <v>4788.6400000000003</v>
      </c>
      <c r="F4537">
        <f t="shared" si="283"/>
        <v>100</v>
      </c>
    </row>
    <row r="4538" spans="1:6" x14ac:dyDescent="0.3">
      <c r="A4538">
        <v>68</v>
      </c>
      <c r="B4538">
        <v>150.74</v>
      </c>
      <c r="C4538">
        <f t="shared" si="280"/>
        <v>10250.32</v>
      </c>
      <c r="D4538">
        <f t="shared" si="281"/>
        <v>4624</v>
      </c>
      <c r="E4538">
        <f t="shared" si="282"/>
        <v>22722.547600000002</v>
      </c>
      <c r="F4538">
        <f t="shared" si="283"/>
        <v>4624</v>
      </c>
    </row>
    <row r="4539" spans="1:6" x14ac:dyDescent="0.3">
      <c r="A4539">
        <v>51</v>
      </c>
      <c r="B4539">
        <v>81.38</v>
      </c>
      <c r="C4539">
        <f t="shared" si="280"/>
        <v>4150.38</v>
      </c>
      <c r="D4539">
        <f t="shared" si="281"/>
        <v>2601</v>
      </c>
      <c r="E4539">
        <f t="shared" si="282"/>
        <v>6622.7043999999996</v>
      </c>
      <c r="F4539">
        <f t="shared" si="283"/>
        <v>2601</v>
      </c>
    </row>
    <row r="4540" spans="1:6" x14ac:dyDescent="0.3">
      <c r="A4540">
        <v>8</v>
      </c>
      <c r="B4540">
        <v>78.48</v>
      </c>
      <c r="C4540">
        <f t="shared" si="280"/>
        <v>627.84</v>
      </c>
      <c r="D4540">
        <f t="shared" si="281"/>
        <v>64</v>
      </c>
      <c r="E4540">
        <f t="shared" si="282"/>
        <v>6159.1104000000005</v>
      </c>
      <c r="F4540">
        <f t="shared" si="283"/>
        <v>64</v>
      </c>
    </row>
    <row r="4541" spans="1:6" x14ac:dyDescent="0.3">
      <c r="A4541">
        <v>63</v>
      </c>
      <c r="B4541">
        <v>203.87</v>
      </c>
      <c r="C4541">
        <f t="shared" si="280"/>
        <v>12843.81</v>
      </c>
      <c r="D4541">
        <f t="shared" si="281"/>
        <v>3969</v>
      </c>
      <c r="E4541">
        <f t="shared" si="282"/>
        <v>41562.976900000001</v>
      </c>
      <c r="F4541">
        <f t="shared" si="283"/>
        <v>3969</v>
      </c>
    </row>
    <row r="4542" spans="1:6" x14ac:dyDescent="0.3">
      <c r="A4542">
        <v>4</v>
      </c>
      <c r="B4542">
        <v>87</v>
      </c>
      <c r="C4542">
        <f t="shared" si="280"/>
        <v>348</v>
      </c>
      <c r="D4542">
        <f t="shared" si="281"/>
        <v>16</v>
      </c>
      <c r="E4542">
        <f t="shared" si="282"/>
        <v>7569</v>
      </c>
      <c r="F4542">
        <f t="shared" si="283"/>
        <v>16</v>
      </c>
    </row>
    <row r="4543" spans="1:6" x14ac:dyDescent="0.3">
      <c r="A4543">
        <v>33</v>
      </c>
      <c r="B4543">
        <v>84.68</v>
      </c>
      <c r="C4543">
        <f t="shared" si="280"/>
        <v>2794.44</v>
      </c>
      <c r="D4543">
        <f t="shared" si="281"/>
        <v>1089</v>
      </c>
      <c r="E4543">
        <f t="shared" si="282"/>
        <v>7170.702400000001</v>
      </c>
      <c r="F4543">
        <f t="shared" si="283"/>
        <v>1089</v>
      </c>
    </row>
    <row r="4544" spans="1:6" x14ac:dyDescent="0.3">
      <c r="A4544">
        <v>56</v>
      </c>
      <c r="B4544">
        <v>91.89</v>
      </c>
      <c r="C4544">
        <f t="shared" si="280"/>
        <v>5145.84</v>
      </c>
      <c r="D4544">
        <f t="shared" si="281"/>
        <v>3136</v>
      </c>
      <c r="E4544">
        <f t="shared" si="282"/>
        <v>8443.7721000000001</v>
      </c>
      <c r="F4544">
        <f t="shared" si="283"/>
        <v>3136</v>
      </c>
    </row>
    <row r="4545" spans="1:6" x14ac:dyDescent="0.3">
      <c r="A4545">
        <v>49</v>
      </c>
      <c r="B4545">
        <v>88.97</v>
      </c>
      <c r="C4545">
        <f t="shared" si="280"/>
        <v>4359.53</v>
      </c>
      <c r="D4545">
        <f t="shared" si="281"/>
        <v>2401</v>
      </c>
      <c r="E4545">
        <f t="shared" si="282"/>
        <v>7915.6608999999999</v>
      </c>
      <c r="F4545">
        <f t="shared" si="283"/>
        <v>2401</v>
      </c>
    </row>
    <row r="4546" spans="1:6" x14ac:dyDescent="0.3">
      <c r="A4546">
        <v>30</v>
      </c>
      <c r="B4546">
        <v>116.98</v>
      </c>
      <c r="C4546">
        <f t="shared" si="280"/>
        <v>3509.4</v>
      </c>
      <c r="D4546">
        <f t="shared" si="281"/>
        <v>900</v>
      </c>
      <c r="E4546">
        <f t="shared" si="282"/>
        <v>13684.320400000001</v>
      </c>
      <c r="F4546">
        <f t="shared" si="283"/>
        <v>900</v>
      </c>
    </row>
    <row r="4547" spans="1:6" x14ac:dyDescent="0.3">
      <c r="A4547">
        <v>16</v>
      </c>
      <c r="B4547">
        <v>135.82</v>
      </c>
      <c r="C4547">
        <f t="shared" ref="C4547:C4610" si="284">A4547*B4547</f>
        <v>2173.12</v>
      </c>
      <c r="D4547">
        <f t="shared" ref="D4547:D4610" si="285">A4547*A4547</f>
        <v>256</v>
      </c>
      <c r="E4547">
        <f t="shared" ref="E4547:E4610" si="286">B4547*B4547</f>
        <v>18447.072399999997</v>
      </c>
      <c r="F4547">
        <f t="shared" ref="F4547:F4610" si="287">A4547^2</f>
        <v>256</v>
      </c>
    </row>
    <row r="4548" spans="1:6" x14ac:dyDescent="0.3">
      <c r="A4548">
        <v>1.8</v>
      </c>
      <c r="B4548">
        <v>96.62</v>
      </c>
      <c r="C4548">
        <f t="shared" si="284"/>
        <v>173.91600000000003</v>
      </c>
      <c r="D4548">
        <f t="shared" si="285"/>
        <v>3.24</v>
      </c>
      <c r="E4548">
        <f t="shared" si="286"/>
        <v>9335.4244000000017</v>
      </c>
      <c r="F4548">
        <f t="shared" si="287"/>
        <v>3.24</v>
      </c>
    </row>
    <row r="4549" spans="1:6" x14ac:dyDescent="0.3">
      <c r="A4549">
        <v>54</v>
      </c>
      <c r="B4549">
        <v>106.53</v>
      </c>
      <c r="C4549">
        <f t="shared" si="284"/>
        <v>5752.62</v>
      </c>
      <c r="D4549">
        <f t="shared" si="285"/>
        <v>2916</v>
      </c>
      <c r="E4549">
        <f t="shared" si="286"/>
        <v>11348.6409</v>
      </c>
      <c r="F4549">
        <f t="shared" si="287"/>
        <v>2916</v>
      </c>
    </row>
    <row r="4550" spans="1:6" x14ac:dyDescent="0.3">
      <c r="A4550">
        <v>49</v>
      </c>
      <c r="B4550">
        <v>58.42</v>
      </c>
      <c r="C4550">
        <f t="shared" si="284"/>
        <v>2862.58</v>
      </c>
      <c r="D4550">
        <f t="shared" si="285"/>
        <v>2401</v>
      </c>
      <c r="E4550">
        <f t="shared" si="286"/>
        <v>3412.8964000000001</v>
      </c>
      <c r="F4550">
        <f t="shared" si="287"/>
        <v>2401</v>
      </c>
    </row>
    <row r="4551" spans="1:6" x14ac:dyDescent="0.3">
      <c r="A4551">
        <v>17</v>
      </c>
      <c r="B4551">
        <v>79.62</v>
      </c>
      <c r="C4551">
        <f t="shared" si="284"/>
        <v>1353.54</v>
      </c>
      <c r="D4551">
        <f t="shared" si="285"/>
        <v>289</v>
      </c>
      <c r="E4551">
        <f t="shared" si="286"/>
        <v>6339.3444000000009</v>
      </c>
      <c r="F4551">
        <f t="shared" si="287"/>
        <v>289</v>
      </c>
    </row>
    <row r="4552" spans="1:6" x14ac:dyDescent="0.3">
      <c r="A4552">
        <v>11</v>
      </c>
      <c r="B4552">
        <v>141.84</v>
      </c>
      <c r="C4552">
        <f t="shared" si="284"/>
        <v>1560.24</v>
      </c>
      <c r="D4552">
        <f t="shared" si="285"/>
        <v>121</v>
      </c>
      <c r="E4552">
        <f t="shared" si="286"/>
        <v>20118.585600000002</v>
      </c>
      <c r="F4552">
        <f t="shared" si="287"/>
        <v>121</v>
      </c>
    </row>
    <row r="4553" spans="1:6" x14ac:dyDescent="0.3">
      <c r="A4553">
        <v>51</v>
      </c>
      <c r="B4553">
        <v>78.05</v>
      </c>
      <c r="C4553">
        <f t="shared" si="284"/>
        <v>3980.5499999999997</v>
      </c>
      <c r="D4553">
        <f t="shared" si="285"/>
        <v>2601</v>
      </c>
      <c r="E4553">
        <f t="shared" si="286"/>
        <v>6091.8024999999998</v>
      </c>
      <c r="F4553">
        <f t="shared" si="287"/>
        <v>2601</v>
      </c>
    </row>
    <row r="4554" spans="1:6" x14ac:dyDescent="0.3">
      <c r="A4554">
        <v>74</v>
      </c>
      <c r="B4554">
        <v>77.16</v>
      </c>
      <c r="C4554">
        <f t="shared" si="284"/>
        <v>5709.84</v>
      </c>
      <c r="D4554">
        <f t="shared" si="285"/>
        <v>5476</v>
      </c>
      <c r="E4554">
        <f t="shared" si="286"/>
        <v>5953.6655999999994</v>
      </c>
      <c r="F4554">
        <f t="shared" si="287"/>
        <v>5476</v>
      </c>
    </row>
    <row r="4555" spans="1:6" x14ac:dyDescent="0.3">
      <c r="A4555">
        <v>42</v>
      </c>
      <c r="B4555">
        <v>86.3</v>
      </c>
      <c r="C4555">
        <f t="shared" si="284"/>
        <v>3624.6</v>
      </c>
      <c r="D4555">
        <f t="shared" si="285"/>
        <v>1764</v>
      </c>
      <c r="E4555">
        <f t="shared" si="286"/>
        <v>7447.69</v>
      </c>
      <c r="F4555">
        <f t="shared" si="287"/>
        <v>1764</v>
      </c>
    </row>
    <row r="4556" spans="1:6" x14ac:dyDescent="0.3">
      <c r="A4556">
        <v>69</v>
      </c>
      <c r="B4556">
        <v>83.55</v>
      </c>
      <c r="C4556">
        <f t="shared" si="284"/>
        <v>5764.95</v>
      </c>
      <c r="D4556">
        <f t="shared" si="285"/>
        <v>4761</v>
      </c>
      <c r="E4556">
        <f t="shared" si="286"/>
        <v>6980.6025</v>
      </c>
      <c r="F4556">
        <f t="shared" si="287"/>
        <v>4761</v>
      </c>
    </row>
    <row r="4557" spans="1:6" x14ac:dyDescent="0.3">
      <c r="A4557">
        <v>22</v>
      </c>
      <c r="B4557">
        <v>102</v>
      </c>
      <c r="C4557">
        <f t="shared" si="284"/>
        <v>2244</v>
      </c>
      <c r="D4557">
        <f t="shared" si="285"/>
        <v>484</v>
      </c>
      <c r="E4557">
        <f t="shared" si="286"/>
        <v>10404</v>
      </c>
      <c r="F4557">
        <f t="shared" si="287"/>
        <v>484</v>
      </c>
    </row>
    <row r="4558" spans="1:6" x14ac:dyDescent="0.3">
      <c r="A4558">
        <v>25</v>
      </c>
      <c r="B4558">
        <v>68.069999999999993</v>
      </c>
      <c r="C4558">
        <f t="shared" si="284"/>
        <v>1701.7499999999998</v>
      </c>
      <c r="D4558">
        <f t="shared" si="285"/>
        <v>625</v>
      </c>
      <c r="E4558">
        <f t="shared" si="286"/>
        <v>4633.5248999999994</v>
      </c>
      <c r="F4558">
        <f t="shared" si="287"/>
        <v>625</v>
      </c>
    </row>
    <row r="4559" spans="1:6" x14ac:dyDescent="0.3">
      <c r="A4559">
        <v>17</v>
      </c>
      <c r="B4559">
        <v>81.77</v>
      </c>
      <c r="C4559">
        <f t="shared" si="284"/>
        <v>1390.09</v>
      </c>
      <c r="D4559">
        <f t="shared" si="285"/>
        <v>289</v>
      </c>
      <c r="E4559">
        <f t="shared" si="286"/>
        <v>6686.3328999999994</v>
      </c>
      <c r="F4559">
        <f t="shared" si="287"/>
        <v>289</v>
      </c>
    </row>
    <row r="4560" spans="1:6" x14ac:dyDescent="0.3">
      <c r="A4560">
        <v>64</v>
      </c>
      <c r="B4560">
        <v>82.62</v>
      </c>
      <c r="C4560">
        <f t="shared" si="284"/>
        <v>5287.68</v>
      </c>
      <c r="D4560">
        <f t="shared" si="285"/>
        <v>4096</v>
      </c>
      <c r="E4560">
        <f t="shared" si="286"/>
        <v>6826.0644000000011</v>
      </c>
      <c r="F4560">
        <f t="shared" si="287"/>
        <v>4096</v>
      </c>
    </row>
    <row r="4561" spans="1:6" x14ac:dyDescent="0.3">
      <c r="A4561">
        <v>50</v>
      </c>
      <c r="B4561">
        <v>102.03</v>
      </c>
      <c r="C4561">
        <f t="shared" si="284"/>
        <v>5101.5</v>
      </c>
      <c r="D4561">
        <f t="shared" si="285"/>
        <v>2500</v>
      </c>
      <c r="E4561">
        <f t="shared" si="286"/>
        <v>10410.1209</v>
      </c>
      <c r="F4561">
        <f t="shared" si="287"/>
        <v>2500</v>
      </c>
    </row>
    <row r="4562" spans="1:6" x14ac:dyDescent="0.3">
      <c r="A4562">
        <v>52</v>
      </c>
      <c r="B4562">
        <v>235.06</v>
      </c>
      <c r="C4562">
        <f t="shared" si="284"/>
        <v>12223.12</v>
      </c>
      <c r="D4562">
        <f t="shared" si="285"/>
        <v>2704</v>
      </c>
      <c r="E4562">
        <f t="shared" si="286"/>
        <v>55253.203600000001</v>
      </c>
      <c r="F4562">
        <f t="shared" si="287"/>
        <v>2704</v>
      </c>
    </row>
    <row r="4563" spans="1:6" x14ac:dyDescent="0.3">
      <c r="A4563">
        <v>65</v>
      </c>
      <c r="B4563">
        <v>57.52</v>
      </c>
      <c r="C4563">
        <f t="shared" si="284"/>
        <v>3738.8</v>
      </c>
      <c r="D4563">
        <f t="shared" si="285"/>
        <v>4225</v>
      </c>
      <c r="E4563">
        <f t="shared" si="286"/>
        <v>3308.5504000000005</v>
      </c>
      <c r="F4563">
        <f t="shared" si="287"/>
        <v>4225</v>
      </c>
    </row>
    <row r="4564" spans="1:6" x14ac:dyDescent="0.3">
      <c r="A4564">
        <v>37</v>
      </c>
      <c r="B4564">
        <v>76.98</v>
      </c>
      <c r="C4564">
        <f t="shared" si="284"/>
        <v>2848.26</v>
      </c>
      <c r="D4564">
        <f t="shared" si="285"/>
        <v>1369</v>
      </c>
      <c r="E4564">
        <f t="shared" si="286"/>
        <v>5925.9204000000009</v>
      </c>
      <c r="F4564">
        <f t="shared" si="287"/>
        <v>1369</v>
      </c>
    </row>
    <row r="4565" spans="1:6" x14ac:dyDescent="0.3">
      <c r="A4565">
        <v>31</v>
      </c>
      <c r="B4565">
        <v>82.31</v>
      </c>
      <c r="C4565">
        <f t="shared" si="284"/>
        <v>2551.61</v>
      </c>
      <c r="D4565">
        <f t="shared" si="285"/>
        <v>961</v>
      </c>
      <c r="E4565">
        <f t="shared" si="286"/>
        <v>6774.9361000000008</v>
      </c>
      <c r="F4565">
        <f t="shared" si="287"/>
        <v>961</v>
      </c>
    </row>
    <row r="4566" spans="1:6" x14ac:dyDescent="0.3">
      <c r="A4566">
        <v>52</v>
      </c>
      <c r="B4566">
        <v>83.84</v>
      </c>
      <c r="C4566">
        <f t="shared" si="284"/>
        <v>4359.68</v>
      </c>
      <c r="D4566">
        <f t="shared" si="285"/>
        <v>2704</v>
      </c>
      <c r="E4566">
        <f t="shared" si="286"/>
        <v>7029.1456000000007</v>
      </c>
      <c r="F4566">
        <f t="shared" si="287"/>
        <v>2704</v>
      </c>
    </row>
    <row r="4567" spans="1:6" x14ac:dyDescent="0.3">
      <c r="A4567">
        <v>56</v>
      </c>
      <c r="B4567">
        <v>98.14</v>
      </c>
      <c r="C4567">
        <f t="shared" si="284"/>
        <v>5495.84</v>
      </c>
      <c r="D4567">
        <f t="shared" si="285"/>
        <v>3136</v>
      </c>
      <c r="E4567">
        <f t="shared" si="286"/>
        <v>9631.4596000000001</v>
      </c>
      <c r="F4567">
        <f t="shared" si="287"/>
        <v>3136</v>
      </c>
    </row>
    <row r="4568" spans="1:6" x14ac:dyDescent="0.3">
      <c r="A4568">
        <v>43</v>
      </c>
      <c r="B4568">
        <v>84.04</v>
      </c>
      <c r="C4568">
        <f t="shared" si="284"/>
        <v>3613.7200000000003</v>
      </c>
      <c r="D4568">
        <f t="shared" si="285"/>
        <v>1849</v>
      </c>
      <c r="E4568">
        <f t="shared" si="286"/>
        <v>7062.7216000000008</v>
      </c>
      <c r="F4568">
        <f t="shared" si="287"/>
        <v>1849</v>
      </c>
    </row>
    <row r="4569" spans="1:6" x14ac:dyDescent="0.3">
      <c r="A4569">
        <v>11</v>
      </c>
      <c r="B4569">
        <v>92.24</v>
      </c>
      <c r="C4569">
        <f t="shared" si="284"/>
        <v>1014.64</v>
      </c>
      <c r="D4569">
        <f t="shared" si="285"/>
        <v>121</v>
      </c>
      <c r="E4569">
        <f t="shared" si="286"/>
        <v>8508.2175999999999</v>
      </c>
      <c r="F4569">
        <f t="shared" si="287"/>
        <v>121</v>
      </c>
    </row>
    <row r="4570" spans="1:6" x14ac:dyDescent="0.3">
      <c r="A4570">
        <v>2</v>
      </c>
      <c r="B4570">
        <v>94.92</v>
      </c>
      <c r="C4570">
        <f t="shared" si="284"/>
        <v>189.84</v>
      </c>
      <c r="D4570">
        <f t="shared" si="285"/>
        <v>4</v>
      </c>
      <c r="E4570">
        <f t="shared" si="286"/>
        <v>9009.8063999999995</v>
      </c>
      <c r="F4570">
        <f t="shared" si="287"/>
        <v>4</v>
      </c>
    </row>
    <row r="4571" spans="1:6" x14ac:dyDescent="0.3">
      <c r="A4571">
        <v>16</v>
      </c>
      <c r="B4571">
        <v>112.7</v>
      </c>
      <c r="C4571">
        <f t="shared" si="284"/>
        <v>1803.2</v>
      </c>
      <c r="D4571">
        <f t="shared" si="285"/>
        <v>256</v>
      </c>
      <c r="E4571">
        <f t="shared" si="286"/>
        <v>12701.29</v>
      </c>
      <c r="F4571">
        <f t="shared" si="287"/>
        <v>256</v>
      </c>
    </row>
    <row r="4572" spans="1:6" x14ac:dyDescent="0.3">
      <c r="A4572">
        <v>23</v>
      </c>
      <c r="B4572">
        <v>74.34</v>
      </c>
      <c r="C4572">
        <f t="shared" si="284"/>
        <v>1709.8200000000002</v>
      </c>
      <c r="D4572">
        <f t="shared" si="285"/>
        <v>529</v>
      </c>
      <c r="E4572">
        <f t="shared" si="286"/>
        <v>5526.4356000000007</v>
      </c>
      <c r="F4572">
        <f t="shared" si="287"/>
        <v>529</v>
      </c>
    </row>
    <row r="4573" spans="1:6" x14ac:dyDescent="0.3">
      <c r="A4573">
        <v>40</v>
      </c>
      <c r="B4573">
        <v>72.989999999999995</v>
      </c>
      <c r="C4573">
        <f t="shared" si="284"/>
        <v>2919.6</v>
      </c>
      <c r="D4573">
        <f t="shared" si="285"/>
        <v>1600</v>
      </c>
      <c r="E4573">
        <f t="shared" si="286"/>
        <v>5327.5400999999993</v>
      </c>
      <c r="F4573">
        <f t="shared" si="287"/>
        <v>1600</v>
      </c>
    </row>
    <row r="4574" spans="1:6" x14ac:dyDescent="0.3">
      <c r="A4574">
        <v>15</v>
      </c>
      <c r="B4574">
        <v>104.9</v>
      </c>
      <c r="C4574">
        <f t="shared" si="284"/>
        <v>1573.5</v>
      </c>
      <c r="D4574">
        <f t="shared" si="285"/>
        <v>225</v>
      </c>
      <c r="E4574">
        <f t="shared" si="286"/>
        <v>11004.010000000002</v>
      </c>
      <c r="F4574">
        <f t="shared" si="287"/>
        <v>225</v>
      </c>
    </row>
    <row r="4575" spans="1:6" x14ac:dyDescent="0.3">
      <c r="A4575">
        <v>48</v>
      </c>
      <c r="B4575">
        <v>99.96</v>
      </c>
      <c r="C4575">
        <f t="shared" si="284"/>
        <v>4798.08</v>
      </c>
      <c r="D4575">
        <f t="shared" si="285"/>
        <v>2304</v>
      </c>
      <c r="E4575">
        <f t="shared" si="286"/>
        <v>9992.0015999999996</v>
      </c>
      <c r="F4575">
        <f t="shared" si="287"/>
        <v>2304</v>
      </c>
    </row>
    <row r="4576" spans="1:6" x14ac:dyDescent="0.3">
      <c r="A4576">
        <v>33</v>
      </c>
      <c r="B4576">
        <v>85.27</v>
      </c>
      <c r="C4576">
        <f t="shared" si="284"/>
        <v>2813.91</v>
      </c>
      <c r="D4576">
        <f t="shared" si="285"/>
        <v>1089</v>
      </c>
      <c r="E4576">
        <f t="shared" si="286"/>
        <v>7270.9728999999998</v>
      </c>
      <c r="F4576">
        <f t="shared" si="287"/>
        <v>1089</v>
      </c>
    </row>
    <row r="4577" spans="1:6" x14ac:dyDescent="0.3">
      <c r="A4577">
        <v>46</v>
      </c>
      <c r="B4577">
        <v>60.32</v>
      </c>
      <c r="C4577">
        <f t="shared" si="284"/>
        <v>2774.72</v>
      </c>
      <c r="D4577">
        <f t="shared" si="285"/>
        <v>2116</v>
      </c>
      <c r="E4577">
        <f t="shared" si="286"/>
        <v>3638.5023999999999</v>
      </c>
      <c r="F4577">
        <f t="shared" si="287"/>
        <v>2116</v>
      </c>
    </row>
    <row r="4578" spans="1:6" x14ac:dyDescent="0.3">
      <c r="A4578">
        <v>53</v>
      </c>
      <c r="B4578">
        <v>94.14</v>
      </c>
      <c r="C4578">
        <f t="shared" si="284"/>
        <v>4989.42</v>
      </c>
      <c r="D4578">
        <f t="shared" si="285"/>
        <v>2809</v>
      </c>
      <c r="E4578">
        <f t="shared" si="286"/>
        <v>8862.3395999999993</v>
      </c>
      <c r="F4578">
        <f t="shared" si="287"/>
        <v>2809</v>
      </c>
    </row>
    <row r="4579" spans="1:6" x14ac:dyDescent="0.3">
      <c r="A4579">
        <v>68</v>
      </c>
      <c r="B4579">
        <v>195.43</v>
      </c>
      <c r="C4579">
        <f t="shared" si="284"/>
        <v>13289.24</v>
      </c>
      <c r="D4579">
        <f t="shared" si="285"/>
        <v>4624</v>
      </c>
      <c r="E4579">
        <f t="shared" si="286"/>
        <v>38192.884900000005</v>
      </c>
      <c r="F4579">
        <f t="shared" si="287"/>
        <v>4624</v>
      </c>
    </row>
    <row r="4580" spans="1:6" x14ac:dyDescent="0.3">
      <c r="A4580">
        <v>60</v>
      </c>
      <c r="B4580">
        <v>200.25</v>
      </c>
      <c r="C4580">
        <f t="shared" si="284"/>
        <v>12015</v>
      </c>
      <c r="D4580">
        <f t="shared" si="285"/>
        <v>3600</v>
      </c>
      <c r="E4580">
        <f t="shared" si="286"/>
        <v>40100.0625</v>
      </c>
      <c r="F4580">
        <f t="shared" si="287"/>
        <v>3600</v>
      </c>
    </row>
    <row r="4581" spans="1:6" x14ac:dyDescent="0.3">
      <c r="A4581">
        <v>57</v>
      </c>
      <c r="B4581">
        <v>90.31</v>
      </c>
      <c r="C4581">
        <f t="shared" si="284"/>
        <v>5147.67</v>
      </c>
      <c r="D4581">
        <f t="shared" si="285"/>
        <v>3249</v>
      </c>
      <c r="E4581">
        <f t="shared" si="286"/>
        <v>8155.8961000000008</v>
      </c>
      <c r="F4581">
        <f t="shared" si="287"/>
        <v>3249</v>
      </c>
    </row>
    <row r="4582" spans="1:6" x14ac:dyDescent="0.3">
      <c r="A4582">
        <v>51</v>
      </c>
      <c r="B4582">
        <v>95.33</v>
      </c>
      <c r="C4582">
        <f t="shared" si="284"/>
        <v>4861.83</v>
      </c>
      <c r="D4582">
        <f t="shared" si="285"/>
        <v>2601</v>
      </c>
      <c r="E4582">
        <f t="shared" si="286"/>
        <v>9087.8089</v>
      </c>
      <c r="F4582">
        <f t="shared" si="287"/>
        <v>2601</v>
      </c>
    </row>
    <row r="4583" spans="1:6" x14ac:dyDescent="0.3">
      <c r="A4583">
        <v>0.4</v>
      </c>
      <c r="B4583">
        <v>85.65</v>
      </c>
      <c r="C4583">
        <f t="shared" si="284"/>
        <v>34.260000000000005</v>
      </c>
      <c r="D4583">
        <f t="shared" si="285"/>
        <v>0.16000000000000003</v>
      </c>
      <c r="E4583">
        <f t="shared" si="286"/>
        <v>7335.9225000000006</v>
      </c>
      <c r="F4583">
        <f t="shared" si="287"/>
        <v>0.16000000000000003</v>
      </c>
    </row>
    <row r="4584" spans="1:6" x14ac:dyDescent="0.3">
      <c r="A4584">
        <v>76</v>
      </c>
      <c r="B4584">
        <v>223.64</v>
      </c>
      <c r="C4584">
        <f t="shared" si="284"/>
        <v>16996.64</v>
      </c>
      <c r="D4584">
        <f t="shared" si="285"/>
        <v>5776</v>
      </c>
      <c r="E4584">
        <f t="shared" si="286"/>
        <v>50014.849599999994</v>
      </c>
      <c r="F4584">
        <f t="shared" si="287"/>
        <v>5776</v>
      </c>
    </row>
    <row r="4585" spans="1:6" x14ac:dyDescent="0.3">
      <c r="A4585">
        <v>46</v>
      </c>
      <c r="B4585">
        <v>76.430000000000007</v>
      </c>
      <c r="C4585">
        <f t="shared" si="284"/>
        <v>3515.78</v>
      </c>
      <c r="D4585">
        <f t="shared" si="285"/>
        <v>2116</v>
      </c>
      <c r="E4585">
        <f t="shared" si="286"/>
        <v>5841.5449000000008</v>
      </c>
      <c r="F4585">
        <f t="shared" si="287"/>
        <v>2116</v>
      </c>
    </row>
    <row r="4586" spans="1:6" x14ac:dyDescent="0.3">
      <c r="A4586">
        <v>23</v>
      </c>
      <c r="B4586">
        <v>98.66</v>
      </c>
      <c r="C4586">
        <f t="shared" si="284"/>
        <v>2269.1799999999998</v>
      </c>
      <c r="D4586">
        <f t="shared" si="285"/>
        <v>529</v>
      </c>
      <c r="E4586">
        <f t="shared" si="286"/>
        <v>9733.7955999999995</v>
      </c>
      <c r="F4586">
        <f t="shared" si="287"/>
        <v>529</v>
      </c>
    </row>
    <row r="4587" spans="1:6" x14ac:dyDescent="0.3">
      <c r="A4587">
        <v>9</v>
      </c>
      <c r="B4587">
        <v>75.84</v>
      </c>
      <c r="C4587">
        <f t="shared" si="284"/>
        <v>682.56000000000006</v>
      </c>
      <c r="D4587">
        <f t="shared" si="285"/>
        <v>81</v>
      </c>
      <c r="E4587">
        <f t="shared" si="286"/>
        <v>5751.7056000000002</v>
      </c>
      <c r="F4587">
        <f t="shared" si="287"/>
        <v>81</v>
      </c>
    </row>
    <row r="4588" spans="1:6" x14ac:dyDescent="0.3">
      <c r="A4588">
        <v>53</v>
      </c>
      <c r="B4588">
        <v>85.46</v>
      </c>
      <c r="C4588">
        <f t="shared" si="284"/>
        <v>4529.38</v>
      </c>
      <c r="D4588">
        <f t="shared" si="285"/>
        <v>2809</v>
      </c>
      <c r="E4588">
        <f t="shared" si="286"/>
        <v>7303.4115999999985</v>
      </c>
      <c r="F4588">
        <f t="shared" si="287"/>
        <v>2809</v>
      </c>
    </row>
    <row r="4589" spans="1:6" x14ac:dyDescent="0.3">
      <c r="A4589">
        <v>4</v>
      </c>
      <c r="B4589">
        <v>81.33</v>
      </c>
      <c r="C4589">
        <f t="shared" si="284"/>
        <v>325.32</v>
      </c>
      <c r="D4589">
        <f t="shared" si="285"/>
        <v>16</v>
      </c>
      <c r="E4589">
        <f t="shared" si="286"/>
        <v>6614.5688999999993</v>
      </c>
      <c r="F4589">
        <f t="shared" si="287"/>
        <v>16</v>
      </c>
    </row>
    <row r="4590" spans="1:6" x14ac:dyDescent="0.3">
      <c r="A4590">
        <v>62</v>
      </c>
      <c r="B4590">
        <v>199.78</v>
      </c>
      <c r="C4590">
        <f t="shared" si="284"/>
        <v>12386.36</v>
      </c>
      <c r="D4590">
        <f t="shared" si="285"/>
        <v>3844</v>
      </c>
      <c r="E4590">
        <f t="shared" si="286"/>
        <v>39912.0484</v>
      </c>
      <c r="F4590">
        <f t="shared" si="287"/>
        <v>3844</v>
      </c>
    </row>
    <row r="4591" spans="1:6" x14ac:dyDescent="0.3">
      <c r="A4591">
        <v>37</v>
      </c>
      <c r="B4591">
        <v>176.42</v>
      </c>
      <c r="C4591">
        <f t="shared" si="284"/>
        <v>6527.54</v>
      </c>
      <c r="D4591">
        <f t="shared" si="285"/>
        <v>1369</v>
      </c>
      <c r="E4591">
        <f t="shared" si="286"/>
        <v>31124.016399999997</v>
      </c>
      <c r="F4591">
        <f t="shared" si="287"/>
        <v>1369</v>
      </c>
    </row>
    <row r="4592" spans="1:6" x14ac:dyDescent="0.3">
      <c r="A4592">
        <v>82</v>
      </c>
      <c r="B4592">
        <v>101.56</v>
      </c>
      <c r="C4592">
        <f t="shared" si="284"/>
        <v>8327.92</v>
      </c>
      <c r="D4592">
        <f t="shared" si="285"/>
        <v>6724</v>
      </c>
      <c r="E4592">
        <f t="shared" si="286"/>
        <v>10314.4336</v>
      </c>
      <c r="F4592">
        <f t="shared" si="287"/>
        <v>6724</v>
      </c>
    </row>
    <row r="4593" spans="1:6" x14ac:dyDescent="0.3">
      <c r="A4593">
        <v>33</v>
      </c>
      <c r="B4593">
        <v>84.48</v>
      </c>
      <c r="C4593">
        <f t="shared" si="284"/>
        <v>2787.84</v>
      </c>
      <c r="D4593">
        <f t="shared" si="285"/>
        <v>1089</v>
      </c>
      <c r="E4593">
        <f t="shared" si="286"/>
        <v>7136.8704000000007</v>
      </c>
      <c r="F4593">
        <f t="shared" si="287"/>
        <v>1089</v>
      </c>
    </row>
    <row r="4594" spans="1:6" x14ac:dyDescent="0.3">
      <c r="A4594">
        <v>3</v>
      </c>
      <c r="B4594">
        <v>93.21</v>
      </c>
      <c r="C4594">
        <f t="shared" si="284"/>
        <v>279.63</v>
      </c>
      <c r="D4594">
        <f t="shared" si="285"/>
        <v>9</v>
      </c>
      <c r="E4594">
        <f t="shared" si="286"/>
        <v>8688.1040999999987</v>
      </c>
      <c r="F4594">
        <f t="shared" si="287"/>
        <v>9</v>
      </c>
    </row>
    <row r="4595" spans="1:6" x14ac:dyDescent="0.3">
      <c r="A4595">
        <v>14</v>
      </c>
      <c r="B4595">
        <v>72.88</v>
      </c>
      <c r="C4595">
        <f t="shared" si="284"/>
        <v>1020.3199999999999</v>
      </c>
      <c r="D4595">
        <f t="shared" si="285"/>
        <v>196</v>
      </c>
      <c r="E4595">
        <f t="shared" si="286"/>
        <v>5311.4943999999996</v>
      </c>
      <c r="F4595">
        <f t="shared" si="287"/>
        <v>196</v>
      </c>
    </row>
    <row r="4596" spans="1:6" x14ac:dyDescent="0.3">
      <c r="A4596">
        <v>16</v>
      </c>
      <c r="B4596">
        <v>84.1</v>
      </c>
      <c r="C4596">
        <f t="shared" si="284"/>
        <v>1345.6</v>
      </c>
      <c r="D4596">
        <f t="shared" si="285"/>
        <v>256</v>
      </c>
      <c r="E4596">
        <f t="shared" si="286"/>
        <v>7072.8099999999995</v>
      </c>
      <c r="F4596">
        <f t="shared" si="287"/>
        <v>256</v>
      </c>
    </row>
    <row r="4597" spans="1:6" x14ac:dyDescent="0.3">
      <c r="A4597">
        <v>40</v>
      </c>
      <c r="B4597">
        <v>72.84</v>
      </c>
      <c r="C4597">
        <f t="shared" si="284"/>
        <v>2913.6000000000004</v>
      </c>
      <c r="D4597">
        <f t="shared" si="285"/>
        <v>1600</v>
      </c>
      <c r="E4597">
        <f t="shared" si="286"/>
        <v>5305.6656000000003</v>
      </c>
      <c r="F4597">
        <f t="shared" si="287"/>
        <v>1600</v>
      </c>
    </row>
    <row r="4598" spans="1:6" x14ac:dyDescent="0.3">
      <c r="A4598">
        <v>18</v>
      </c>
      <c r="B4598">
        <v>70.89</v>
      </c>
      <c r="C4598">
        <f t="shared" si="284"/>
        <v>1276.02</v>
      </c>
      <c r="D4598">
        <f t="shared" si="285"/>
        <v>324</v>
      </c>
      <c r="E4598">
        <f t="shared" si="286"/>
        <v>5025.3921</v>
      </c>
      <c r="F4598">
        <f t="shared" si="287"/>
        <v>324</v>
      </c>
    </row>
    <row r="4599" spans="1:6" x14ac:dyDescent="0.3">
      <c r="A4599">
        <v>29</v>
      </c>
      <c r="B4599">
        <v>108.14</v>
      </c>
      <c r="C4599">
        <f t="shared" si="284"/>
        <v>3136.06</v>
      </c>
      <c r="D4599">
        <f t="shared" si="285"/>
        <v>841</v>
      </c>
      <c r="E4599">
        <f t="shared" si="286"/>
        <v>11694.259599999999</v>
      </c>
      <c r="F4599">
        <f t="shared" si="287"/>
        <v>841</v>
      </c>
    </row>
    <row r="4600" spans="1:6" x14ac:dyDescent="0.3">
      <c r="A4600">
        <v>56</v>
      </c>
      <c r="B4600">
        <v>244.3</v>
      </c>
      <c r="C4600">
        <f t="shared" si="284"/>
        <v>13680.800000000001</v>
      </c>
      <c r="D4600">
        <f t="shared" si="285"/>
        <v>3136</v>
      </c>
      <c r="E4600">
        <f t="shared" si="286"/>
        <v>59682.490000000005</v>
      </c>
      <c r="F4600">
        <f t="shared" si="287"/>
        <v>3136</v>
      </c>
    </row>
    <row r="4601" spans="1:6" x14ac:dyDescent="0.3">
      <c r="A4601">
        <v>33</v>
      </c>
      <c r="B4601">
        <v>88.04</v>
      </c>
      <c r="C4601">
        <f t="shared" si="284"/>
        <v>2905.32</v>
      </c>
      <c r="D4601">
        <f t="shared" si="285"/>
        <v>1089</v>
      </c>
      <c r="E4601">
        <f t="shared" si="286"/>
        <v>7751.0416000000014</v>
      </c>
      <c r="F4601">
        <f t="shared" si="287"/>
        <v>1089</v>
      </c>
    </row>
    <row r="4602" spans="1:6" x14ac:dyDescent="0.3">
      <c r="A4602">
        <v>2</v>
      </c>
      <c r="B4602">
        <v>65.84</v>
      </c>
      <c r="C4602">
        <f t="shared" si="284"/>
        <v>131.68</v>
      </c>
      <c r="D4602">
        <f t="shared" si="285"/>
        <v>4</v>
      </c>
      <c r="E4602">
        <f t="shared" si="286"/>
        <v>4334.9056</v>
      </c>
      <c r="F4602">
        <f t="shared" si="287"/>
        <v>4</v>
      </c>
    </row>
    <row r="4603" spans="1:6" x14ac:dyDescent="0.3">
      <c r="A4603">
        <v>36</v>
      </c>
      <c r="B4603">
        <v>106.73</v>
      </c>
      <c r="C4603">
        <f t="shared" si="284"/>
        <v>3842.28</v>
      </c>
      <c r="D4603">
        <f t="shared" si="285"/>
        <v>1296</v>
      </c>
      <c r="E4603">
        <f t="shared" si="286"/>
        <v>11391.2929</v>
      </c>
      <c r="F4603">
        <f t="shared" si="287"/>
        <v>1296</v>
      </c>
    </row>
    <row r="4604" spans="1:6" x14ac:dyDescent="0.3">
      <c r="A4604">
        <v>30</v>
      </c>
      <c r="B4604">
        <v>106.03</v>
      </c>
      <c r="C4604">
        <f t="shared" si="284"/>
        <v>3180.9</v>
      </c>
      <c r="D4604">
        <f t="shared" si="285"/>
        <v>900</v>
      </c>
      <c r="E4604">
        <f t="shared" si="286"/>
        <v>11242.3609</v>
      </c>
      <c r="F4604">
        <f t="shared" si="287"/>
        <v>900</v>
      </c>
    </row>
    <row r="4605" spans="1:6" x14ac:dyDescent="0.3">
      <c r="A4605">
        <v>31</v>
      </c>
      <c r="B4605">
        <v>80.88</v>
      </c>
      <c r="C4605">
        <f t="shared" si="284"/>
        <v>2507.2799999999997</v>
      </c>
      <c r="D4605">
        <f t="shared" si="285"/>
        <v>961</v>
      </c>
      <c r="E4605">
        <f t="shared" si="286"/>
        <v>6541.5743999999995</v>
      </c>
      <c r="F4605">
        <f t="shared" si="287"/>
        <v>961</v>
      </c>
    </row>
    <row r="4606" spans="1:6" x14ac:dyDescent="0.3">
      <c r="A4606">
        <v>16</v>
      </c>
      <c r="B4606">
        <v>140.1</v>
      </c>
      <c r="C4606">
        <f t="shared" si="284"/>
        <v>2241.6</v>
      </c>
      <c r="D4606">
        <f t="shared" si="285"/>
        <v>256</v>
      </c>
      <c r="E4606">
        <f t="shared" si="286"/>
        <v>19628.009999999998</v>
      </c>
      <c r="F4606">
        <f t="shared" si="287"/>
        <v>256</v>
      </c>
    </row>
    <row r="4607" spans="1:6" x14ac:dyDescent="0.3">
      <c r="A4607">
        <v>58</v>
      </c>
      <c r="B4607">
        <v>127.4</v>
      </c>
      <c r="C4607">
        <f t="shared" si="284"/>
        <v>7389.2000000000007</v>
      </c>
      <c r="D4607">
        <f t="shared" si="285"/>
        <v>3364</v>
      </c>
      <c r="E4607">
        <f t="shared" si="286"/>
        <v>16230.760000000002</v>
      </c>
      <c r="F4607">
        <f t="shared" si="287"/>
        <v>3364</v>
      </c>
    </row>
    <row r="4608" spans="1:6" x14ac:dyDescent="0.3">
      <c r="A4608">
        <v>19</v>
      </c>
      <c r="B4608">
        <v>87.72</v>
      </c>
      <c r="C4608">
        <f t="shared" si="284"/>
        <v>1666.68</v>
      </c>
      <c r="D4608">
        <f t="shared" si="285"/>
        <v>361</v>
      </c>
      <c r="E4608">
        <f t="shared" si="286"/>
        <v>7694.7983999999997</v>
      </c>
      <c r="F4608">
        <f t="shared" si="287"/>
        <v>361</v>
      </c>
    </row>
    <row r="4609" spans="1:6" x14ac:dyDescent="0.3">
      <c r="A4609">
        <v>47</v>
      </c>
      <c r="B4609">
        <v>58.23</v>
      </c>
      <c r="C4609">
        <f t="shared" si="284"/>
        <v>2736.81</v>
      </c>
      <c r="D4609">
        <f t="shared" si="285"/>
        <v>2209</v>
      </c>
      <c r="E4609">
        <f t="shared" si="286"/>
        <v>3390.7328999999995</v>
      </c>
      <c r="F4609">
        <f t="shared" si="287"/>
        <v>2209</v>
      </c>
    </row>
    <row r="4610" spans="1:6" x14ac:dyDescent="0.3">
      <c r="A4610">
        <v>59</v>
      </c>
      <c r="B4610">
        <v>69.37</v>
      </c>
      <c r="C4610">
        <f t="shared" si="284"/>
        <v>4092.8300000000004</v>
      </c>
      <c r="D4610">
        <f t="shared" si="285"/>
        <v>3481</v>
      </c>
      <c r="E4610">
        <f t="shared" si="286"/>
        <v>4812.1969000000008</v>
      </c>
      <c r="F4610">
        <f t="shared" si="287"/>
        <v>3481</v>
      </c>
    </row>
    <row r="4611" spans="1:6" x14ac:dyDescent="0.3">
      <c r="A4611">
        <v>40</v>
      </c>
      <c r="B4611">
        <v>58.64</v>
      </c>
      <c r="C4611">
        <f t="shared" ref="C4611:C4674" si="288">A4611*B4611</f>
        <v>2345.6</v>
      </c>
      <c r="D4611">
        <f t="shared" ref="D4611:D4674" si="289">A4611*A4611</f>
        <v>1600</v>
      </c>
      <c r="E4611">
        <f t="shared" ref="E4611:E4674" si="290">B4611*B4611</f>
        <v>3438.6496000000002</v>
      </c>
      <c r="F4611">
        <f t="shared" ref="F4611:F4674" si="291">A4611^2</f>
        <v>1600</v>
      </c>
    </row>
    <row r="4612" spans="1:6" x14ac:dyDescent="0.3">
      <c r="A4612">
        <v>26</v>
      </c>
      <c r="B4612">
        <v>59.67</v>
      </c>
      <c r="C4612">
        <f t="shared" si="288"/>
        <v>1551.42</v>
      </c>
      <c r="D4612">
        <f t="shared" si="289"/>
        <v>676</v>
      </c>
      <c r="E4612">
        <f t="shared" si="290"/>
        <v>3560.5089000000003</v>
      </c>
      <c r="F4612">
        <f t="shared" si="291"/>
        <v>676</v>
      </c>
    </row>
    <row r="4613" spans="1:6" x14ac:dyDescent="0.3">
      <c r="A4613">
        <v>17</v>
      </c>
      <c r="B4613">
        <v>78.08</v>
      </c>
      <c r="C4613">
        <f t="shared" si="288"/>
        <v>1327.36</v>
      </c>
      <c r="D4613">
        <f t="shared" si="289"/>
        <v>289</v>
      </c>
      <c r="E4613">
        <f t="shared" si="290"/>
        <v>6096.4863999999998</v>
      </c>
      <c r="F4613">
        <f t="shared" si="291"/>
        <v>289</v>
      </c>
    </row>
    <row r="4614" spans="1:6" x14ac:dyDescent="0.3">
      <c r="A4614">
        <v>30</v>
      </c>
      <c r="B4614">
        <v>105.08</v>
      </c>
      <c r="C4614">
        <f t="shared" si="288"/>
        <v>3152.4</v>
      </c>
      <c r="D4614">
        <f t="shared" si="289"/>
        <v>900</v>
      </c>
      <c r="E4614">
        <f t="shared" si="290"/>
        <v>11041.806399999999</v>
      </c>
      <c r="F4614">
        <f t="shared" si="291"/>
        <v>900</v>
      </c>
    </row>
    <row r="4615" spans="1:6" x14ac:dyDescent="0.3">
      <c r="A4615">
        <v>19</v>
      </c>
      <c r="B4615">
        <v>89.3</v>
      </c>
      <c r="C4615">
        <f t="shared" si="288"/>
        <v>1696.7</v>
      </c>
      <c r="D4615">
        <f t="shared" si="289"/>
        <v>361</v>
      </c>
      <c r="E4615">
        <f t="shared" si="290"/>
        <v>7974.49</v>
      </c>
      <c r="F4615">
        <f t="shared" si="291"/>
        <v>361</v>
      </c>
    </row>
    <row r="4616" spans="1:6" x14ac:dyDescent="0.3">
      <c r="A4616">
        <v>78</v>
      </c>
      <c r="B4616">
        <v>61.38</v>
      </c>
      <c r="C4616">
        <f t="shared" si="288"/>
        <v>4787.6400000000003</v>
      </c>
      <c r="D4616">
        <f t="shared" si="289"/>
        <v>6084</v>
      </c>
      <c r="E4616">
        <f t="shared" si="290"/>
        <v>3767.5044000000003</v>
      </c>
      <c r="F4616">
        <f t="shared" si="291"/>
        <v>6084</v>
      </c>
    </row>
    <row r="4617" spans="1:6" x14ac:dyDescent="0.3">
      <c r="A4617">
        <v>55</v>
      </c>
      <c r="B4617">
        <v>56.11</v>
      </c>
      <c r="C4617">
        <f t="shared" si="288"/>
        <v>3086.05</v>
      </c>
      <c r="D4617">
        <f t="shared" si="289"/>
        <v>3025</v>
      </c>
      <c r="E4617">
        <f t="shared" si="290"/>
        <v>3148.3321000000001</v>
      </c>
      <c r="F4617">
        <f t="shared" si="291"/>
        <v>3025</v>
      </c>
    </row>
    <row r="4618" spans="1:6" x14ac:dyDescent="0.3">
      <c r="A4618">
        <v>59</v>
      </c>
      <c r="B4618">
        <v>223.16</v>
      </c>
      <c r="C4618">
        <f t="shared" si="288"/>
        <v>13166.44</v>
      </c>
      <c r="D4618">
        <f t="shared" si="289"/>
        <v>3481</v>
      </c>
      <c r="E4618">
        <f t="shared" si="290"/>
        <v>49800.385600000001</v>
      </c>
      <c r="F4618">
        <f t="shared" si="291"/>
        <v>3481</v>
      </c>
    </row>
    <row r="4619" spans="1:6" x14ac:dyDescent="0.3">
      <c r="A4619">
        <v>57</v>
      </c>
      <c r="B4619">
        <v>75.53</v>
      </c>
      <c r="C4619">
        <f t="shared" si="288"/>
        <v>4305.21</v>
      </c>
      <c r="D4619">
        <f t="shared" si="289"/>
        <v>3249</v>
      </c>
      <c r="E4619">
        <f t="shared" si="290"/>
        <v>5704.7808999999997</v>
      </c>
      <c r="F4619">
        <f t="shared" si="291"/>
        <v>3249</v>
      </c>
    </row>
    <row r="4620" spans="1:6" x14ac:dyDescent="0.3">
      <c r="A4620">
        <v>33</v>
      </c>
      <c r="B4620">
        <v>107.47</v>
      </c>
      <c r="C4620">
        <f t="shared" si="288"/>
        <v>3546.5099999999998</v>
      </c>
      <c r="D4620">
        <f t="shared" si="289"/>
        <v>1089</v>
      </c>
      <c r="E4620">
        <f t="shared" si="290"/>
        <v>11549.8009</v>
      </c>
      <c r="F4620">
        <f t="shared" si="291"/>
        <v>1089</v>
      </c>
    </row>
    <row r="4621" spans="1:6" x14ac:dyDescent="0.3">
      <c r="A4621">
        <v>35</v>
      </c>
      <c r="B4621">
        <v>76</v>
      </c>
      <c r="C4621">
        <f t="shared" si="288"/>
        <v>2660</v>
      </c>
      <c r="D4621">
        <f t="shared" si="289"/>
        <v>1225</v>
      </c>
      <c r="E4621">
        <f t="shared" si="290"/>
        <v>5776</v>
      </c>
      <c r="F4621">
        <f t="shared" si="291"/>
        <v>1225</v>
      </c>
    </row>
    <row r="4622" spans="1:6" x14ac:dyDescent="0.3">
      <c r="A4622">
        <v>32</v>
      </c>
      <c r="B4622">
        <v>90.28</v>
      </c>
      <c r="C4622">
        <f t="shared" si="288"/>
        <v>2888.96</v>
      </c>
      <c r="D4622">
        <f t="shared" si="289"/>
        <v>1024</v>
      </c>
      <c r="E4622">
        <f t="shared" si="290"/>
        <v>8150.4784</v>
      </c>
      <c r="F4622">
        <f t="shared" si="291"/>
        <v>1024</v>
      </c>
    </row>
    <row r="4623" spans="1:6" x14ac:dyDescent="0.3">
      <c r="A4623">
        <v>55</v>
      </c>
      <c r="B4623">
        <v>65.22</v>
      </c>
      <c r="C4623">
        <f t="shared" si="288"/>
        <v>3587.1</v>
      </c>
      <c r="D4623">
        <f t="shared" si="289"/>
        <v>3025</v>
      </c>
      <c r="E4623">
        <f t="shared" si="290"/>
        <v>4253.6484</v>
      </c>
      <c r="F4623">
        <f t="shared" si="291"/>
        <v>3025</v>
      </c>
    </row>
    <row r="4624" spans="1:6" x14ac:dyDescent="0.3">
      <c r="A4624">
        <v>28</v>
      </c>
      <c r="B4624">
        <v>86.24</v>
      </c>
      <c r="C4624">
        <f t="shared" si="288"/>
        <v>2414.7199999999998</v>
      </c>
      <c r="D4624">
        <f t="shared" si="289"/>
        <v>784</v>
      </c>
      <c r="E4624">
        <f t="shared" si="290"/>
        <v>7437.3375999999989</v>
      </c>
      <c r="F4624">
        <f t="shared" si="291"/>
        <v>784</v>
      </c>
    </row>
    <row r="4625" spans="1:6" x14ac:dyDescent="0.3">
      <c r="A4625">
        <v>25</v>
      </c>
      <c r="B4625">
        <v>166.38</v>
      </c>
      <c r="C4625">
        <f t="shared" si="288"/>
        <v>4159.5</v>
      </c>
      <c r="D4625">
        <f t="shared" si="289"/>
        <v>625</v>
      </c>
      <c r="E4625">
        <f t="shared" si="290"/>
        <v>27682.304399999997</v>
      </c>
      <c r="F4625">
        <f t="shared" si="291"/>
        <v>625</v>
      </c>
    </row>
    <row r="4626" spans="1:6" x14ac:dyDescent="0.3">
      <c r="A4626">
        <v>45</v>
      </c>
      <c r="B4626">
        <v>78.91</v>
      </c>
      <c r="C4626">
        <f t="shared" si="288"/>
        <v>3550.95</v>
      </c>
      <c r="D4626">
        <f t="shared" si="289"/>
        <v>2025</v>
      </c>
      <c r="E4626">
        <f t="shared" si="290"/>
        <v>6226.7880999999998</v>
      </c>
      <c r="F4626">
        <f t="shared" si="291"/>
        <v>2025</v>
      </c>
    </row>
    <row r="4627" spans="1:6" x14ac:dyDescent="0.3">
      <c r="A4627">
        <v>34</v>
      </c>
      <c r="B4627">
        <v>226.28</v>
      </c>
      <c r="C4627">
        <f t="shared" si="288"/>
        <v>7693.52</v>
      </c>
      <c r="D4627">
        <f t="shared" si="289"/>
        <v>1156</v>
      </c>
      <c r="E4627">
        <f t="shared" si="290"/>
        <v>51202.638400000003</v>
      </c>
      <c r="F4627">
        <f t="shared" si="291"/>
        <v>1156</v>
      </c>
    </row>
    <row r="4628" spans="1:6" x14ac:dyDescent="0.3">
      <c r="A4628">
        <v>33</v>
      </c>
      <c r="B4628">
        <v>90.73</v>
      </c>
      <c r="C4628">
        <f t="shared" si="288"/>
        <v>2994.09</v>
      </c>
      <c r="D4628">
        <f t="shared" si="289"/>
        <v>1089</v>
      </c>
      <c r="E4628">
        <f t="shared" si="290"/>
        <v>8231.9329000000016</v>
      </c>
      <c r="F4628">
        <f t="shared" si="291"/>
        <v>1089</v>
      </c>
    </row>
    <row r="4629" spans="1:6" x14ac:dyDescent="0.3">
      <c r="A4629">
        <v>65</v>
      </c>
      <c r="B4629">
        <v>172.86</v>
      </c>
      <c r="C4629">
        <f t="shared" si="288"/>
        <v>11235.900000000001</v>
      </c>
      <c r="D4629">
        <f t="shared" si="289"/>
        <v>4225</v>
      </c>
      <c r="E4629">
        <f t="shared" si="290"/>
        <v>29880.579600000005</v>
      </c>
      <c r="F4629">
        <f t="shared" si="291"/>
        <v>4225</v>
      </c>
    </row>
    <row r="4630" spans="1:6" x14ac:dyDescent="0.3">
      <c r="A4630">
        <v>62</v>
      </c>
      <c r="B4630">
        <v>213.92</v>
      </c>
      <c r="C4630">
        <f t="shared" si="288"/>
        <v>13263.039999999999</v>
      </c>
      <c r="D4630">
        <f t="shared" si="289"/>
        <v>3844</v>
      </c>
      <c r="E4630">
        <f t="shared" si="290"/>
        <v>45761.766399999993</v>
      </c>
      <c r="F4630">
        <f t="shared" si="291"/>
        <v>3844</v>
      </c>
    </row>
    <row r="4631" spans="1:6" x14ac:dyDescent="0.3">
      <c r="A4631">
        <v>36</v>
      </c>
      <c r="B4631">
        <v>92.23</v>
      </c>
      <c r="C4631">
        <f t="shared" si="288"/>
        <v>3320.28</v>
      </c>
      <c r="D4631">
        <f t="shared" si="289"/>
        <v>1296</v>
      </c>
      <c r="E4631">
        <f t="shared" si="290"/>
        <v>8506.3729000000003</v>
      </c>
      <c r="F4631">
        <f t="shared" si="291"/>
        <v>1296</v>
      </c>
    </row>
    <row r="4632" spans="1:6" x14ac:dyDescent="0.3">
      <c r="A4632">
        <v>31</v>
      </c>
      <c r="B4632">
        <v>79.81</v>
      </c>
      <c r="C4632">
        <f t="shared" si="288"/>
        <v>2474.11</v>
      </c>
      <c r="D4632">
        <f t="shared" si="289"/>
        <v>961</v>
      </c>
      <c r="E4632">
        <f t="shared" si="290"/>
        <v>6369.6361000000006</v>
      </c>
      <c r="F4632">
        <f t="shared" si="291"/>
        <v>961</v>
      </c>
    </row>
    <row r="4633" spans="1:6" x14ac:dyDescent="0.3">
      <c r="A4633">
        <v>54</v>
      </c>
      <c r="B4633">
        <v>81.78</v>
      </c>
      <c r="C4633">
        <f t="shared" si="288"/>
        <v>4416.12</v>
      </c>
      <c r="D4633">
        <f t="shared" si="289"/>
        <v>2916</v>
      </c>
      <c r="E4633">
        <f t="shared" si="290"/>
        <v>6687.9683999999997</v>
      </c>
      <c r="F4633">
        <f t="shared" si="291"/>
        <v>2916</v>
      </c>
    </row>
    <row r="4634" spans="1:6" x14ac:dyDescent="0.3">
      <c r="A4634">
        <v>53</v>
      </c>
      <c r="B4634">
        <v>102</v>
      </c>
      <c r="C4634">
        <f t="shared" si="288"/>
        <v>5406</v>
      </c>
      <c r="D4634">
        <f t="shared" si="289"/>
        <v>2809</v>
      </c>
      <c r="E4634">
        <f t="shared" si="290"/>
        <v>10404</v>
      </c>
      <c r="F4634">
        <f t="shared" si="291"/>
        <v>2809</v>
      </c>
    </row>
    <row r="4635" spans="1:6" x14ac:dyDescent="0.3">
      <c r="A4635">
        <v>44</v>
      </c>
      <c r="B4635">
        <v>68.42</v>
      </c>
      <c r="C4635">
        <f t="shared" si="288"/>
        <v>3010.48</v>
      </c>
      <c r="D4635">
        <f t="shared" si="289"/>
        <v>1936</v>
      </c>
      <c r="E4635">
        <f t="shared" si="290"/>
        <v>4681.2964000000002</v>
      </c>
      <c r="F4635">
        <f t="shared" si="291"/>
        <v>1936</v>
      </c>
    </row>
    <row r="4636" spans="1:6" x14ac:dyDescent="0.3">
      <c r="A4636">
        <v>77</v>
      </c>
      <c r="B4636">
        <v>94.68</v>
      </c>
      <c r="C4636">
        <f t="shared" si="288"/>
        <v>7290.3600000000006</v>
      </c>
      <c r="D4636">
        <f t="shared" si="289"/>
        <v>5929</v>
      </c>
      <c r="E4636">
        <f t="shared" si="290"/>
        <v>8964.3024000000005</v>
      </c>
      <c r="F4636">
        <f t="shared" si="291"/>
        <v>5929</v>
      </c>
    </row>
    <row r="4637" spans="1:6" x14ac:dyDescent="0.3">
      <c r="A4637">
        <v>67</v>
      </c>
      <c r="B4637">
        <v>125.33</v>
      </c>
      <c r="C4637">
        <f t="shared" si="288"/>
        <v>8397.11</v>
      </c>
      <c r="D4637">
        <f t="shared" si="289"/>
        <v>4489</v>
      </c>
      <c r="E4637">
        <f t="shared" si="290"/>
        <v>15707.608899999999</v>
      </c>
      <c r="F4637">
        <f t="shared" si="291"/>
        <v>4489</v>
      </c>
    </row>
    <row r="4638" spans="1:6" x14ac:dyDescent="0.3">
      <c r="A4638">
        <v>48</v>
      </c>
      <c r="B4638">
        <v>212.19</v>
      </c>
      <c r="C4638">
        <f t="shared" si="288"/>
        <v>10185.119999999999</v>
      </c>
      <c r="D4638">
        <f t="shared" si="289"/>
        <v>2304</v>
      </c>
      <c r="E4638">
        <f t="shared" si="290"/>
        <v>45024.596100000002</v>
      </c>
      <c r="F4638">
        <f t="shared" si="291"/>
        <v>2304</v>
      </c>
    </row>
    <row r="4639" spans="1:6" x14ac:dyDescent="0.3">
      <c r="A4639">
        <v>42</v>
      </c>
      <c r="B4639">
        <v>89</v>
      </c>
      <c r="C4639">
        <f t="shared" si="288"/>
        <v>3738</v>
      </c>
      <c r="D4639">
        <f t="shared" si="289"/>
        <v>1764</v>
      </c>
      <c r="E4639">
        <f t="shared" si="290"/>
        <v>7921</v>
      </c>
      <c r="F4639">
        <f t="shared" si="291"/>
        <v>1764</v>
      </c>
    </row>
    <row r="4640" spans="1:6" x14ac:dyDescent="0.3">
      <c r="A4640">
        <v>72</v>
      </c>
      <c r="B4640">
        <v>60.98</v>
      </c>
      <c r="C4640">
        <f t="shared" si="288"/>
        <v>4390.5599999999995</v>
      </c>
      <c r="D4640">
        <f t="shared" si="289"/>
        <v>5184</v>
      </c>
      <c r="E4640">
        <f t="shared" si="290"/>
        <v>3718.5603999999998</v>
      </c>
      <c r="F4640">
        <f t="shared" si="291"/>
        <v>5184</v>
      </c>
    </row>
    <row r="4641" spans="1:6" x14ac:dyDescent="0.3">
      <c r="A4641">
        <v>49</v>
      </c>
      <c r="B4641">
        <v>58.19</v>
      </c>
      <c r="C4641">
        <f t="shared" si="288"/>
        <v>2851.31</v>
      </c>
      <c r="D4641">
        <f t="shared" si="289"/>
        <v>2401</v>
      </c>
      <c r="E4641">
        <f t="shared" si="290"/>
        <v>3386.0760999999998</v>
      </c>
      <c r="F4641">
        <f t="shared" si="291"/>
        <v>2401</v>
      </c>
    </row>
    <row r="4642" spans="1:6" x14ac:dyDescent="0.3">
      <c r="A4642">
        <v>1.32</v>
      </c>
      <c r="B4642">
        <v>67.680000000000007</v>
      </c>
      <c r="C4642">
        <f t="shared" si="288"/>
        <v>89.337600000000009</v>
      </c>
      <c r="D4642">
        <f t="shared" si="289"/>
        <v>1.7424000000000002</v>
      </c>
      <c r="E4642">
        <f t="shared" si="290"/>
        <v>4580.5824000000011</v>
      </c>
      <c r="F4642">
        <f t="shared" si="291"/>
        <v>1.7424000000000002</v>
      </c>
    </row>
    <row r="4643" spans="1:6" x14ac:dyDescent="0.3">
      <c r="A4643">
        <v>45</v>
      </c>
      <c r="B4643">
        <v>84.99</v>
      </c>
      <c r="C4643">
        <f t="shared" si="288"/>
        <v>3824.5499999999997</v>
      </c>
      <c r="D4643">
        <f t="shared" si="289"/>
        <v>2025</v>
      </c>
      <c r="E4643">
        <f t="shared" si="290"/>
        <v>7223.3000999999995</v>
      </c>
      <c r="F4643">
        <f t="shared" si="291"/>
        <v>2025</v>
      </c>
    </row>
    <row r="4644" spans="1:6" x14ac:dyDescent="0.3">
      <c r="A4644">
        <v>63</v>
      </c>
      <c r="B4644">
        <v>62.13</v>
      </c>
      <c r="C4644">
        <f t="shared" si="288"/>
        <v>3914.19</v>
      </c>
      <c r="D4644">
        <f t="shared" si="289"/>
        <v>3969</v>
      </c>
      <c r="E4644">
        <f t="shared" si="290"/>
        <v>3860.1369000000004</v>
      </c>
      <c r="F4644">
        <f t="shared" si="291"/>
        <v>3969</v>
      </c>
    </row>
    <row r="4645" spans="1:6" x14ac:dyDescent="0.3">
      <c r="A4645">
        <v>33</v>
      </c>
      <c r="B4645">
        <v>57.1</v>
      </c>
      <c r="C4645">
        <f t="shared" si="288"/>
        <v>1884.3</v>
      </c>
      <c r="D4645">
        <f t="shared" si="289"/>
        <v>1089</v>
      </c>
      <c r="E4645">
        <f t="shared" si="290"/>
        <v>3260.4100000000003</v>
      </c>
      <c r="F4645">
        <f t="shared" si="291"/>
        <v>1089</v>
      </c>
    </row>
    <row r="4646" spans="1:6" x14ac:dyDescent="0.3">
      <c r="A4646">
        <v>32</v>
      </c>
      <c r="B4646">
        <v>97.95</v>
      </c>
      <c r="C4646">
        <f t="shared" si="288"/>
        <v>3134.4</v>
      </c>
      <c r="D4646">
        <f t="shared" si="289"/>
        <v>1024</v>
      </c>
      <c r="E4646">
        <f t="shared" si="290"/>
        <v>9594.2025000000012</v>
      </c>
      <c r="F4646">
        <f t="shared" si="291"/>
        <v>1024</v>
      </c>
    </row>
    <row r="4647" spans="1:6" x14ac:dyDescent="0.3">
      <c r="A4647">
        <v>0.48</v>
      </c>
      <c r="B4647">
        <v>94.06</v>
      </c>
      <c r="C4647">
        <f t="shared" si="288"/>
        <v>45.148800000000001</v>
      </c>
      <c r="D4647">
        <f t="shared" si="289"/>
        <v>0.23039999999999999</v>
      </c>
      <c r="E4647">
        <f t="shared" si="290"/>
        <v>8847.2836000000007</v>
      </c>
      <c r="F4647">
        <f t="shared" si="291"/>
        <v>0.23039999999999999</v>
      </c>
    </row>
    <row r="4648" spans="1:6" x14ac:dyDescent="0.3">
      <c r="A4648">
        <v>63</v>
      </c>
      <c r="B4648">
        <v>93.88</v>
      </c>
      <c r="C4648">
        <f t="shared" si="288"/>
        <v>5914.44</v>
      </c>
      <c r="D4648">
        <f t="shared" si="289"/>
        <v>3969</v>
      </c>
      <c r="E4648">
        <f t="shared" si="290"/>
        <v>8813.4543999999987</v>
      </c>
      <c r="F4648">
        <f t="shared" si="291"/>
        <v>3969</v>
      </c>
    </row>
    <row r="4649" spans="1:6" x14ac:dyDescent="0.3">
      <c r="A4649">
        <v>70</v>
      </c>
      <c r="B4649">
        <v>90.3</v>
      </c>
      <c r="C4649">
        <f t="shared" si="288"/>
        <v>6321</v>
      </c>
      <c r="D4649">
        <f t="shared" si="289"/>
        <v>4900</v>
      </c>
      <c r="E4649">
        <f t="shared" si="290"/>
        <v>8154.0899999999992</v>
      </c>
      <c r="F4649">
        <f t="shared" si="291"/>
        <v>4900</v>
      </c>
    </row>
    <row r="4650" spans="1:6" x14ac:dyDescent="0.3">
      <c r="A4650">
        <v>57</v>
      </c>
      <c r="B4650">
        <v>83.14</v>
      </c>
      <c r="C4650">
        <f t="shared" si="288"/>
        <v>4738.9800000000005</v>
      </c>
      <c r="D4650">
        <f t="shared" si="289"/>
        <v>3249</v>
      </c>
      <c r="E4650">
        <f t="shared" si="290"/>
        <v>6912.2596000000003</v>
      </c>
      <c r="F4650">
        <f t="shared" si="291"/>
        <v>3249</v>
      </c>
    </row>
    <row r="4651" spans="1:6" x14ac:dyDescent="0.3">
      <c r="A4651">
        <v>8</v>
      </c>
      <c r="B4651">
        <v>118.66</v>
      </c>
      <c r="C4651">
        <f t="shared" si="288"/>
        <v>949.28</v>
      </c>
      <c r="D4651">
        <f t="shared" si="289"/>
        <v>64</v>
      </c>
      <c r="E4651">
        <f t="shared" si="290"/>
        <v>14080.195599999999</v>
      </c>
      <c r="F4651">
        <f t="shared" si="291"/>
        <v>64</v>
      </c>
    </row>
    <row r="4652" spans="1:6" x14ac:dyDescent="0.3">
      <c r="A4652">
        <v>54</v>
      </c>
      <c r="B4652">
        <v>100.47</v>
      </c>
      <c r="C4652">
        <f t="shared" si="288"/>
        <v>5425.38</v>
      </c>
      <c r="D4652">
        <f t="shared" si="289"/>
        <v>2916</v>
      </c>
      <c r="E4652">
        <f t="shared" si="290"/>
        <v>10094.2209</v>
      </c>
      <c r="F4652">
        <f t="shared" si="291"/>
        <v>2916</v>
      </c>
    </row>
    <row r="4653" spans="1:6" x14ac:dyDescent="0.3">
      <c r="A4653">
        <v>37</v>
      </c>
      <c r="B4653">
        <v>90.78</v>
      </c>
      <c r="C4653">
        <f t="shared" si="288"/>
        <v>3358.86</v>
      </c>
      <c r="D4653">
        <f t="shared" si="289"/>
        <v>1369</v>
      </c>
      <c r="E4653">
        <f t="shared" si="290"/>
        <v>8241.0084000000006</v>
      </c>
      <c r="F4653">
        <f t="shared" si="291"/>
        <v>1369</v>
      </c>
    </row>
    <row r="4654" spans="1:6" x14ac:dyDescent="0.3">
      <c r="A4654">
        <v>59</v>
      </c>
      <c r="B4654">
        <v>66.459999999999994</v>
      </c>
      <c r="C4654">
        <f t="shared" si="288"/>
        <v>3921.1399999999994</v>
      </c>
      <c r="D4654">
        <f t="shared" si="289"/>
        <v>3481</v>
      </c>
      <c r="E4654">
        <f t="shared" si="290"/>
        <v>4416.931599999999</v>
      </c>
      <c r="F4654">
        <f t="shared" si="291"/>
        <v>3481</v>
      </c>
    </row>
    <row r="4655" spans="1:6" x14ac:dyDescent="0.3">
      <c r="A4655">
        <v>78</v>
      </c>
      <c r="B4655">
        <v>73.56</v>
      </c>
      <c r="C4655">
        <f t="shared" si="288"/>
        <v>5737.68</v>
      </c>
      <c r="D4655">
        <f t="shared" si="289"/>
        <v>6084</v>
      </c>
      <c r="E4655">
        <f t="shared" si="290"/>
        <v>5411.0736000000006</v>
      </c>
      <c r="F4655">
        <f t="shared" si="291"/>
        <v>6084</v>
      </c>
    </row>
    <row r="4656" spans="1:6" x14ac:dyDescent="0.3">
      <c r="A4656">
        <v>59</v>
      </c>
      <c r="B4656">
        <v>200.8</v>
      </c>
      <c r="C4656">
        <f t="shared" si="288"/>
        <v>11847.2</v>
      </c>
      <c r="D4656">
        <f t="shared" si="289"/>
        <v>3481</v>
      </c>
      <c r="E4656">
        <f t="shared" si="290"/>
        <v>40320.640000000007</v>
      </c>
      <c r="F4656">
        <f t="shared" si="291"/>
        <v>3481</v>
      </c>
    </row>
    <row r="4657" spans="1:6" x14ac:dyDescent="0.3">
      <c r="A4657">
        <v>10</v>
      </c>
      <c r="B4657">
        <v>57.28</v>
      </c>
      <c r="C4657">
        <f t="shared" si="288"/>
        <v>572.79999999999995</v>
      </c>
      <c r="D4657">
        <f t="shared" si="289"/>
        <v>100</v>
      </c>
      <c r="E4657">
        <f t="shared" si="290"/>
        <v>3280.9983999999999</v>
      </c>
      <c r="F4657">
        <f t="shared" si="291"/>
        <v>100</v>
      </c>
    </row>
    <row r="4658" spans="1:6" x14ac:dyDescent="0.3">
      <c r="A4658">
        <v>21</v>
      </c>
      <c r="B4658">
        <v>92.87</v>
      </c>
      <c r="C4658">
        <f t="shared" si="288"/>
        <v>1950.27</v>
      </c>
      <c r="D4658">
        <f t="shared" si="289"/>
        <v>441</v>
      </c>
      <c r="E4658">
        <f t="shared" si="290"/>
        <v>8624.8369000000002</v>
      </c>
      <c r="F4658">
        <f t="shared" si="291"/>
        <v>441</v>
      </c>
    </row>
    <row r="4659" spans="1:6" x14ac:dyDescent="0.3">
      <c r="A4659">
        <v>2</v>
      </c>
      <c r="B4659">
        <v>96.47</v>
      </c>
      <c r="C4659">
        <f t="shared" si="288"/>
        <v>192.94</v>
      </c>
      <c r="D4659">
        <f t="shared" si="289"/>
        <v>4</v>
      </c>
      <c r="E4659">
        <f t="shared" si="290"/>
        <v>9306.4609</v>
      </c>
      <c r="F4659">
        <f t="shared" si="291"/>
        <v>4</v>
      </c>
    </row>
    <row r="4660" spans="1:6" x14ac:dyDescent="0.3">
      <c r="A4660">
        <v>55</v>
      </c>
      <c r="B4660">
        <v>99.44</v>
      </c>
      <c r="C4660">
        <f t="shared" si="288"/>
        <v>5469.2</v>
      </c>
      <c r="D4660">
        <f t="shared" si="289"/>
        <v>3025</v>
      </c>
      <c r="E4660">
        <f t="shared" si="290"/>
        <v>9888.3135999999995</v>
      </c>
      <c r="F4660">
        <f t="shared" si="291"/>
        <v>3025</v>
      </c>
    </row>
    <row r="4661" spans="1:6" x14ac:dyDescent="0.3">
      <c r="A4661">
        <v>20</v>
      </c>
      <c r="B4661">
        <v>77.959999999999994</v>
      </c>
      <c r="C4661">
        <f t="shared" si="288"/>
        <v>1559.1999999999998</v>
      </c>
      <c r="D4661">
        <f t="shared" si="289"/>
        <v>400</v>
      </c>
      <c r="E4661">
        <f t="shared" si="290"/>
        <v>6077.7615999999989</v>
      </c>
      <c r="F4661">
        <f t="shared" si="291"/>
        <v>400</v>
      </c>
    </row>
    <row r="4662" spans="1:6" x14ac:dyDescent="0.3">
      <c r="A4662">
        <v>38</v>
      </c>
      <c r="B4662">
        <v>60.13</v>
      </c>
      <c r="C4662">
        <f t="shared" si="288"/>
        <v>2284.94</v>
      </c>
      <c r="D4662">
        <f t="shared" si="289"/>
        <v>1444</v>
      </c>
      <c r="E4662">
        <f t="shared" si="290"/>
        <v>3615.6169000000004</v>
      </c>
      <c r="F4662">
        <f t="shared" si="291"/>
        <v>1444</v>
      </c>
    </row>
    <row r="4663" spans="1:6" x14ac:dyDescent="0.3">
      <c r="A4663">
        <v>33</v>
      </c>
      <c r="B4663">
        <v>88.17</v>
      </c>
      <c r="C4663">
        <f t="shared" si="288"/>
        <v>2909.61</v>
      </c>
      <c r="D4663">
        <f t="shared" si="289"/>
        <v>1089</v>
      </c>
      <c r="E4663">
        <f t="shared" si="290"/>
        <v>7773.9489000000003</v>
      </c>
      <c r="F4663">
        <f t="shared" si="291"/>
        <v>1089</v>
      </c>
    </row>
    <row r="4664" spans="1:6" x14ac:dyDescent="0.3">
      <c r="A4664">
        <v>14</v>
      </c>
      <c r="B4664">
        <v>84.41</v>
      </c>
      <c r="C4664">
        <f t="shared" si="288"/>
        <v>1181.74</v>
      </c>
      <c r="D4664">
        <f t="shared" si="289"/>
        <v>196</v>
      </c>
      <c r="E4664">
        <f t="shared" si="290"/>
        <v>7125.0480999999991</v>
      </c>
      <c r="F4664">
        <f t="shared" si="291"/>
        <v>196</v>
      </c>
    </row>
    <row r="4665" spans="1:6" x14ac:dyDescent="0.3">
      <c r="A4665">
        <v>32</v>
      </c>
      <c r="B4665">
        <v>72.34</v>
      </c>
      <c r="C4665">
        <f t="shared" si="288"/>
        <v>2314.88</v>
      </c>
      <c r="D4665">
        <f t="shared" si="289"/>
        <v>1024</v>
      </c>
      <c r="E4665">
        <f t="shared" si="290"/>
        <v>5233.0756000000001</v>
      </c>
      <c r="F4665">
        <f t="shared" si="291"/>
        <v>1024</v>
      </c>
    </row>
    <row r="4666" spans="1:6" x14ac:dyDescent="0.3">
      <c r="A4666">
        <v>32</v>
      </c>
      <c r="B4666">
        <v>68.72</v>
      </c>
      <c r="C4666">
        <f t="shared" si="288"/>
        <v>2199.04</v>
      </c>
      <c r="D4666">
        <f t="shared" si="289"/>
        <v>1024</v>
      </c>
      <c r="E4666">
        <f t="shared" si="290"/>
        <v>4722.4384</v>
      </c>
      <c r="F4666">
        <f t="shared" si="291"/>
        <v>1024</v>
      </c>
    </row>
    <row r="4667" spans="1:6" x14ac:dyDescent="0.3">
      <c r="A4667">
        <v>68</v>
      </c>
      <c r="B4667">
        <v>222.58</v>
      </c>
      <c r="C4667">
        <f t="shared" si="288"/>
        <v>15135.44</v>
      </c>
      <c r="D4667">
        <f t="shared" si="289"/>
        <v>4624</v>
      </c>
      <c r="E4667">
        <f t="shared" si="290"/>
        <v>49541.856400000004</v>
      </c>
      <c r="F4667">
        <f t="shared" si="291"/>
        <v>4624</v>
      </c>
    </row>
    <row r="4668" spans="1:6" x14ac:dyDescent="0.3">
      <c r="A4668">
        <v>70</v>
      </c>
      <c r="B4668">
        <v>66.06</v>
      </c>
      <c r="C4668">
        <f t="shared" si="288"/>
        <v>4624.2</v>
      </c>
      <c r="D4668">
        <f t="shared" si="289"/>
        <v>4900</v>
      </c>
      <c r="E4668">
        <f t="shared" si="290"/>
        <v>4363.9236000000001</v>
      </c>
      <c r="F4668">
        <f t="shared" si="291"/>
        <v>4900</v>
      </c>
    </row>
    <row r="4669" spans="1:6" x14ac:dyDescent="0.3">
      <c r="A4669">
        <v>24</v>
      </c>
      <c r="B4669">
        <v>156.43</v>
      </c>
      <c r="C4669">
        <f t="shared" si="288"/>
        <v>3754.32</v>
      </c>
      <c r="D4669">
        <f t="shared" si="289"/>
        <v>576</v>
      </c>
      <c r="E4669">
        <f t="shared" si="290"/>
        <v>24470.344900000004</v>
      </c>
      <c r="F4669">
        <f t="shared" si="291"/>
        <v>576</v>
      </c>
    </row>
    <row r="4670" spans="1:6" x14ac:dyDescent="0.3">
      <c r="A4670">
        <v>44</v>
      </c>
      <c r="B4670">
        <v>105.76</v>
      </c>
      <c r="C4670">
        <f t="shared" si="288"/>
        <v>4653.4400000000005</v>
      </c>
      <c r="D4670">
        <f t="shared" si="289"/>
        <v>1936</v>
      </c>
      <c r="E4670">
        <f t="shared" si="290"/>
        <v>11185.177600000001</v>
      </c>
      <c r="F4670">
        <f t="shared" si="291"/>
        <v>1936</v>
      </c>
    </row>
    <row r="4671" spans="1:6" x14ac:dyDescent="0.3">
      <c r="A4671">
        <v>39</v>
      </c>
      <c r="B4671">
        <v>73.069999999999993</v>
      </c>
      <c r="C4671">
        <f t="shared" si="288"/>
        <v>2849.7299999999996</v>
      </c>
      <c r="D4671">
        <f t="shared" si="289"/>
        <v>1521</v>
      </c>
      <c r="E4671">
        <f t="shared" si="290"/>
        <v>5339.2248999999993</v>
      </c>
      <c r="F4671">
        <f t="shared" si="291"/>
        <v>1521</v>
      </c>
    </row>
    <row r="4672" spans="1:6" x14ac:dyDescent="0.3">
      <c r="A4672">
        <v>81</v>
      </c>
      <c r="B4672">
        <v>99.48</v>
      </c>
      <c r="C4672">
        <f t="shared" si="288"/>
        <v>8057.88</v>
      </c>
      <c r="D4672">
        <f t="shared" si="289"/>
        <v>6561</v>
      </c>
      <c r="E4672">
        <f t="shared" si="290"/>
        <v>9896.2704000000012</v>
      </c>
      <c r="F4672">
        <f t="shared" si="291"/>
        <v>6561</v>
      </c>
    </row>
    <row r="4673" spans="1:6" x14ac:dyDescent="0.3">
      <c r="A4673">
        <v>19</v>
      </c>
      <c r="B4673">
        <v>79.599999999999994</v>
      </c>
      <c r="C4673">
        <f t="shared" si="288"/>
        <v>1512.3999999999999</v>
      </c>
      <c r="D4673">
        <f t="shared" si="289"/>
        <v>361</v>
      </c>
      <c r="E4673">
        <f t="shared" si="290"/>
        <v>6336.1599999999989</v>
      </c>
      <c r="F4673">
        <f t="shared" si="291"/>
        <v>361</v>
      </c>
    </row>
    <row r="4674" spans="1:6" x14ac:dyDescent="0.3">
      <c r="A4674">
        <v>69</v>
      </c>
      <c r="B4674">
        <v>70</v>
      </c>
      <c r="C4674">
        <f t="shared" si="288"/>
        <v>4830</v>
      </c>
      <c r="D4674">
        <f t="shared" si="289"/>
        <v>4761</v>
      </c>
      <c r="E4674">
        <f t="shared" si="290"/>
        <v>4900</v>
      </c>
      <c r="F4674">
        <f t="shared" si="291"/>
        <v>4761</v>
      </c>
    </row>
    <row r="4675" spans="1:6" x14ac:dyDescent="0.3">
      <c r="A4675">
        <v>42</v>
      </c>
      <c r="B4675">
        <v>112.98</v>
      </c>
      <c r="C4675">
        <f t="shared" ref="C4675:C4738" si="292">A4675*B4675</f>
        <v>4745.16</v>
      </c>
      <c r="D4675">
        <f t="shared" ref="D4675:D4738" si="293">A4675*A4675</f>
        <v>1764</v>
      </c>
      <c r="E4675">
        <f t="shared" ref="E4675:E4738" si="294">B4675*B4675</f>
        <v>12764.4804</v>
      </c>
      <c r="F4675">
        <f t="shared" ref="F4675:F4738" si="295">A4675^2</f>
        <v>1764</v>
      </c>
    </row>
    <row r="4676" spans="1:6" x14ac:dyDescent="0.3">
      <c r="A4676">
        <v>8</v>
      </c>
      <c r="B4676">
        <v>61.07</v>
      </c>
      <c r="C4676">
        <f t="shared" si="292"/>
        <v>488.56</v>
      </c>
      <c r="D4676">
        <f t="shared" si="293"/>
        <v>64</v>
      </c>
      <c r="E4676">
        <f t="shared" si="294"/>
        <v>3729.5448999999999</v>
      </c>
      <c r="F4676">
        <f t="shared" si="295"/>
        <v>64</v>
      </c>
    </row>
    <row r="4677" spans="1:6" x14ac:dyDescent="0.3">
      <c r="A4677">
        <v>8</v>
      </c>
      <c r="B4677">
        <v>63.43</v>
      </c>
      <c r="C4677">
        <f t="shared" si="292"/>
        <v>507.44</v>
      </c>
      <c r="D4677">
        <f t="shared" si="293"/>
        <v>64</v>
      </c>
      <c r="E4677">
        <f t="shared" si="294"/>
        <v>4023.3649</v>
      </c>
      <c r="F4677">
        <f t="shared" si="295"/>
        <v>64</v>
      </c>
    </row>
    <row r="4678" spans="1:6" x14ac:dyDescent="0.3">
      <c r="A4678">
        <v>28</v>
      </c>
      <c r="B4678">
        <v>73.2</v>
      </c>
      <c r="C4678">
        <f t="shared" si="292"/>
        <v>2049.6</v>
      </c>
      <c r="D4678">
        <f t="shared" si="293"/>
        <v>784</v>
      </c>
      <c r="E4678">
        <f t="shared" si="294"/>
        <v>5358.2400000000007</v>
      </c>
      <c r="F4678">
        <f t="shared" si="295"/>
        <v>784</v>
      </c>
    </row>
    <row r="4679" spans="1:6" x14ac:dyDescent="0.3">
      <c r="A4679">
        <v>66</v>
      </c>
      <c r="B4679">
        <v>102.73</v>
      </c>
      <c r="C4679">
        <f t="shared" si="292"/>
        <v>6780.18</v>
      </c>
      <c r="D4679">
        <f t="shared" si="293"/>
        <v>4356</v>
      </c>
      <c r="E4679">
        <f t="shared" si="294"/>
        <v>10553.4529</v>
      </c>
      <c r="F4679">
        <f t="shared" si="295"/>
        <v>4356</v>
      </c>
    </row>
    <row r="4680" spans="1:6" x14ac:dyDescent="0.3">
      <c r="A4680">
        <v>66</v>
      </c>
      <c r="B4680">
        <v>74.88</v>
      </c>
      <c r="C4680">
        <f t="shared" si="292"/>
        <v>4942.08</v>
      </c>
      <c r="D4680">
        <f t="shared" si="293"/>
        <v>4356</v>
      </c>
      <c r="E4680">
        <f t="shared" si="294"/>
        <v>5607.0143999999991</v>
      </c>
      <c r="F4680">
        <f t="shared" si="295"/>
        <v>4356</v>
      </c>
    </row>
    <row r="4681" spans="1:6" x14ac:dyDescent="0.3">
      <c r="A4681">
        <v>47</v>
      </c>
      <c r="B4681">
        <v>122.43</v>
      </c>
      <c r="C4681">
        <f t="shared" si="292"/>
        <v>5754.21</v>
      </c>
      <c r="D4681">
        <f t="shared" si="293"/>
        <v>2209</v>
      </c>
      <c r="E4681">
        <f t="shared" si="294"/>
        <v>14989.104900000002</v>
      </c>
      <c r="F4681">
        <f t="shared" si="295"/>
        <v>2209</v>
      </c>
    </row>
    <row r="4682" spans="1:6" x14ac:dyDescent="0.3">
      <c r="A4682">
        <v>78</v>
      </c>
      <c r="B4682">
        <v>84.21</v>
      </c>
      <c r="C4682">
        <f t="shared" si="292"/>
        <v>6568.3799999999992</v>
      </c>
      <c r="D4682">
        <f t="shared" si="293"/>
        <v>6084</v>
      </c>
      <c r="E4682">
        <f t="shared" si="294"/>
        <v>7091.3240999999989</v>
      </c>
      <c r="F4682">
        <f t="shared" si="295"/>
        <v>6084</v>
      </c>
    </row>
    <row r="4683" spans="1:6" x14ac:dyDescent="0.3">
      <c r="A4683">
        <v>65</v>
      </c>
      <c r="B4683">
        <v>80.42</v>
      </c>
      <c r="C4683">
        <f t="shared" si="292"/>
        <v>5227.3</v>
      </c>
      <c r="D4683">
        <f t="shared" si="293"/>
        <v>4225</v>
      </c>
      <c r="E4683">
        <f t="shared" si="294"/>
        <v>6467.3764000000001</v>
      </c>
      <c r="F4683">
        <f t="shared" si="295"/>
        <v>4225</v>
      </c>
    </row>
    <row r="4684" spans="1:6" x14ac:dyDescent="0.3">
      <c r="A4684">
        <v>78</v>
      </c>
      <c r="B4684">
        <v>80.44</v>
      </c>
      <c r="C4684">
        <f t="shared" si="292"/>
        <v>6274.32</v>
      </c>
      <c r="D4684">
        <f t="shared" si="293"/>
        <v>6084</v>
      </c>
      <c r="E4684">
        <f t="shared" si="294"/>
        <v>6470.5935999999992</v>
      </c>
      <c r="F4684">
        <f t="shared" si="295"/>
        <v>6084</v>
      </c>
    </row>
    <row r="4685" spans="1:6" x14ac:dyDescent="0.3">
      <c r="A4685">
        <v>68</v>
      </c>
      <c r="B4685">
        <v>80.63</v>
      </c>
      <c r="C4685">
        <f t="shared" si="292"/>
        <v>5482.84</v>
      </c>
      <c r="D4685">
        <f t="shared" si="293"/>
        <v>4624</v>
      </c>
      <c r="E4685">
        <f t="shared" si="294"/>
        <v>6501.196899999999</v>
      </c>
      <c r="F4685">
        <f t="shared" si="295"/>
        <v>4624</v>
      </c>
    </row>
    <row r="4686" spans="1:6" x14ac:dyDescent="0.3">
      <c r="A4686">
        <v>78</v>
      </c>
      <c r="B4686">
        <v>206.53</v>
      </c>
      <c r="C4686">
        <f t="shared" si="292"/>
        <v>16109.34</v>
      </c>
      <c r="D4686">
        <f t="shared" si="293"/>
        <v>6084</v>
      </c>
      <c r="E4686">
        <f t="shared" si="294"/>
        <v>42654.640899999999</v>
      </c>
      <c r="F4686">
        <f t="shared" si="295"/>
        <v>6084</v>
      </c>
    </row>
    <row r="4687" spans="1:6" x14ac:dyDescent="0.3">
      <c r="A4687">
        <v>65</v>
      </c>
      <c r="B4687">
        <v>104.12</v>
      </c>
      <c r="C4687">
        <f t="shared" si="292"/>
        <v>6767.8</v>
      </c>
      <c r="D4687">
        <f t="shared" si="293"/>
        <v>4225</v>
      </c>
      <c r="E4687">
        <f t="shared" si="294"/>
        <v>10840.974400000001</v>
      </c>
      <c r="F4687">
        <f t="shared" si="295"/>
        <v>4225</v>
      </c>
    </row>
    <row r="4688" spans="1:6" x14ac:dyDescent="0.3">
      <c r="A4688">
        <v>70</v>
      </c>
      <c r="B4688">
        <v>96.82</v>
      </c>
      <c r="C4688">
        <f t="shared" si="292"/>
        <v>6777.4</v>
      </c>
      <c r="D4688">
        <f t="shared" si="293"/>
        <v>4900</v>
      </c>
      <c r="E4688">
        <f t="shared" si="294"/>
        <v>9374.1123999999982</v>
      </c>
      <c r="F4688">
        <f t="shared" si="295"/>
        <v>4900</v>
      </c>
    </row>
    <row r="4689" spans="1:6" x14ac:dyDescent="0.3">
      <c r="A4689">
        <v>59</v>
      </c>
      <c r="B4689">
        <v>88.1</v>
      </c>
      <c r="C4689">
        <f t="shared" si="292"/>
        <v>5197.8999999999996</v>
      </c>
      <c r="D4689">
        <f t="shared" si="293"/>
        <v>3481</v>
      </c>
      <c r="E4689">
        <f t="shared" si="294"/>
        <v>7761.6099999999988</v>
      </c>
      <c r="F4689">
        <f t="shared" si="295"/>
        <v>3481</v>
      </c>
    </row>
    <row r="4690" spans="1:6" x14ac:dyDescent="0.3">
      <c r="A4690">
        <v>31</v>
      </c>
      <c r="B4690">
        <v>64.849999999999994</v>
      </c>
      <c r="C4690">
        <f t="shared" si="292"/>
        <v>2010.35</v>
      </c>
      <c r="D4690">
        <f t="shared" si="293"/>
        <v>961</v>
      </c>
      <c r="E4690">
        <f t="shared" si="294"/>
        <v>4205.5224999999991</v>
      </c>
      <c r="F4690">
        <f t="shared" si="295"/>
        <v>961</v>
      </c>
    </row>
    <row r="4691" spans="1:6" x14ac:dyDescent="0.3">
      <c r="A4691">
        <v>32</v>
      </c>
      <c r="B4691">
        <v>102.87</v>
      </c>
      <c r="C4691">
        <f t="shared" si="292"/>
        <v>3291.84</v>
      </c>
      <c r="D4691">
        <f t="shared" si="293"/>
        <v>1024</v>
      </c>
      <c r="E4691">
        <f t="shared" si="294"/>
        <v>10582.236900000002</v>
      </c>
      <c r="F4691">
        <f t="shared" si="295"/>
        <v>1024</v>
      </c>
    </row>
    <row r="4692" spans="1:6" x14ac:dyDescent="0.3">
      <c r="A4692">
        <v>5</v>
      </c>
      <c r="B4692">
        <v>83.75</v>
      </c>
      <c r="C4692">
        <f t="shared" si="292"/>
        <v>418.75</v>
      </c>
      <c r="D4692">
        <f t="shared" si="293"/>
        <v>25</v>
      </c>
      <c r="E4692">
        <f t="shared" si="294"/>
        <v>7014.0625</v>
      </c>
      <c r="F4692">
        <f t="shared" si="295"/>
        <v>25</v>
      </c>
    </row>
    <row r="4693" spans="1:6" x14ac:dyDescent="0.3">
      <c r="A4693">
        <v>55</v>
      </c>
      <c r="B4693">
        <v>97.68</v>
      </c>
      <c r="C4693">
        <f t="shared" si="292"/>
        <v>5372.4000000000005</v>
      </c>
      <c r="D4693">
        <f t="shared" si="293"/>
        <v>3025</v>
      </c>
      <c r="E4693">
        <f t="shared" si="294"/>
        <v>9541.3824000000022</v>
      </c>
      <c r="F4693">
        <f t="shared" si="295"/>
        <v>3025</v>
      </c>
    </row>
    <row r="4694" spans="1:6" x14ac:dyDescent="0.3">
      <c r="A4694">
        <v>61</v>
      </c>
      <c r="B4694">
        <v>97.58</v>
      </c>
      <c r="C4694">
        <f t="shared" si="292"/>
        <v>5952.38</v>
      </c>
      <c r="D4694">
        <f t="shared" si="293"/>
        <v>3721</v>
      </c>
      <c r="E4694">
        <f t="shared" si="294"/>
        <v>9521.8564000000006</v>
      </c>
      <c r="F4694">
        <f t="shared" si="295"/>
        <v>3721</v>
      </c>
    </row>
    <row r="4695" spans="1:6" x14ac:dyDescent="0.3">
      <c r="A4695">
        <v>48</v>
      </c>
      <c r="B4695">
        <v>74.16</v>
      </c>
      <c r="C4695">
        <f t="shared" si="292"/>
        <v>3559.68</v>
      </c>
      <c r="D4695">
        <f t="shared" si="293"/>
        <v>2304</v>
      </c>
      <c r="E4695">
        <f t="shared" si="294"/>
        <v>5499.7055999999993</v>
      </c>
      <c r="F4695">
        <f t="shared" si="295"/>
        <v>2304</v>
      </c>
    </row>
    <row r="4696" spans="1:6" x14ac:dyDescent="0.3">
      <c r="A4696">
        <v>1.1599999999999999</v>
      </c>
      <c r="B4696">
        <v>86</v>
      </c>
      <c r="C4696">
        <f t="shared" si="292"/>
        <v>99.759999999999991</v>
      </c>
      <c r="D4696">
        <f t="shared" si="293"/>
        <v>1.3455999999999999</v>
      </c>
      <c r="E4696">
        <f t="shared" si="294"/>
        <v>7396</v>
      </c>
      <c r="F4696">
        <f t="shared" si="295"/>
        <v>1.3455999999999999</v>
      </c>
    </row>
    <row r="4697" spans="1:6" x14ac:dyDescent="0.3">
      <c r="A4697">
        <v>50</v>
      </c>
      <c r="B4697">
        <v>100.93</v>
      </c>
      <c r="C4697">
        <f t="shared" si="292"/>
        <v>5046.5</v>
      </c>
      <c r="D4697">
        <f t="shared" si="293"/>
        <v>2500</v>
      </c>
      <c r="E4697">
        <f t="shared" si="294"/>
        <v>10186.8649</v>
      </c>
      <c r="F4697">
        <f t="shared" si="295"/>
        <v>2500</v>
      </c>
    </row>
    <row r="4698" spans="1:6" x14ac:dyDescent="0.3">
      <c r="A4698">
        <v>63</v>
      </c>
      <c r="B4698">
        <v>232.78</v>
      </c>
      <c r="C4698">
        <f t="shared" si="292"/>
        <v>14665.14</v>
      </c>
      <c r="D4698">
        <f t="shared" si="293"/>
        <v>3969</v>
      </c>
      <c r="E4698">
        <f t="shared" si="294"/>
        <v>54186.528400000003</v>
      </c>
      <c r="F4698">
        <f t="shared" si="295"/>
        <v>3969</v>
      </c>
    </row>
    <row r="4699" spans="1:6" x14ac:dyDescent="0.3">
      <c r="A4699">
        <v>67</v>
      </c>
      <c r="B4699">
        <v>86.96</v>
      </c>
      <c r="C4699">
        <f t="shared" si="292"/>
        <v>5826.32</v>
      </c>
      <c r="D4699">
        <f t="shared" si="293"/>
        <v>4489</v>
      </c>
      <c r="E4699">
        <f t="shared" si="294"/>
        <v>7562.0415999999987</v>
      </c>
      <c r="F4699">
        <f t="shared" si="295"/>
        <v>4489</v>
      </c>
    </row>
    <row r="4700" spans="1:6" x14ac:dyDescent="0.3">
      <c r="A4700">
        <v>43</v>
      </c>
      <c r="B4700">
        <v>67.5</v>
      </c>
      <c r="C4700">
        <f t="shared" si="292"/>
        <v>2902.5</v>
      </c>
      <c r="D4700">
        <f t="shared" si="293"/>
        <v>1849</v>
      </c>
      <c r="E4700">
        <f t="shared" si="294"/>
        <v>4556.25</v>
      </c>
      <c r="F4700">
        <f t="shared" si="295"/>
        <v>1849</v>
      </c>
    </row>
    <row r="4701" spans="1:6" x14ac:dyDescent="0.3">
      <c r="A4701">
        <v>59</v>
      </c>
      <c r="B4701">
        <v>81.209999999999994</v>
      </c>
      <c r="C4701">
        <f t="shared" si="292"/>
        <v>4791.3899999999994</v>
      </c>
      <c r="D4701">
        <f t="shared" si="293"/>
        <v>3481</v>
      </c>
      <c r="E4701">
        <f t="shared" si="294"/>
        <v>6595.0640999999987</v>
      </c>
      <c r="F4701">
        <f t="shared" si="295"/>
        <v>3481</v>
      </c>
    </row>
    <row r="4702" spans="1:6" x14ac:dyDescent="0.3">
      <c r="A4702">
        <v>47</v>
      </c>
      <c r="B4702">
        <v>110.14</v>
      </c>
      <c r="C4702">
        <f t="shared" si="292"/>
        <v>5176.58</v>
      </c>
      <c r="D4702">
        <f t="shared" si="293"/>
        <v>2209</v>
      </c>
      <c r="E4702">
        <f t="shared" si="294"/>
        <v>12130.819600000001</v>
      </c>
      <c r="F4702">
        <f t="shared" si="295"/>
        <v>2209</v>
      </c>
    </row>
    <row r="4703" spans="1:6" x14ac:dyDescent="0.3">
      <c r="A4703">
        <v>50</v>
      </c>
      <c r="B4703">
        <v>120.44</v>
      </c>
      <c r="C4703">
        <f t="shared" si="292"/>
        <v>6022</v>
      </c>
      <c r="D4703">
        <f t="shared" si="293"/>
        <v>2500</v>
      </c>
      <c r="E4703">
        <f t="shared" si="294"/>
        <v>14505.793599999999</v>
      </c>
      <c r="F4703">
        <f t="shared" si="295"/>
        <v>2500</v>
      </c>
    </row>
    <row r="4704" spans="1:6" x14ac:dyDescent="0.3">
      <c r="A4704">
        <v>51</v>
      </c>
      <c r="B4704">
        <v>187.47</v>
      </c>
      <c r="C4704">
        <f t="shared" si="292"/>
        <v>9560.9699999999993</v>
      </c>
      <c r="D4704">
        <f t="shared" si="293"/>
        <v>2601</v>
      </c>
      <c r="E4704">
        <f t="shared" si="294"/>
        <v>35145.000899999999</v>
      </c>
      <c r="F4704">
        <f t="shared" si="295"/>
        <v>2601</v>
      </c>
    </row>
    <row r="4705" spans="1:6" x14ac:dyDescent="0.3">
      <c r="A4705">
        <v>44</v>
      </c>
      <c r="B4705">
        <v>94.62</v>
      </c>
      <c r="C4705">
        <f t="shared" si="292"/>
        <v>4163.2800000000007</v>
      </c>
      <c r="D4705">
        <f t="shared" si="293"/>
        <v>1936</v>
      </c>
      <c r="E4705">
        <f t="shared" si="294"/>
        <v>8952.9444000000003</v>
      </c>
      <c r="F4705">
        <f t="shared" si="295"/>
        <v>1936</v>
      </c>
    </row>
    <row r="4706" spans="1:6" x14ac:dyDescent="0.3">
      <c r="A4706">
        <v>39</v>
      </c>
      <c r="B4706">
        <v>89.57</v>
      </c>
      <c r="C4706">
        <f t="shared" si="292"/>
        <v>3493.2299999999996</v>
      </c>
      <c r="D4706">
        <f t="shared" si="293"/>
        <v>1521</v>
      </c>
      <c r="E4706">
        <f t="shared" si="294"/>
        <v>8022.7848999999987</v>
      </c>
      <c r="F4706">
        <f t="shared" si="295"/>
        <v>1521</v>
      </c>
    </row>
    <row r="4707" spans="1:6" x14ac:dyDescent="0.3">
      <c r="A4707">
        <v>24</v>
      </c>
      <c r="B4707">
        <v>95.31</v>
      </c>
      <c r="C4707">
        <f t="shared" si="292"/>
        <v>2287.44</v>
      </c>
      <c r="D4707">
        <f t="shared" si="293"/>
        <v>576</v>
      </c>
      <c r="E4707">
        <f t="shared" si="294"/>
        <v>9083.9961000000003</v>
      </c>
      <c r="F4707">
        <f t="shared" si="295"/>
        <v>576</v>
      </c>
    </row>
    <row r="4708" spans="1:6" x14ac:dyDescent="0.3">
      <c r="A4708">
        <v>62</v>
      </c>
      <c r="B4708">
        <v>75.069999999999993</v>
      </c>
      <c r="C4708">
        <f t="shared" si="292"/>
        <v>4654.3399999999992</v>
      </c>
      <c r="D4708">
        <f t="shared" si="293"/>
        <v>3844</v>
      </c>
      <c r="E4708">
        <f t="shared" si="294"/>
        <v>5635.504899999999</v>
      </c>
      <c r="F4708">
        <f t="shared" si="295"/>
        <v>3844</v>
      </c>
    </row>
    <row r="4709" spans="1:6" x14ac:dyDescent="0.3">
      <c r="A4709">
        <v>61</v>
      </c>
      <c r="B4709">
        <v>106.65</v>
      </c>
      <c r="C4709">
        <f t="shared" si="292"/>
        <v>6505.6500000000005</v>
      </c>
      <c r="D4709">
        <f t="shared" si="293"/>
        <v>3721</v>
      </c>
      <c r="E4709">
        <f t="shared" si="294"/>
        <v>11374.222500000002</v>
      </c>
      <c r="F4709">
        <f t="shared" si="295"/>
        <v>3721</v>
      </c>
    </row>
    <row r="4710" spans="1:6" x14ac:dyDescent="0.3">
      <c r="A4710">
        <v>78</v>
      </c>
      <c r="B4710">
        <v>234.06</v>
      </c>
      <c r="C4710">
        <f t="shared" si="292"/>
        <v>18256.68</v>
      </c>
      <c r="D4710">
        <f t="shared" si="293"/>
        <v>6084</v>
      </c>
      <c r="E4710">
        <f t="shared" si="294"/>
        <v>54784.083599999998</v>
      </c>
      <c r="F4710">
        <f t="shared" si="295"/>
        <v>6084</v>
      </c>
    </row>
    <row r="4711" spans="1:6" x14ac:dyDescent="0.3">
      <c r="A4711">
        <v>15</v>
      </c>
      <c r="B4711">
        <v>144.15</v>
      </c>
      <c r="C4711">
        <f t="shared" si="292"/>
        <v>2162.25</v>
      </c>
      <c r="D4711">
        <f t="shared" si="293"/>
        <v>225</v>
      </c>
      <c r="E4711">
        <f t="shared" si="294"/>
        <v>20779.2225</v>
      </c>
      <c r="F4711">
        <f t="shared" si="295"/>
        <v>225</v>
      </c>
    </row>
    <row r="4712" spans="1:6" x14ac:dyDescent="0.3">
      <c r="A4712">
        <v>23</v>
      </c>
      <c r="B4712">
        <v>58.81</v>
      </c>
      <c r="C4712">
        <f t="shared" si="292"/>
        <v>1352.63</v>
      </c>
      <c r="D4712">
        <f t="shared" si="293"/>
        <v>529</v>
      </c>
      <c r="E4712">
        <f t="shared" si="294"/>
        <v>3458.6161000000002</v>
      </c>
      <c r="F4712">
        <f t="shared" si="295"/>
        <v>529</v>
      </c>
    </row>
    <row r="4713" spans="1:6" x14ac:dyDescent="0.3">
      <c r="A4713">
        <v>79</v>
      </c>
      <c r="B4713">
        <v>242.62</v>
      </c>
      <c r="C4713">
        <f t="shared" si="292"/>
        <v>19166.98</v>
      </c>
      <c r="D4713">
        <f t="shared" si="293"/>
        <v>6241</v>
      </c>
      <c r="E4713">
        <f t="shared" si="294"/>
        <v>58864.464400000004</v>
      </c>
      <c r="F4713">
        <f t="shared" si="295"/>
        <v>6241</v>
      </c>
    </row>
    <row r="4714" spans="1:6" x14ac:dyDescent="0.3">
      <c r="A4714">
        <v>57</v>
      </c>
      <c r="B4714">
        <v>93.04</v>
      </c>
      <c r="C4714">
        <f t="shared" si="292"/>
        <v>5303.2800000000007</v>
      </c>
      <c r="D4714">
        <f t="shared" si="293"/>
        <v>3249</v>
      </c>
      <c r="E4714">
        <f t="shared" si="294"/>
        <v>8656.4416000000019</v>
      </c>
      <c r="F4714">
        <f t="shared" si="295"/>
        <v>3249</v>
      </c>
    </row>
    <row r="4715" spans="1:6" x14ac:dyDescent="0.3">
      <c r="A4715">
        <v>70</v>
      </c>
      <c r="B4715">
        <v>65.680000000000007</v>
      </c>
      <c r="C4715">
        <f t="shared" si="292"/>
        <v>4597.6000000000004</v>
      </c>
      <c r="D4715">
        <f t="shared" si="293"/>
        <v>4900</v>
      </c>
      <c r="E4715">
        <f t="shared" si="294"/>
        <v>4313.8624000000009</v>
      </c>
      <c r="F4715">
        <f t="shared" si="295"/>
        <v>4900</v>
      </c>
    </row>
    <row r="4716" spans="1:6" x14ac:dyDescent="0.3">
      <c r="A4716">
        <v>9</v>
      </c>
      <c r="B4716">
        <v>150</v>
      </c>
      <c r="C4716">
        <f t="shared" si="292"/>
        <v>1350</v>
      </c>
      <c r="D4716">
        <f t="shared" si="293"/>
        <v>81</v>
      </c>
      <c r="E4716">
        <f t="shared" si="294"/>
        <v>22500</v>
      </c>
      <c r="F4716">
        <f t="shared" si="295"/>
        <v>81</v>
      </c>
    </row>
    <row r="4717" spans="1:6" x14ac:dyDescent="0.3">
      <c r="A4717">
        <v>55</v>
      </c>
      <c r="B4717">
        <v>63.56</v>
      </c>
      <c r="C4717">
        <f t="shared" si="292"/>
        <v>3495.8</v>
      </c>
      <c r="D4717">
        <f t="shared" si="293"/>
        <v>3025</v>
      </c>
      <c r="E4717">
        <f t="shared" si="294"/>
        <v>4039.8736000000004</v>
      </c>
      <c r="F4717">
        <f t="shared" si="295"/>
        <v>3025</v>
      </c>
    </row>
    <row r="4718" spans="1:6" x14ac:dyDescent="0.3">
      <c r="A4718">
        <v>82</v>
      </c>
      <c r="B4718">
        <v>96.98</v>
      </c>
      <c r="C4718">
        <f t="shared" si="292"/>
        <v>7952.3600000000006</v>
      </c>
      <c r="D4718">
        <f t="shared" si="293"/>
        <v>6724</v>
      </c>
      <c r="E4718">
        <f t="shared" si="294"/>
        <v>9405.1204000000016</v>
      </c>
      <c r="F4718">
        <f t="shared" si="295"/>
        <v>6724</v>
      </c>
    </row>
    <row r="4719" spans="1:6" x14ac:dyDescent="0.3">
      <c r="A4719">
        <v>19</v>
      </c>
      <c r="B4719">
        <v>66.7</v>
      </c>
      <c r="C4719">
        <f t="shared" si="292"/>
        <v>1267.3</v>
      </c>
      <c r="D4719">
        <f t="shared" si="293"/>
        <v>361</v>
      </c>
      <c r="E4719">
        <f t="shared" si="294"/>
        <v>4448.8900000000003</v>
      </c>
      <c r="F4719">
        <f t="shared" si="295"/>
        <v>361</v>
      </c>
    </row>
    <row r="4720" spans="1:6" x14ac:dyDescent="0.3">
      <c r="A4720">
        <v>41</v>
      </c>
      <c r="B4720">
        <v>79.66</v>
      </c>
      <c r="C4720">
        <f t="shared" si="292"/>
        <v>3266.06</v>
      </c>
      <c r="D4720">
        <f t="shared" si="293"/>
        <v>1681</v>
      </c>
      <c r="E4720">
        <f t="shared" si="294"/>
        <v>6345.7155999999995</v>
      </c>
      <c r="F4720">
        <f t="shared" si="295"/>
        <v>1681</v>
      </c>
    </row>
    <row r="4721" spans="1:6" x14ac:dyDescent="0.3">
      <c r="A4721">
        <v>79</v>
      </c>
      <c r="B4721">
        <v>90.16</v>
      </c>
      <c r="C4721">
        <f t="shared" si="292"/>
        <v>7122.6399999999994</v>
      </c>
      <c r="D4721">
        <f t="shared" si="293"/>
        <v>6241</v>
      </c>
      <c r="E4721">
        <f t="shared" si="294"/>
        <v>8128.8255999999992</v>
      </c>
      <c r="F4721">
        <f t="shared" si="295"/>
        <v>6241</v>
      </c>
    </row>
    <row r="4722" spans="1:6" x14ac:dyDescent="0.3">
      <c r="A4722">
        <v>23</v>
      </c>
      <c r="B4722">
        <v>104.09</v>
      </c>
      <c r="C4722">
        <f t="shared" si="292"/>
        <v>2394.0700000000002</v>
      </c>
      <c r="D4722">
        <f t="shared" si="293"/>
        <v>529</v>
      </c>
      <c r="E4722">
        <f t="shared" si="294"/>
        <v>10834.7281</v>
      </c>
      <c r="F4722">
        <f t="shared" si="295"/>
        <v>529</v>
      </c>
    </row>
    <row r="4723" spans="1:6" x14ac:dyDescent="0.3">
      <c r="A4723">
        <v>77</v>
      </c>
      <c r="B4723">
        <v>90.96</v>
      </c>
      <c r="C4723">
        <f t="shared" si="292"/>
        <v>7003.9199999999992</v>
      </c>
      <c r="D4723">
        <f t="shared" si="293"/>
        <v>5929</v>
      </c>
      <c r="E4723">
        <f t="shared" si="294"/>
        <v>8273.7215999999989</v>
      </c>
      <c r="F4723">
        <f t="shared" si="295"/>
        <v>5929</v>
      </c>
    </row>
    <row r="4724" spans="1:6" x14ac:dyDescent="0.3">
      <c r="A4724">
        <v>78</v>
      </c>
      <c r="B4724">
        <v>152.38</v>
      </c>
      <c r="C4724">
        <f t="shared" si="292"/>
        <v>11885.64</v>
      </c>
      <c r="D4724">
        <f t="shared" si="293"/>
        <v>6084</v>
      </c>
      <c r="E4724">
        <f t="shared" si="294"/>
        <v>23219.664399999998</v>
      </c>
      <c r="F4724">
        <f t="shared" si="295"/>
        <v>6084</v>
      </c>
    </row>
    <row r="4725" spans="1:6" x14ac:dyDescent="0.3">
      <c r="A4725">
        <v>24</v>
      </c>
      <c r="B4725">
        <v>114.54</v>
      </c>
      <c r="C4725">
        <f t="shared" si="292"/>
        <v>2748.96</v>
      </c>
      <c r="D4725">
        <f t="shared" si="293"/>
        <v>576</v>
      </c>
      <c r="E4725">
        <f t="shared" si="294"/>
        <v>13119.411600000001</v>
      </c>
      <c r="F4725">
        <f t="shared" si="295"/>
        <v>576</v>
      </c>
    </row>
    <row r="4726" spans="1:6" x14ac:dyDescent="0.3">
      <c r="A4726">
        <v>81</v>
      </c>
      <c r="B4726">
        <v>174.54</v>
      </c>
      <c r="C4726">
        <f t="shared" si="292"/>
        <v>14137.74</v>
      </c>
      <c r="D4726">
        <f t="shared" si="293"/>
        <v>6561</v>
      </c>
      <c r="E4726">
        <f t="shared" si="294"/>
        <v>30464.211599999999</v>
      </c>
      <c r="F4726">
        <f t="shared" si="295"/>
        <v>6561</v>
      </c>
    </row>
    <row r="4727" spans="1:6" x14ac:dyDescent="0.3">
      <c r="A4727">
        <v>46</v>
      </c>
      <c r="B4727">
        <v>106.47</v>
      </c>
      <c r="C4727">
        <f t="shared" si="292"/>
        <v>4897.62</v>
      </c>
      <c r="D4727">
        <f t="shared" si="293"/>
        <v>2116</v>
      </c>
      <c r="E4727">
        <f t="shared" si="294"/>
        <v>11335.8609</v>
      </c>
      <c r="F4727">
        <f t="shared" si="295"/>
        <v>2116</v>
      </c>
    </row>
    <row r="4728" spans="1:6" x14ac:dyDescent="0.3">
      <c r="A4728">
        <v>29</v>
      </c>
      <c r="B4728">
        <v>73.63</v>
      </c>
      <c r="C4728">
        <f t="shared" si="292"/>
        <v>2135.27</v>
      </c>
      <c r="D4728">
        <f t="shared" si="293"/>
        <v>841</v>
      </c>
      <c r="E4728">
        <f t="shared" si="294"/>
        <v>5421.3768999999993</v>
      </c>
      <c r="F4728">
        <f t="shared" si="295"/>
        <v>841</v>
      </c>
    </row>
    <row r="4729" spans="1:6" x14ac:dyDescent="0.3">
      <c r="A4729">
        <v>59</v>
      </c>
      <c r="B4729">
        <v>98.52</v>
      </c>
      <c r="C4729">
        <f t="shared" si="292"/>
        <v>5812.6799999999994</v>
      </c>
      <c r="D4729">
        <f t="shared" si="293"/>
        <v>3481</v>
      </c>
      <c r="E4729">
        <f t="shared" si="294"/>
        <v>9706.1903999999995</v>
      </c>
      <c r="F4729">
        <f t="shared" si="295"/>
        <v>3481</v>
      </c>
    </row>
    <row r="4730" spans="1:6" x14ac:dyDescent="0.3">
      <c r="A4730">
        <v>41</v>
      </c>
      <c r="B4730">
        <v>62.93</v>
      </c>
      <c r="C4730">
        <f t="shared" si="292"/>
        <v>2580.13</v>
      </c>
      <c r="D4730">
        <f t="shared" si="293"/>
        <v>1681</v>
      </c>
      <c r="E4730">
        <f t="shared" si="294"/>
        <v>3960.1848999999997</v>
      </c>
      <c r="F4730">
        <f t="shared" si="295"/>
        <v>1681</v>
      </c>
    </row>
    <row r="4731" spans="1:6" x14ac:dyDescent="0.3">
      <c r="A4731">
        <v>17</v>
      </c>
      <c r="B4731">
        <v>67.87</v>
      </c>
      <c r="C4731">
        <f t="shared" si="292"/>
        <v>1153.79</v>
      </c>
      <c r="D4731">
        <f t="shared" si="293"/>
        <v>289</v>
      </c>
      <c r="E4731">
        <f t="shared" si="294"/>
        <v>4606.3369000000002</v>
      </c>
      <c r="F4731">
        <f t="shared" si="295"/>
        <v>289</v>
      </c>
    </row>
    <row r="4732" spans="1:6" x14ac:dyDescent="0.3">
      <c r="A4732">
        <v>8</v>
      </c>
      <c r="B4732">
        <v>120.43</v>
      </c>
      <c r="C4732">
        <f t="shared" si="292"/>
        <v>963.44</v>
      </c>
      <c r="D4732">
        <f t="shared" si="293"/>
        <v>64</v>
      </c>
      <c r="E4732">
        <f t="shared" si="294"/>
        <v>14503.384900000001</v>
      </c>
      <c r="F4732">
        <f t="shared" si="295"/>
        <v>64</v>
      </c>
    </row>
    <row r="4733" spans="1:6" x14ac:dyDescent="0.3">
      <c r="A4733">
        <v>23</v>
      </c>
      <c r="B4733">
        <v>76.56</v>
      </c>
      <c r="C4733">
        <f t="shared" si="292"/>
        <v>1760.88</v>
      </c>
      <c r="D4733">
        <f t="shared" si="293"/>
        <v>529</v>
      </c>
      <c r="E4733">
        <f t="shared" si="294"/>
        <v>5861.4336000000003</v>
      </c>
      <c r="F4733">
        <f t="shared" si="295"/>
        <v>529</v>
      </c>
    </row>
    <row r="4734" spans="1:6" x14ac:dyDescent="0.3">
      <c r="A4734">
        <v>45</v>
      </c>
      <c r="B4734">
        <v>108.03</v>
      </c>
      <c r="C4734">
        <f t="shared" si="292"/>
        <v>4861.3500000000004</v>
      </c>
      <c r="D4734">
        <f t="shared" si="293"/>
        <v>2025</v>
      </c>
      <c r="E4734">
        <f t="shared" si="294"/>
        <v>11670.4809</v>
      </c>
      <c r="F4734">
        <f t="shared" si="295"/>
        <v>2025</v>
      </c>
    </row>
    <row r="4735" spans="1:6" x14ac:dyDescent="0.3">
      <c r="A4735">
        <v>67</v>
      </c>
      <c r="B4735">
        <v>83.16</v>
      </c>
      <c r="C4735">
        <f t="shared" si="292"/>
        <v>5571.7199999999993</v>
      </c>
      <c r="D4735">
        <f t="shared" si="293"/>
        <v>4489</v>
      </c>
      <c r="E4735">
        <f t="shared" si="294"/>
        <v>6915.5855999999994</v>
      </c>
      <c r="F4735">
        <f t="shared" si="295"/>
        <v>4489</v>
      </c>
    </row>
    <row r="4736" spans="1:6" x14ac:dyDescent="0.3">
      <c r="A4736">
        <v>78</v>
      </c>
      <c r="B4736">
        <v>67.900000000000006</v>
      </c>
      <c r="C4736">
        <f t="shared" si="292"/>
        <v>5296.2000000000007</v>
      </c>
      <c r="D4736">
        <f t="shared" si="293"/>
        <v>6084</v>
      </c>
      <c r="E4736">
        <f t="shared" si="294"/>
        <v>4610.4100000000008</v>
      </c>
      <c r="F4736">
        <f t="shared" si="295"/>
        <v>6084</v>
      </c>
    </row>
    <row r="4737" spans="1:6" x14ac:dyDescent="0.3">
      <c r="A4737">
        <v>18</v>
      </c>
      <c r="B4737">
        <v>115.46</v>
      </c>
      <c r="C4737">
        <f t="shared" si="292"/>
        <v>2078.2799999999997</v>
      </c>
      <c r="D4737">
        <f t="shared" si="293"/>
        <v>324</v>
      </c>
      <c r="E4737">
        <f t="shared" si="294"/>
        <v>13331.011599999998</v>
      </c>
      <c r="F4737">
        <f t="shared" si="295"/>
        <v>324</v>
      </c>
    </row>
    <row r="4738" spans="1:6" x14ac:dyDescent="0.3">
      <c r="A4738">
        <v>35</v>
      </c>
      <c r="B4738">
        <v>123.94</v>
      </c>
      <c r="C4738">
        <f t="shared" si="292"/>
        <v>4337.8999999999996</v>
      </c>
      <c r="D4738">
        <f t="shared" si="293"/>
        <v>1225</v>
      </c>
      <c r="E4738">
        <f t="shared" si="294"/>
        <v>15361.123599999999</v>
      </c>
      <c r="F4738">
        <f t="shared" si="295"/>
        <v>1225</v>
      </c>
    </row>
    <row r="4739" spans="1:6" x14ac:dyDescent="0.3">
      <c r="A4739">
        <v>54</v>
      </c>
      <c r="B4739">
        <v>231.54</v>
      </c>
      <c r="C4739">
        <f t="shared" ref="C4739:C4802" si="296">A4739*B4739</f>
        <v>12503.16</v>
      </c>
      <c r="D4739">
        <f t="shared" ref="D4739:D4802" si="297">A4739*A4739</f>
        <v>2916</v>
      </c>
      <c r="E4739">
        <f t="shared" ref="E4739:E4802" si="298">B4739*B4739</f>
        <v>53610.771599999993</v>
      </c>
      <c r="F4739">
        <f t="shared" ref="F4739:F4802" si="299">A4739^2</f>
        <v>2916</v>
      </c>
    </row>
    <row r="4740" spans="1:6" x14ac:dyDescent="0.3">
      <c r="A4740">
        <v>71</v>
      </c>
      <c r="B4740">
        <v>219.8</v>
      </c>
      <c r="C4740">
        <f t="shared" si="296"/>
        <v>15605.800000000001</v>
      </c>
      <c r="D4740">
        <f t="shared" si="297"/>
        <v>5041</v>
      </c>
      <c r="E4740">
        <f t="shared" si="298"/>
        <v>48312.040000000008</v>
      </c>
      <c r="F4740">
        <f t="shared" si="299"/>
        <v>5041</v>
      </c>
    </row>
    <row r="4741" spans="1:6" x14ac:dyDescent="0.3">
      <c r="A4741">
        <v>24</v>
      </c>
      <c r="B4741">
        <v>187.99</v>
      </c>
      <c r="C4741">
        <f t="shared" si="296"/>
        <v>4511.76</v>
      </c>
      <c r="D4741">
        <f t="shared" si="297"/>
        <v>576</v>
      </c>
      <c r="E4741">
        <f t="shared" si="298"/>
        <v>35340.240100000003</v>
      </c>
      <c r="F4741">
        <f t="shared" si="299"/>
        <v>576</v>
      </c>
    </row>
    <row r="4742" spans="1:6" x14ac:dyDescent="0.3">
      <c r="A4742">
        <v>60</v>
      </c>
      <c r="B4742">
        <v>234.45</v>
      </c>
      <c r="C4742">
        <f t="shared" si="296"/>
        <v>14067</v>
      </c>
      <c r="D4742">
        <f t="shared" si="297"/>
        <v>3600</v>
      </c>
      <c r="E4742">
        <f t="shared" si="298"/>
        <v>54966.802499999998</v>
      </c>
      <c r="F4742">
        <f t="shared" si="299"/>
        <v>3600</v>
      </c>
    </row>
    <row r="4743" spans="1:6" x14ac:dyDescent="0.3">
      <c r="A4743">
        <v>75</v>
      </c>
      <c r="B4743">
        <v>75.47</v>
      </c>
      <c r="C4743">
        <f t="shared" si="296"/>
        <v>5660.25</v>
      </c>
      <c r="D4743">
        <f t="shared" si="297"/>
        <v>5625</v>
      </c>
      <c r="E4743">
        <f t="shared" si="298"/>
        <v>5695.7209000000003</v>
      </c>
      <c r="F4743">
        <f t="shared" si="299"/>
        <v>5625</v>
      </c>
    </row>
    <row r="4744" spans="1:6" x14ac:dyDescent="0.3">
      <c r="A4744">
        <v>48</v>
      </c>
      <c r="B4744">
        <v>98.24</v>
      </c>
      <c r="C4744">
        <f t="shared" si="296"/>
        <v>4715.5199999999995</v>
      </c>
      <c r="D4744">
        <f t="shared" si="297"/>
        <v>2304</v>
      </c>
      <c r="E4744">
        <f t="shared" si="298"/>
        <v>9651.0975999999991</v>
      </c>
      <c r="F4744">
        <f t="shared" si="299"/>
        <v>2304</v>
      </c>
    </row>
    <row r="4745" spans="1:6" x14ac:dyDescent="0.3">
      <c r="A4745">
        <v>62</v>
      </c>
      <c r="B4745">
        <v>66.2</v>
      </c>
      <c r="C4745">
        <f t="shared" si="296"/>
        <v>4104.4000000000005</v>
      </c>
      <c r="D4745">
        <f t="shared" si="297"/>
        <v>3844</v>
      </c>
      <c r="E4745">
        <f t="shared" si="298"/>
        <v>4382.4400000000005</v>
      </c>
      <c r="F4745">
        <f t="shared" si="299"/>
        <v>3844</v>
      </c>
    </row>
    <row r="4746" spans="1:6" x14ac:dyDescent="0.3">
      <c r="A4746">
        <v>20</v>
      </c>
      <c r="B4746">
        <v>94.67</v>
      </c>
      <c r="C4746">
        <f t="shared" si="296"/>
        <v>1893.4</v>
      </c>
      <c r="D4746">
        <f t="shared" si="297"/>
        <v>400</v>
      </c>
      <c r="E4746">
        <f t="shared" si="298"/>
        <v>8962.4089000000004</v>
      </c>
      <c r="F4746">
        <f t="shared" si="299"/>
        <v>400</v>
      </c>
    </row>
    <row r="4747" spans="1:6" x14ac:dyDescent="0.3">
      <c r="A4747">
        <v>69</v>
      </c>
      <c r="B4747">
        <v>75.95</v>
      </c>
      <c r="C4747">
        <f t="shared" si="296"/>
        <v>5240.55</v>
      </c>
      <c r="D4747">
        <f t="shared" si="297"/>
        <v>4761</v>
      </c>
      <c r="E4747">
        <f t="shared" si="298"/>
        <v>5768.4025000000001</v>
      </c>
      <c r="F4747">
        <f t="shared" si="299"/>
        <v>4761</v>
      </c>
    </row>
    <row r="4748" spans="1:6" x14ac:dyDescent="0.3">
      <c r="A4748">
        <v>60</v>
      </c>
      <c r="B4748">
        <v>111.79</v>
      </c>
      <c r="C4748">
        <f t="shared" si="296"/>
        <v>6707.4000000000005</v>
      </c>
      <c r="D4748">
        <f t="shared" si="297"/>
        <v>3600</v>
      </c>
      <c r="E4748">
        <f t="shared" si="298"/>
        <v>12497.004100000002</v>
      </c>
      <c r="F4748">
        <f t="shared" si="299"/>
        <v>3600</v>
      </c>
    </row>
    <row r="4749" spans="1:6" x14ac:dyDescent="0.3">
      <c r="A4749">
        <v>12</v>
      </c>
      <c r="B4749">
        <v>80.89</v>
      </c>
      <c r="C4749">
        <f t="shared" si="296"/>
        <v>970.68000000000006</v>
      </c>
      <c r="D4749">
        <f t="shared" si="297"/>
        <v>144</v>
      </c>
      <c r="E4749">
        <f t="shared" si="298"/>
        <v>6543.1921000000002</v>
      </c>
      <c r="F4749">
        <f t="shared" si="299"/>
        <v>144</v>
      </c>
    </row>
    <row r="4750" spans="1:6" x14ac:dyDescent="0.3">
      <c r="A4750">
        <v>28</v>
      </c>
      <c r="B4750">
        <v>86.91</v>
      </c>
      <c r="C4750">
        <f t="shared" si="296"/>
        <v>2433.48</v>
      </c>
      <c r="D4750">
        <f t="shared" si="297"/>
        <v>784</v>
      </c>
      <c r="E4750">
        <f t="shared" si="298"/>
        <v>7553.3480999999992</v>
      </c>
      <c r="F4750">
        <f t="shared" si="299"/>
        <v>784</v>
      </c>
    </row>
    <row r="4751" spans="1:6" x14ac:dyDescent="0.3">
      <c r="A4751">
        <v>55</v>
      </c>
      <c r="B4751">
        <v>59.36</v>
      </c>
      <c r="C4751">
        <f t="shared" si="296"/>
        <v>3264.8</v>
      </c>
      <c r="D4751">
        <f t="shared" si="297"/>
        <v>3025</v>
      </c>
      <c r="E4751">
        <f t="shared" si="298"/>
        <v>3523.6095999999998</v>
      </c>
      <c r="F4751">
        <f t="shared" si="299"/>
        <v>3025</v>
      </c>
    </row>
    <row r="4752" spans="1:6" x14ac:dyDescent="0.3">
      <c r="A4752">
        <v>70</v>
      </c>
      <c r="B4752">
        <v>240.69</v>
      </c>
      <c r="C4752">
        <f t="shared" si="296"/>
        <v>16848.3</v>
      </c>
      <c r="D4752">
        <f t="shared" si="297"/>
        <v>4900</v>
      </c>
      <c r="E4752">
        <f t="shared" si="298"/>
        <v>57931.676099999997</v>
      </c>
      <c r="F4752">
        <f t="shared" si="299"/>
        <v>4900</v>
      </c>
    </row>
    <row r="4753" spans="1:6" x14ac:dyDescent="0.3">
      <c r="A4753">
        <v>51</v>
      </c>
      <c r="B4753">
        <v>66.67</v>
      </c>
      <c r="C4753">
        <f t="shared" si="296"/>
        <v>3400.17</v>
      </c>
      <c r="D4753">
        <f t="shared" si="297"/>
        <v>2601</v>
      </c>
      <c r="E4753">
        <f t="shared" si="298"/>
        <v>4444.8888999999999</v>
      </c>
      <c r="F4753">
        <f t="shared" si="299"/>
        <v>2601</v>
      </c>
    </row>
    <row r="4754" spans="1:6" x14ac:dyDescent="0.3">
      <c r="A4754">
        <v>16</v>
      </c>
      <c r="B4754">
        <v>87.54</v>
      </c>
      <c r="C4754">
        <f t="shared" si="296"/>
        <v>1400.64</v>
      </c>
      <c r="D4754">
        <f t="shared" si="297"/>
        <v>256</v>
      </c>
      <c r="E4754">
        <f t="shared" si="298"/>
        <v>7663.2516000000014</v>
      </c>
      <c r="F4754">
        <f t="shared" si="299"/>
        <v>256</v>
      </c>
    </row>
    <row r="4755" spans="1:6" x14ac:dyDescent="0.3">
      <c r="A4755">
        <v>56</v>
      </c>
      <c r="B4755">
        <v>139.87</v>
      </c>
      <c r="C4755">
        <f t="shared" si="296"/>
        <v>7832.72</v>
      </c>
      <c r="D4755">
        <f t="shared" si="297"/>
        <v>3136</v>
      </c>
      <c r="E4755">
        <f t="shared" si="298"/>
        <v>19563.616900000001</v>
      </c>
      <c r="F4755">
        <f t="shared" si="299"/>
        <v>3136</v>
      </c>
    </row>
    <row r="4756" spans="1:6" x14ac:dyDescent="0.3">
      <c r="A4756">
        <v>52</v>
      </c>
      <c r="B4756">
        <v>67.92</v>
      </c>
      <c r="C4756">
        <f t="shared" si="296"/>
        <v>3531.84</v>
      </c>
      <c r="D4756">
        <f t="shared" si="297"/>
        <v>2704</v>
      </c>
      <c r="E4756">
        <f t="shared" si="298"/>
        <v>4613.1264000000001</v>
      </c>
      <c r="F4756">
        <f t="shared" si="299"/>
        <v>2704</v>
      </c>
    </row>
    <row r="4757" spans="1:6" x14ac:dyDescent="0.3">
      <c r="A4757">
        <v>59</v>
      </c>
      <c r="B4757">
        <v>83.62</v>
      </c>
      <c r="C4757">
        <f t="shared" si="296"/>
        <v>4933.58</v>
      </c>
      <c r="D4757">
        <f t="shared" si="297"/>
        <v>3481</v>
      </c>
      <c r="E4757">
        <f t="shared" si="298"/>
        <v>6992.3044000000009</v>
      </c>
      <c r="F4757">
        <f t="shared" si="299"/>
        <v>3481</v>
      </c>
    </row>
    <row r="4758" spans="1:6" x14ac:dyDescent="0.3">
      <c r="A4758">
        <v>9</v>
      </c>
      <c r="B4758">
        <v>110.97</v>
      </c>
      <c r="C4758">
        <f t="shared" si="296"/>
        <v>998.73</v>
      </c>
      <c r="D4758">
        <f t="shared" si="297"/>
        <v>81</v>
      </c>
      <c r="E4758">
        <f t="shared" si="298"/>
        <v>12314.340899999999</v>
      </c>
      <c r="F4758">
        <f t="shared" si="299"/>
        <v>81</v>
      </c>
    </row>
    <row r="4759" spans="1:6" x14ac:dyDescent="0.3">
      <c r="A4759">
        <v>34</v>
      </c>
      <c r="B4759">
        <v>70.53</v>
      </c>
      <c r="C4759">
        <f t="shared" si="296"/>
        <v>2398.02</v>
      </c>
      <c r="D4759">
        <f t="shared" si="297"/>
        <v>1156</v>
      </c>
      <c r="E4759">
        <f t="shared" si="298"/>
        <v>4974.4809000000005</v>
      </c>
      <c r="F4759">
        <f t="shared" si="299"/>
        <v>1156</v>
      </c>
    </row>
    <row r="4760" spans="1:6" x14ac:dyDescent="0.3">
      <c r="A4760">
        <v>47</v>
      </c>
      <c r="B4760">
        <v>115.91</v>
      </c>
      <c r="C4760">
        <f t="shared" si="296"/>
        <v>5447.7699999999995</v>
      </c>
      <c r="D4760">
        <f t="shared" si="297"/>
        <v>2209</v>
      </c>
      <c r="E4760">
        <f t="shared" si="298"/>
        <v>13435.1281</v>
      </c>
      <c r="F4760">
        <f t="shared" si="299"/>
        <v>2209</v>
      </c>
    </row>
    <row r="4761" spans="1:6" x14ac:dyDescent="0.3">
      <c r="A4761">
        <v>46</v>
      </c>
      <c r="B4761">
        <v>59.74</v>
      </c>
      <c r="C4761">
        <f t="shared" si="296"/>
        <v>2748.04</v>
      </c>
      <c r="D4761">
        <f t="shared" si="297"/>
        <v>2116</v>
      </c>
      <c r="E4761">
        <f t="shared" si="298"/>
        <v>3568.8676</v>
      </c>
      <c r="F4761">
        <f t="shared" si="299"/>
        <v>2116</v>
      </c>
    </row>
    <row r="4762" spans="1:6" x14ac:dyDescent="0.3">
      <c r="A4762">
        <v>49</v>
      </c>
      <c r="B4762">
        <v>62.64</v>
      </c>
      <c r="C4762">
        <f t="shared" si="296"/>
        <v>3069.36</v>
      </c>
      <c r="D4762">
        <f t="shared" si="297"/>
        <v>2401</v>
      </c>
      <c r="E4762">
        <f t="shared" si="298"/>
        <v>3923.7696000000001</v>
      </c>
      <c r="F4762">
        <f t="shared" si="299"/>
        <v>2401</v>
      </c>
    </row>
    <row r="4763" spans="1:6" x14ac:dyDescent="0.3">
      <c r="A4763">
        <v>10</v>
      </c>
      <c r="B4763">
        <v>84.81</v>
      </c>
      <c r="C4763">
        <f t="shared" si="296"/>
        <v>848.1</v>
      </c>
      <c r="D4763">
        <f t="shared" si="297"/>
        <v>100</v>
      </c>
      <c r="E4763">
        <f t="shared" si="298"/>
        <v>7192.7361000000001</v>
      </c>
      <c r="F4763">
        <f t="shared" si="299"/>
        <v>100</v>
      </c>
    </row>
    <row r="4764" spans="1:6" x14ac:dyDescent="0.3">
      <c r="A4764">
        <v>76</v>
      </c>
      <c r="B4764">
        <v>78.680000000000007</v>
      </c>
      <c r="C4764">
        <f t="shared" si="296"/>
        <v>5979.68</v>
      </c>
      <c r="D4764">
        <f t="shared" si="297"/>
        <v>5776</v>
      </c>
      <c r="E4764">
        <f t="shared" si="298"/>
        <v>6190.5424000000012</v>
      </c>
      <c r="F4764">
        <f t="shared" si="299"/>
        <v>5776</v>
      </c>
    </row>
    <row r="4765" spans="1:6" x14ac:dyDescent="0.3">
      <c r="A4765">
        <v>82</v>
      </c>
      <c r="B4765">
        <v>217.57</v>
      </c>
      <c r="C4765">
        <f t="shared" si="296"/>
        <v>17840.739999999998</v>
      </c>
      <c r="D4765">
        <f t="shared" si="297"/>
        <v>6724</v>
      </c>
      <c r="E4765">
        <f t="shared" si="298"/>
        <v>47336.704899999997</v>
      </c>
      <c r="F4765">
        <f t="shared" si="299"/>
        <v>6724</v>
      </c>
    </row>
    <row r="4766" spans="1:6" x14ac:dyDescent="0.3">
      <c r="A4766">
        <v>3</v>
      </c>
      <c r="B4766">
        <v>79.760000000000005</v>
      </c>
      <c r="C4766">
        <f t="shared" si="296"/>
        <v>239.28000000000003</v>
      </c>
      <c r="D4766">
        <f t="shared" si="297"/>
        <v>9</v>
      </c>
      <c r="E4766">
        <f t="shared" si="298"/>
        <v>6361.6576000000005</v>
      </c>
      <c r="F4766">
        <f t="shared" si="299"/>
        <v>9</v>
      </c>
    </row>
    <row r="4767" spans="1:6" x14ac:dyDescent="0.3">
      <c r="A4767">
        <v>76</v>
      </c>
      <c r="B4767">
        <v>63.28</v>
      </c>
      <c r="C4767">
        <f t="shared" si="296"/>
        <v>4809.28</v>
      </c>
      <c r="D4767">
        <f t="shared" si="297"/>
        <v>5776</v>
      </c>
      <c r="E4767">
        <f t="shared" si="298"/>
        <v>4004.3584000000001</v>
      </c>
      <c r="F4767">
        <f t="shared" si="299"/>
        <v>5776</v>
      </c>
    </row>
    <row r="4768" spans="1:6" x14ac:dyDescent="0.3">
      <c r="A4768">
        <v>16</v>
      </c>
      <c r="B4768">
        <v>78.48</v>
      </c>
      <c r="C4768">
        <f t="shared" si="296"/>
        <v>1255.68</v>
      </c>
      <c r="D4768">
        <f t="shared" si="297"/>
        <v>256</v>
      </c>
      <c r="E4768">
        <f t="shared" si="298"/>
        <v>6159.1104000000005</v>
      </c>
      <c r="F4768">
        <f t="shared" si="299"/>
        <v>256</v>
      </c>
    </row>
    <row r="4769" spans="1:6" x14ac:dyDescent="0.3">
      <c r="A4769">
        <v>44</v>
      </c>
      <c r="B4769">
        <v>70.48</v>
      </c>
      <c r="C4769">
        <f t="shared" si="296"/>
        <v>3101.1200000000003</v>
      </c>
      <c r="D4769">
        <f t="shared" si="297"/>
        <v>1936</v>
      </c>
      <c r="E4769">
        <f t="shared" si="298"/>
        <v>4967.4304000000002</v>
      </c>
      <c r="F4769">
        <f t="shared" si="299"/>
        <v>1936</v>
      </c>
    </row>
    <row r="4770" spans="1:6" x14ac:dyDescent="0.3">
      <c r="A4770">
        <v>17</v>
      </c>
      <c r="B4770">
        <v>120.96</v>
      </c>
      <c r="C4770">
        <f t="shared" si="296"/>
        <v>2056.3199999999997</v>
      </c>
      <c r="D4770">
        <f t="shared" si="297"/>
        <v>289</v>
      </c>
      <c r="E4770">
        <f t="shared" si="298"/>
        <v>14631.321599999999</v>
      </c>
      <c r="F4770">
        <f t="shared" si="299"/>
        <v>289</v>
      </c>
    </row>
    <row r="4771" spans="1:6" x14ac:dyDescent="0.3">
      <c r="A4771">
        <v>73</v>
      </c>
      <c r="B4771">
        <v>77.290000000000006</v>
      </c>
      <c r="C4771">
        <f t="shared" si="296"/>
        <v>5642.17</v>
      </c>
      <c r="D4771">
        <f t="shared" si="297"/>
        <v>5329</v>
      </c>
      <c r="E4771">
        <f t="shared" si="298"/>
        <v>5973.7441000000008</v>
      </c>
      <c r="F4771">
        <f t="shared" si="299"/>
        <v>5329</v>
      </c>
    </row>
    <row r="4772" spans="1:6" x14ac:dyDescent="0.3">
      <c r="A4772">
        <v>31</v>
      </c>
      <c r="B4772">
        <v>108.51</v>
      </c>
      <c r="C4772">
        <f t="shared" si="296"/>
        <v>3363.81</v>
      </c>
      <c r="D4772">
        <f t="shared" si="297"/>
        <v>961</v>
      </c>
      <c r="E4772">
        <f t="shared" si="298"/>
        <v>11774.420100000001</v>
      </c>
      <c r="F4772">
        <f t="shared" si="299"/>
        <v>961</v>
      </c>
    </row>
    <row r="4773" spans="1:6" x14ac:dyDescent="0.3">
      <c r="A4773">
        <v>17</v>
      </c>
      <c r="B4773">
        <v>113.85</v>
      </c>
      <c r="C4773">
        <f t="shared" si="296"/>
        <v>1935.4499999999998</v>
      </c>
      <c r="D4773">
        <f t="shared" si="297"/>
        <v>289</v>
      </c>
      <c r="E4773">
        <f t="shared" si="298"/>
        <v>12961.822499999998</v>
      </c>
      <c r="F4773">
        <f t="shared" si="299"/>
        <v>289</v>
      </c>
    </row>
    <row r="4774" spans="1:6" x14ac:dyDescent="0.3">
      <c r="A4774">
        <v>18</v>
      </c>
      <c r="B4774">
        <v>97.65</v>
      </c>
      <c r="C4774">
        <f t="shared" si="296"/>
        <v>1757.7</v>
      </c>
      <c r="D4774">
        <f t="shared" si="297"/>
        <v>324</v>
      </c>
      <c r="E4774">
        <f t="shared" si="298"/>
        <v>9535.5225000000009</v>
      </c>
      <c r="F4774">
        <f t="shared" si="299"/>
        <v>324</v>
      </c>
    </row>
    <row r="4775" spans="1:6" x14ac:dyDescent="0.3">
      <c r="A4775">
        <v>73</v>
      </c>
      <c r="B4775">
        <v>121.83</v>
      </c>
      <c r="C4775">
        <f t="shared" si="296"/>
        <v>8893.59</v>
      </c>
      <c r="D4775">
        <f t="shared" si="297"/>
        <v>5329</v>
      </c>
      <c r="E4775">
        <f t="shared" si="298"/>
        <v>14842.5489</v>
      </c>
      <c r="F4775">
        <f t="shared" si="299"/>
        <v>5329</v>
      </c>
    </row>
    <row r="4776" spans="1:6" x14ac:dyDescent="0.3">
      <c r="A4776">
        <v>8</v>
      </c>
      <c r="B4776">
        <v>81.53</v>
      </c>
      <c r="C4776">
        <f t="shared" si="296"/>
        <v>652.24</v>
      </c>
      <c r="D4776">
        <f t="shared" si="297"/>
        <v>64</v>
      </c>
      <c r="E4776">
        <f t="shared" si="298"/>
        <v>6647.1409000000003</v>
      </c>
      <c r="F4776">
        <f t="shared" si="299"/>
        <v>64</v>
      </c>
    </row>
    <row r="4777" spans="1:6" x14ac:dyDescent="0.3">
      <c r="A4777">
        <v>42</v>
      </c>
      <c r="B4777">
        <v>58.35</v>
      </c>
      <c r="C4777">
        <f t="shared" si="296"/>
        <v>2450.7000000000003</v>
      </c>
      <c r="D4777">
        <f t="shared" si="297"/>
        <v>1764</v>
      </c>
      <c r="E4777">
        <f t="shared" si="298"/>
        <v>3404.7225000000003</v>
      </c>
      <c r="F4777">
        <f t="shared" si="299"/>
        <v>1764</v>
      </c>
    </row>
    <row r="4778" spans="1:6" x14ac:dyDescent="0.3">
      <c r="A4778">
        <v>40</v>
      </c>
      <c r="B4778">
        <v>65.42</v>
      </c>
      <c r="C4778">
        <f t="shared" si="296"/>
        <v>2616.8000000000002</v>
      </c>
      <c r="D4778">
        <f t="shared" si="297"/>
        <v>1600</v>
      </c>
      <c r="E4778">
        <f t="shared" si="298"/>
        <v>4279.7764000000006</v>
      </c>
      <c r="F4778">
        <f t="shared" si="299"/>
        <v>1600</v>
      </c>
    </row>
    <row r="4779" spans="1:6" x14ac:dyDescent="0.3">
      <c r="A4779">
        <v>79</v>
      </c>
      <c r="B4779">
        <v>69.34</v>
      </c>
      <c r="C4779">
        <f t="shared" si="296"/>
        <v>5477.8600000000006</v>
      </c>
      <c r="D4779">
        <f t="shared" si="297"/>
        <v>6241</v>
      </c>
      <c r="E4779">
        <f t="shared" si="298"/>
        <v>4808.0356000000002</v>
      </c>
      <c r="F4779">
        <f t="shared" si="299"/>
        <v>6241</v>
      </c>
    </row>
    <row r="4780" spans="1:6" x14ac:dyDescent="0.3">
      <c r="A4780">
        <v>53</v>
      </c>
      <c r="B4780">
        <v>109.09</v>
      </c>
      <c r="C4780">
        <f t="shared" si="296"/>
        <v>5781.77</v>
      </c>
      <c r="D4780">
        <f t="shared" si="297"/>
        <v>2809</v>
      </c>
      <c r="E4780">
        <f t="shared" si="298"/>
        <v>11900.6281</v>
      </c>
      <c r="F4780">
        <f t="shared" si="299"/>
        <v>2809</v>
      </c>
    </row>
    <row r="4781" spans="1:6" x14ac:dyDescent="0.3">
      <c r="A4781">
        <v>58</v>
      </c>
      <c r="B4781">
        <v>66.709999999999994</v>
      </c>
      <c r="C4781">
        <f t="shared" si="296"/>
        <v>3869.18</v>
      </c>
      <c r="D4781">
        <f t="shared" si="297"/>
        <v>3364</v>
      </c>
      <c r="E4781">
        <f t="shared" si="298"/>
        <v>4450.2240999999995</v>
      </c>
      <c r="F4781">
        <f t="shared" si="299"/>
        <v>3364</v>
      </c>
    </row>
    <row r="4782" spans="1:6" x14ac:dyDescent="0.3">
      <c r="A4782">
        <v>48</v>
      </c>
      <c r="B4782">
        <v>114.92</v>
      </c>
      <c r="C4782">
        <f t="shared" si="296"/>
        <v>5516.16</v>
      </c>
      <c r="D4782">
        <f t="shared" si="297"/>
        <v>2304</v>
      </c>
      <c r="E4782">
        <f t="shared" si="298"/>
        <v>13206.606400000001</v>
      </c>
      <c r="F4782">
        <f t="shared" si="299"/>
        <v>2304</v>
      </c>
    </row>
    <row r="4783" spans="1:6" x14ac:dyDescent="0.3">
      <c r="A4783">
        <v>17</v>
      </c>
      <c r="B4783">
        <v>120.58</v>
      </c>
      <c r="C4783">
        <f t="shared" si="296"/>
        <v>2049.86</v>
      </c>
      <c r="D4783">
        <f t="shared" si="297"/>
        <v>289</v>
      </c>
      <c r="E4783">
        <f t="shared" si="298"/>
        <v>14539.536399999999</v>
      </c>
      <c r="F4783">
        <f t="shared" si="299"/>
        <v>289</v>
      </c>
    </row>
    <row r="4784" spans="1:6" x14ac:dyDescent="0.3">
      <c r="A4784">
        <v>23</v>
      </c>
      <c r="B4784">
        <v>165.36</v>
      </c>
      <c r="C4784">
        <f t="shared" si="296"/>
        <v>3803.28</v>
      </c>
      <c r="D4784">
        <f t="shared" si="297"/>
        <v>529</v>
      </c>
      <c r="E4784">
        <f t="shared" si="298"/>
        <v>27343.929600000003</v>
      </c>
      <c r="F4784">
        <f t="shared" si="299"/>
        <v>529</v>
      </c>
    </row>
    <row r="4785" spans="1:6" x14ac:dyDescent="0.3">
      <c r="A4785">
        <v>9</v>
      </c>
      <c r="B4785">
        <v>66.11</v>
      </c>
      <c r="C4785">
        <f t="shared" si="296"/>
        <v>594.99</v>
      </c>
      <c r="D4785">
        <f t="shared" si="297"/>
        <v>81</v>
      </c>
      <c r="E4785">
        <f t="shared" si="298"/>
        <v>4370.5321000000004</v>
      </c>
      <c r="F4785">
        <f t="shared" si="299"/>
        <v>81</v>
      </c>
    </row>
    <row r="4786" spans="1:6" x14ac:dyDescent="0.3">
      <c r="A4786">
        <v>81</v>
      </c>
      <c r="B4786">
        <v>126.34</v>
      </c>
      <c r="C4786">
        <f t="shared" si="296"/>
        <v>10233.540000000001</v>
      </c>
      <c r="D4786">
        <f t="shared" si="297"/>
        <v>6561</v>
      </c>
      <c r="E4786">
        <f t="shared" si="298"/>
        <v>15961.795600000001</v>
      </c>
      <c r="F4786">
        <f t="shared" si="299"/>
        <v>6561</v>
      </c>
    </row>
    <row r="4787" spans="1:6" x14ac:dyDescent="0.3">
      <c r="A4787">
        <v>16</v>
      </c>
      <c r="B4787">
        <v>68.27</v>
      </c>
      <c r="C4787">
        <f t="shared" si="296"/>
        <v>1092.32</v>
      </c>
      <c r="D4787">
        <f t="shared" si="297"/>
        <v>256</v>
      </c>
      <c r="E4787">
        <f t="shared" si="298"/>
        <v>4660.7928999999995</v>
      </c>
      <c r="F4787">
        <f t="shared" si="299"/>
        <v>256</v>
      </c>
    </row>
    <row r="4788" spans="1:6" x14ac:dyDescent="0.3">
      <c r="A4788">
        <v>21</v>
      </c>
      <c r="B4788">
        <v>92.86</v>
      </c>
      <c r="C4788">
        <f t="shared" si="296"/>
        <v>1950.06</v>
      </c>
      <c r="D4788">
        <f t="shared" si="297"/>
        <v>441</v>
      </c>
      <c r="E4788">
        <f t="shared" si="298"/>
        <v>8622.9796000000006</v>
      </c>
      <c r="F4788">
        <f t="shared" si="299"/>
        <v>441</v>
      </c>
    </row>
    <row r="4789" spans="1:6" x14ac:dyDescent="0.3">
      <c r="A4789">
        <v>29</v>
      </c>
      <c r="B4789">
        <v>96.77</v>
      </c>
      <c r="C4789">
        <f t="shared" si="296"/>
        <v>2806.33</v>
      </c>
      <c r="D4789">
        <f t="shared" si="297"/>
        <v>841</v>
      </c>
      <c r="E4789">
        <f t="shared" si="298"/>
        <v>9364.4328999999998</v>
      </c>
      <c r="F4789">
        <f t="shared" si="299"/>
        <v>841</v>
      </c>
    </row>
    <row r="4790" spans="1:6" x14ac:dyDescent="0.3">
      <c r="A4790">
        <v>8</v>
      </c>
      <c r="B4790">
        <v>89.24</v>
      </c>
      <c r="C4790">
        <f t="shared" si="296"/>
        <v>713.92</v>
      </c>
      <c r="D4790">
        <f t="shared" si="297"/>
        <v>64</v>
      </c>
      <c r="E4790">
        <f t="shared" si="298"/>
        <v>7963.7775999999994</v>
      </c>
      <c r="F4790">
        <f t="shared" si="299"/>
        <v>64</v>
      </c>
    </row>
    <row r="4791" spans="1:6" x14ac:dyDescent="0.3">
      <c r="A4791">
        <v>39</v>
      </c>
      <c r="B4791">
        <v>89.32</v>
      </c>
      <c r="C4791">
        <f t="shared" si="296"/>
        <v>3483.4799999999996</v>
      </c>
      <c r="D4791">
        <f t="shared" si="297"/>
        <v>1521</v>
      </c>
      <c r="E4791">
        <f t="shared" si="298"/>
        <v>7978.0623999999989</v>
      </c>
      <c r="F4791">
        <f t="shared" si="299"/>
        <v>1521</v>
      </c>
    </row>
    <row r="4792" spans="1:6" x14ac:dyDescent="0.3">
      <c r="A4792">
        <v>37</v>
      </c>
      <c r="B4792">
        <v>107.06</v>
      </c>
      <c r="C4792">
        <f t="shared" si="296"/>
        <v>3961.2200000000003</v>
      </c>
      <c r="D4792">
        <f t="shared" si="297"/>
        <v>1369</v>
      </c>
      <c r="E4792">
        <f t="shared" si="298"/>
        <v>11461.8436</v>
      </c>
      <c r="F4792">
        <f t="shared" si="299"/>
        <v>1369</v>
      </c>
    </row>
    <row r="4793" spans="1:6" x14ac:dyDescent="0.3">
      <c r="A4793">
        <v>64</v>
      </c>
      <c r="B4793">
        <v>65.63</v>
      </c>
      <c r="C4793">
        <f t="shared" si="296"/>
        <v>4200.32</v>
      </c>
      <c r="D4793">
        <f t="shared" si="297"/>
        <v>4096</v>
      </c>
      <c r="E4793">
        <f t="shared" si="298"/>
        <v>4307.2968999999994</v>
      </c>
      <c r="F4793">
        <f t="shared" si="299"/>
        <v>4096</v>
      </c>
    </row>
    <row r="4794" spans="1:6" x14ac:dyDescent="0.3">
      <c r="A4794">
        <v>9</v>
      </c>
      <c r="B4794">
        <v>123.66</v>
      </c>
      <c r="C4794">
        <f t="shared" si="296"/>
        <v>1112.94</v>
      </c>
      <c r="D4794">
        <f t="shared" si="297"/>
        <v>81</v>
      </c>
      <c r="E4794">
        <f t="shared" si="298"/>
        <v>15291.795599999999</v>
      </c>
      <c r="F4794">
        <f t="shared" si="299"/>
        <v>81</v>
      </c>
    </row>
    <row r="4795" spans="1:6" x14ac:dyDescent="0.3">
      <c r="A4795">
        <v>17</v>
      </c>
      <c r="B4795">
        <v>63.82</v>
      </c>
      <c r="C4795">
        <f t="shared" si="296"/>
        <v>1084.94</v>
      </c>
      <c r="D4795">
        <f t="shared" si="297"/>
        <v>289</v>
      </c>
      <c r="E4795">
        <f t="shared" si="298"/>
        <v>4072.9924000000001</v>
      </c>
      <c r="F4795">
        <f t="shared" si="299"/>
        <v>289</v>
      </c>
    </row>
    <row r="4796" spans="1:6" x14ac:dyDescent="0.3">
      <c r="A4796">
        <v>8</v>
      </c>
      <c r="B4796">
        <v>108.06</v>
      </c>
      <c r="C4796">
        <f t="shared" si="296"/>
        <v>864.48</v>
      </c>
      <c r="D4796">
        <f t="shared" si="297"/>
        <v>64</v>
      </c>
      <c r="E4796">
        <f t="shared" si="298"/>
        <v>11676.963600000001</v>
      </c>
      <c r="F4796">
        <f t="shared" si="299"/>
        <v>64</v>
      </c>
    </row>
    <row r="4797" spans="1:6" x14ac:dyDescent="0.3">
      <c r="A4797">
        <v>62</v>
      </c>
      <c r="B4797">
        <v>136.18</v>
      </c>
      <c r="C4797">
        <f t="shared" si="296"/>
        <v>8443.16</v>
      </c>
      <c r="D4797">
        <f t="shared" si="297"/>
        <v>3844</v>
      </c>
      <c r="E4797">
        <f t="shared" si="298"/>
        <v>18544.992400000003</v>
      </c>
      <c r="F4797">
        <f t="shared" si="299"/>
        <v>3844</v>
      </c>
    </row>
    <row r="4798" spans="1:6" x14ac:dyDescent="0.3">
      <c r="A4798">
        <v>73</v>
      </c>
      <c r="B4798">
        <v>71.290000000000006</v>
      </c>
      <c r="C4798">
        <f t="shared" si="296"/>
        <v>5204.17</v>
      </c>
      <c r="D4798">
        <f t="shared" si="297"/>
        <v>5329</v>
      </c>
      <c r="E4798">
        <f t="shared" si="298"/>
        <v>5082.2641000000012</v>
      </c>
      <c r="F4798">
        <f t="shared" si="299"/>
        <v>5329</v>
      </c>
    </row>
    <row r="4799" spans="1:6" x14ac:dyDescent="0.3">
      <c r="A4799">
        <v>48</v>
      </c>
      <c r="B4799">
        <v>76.58</v>
      </c>
      <c r="C4799">
        <f t="shared" si="296"/>
        <v>3675.84</v>
      </c>
      <c r="D4799">
        <f t="shared" si="297"/>
        <v>2304</v>
      </c>
      <c r="E4799">
        <f t="shared" si="298"/>
        <v>5864.4964</v>
      </c>
      <c r="F4799">
        <f t="shared" si="299"/>
        <v>2304</v>
      </c>
    </row>
    <row r="4800" spans="1:6" x14ac:dyDescent="0.3">
      <c r="A4800">
        <v>17</v>
      </c>
      <c r="B4800">
        <v>119.58</v>
      </c>
      <c r="C4800">
        <f t="shared" si="296"/>
        <v>2032.86</v>
      </c>
      <c r="D4800">
        <f t="shared" si="297"/>
        <v>289</v>
      </c>
      <c r="E4800">
        <f t="shared" si="298"/>
        <v>14299.376399999999</v>
      </c>
      <c r="F4800">
        <f t="shared" si="299"/>
        <v>289</v>
      </c>
    </row>
    <row r="4801" spans="1:6" x14ac:dyDescent="0.3">
      <c r="A4801">
        <v>10</v>
      </c>
      <c r="B4801">
        <v>109.3</v>
      </c>
      <c r="C4801">
        <f t="shared" si="296"/>
        <v>1093</v>
      </c>
      <c r="D4801">
        <f t="shared" si="297"/>
        <v>100</v>
      </c>
      <c r="E4801">
        <f t="shared" si="298"/>
        <v>11946.49</v>
      </c>
      <c r="F4801">
        <f t="shared" si="299"/>
        <v>100</v>
      </c>
    </row>
    <row r="4802" spans="1:6" x14ac:dyDescent="0.3">
      <c r="A4802">
        <v>74</v>
      </c>
      <c r="B4802">
        <v>111.94</v>
      </c>
      <c r="C4802">
        <f t="shared" si="296"/>
        <v>8283.56</v>
      </c>
      <c r="D4802">
        <f t="shared" si="297"/>
        <v>5476</v>
      </c>
      <c r="E4802">
        <f t="shared" si="298"/>
        <v>12530.563599999999</v>
      </c>
      <c r="F4802">
        <f t="shared" si="299"/>
        <v>5476</v>
      </c>
    </row>
    <row r="4803" spans="1:6" x14ac:dyDescent="0.3">
      <c r="A4803">
        <v>62</v>
      </c>
      <c r="B4803">
        <v>81.64</v>
      </c>
      <c r="C4803">
        <f t="shared" ref="C4803:C4866" si="300">A4803*B4803</f>
        <v>5061.68</v>
      </c>
      <c r="D4803">
        <f t="shared" ref="D4803:D4866" si="301">A4803*A4803</f>
        <v>3844</v>
      </c>
      <c r="E4803">
        <f t="shared" ref="E4803:E4866" si="302">B4803*B4803</f>
        <v>6665.0896000000002</v>
      </c>
      <c r="F4803">
        <f t="shared" ref="F4803:F4866" si="303">A4803^2</f>
        <v>3844</v>
      </c>
    </row>
    <row r="4804" spans="1:6" x14ac:dyDescent="0.3">
      <c r="A4804">
        <v>5</v>
      </c>
      <c r="B4804">
        <v>97.64</v>
      </c>
      <c r="C4804">
        <f t="shared" si="300"/>
        <v>488.2</v>
      </c>
      <c r="D4804">
        <f t="shared" si="301"/>
        <v>25</v>
      </c>
      <c r="E4804">
        <f t="shared" si="302"/>
        <v>9533.5696000000007</v>
      </c>
      <c r="F4804">
        <f t="shared" si="303"/>
        <v>25</v>
      </c>
    </row>
    <row r="4805" spans="1:6" x14ac:dyDescent="0.3">
      <c r="A4805">
        <v>43</v>
      </c>
      <c r="B4805">
        <v>110.32</v>
      </c>
      <c r="C4805">
        <f t="shared" si="300"/>
        <v>4743.7599999999993</v>
      </c>
      <c r="D4805">
        <f t="shared" si="301"/>
        <v>1849</v>
      </c>
      <c r="E4805">
        <f t="shared" si="302"/>
        <v>12170.502399999999</v>
      </c>
      <c r="F4805">
        <f t="shared" si="303"/>
        <v>1849</v>
      </c>
    </row>
    <row r="4806" spans="1:6" x14ac:dyDescent="0.3">
      <c r="A4806">
        <v>39</v>
      </c>
      <c r="B4806">
        <v>79</v>
      </c>
      <c r="C4806">
        <f t="shared" si="300"/>
        <v>3081</v>
      </c>
      <c r="D4806">
        <f t="shared" si="301"/>
        <v>1521</v>
      </c>
      <c r="E4806">
        <f t="shared" si="302"/>
        <v>6241</v>
      </c>
      <c r="F4806">
        <f t="shared" si="303"/>
        <v>1521</v>
      </c>
    </row>
    <row r="4807" spans="1:6" x14ac:dyDescent="0.3">
      <c r="A4807">
        <v>37</v>
      </c>
      <c r="B4807">
        <v>95.08</v>
      </c>
      <c r="C4807">
        <f t="shared" si="300"/>
        <v>3517.96</v>
      </c>
      <c r="D4807">
        <f t="shared" si="301"/>
        <v>1369</v>
      </c>
      <c r="E4807">
        <f t="shared" si="302"/>
        <v>9040.2063999999991</v>
      </c>
      <c r="F4807">
        <f t="shared" si="303"/>
        <v>1369</v>
      </c>
    </row>
    <row r="4808" spans="1:6" x14ac:dyDescent="0.3">
      <c r="A4808">
        <v>15</v>
      </c>
      <c r="B4808">
        <v>137.27000000000001</v>
      </c>
      <c r="C4808">
        <f t="shared" si="300"/>
        <v>2059.0500000000002</v>
      </c>
      <c r="D4808">
        <f t="shared" si="301"/>
        <v>225</v>
      </c>
      <c r="E4808">
        <f t="shared" si="302"/>
        <v>18843.052900000002</v>
      </c>
      <c r="F4808">
        <f t="shared" si="303"/>
        <v>225</v>
      </c>
    </row>
    <row r="4809" spans="1:6" x14ac:dyDescent="0.3">
      <c r="A4809">
        <v>36</v>
      </c>
      <c r="B4809">
        <v>57.83</v>
      </c>
      <c r="C4809">
        <f t="shared" si="300"/>
        <v>2081.88</v>
      </c>
      <c r="D4809">
        <f t="shared" si="301"/>
        <v>1296</v>
      </c>
      <c r="E4809">
        <f t="shared" si="302"/>
        <v>3344.3089</v>
      </c>
      <c r="F4809">
        <f t="shared" si="303"/>
        <v>1296</v>
      </c>
    </row>
    <row r="4810" spans="1:6" x14ac:dyDescent="0.3">
      <c r="A4810">
        <v>34</v>
      </c>
      <c r="B4810">
        <v>84.08</v>
      </c>
      <c r="C4810">
        <f t="shared" si="300"/>
        <v>2858.72</v>
      </c>
      <c r="D4810">
        <f t="shared" si="301"/>
        <v>1156</v>
      </c>
      <c r="E4810">
        <f t="shared" si="302"/>
        <v>7069.4463999999998</v>
      </c>
      <c r="F4810">
        <f t="shared" si="303"/>
        <v>1156</v>
      </c>
    </row>
    <row r="4811" spans="1:6" x14ac:dyDescent="0.3">
      <c r="A4811">
        <v>75</v>
      </c>
      <c r="B4811">
        <v>234.51</v>
      </c>
      <c r="C4811">
        <f t="shared" si="300"/>
        <v>17588.25</v>
      </c>
      <c r="D4811">
        <f t="shared" si="301"/>
        <v>5625</v>
      </c>
      <c r="E4811">
        <f t="shared" si="302"/>
        <v>54994.940099999993</v>
      </c>
      <c r="F4811">
        <f t="shared" si="303"/>
        <v>5625</v>
      </c>
    </row>
    <row r="4812" spans="1:6" x14ac:dyDescent="0.3">
      <c r="A4812">
        <v>53</v>
      </c>
      <c r="B4812">
        <v>142.63999999999999</v>
      </c>
      <c r="C4812">
        <f t="shared" si="300"/>
        <v>7559.9199999999992</v>
      </c>
      <c r="D4812">
        <f t="shared" si="301"/>
        <v>2809</v>
      </c>
      <c r="E4812">
        <f t="shared" si="302"/>
        <v>20346.169599999997</v>
      </c>
      <c r="F4812">
        <f t="shared" si="303"/>
        <v>2809</v>
      </c>
    </row>
    <row r="4813" spans="1:6" x14ac:dyDescent="0.3">
      <c r="A4813">
        <v>61</v>
      </c>
      <c r="B4813">
        <v>69.77</v>
      </c>
      <c r="C4813">
        <f t="shared" si="300"/>
        <v>4255.9699999999993</v>
      </c>
      <c r="D4813">
        <f t="shared" si="301"/>
        <v>3721</v>
      </c>
      <c r="E4813">
        <f t="shared" si="302"/>
        <v>4867.8528999999999</v>
      </c>
      <c r="F4813">
        <f t="shared" si="303"/>
        <v>3721</v>
      </c>
    </row>
    <row r="4814" spans="1:6" x14ac:dyDescent="0.3">
      <c r="A4814">
        <v>45</v>
      </c>
      <c r="B4814">
        <v>71.400000000000006</v>
      </c>
      <c r="C4814">
        <f t="shared" si="300"/>
        <v>3213.0000000000005</v>
      </c>
      <c r="D4814">
        <f t="shared" si="301"/>
        <v>2025</v>
      </c>
      <c r="E4814">
        <f t="shared" si="302"/>
        <v>5097.9600000000009</v>
      </c>
      <c r="F4814">
        <f t="shared" si="303"/>
        <v>2025</v>
      </c>
    </row>
    <row r="4815" spans="1:6" x14ac:dyDescent="0.3">
      <c r="A4815">
        <v>17</v>
      </c>
      <c r="B4815">
        <v>79.61</v>
      </c>
      <c r="C4815">
        <f t="shared" si="300"/>
        <v>1353.37</v>
      </c>
      <c r="D4815">
        <f t="shared" si="301"/>
        <v>289</v>
      </c>
      <c r="E4815">
        <f t="shared" si="302"/>
        <v>6337.7520999999997</v>
      </c>
      <c r="F4815">
        <f t="shared" si="303"/>
        <v>289</v>
      </c>
    </row>
    <row r="4816" spans="1:6" x14ac:dyDescent="0.3">
      <c r="A4816">
        <v>17</v>
      </c>
      <c r="B4816">
        <v>77.459999999999994</v>
      </c>
      <c r="C4816">
        <f t="shared" si="300"/>
        <v>1316.82</v>
      </c>
      <c r="D4816">
        <f t="shared" si="301"/>
        <v>289</v>
      </c>
      <c r="E4816">
        <f t="shared" si="302"/>
        <v>6000.0515999999989</v>
      </c>
      <c r="F4816">
        <f t="shared" si="303"/>
        <v>289</v>
      </c>
    </row>
    <row r="4817" spans="1:6" x14ac:dyDescent="0.3">
      <c r="A4817">
        <v>19</v>
      </c>
      <c r="B4817">
        <v>96.85</v>
      </c>
      <c r="C4817">
        <f t="shared" si="300"/>
        <v>1840.1499999999999</v>
      </c>
      <c r="D4817">
        <f t="shared" si="301"/>
        <v>361</v>
      </c>
      <c r="E4817">
        <f t="shared" si="302"/>
        <v>9379.9224999999988</v>
      </c>
      <c r="F4817">
        <f t="shared" si="303"/>
        <v>361</v>
      </c>
    </row>
    <row r="4818" spans="1:6" x14ac:dyDescent="0.3">
      <c r="A4818">
        <v>54</v>
      </c>
      <c r="B4818">
        <v>182.22</v>
      </c>
      <c r="C4818">
        <f t="shared" si="300"/>
        <v>9839.8799999999992</v>
      </c>
      <c r="D4818">
        <f t="shared" si="301"/>
        <v>2916</v>
      </c>
      <c r="E4818">
        <f t="shared" si="302"/>
        <v>33204.128400000001</v>
      </c>
      <c r="F4818">
        <f t="shared" si="303"/>
        <v>2916</v>
      </c>
    </row>
    <row r="4819" spans="1:6" x14ac:dyDescent="0.3">
      <c r="A4819">
        <v>51</v>
      </c>
      <c r="B4819">
        <v>67.260000000000005</v>
      </c>
      <c r="C4819">
        <f t="shared" si="300"/>
        <v>3430.26</v>
      </c>
      <c r="D4819">
        <f t="shared" si="301"/>
        <v>2601</v>
      </c>
      <c r="E4819">
        <f t="shared" si="302"/>
        <v>4523.9076000000005</v>
      </c>
      <c r="F4819">
        <f t="shared" si="303"/>
        <v>2601</v>
      </c>
    </row>
    <row r="4820" spans="1:6" x14ac:dyDescent="0.3">
      <c r="A4820">
        <v>44</v>
      </c>
      <c r="B4820">
        <v>60.02</v>
      </c>
      <c r="C4820">
        <f t="shared" si="300"/>
        <v>2640.88</v>
      </c>
      <c r="D4820">
        <f t="shared" si="301"/>
        <v>1936</v>
      </c>
      <c r="E4820">
        <f t="shared" si="302"/>
        <v>3602.4004000000004</v>
      </c>
      <c r="F4820">
        <f t="shared" si="303"/>
        <v>1936</v>
      </c>
    </row>
    <row r="4821" spans="1:6" x14ac:dyDescent="0.3">
      <c r="A4821">
        <v>82</v>
      </c>
      <c r="B4821">
        <v>113.45</v>
      </c>
      <c r="C4821">
        <f t="shared" si="300"/>
        <v>9302.9</v>
      </c>
      <c r="D4821">
        <f t="shared" si="301"/>
        <v>6724</v>
      </c>
      <c r="E4821">
        <f t="shared" si="302"/>
        <v>12870.9025</v>
      </c>
      <c r="F4821">
        <f t="shared" si="303"/>
        <v>6724</v>
      </c>
    </row>
    <row r="4822" spans="1:6" x14ac:dyDescent="0.3">
      <c r="A4822">
        <v>49</v>
      </c>
      <c r="B4822">
        <v>112.31</v>
      </c>
      <c r="C4822">
        <f t="shared" si="300"/>
        <v>5503.1900000000005</v>
      </c>
      <c r="D4822">
        <f t="shared" si="301"/>
        <v>2401</v>
      </c>
      <c r="E4822">
        <f t="shared" si="302"/>
        <v>12613.536100000001</v>
      </c>
      <c r="F4822">
        <f t="shared" si="303"/>
        <v>2401</v>
      </c>
    </row>
    <row r="4823" spans="1:6" x14ac:dyDescent="0.3">
      <c r="A4823">
        <v>34</v>
      </c>
      <c r="B4823">
        <v>68.53</v>
      </c>
      <c r="C4823">
        <f t="shared" si="300"/>
        <v>2330.02</v>
      </c>
      <c r="D4823">
        <f t="shared" si="301"/>
        <v>1156</v>
      </c>
      <c r="E4823">
        <f t="shared" si="302"/>
        <v>4696.3609000000006</v>
      </c>
      <c r="F4823">
        <f t="shared" si="303"/>
        <v>1156</v>
      </c>
    </row>
    <row r="4824" spans="1:6" x14ac:dyDescent="0.3">
      <c r="A4824">
        <v>63</v>
      </c>
      <c r="B4824">
        <v>57.15</v>
      </c>
      <c r="C4824">
        <f t="shared" si="300"/>
        <v>3600.45</v>
      </c>
      <c r="D4824">
        <f t="shared" si="301"/>
        <v>3969</v>
      </c>
      <c r="E4824">
        <f t="shared" si="302"/>
        <v>3266.1224999999999</v>
      </c>
      <c r="F4824">
        <f t="shared" si="303"/>
        <v>3969</v>
      </c>
    </row>
    <row r="4825" spans="1:6" x14ac:dyDescent="0.3">
      <c r="A4825">
        <v>79</v>
      </c>
      <c r="B4825">
        <v>214.73</v>
      </c>
      <c r="C4825">
        <f t="shared" si="300"/>
        <v>16963.669999999998</v>
      </c>
      <c r="D4825">
        <f t="shared" si="301"/>
        <v>6241</v>
      </c>
      <c r="E4825">
        <f t="shared" si="302"/>
        <v>46108.972899999993</v>
      </c>
      <c r="F4825">
        <f t="shared" si="303"/>
        <v>6241</v>
      </c>
    </row>
    <row r="4826" spans="1:6" x14ac:dyDescent="0.3">
      <c r="A4826">
        <v>81</v>
      </c>
      <c r="B4826">
        <v>91.82</v>
      </c>
      <c r="C4826">
        <f t="shared" si="300"/>
        <v>7437.4199999999992</v>
      </c>
      <c r="D4826">
        <f t="shared" si="301"/>
        <v>6561</v>
      </c>
      <c r="E4826">
        <f t="shared" si="302"/>
        <v>8430.9123999999993</v>
      </c>
      <c r="F4826">
        <f t="shared" si="303"/>
        <v>6561</v>
      </c>
    </row>
    <row r="4827" spans="1:6" x14ac:dyDescent="0.3">
      <c r="A4827">
        <v>14</v>
      </c>
      <c r="B4827">
        <v>71.8</v>
      </c>
      <c r="C4827">
        <f t="shared" si="300"/>
        <v>1005.1999999999999</v>
      </c>
      <c r="D4827">
        <f t="shared" si="301"/>
        <v>196</v>
      </c>
      <c r="E4827">
        <f t="shared" si="302"/>
        <v>5155.24</v>
      </c>
      <c r="F4827">
        <f t="shared" si="303"/>
        <v>196</v>
      </c>
    </row>
    <row r="4828" spans="1:6" x14ac:dyDescent="0.3">
      <c r="A4828">
        <v>31</v>
      </c>
      <c r="B4828">
        <v>63.41</v>
      </c>
      <c r="C4828">
        <f t="shared" si="300"/>
        <v>1965.7099999999998</v>
      </c>
      <c r="D4828">
        <f t="shared" si="301"/>
        <v>961</v>
      </c>
      <c r="E4828">
        <f t="shared" si="302"/>
        <v>4020.8280999999997</v>
      </c>
      <c r="F4828">
        <f t="shared" si="303"/>
        <v>961</v>
      </c>
    </row>
    <row r="4829" spans="1:6" x14ac:dyDescent="0.3">
      <c r="A4829">
        <v>57</v>
      </c>
      <c r="B4829">
        <v>106.24</v>
      </c>
      <c r="C4829">
        <f t="shared" si="300"/>
        <v>6055.6799999999994</v>
      </c>
      <c r="D4829">
        <f t="shared" si="301"/>
        <v>3249</v>
      </c>
      <c r="E4829">
        <f t="shared" si="302"/>
        <v>11286.937599999999</v>
      </c>
      <c r="F4829">
        <f t="shared" si="303"/>
        <v>3249</v>
      </c>
    </row>
    <row r="4830" spans="1:6" x14ac:dyDescent="0.3">
      <c r="A4830">
        <v>32</v>
      </c>
      <c r="B4830">
        <v>83.01</v>
      </c>
      <c r="C4830">
        <f t="shared" si="300"/>
        <v>2656.32</v>
      </c>
      <c r="D4830">
        <f t="shared" si="301"/>
        <v>1024</v>
      </c>
      <c r="E4830">
        <f t="shared" si="302"/>
        <v>6890.660100000001</v>
      </c>
      <c r="F4830">
        <f t="shared" si="303"/>
        <v>1024</v>
      </c>
    </row>
    <row r="4831" spans="1:6" x14ac:dyDescent="0.3">
      <c r="A4831">
        <v>66</v>
      </c>
      <c r="B4831">
        <v>67.92</v>
      </c>
      <c r="C4831">
        <f t="shared" si="300"/>
        <v>4482.72</v>
      </c>
      <c r="D4831">
        <f t="shared" si="301"/>
        <v>4356</v>
      </c>
      <c r="E4831">
        <f t="shared" si="302"/>
        <v>4613.1264000000001</v>
      </c>
      <c r="F4831">
        <f t="shared" si="303"/>
        <v>4356</v>
      </c>
    </row>
    <row r="4832" spans="1:6" x14ac:dyDescent="0.3">
      <c r="A4832">
        <v>22</v>
      </c>
      <c r="B4832">
        <v>74.989999999999995</v>
      </c>
      <c r="C4832">
        <f t="shared" si="300"/>
        <v>1649.78</v>
      </c>
      <c r="D4832">
        <f t="shared" si="301"/>
        <v>484</v>
      </c>
      <c r="E4832">
        <f t="shared" si="302"/>
        <v>5623.5000999999993</v>
      </c>
      <c r="F4832">
        <f t="shared" si="303"/>
        <v>484</v>
      </c>
    </row>
    <row r="4833" spans="1:6" x14ac:dyDescent="0.3">
      <c r="A4833">
        <v>1.32</v>
      </c>
      <c r="B4833">
        <v>75.22</v>
      </c>
      <c r="C4833">
        <f t="shared" si="300"/>
        <v>99.290400000000005</v>
      </c>
      <c r="D4833">
        <f t="shared" si="301"/>
        <v>1.7424000000000002</v>
      </c>
      <c r="E4833">
        <f t="shared" si="302"/>
        <v>5658.0483999999997</v>
      </c>
      <c r="F4833">
        <f t="shared" si="303"/>
        <v>1.7424000000000002</v>
      </c>
    </row>
    <row r="4834" spans="1:6" x14ac:dyDescent="0.3">
      <c r="A4834">
        <v>20</v>
      </c>
      <c r="B4834">
        <v>61.88</v>
      </c>
      <c r="C4834">
        <f t="shared" si="300"/>
        <v>1237.6000000000001</v>
      </c>
      <c r="D4834">
        <f t="shared" si="301"/>
        <v>400</v>
      </c>
      <c r="E4834">
        <f t="shared" si="302"/>
        <v>3829.1344000000004</v>
      </c>
      <c r="F4834">
        <f t="shared" si="303"/>
        <v>400</v>
      </c>
    </row>
    <row r="4835" spans="1:6" x14ac:dyDescent="0.3">
      <c r="A4835">
        <v>41</v>
      </c>
      <c r="B4835">
        <v>65.67</v>
      </c>
      <c r="C4835">
        <f t="shared" si="300"/>
        <v>2692.4700000000003</v>
      </c>
      <c r="D4835">
        <f t="shared" si="301"/>
        <v>1681</v>
      </c>
      <c r="E4835">
        <f t="shared" si="302"/>
        <v>4312.5488999999998</v>
      </c>
      <c r="F4835">
        <f t="shared" si="303"/>
        <v>1681</v>
      </c>
    </row>
    <row r="4836" spans="1:6" x14ac:dyDescent="0.3">
      <c r="A4836">
        <v>48</v>
      </c>
      <c r="B4836">
        <v>110.18</v>
      </c>
      <c r="C4836">
        <f t="shared" si="300"/>
        <v>5288.64</v>
      </c>
      <c r="D4836">
        <f t="shared" si="301"/>
        <v>2304</v>
      </c>
      <c r="E4836">
        <f t="shared" si="302"/>
        <v>12139.632400000002</v>
      </c>
      <c r="F4836">
        <f t="shared" si="303"/>
        <v>2304</v>
      </c>
    </row>
    <row r="4837" spans="1:6" x14ac:dyDescent="0.3">
      <c r="A4837">
        <v>49</v>
      </c>
      <c r="B4837">
        <v>119.3</v>
      </c>
      <c r="C4837">
        <f t="shared" si="300"/>
        <v>5845.7</v>
      </c>
      <c r="D4837">
        <f t="shared" si="301"/>
        <v>2401</v>
      </c>
      <c r="E4837">
        <f t="shared" si="302"/>
        <v>14232.49</v>
      </c>
      <c r="F4837">
        <f t="shared" si="303"/>
        <v>2401</v>
      </c>
    </row>
    <row r="4838" spans="1:6" x14ac:dyDescent="0.3">
      <c r="A4838">
        <v>73</v>
      </c>
      <c r="B4838">
        <v>208.69</v>
      </c>
      <c r="C4838">
        <f t="shared" si="300"/>
        <v>15234.369999999999</v>
      </c>
      <c r="D4838">
        <f t="shared" si="301"/>
        <v>5329</v>
      </c>
      <c r="E4838">
        <f t="shared" si="302"/>
        <v>43551.516100000001</v>
      </c>
      <c r="F4838">
        <f t="shared" si="303"/>
        <v>5329</v>
      </c>
    </row>
    <row r="4839" spans="1:6" x14ac:dyDescent="0.3">
      <c r="A4839">
        <v>19</v>
      </c>
      <c r="B4839">
        <v>95.18</v>
      </c>
      <c r="C4839">
        <f t="shared" si="300"/>
        <v>1808.42</v>
      </c>
      <c r="D4839">
        <f t="shared" si="301"/>
        <v>361</v>
      </c>
      <c r="E4839">
        <f t="shared" si="302"/>
        <v>9059.2324000000008</v>
      </c>
      <c r="F4839">
        <f t="shared" si="303"/>
        <v>361</v>
      </c>
    </row>
    <row r="4840" spans="1:6" x14ac:dyDescent="0.3">
      <c r="A4840">
        <v>51</v>
      </c>
      <c r="B4840">
        <v>107.72</v>
      </c>
      <c r="C4840">
        <f t="shared" si="300"/>
        <v>5493.72</v>
      </c>
      <c r="D4840">
        <f t="shared" si="301"/>
        <v>2601</v>
      </c>
      <c r="E4840">
        <f t="shared" si="302"/>
        <v>11603.598399999999</v>
      </c>
      <c r="F4840">
        <f t="shared" si="303"/>
        <v>2601</v>
      </c>
    </row>
    <row r="4841" spans="1:6" x14ac:dyDescent="0.3">
      <c r="A4841">
        <v>1.08</v>
      </c>
      <c r="B4841">
        <v>83.27</v>
      </c>
      <c r="C4841">
        <f t="shared" si="300"/>
        <v>89.931600000000003</v>
      </c>
      <c r="D4841">
        <f t="shared" si="301"/>
        <v>1.1664000000000001</v>
      </c>
      <c r="E4841">
        <f t="shared" si="302"/>
        <v>6933.8928999999989</v>
      </c>
      <c r="F4841">
        <f t="shared" si="303"/>
        <v>1.1664000000000001</v>
      </c>
    </row>
    <row r="4842" spans="1:6" x14ac:dyDescent="0.3">
      <c r="A4842">
        <v>31</v>
      </c>
      <c r="B4842">
        <v>90.29</v>
      </c>
      <c r="C4842">
        <f t="shared" si="300"/>
        <v>2798.9900000000002</v>
      </c>
      <c r="D4842">
        <f t="shared" si="301"/>
        <v>961</v>
      </c>
      <c r="E4842">
        <f t="shared" si="302"/>
        <v>8152.2841000000008</v>
      </c>
      <c r="F4842">
        <f t="shared" si="303"/>
        <v>961</v>
      </c>
    </row>
    <row r="4843" spans="1:6" x14ac:dyDescent="0.3">
      <c r="A4843">
        <v>4</v>
      </c>
      <c r="B4843">
        <v>81.87</v>
      </c>
      <c r="C4843">
        <f t="shared" si="300"/>
        <v>327.48</v>
      </c>
      <c r="D4843">
        <f t="shared" si="301"/>
        <v>16</v>
      </c>
      <c r="E4843">
        <f t="shared" si="302"/>
        <v>6702.6969000000008</v>
      </c>
      <c r="F4843">
        <f t="shared" si="303"/>
        <v>16</v>
      </c>
    </row>
    <row r="4844" spans="1:6" x14ac:dyDescent="0.3">
      <c r="A4844">
        <v>1.8</v>
      </c>
      <c r="B4844">
        <v>153.31</v>
      </c>
      <c r="C4844">
        <f t="shared" si="300"/>
        <v>275.95800000000003</v>
      </c>
      <c r="D4844">
        <f t="shared" si="301"/>
        <v>3.24</v>
      </c>
      <c r="E4844">
        <f t="shared" si="302"/>
        <v>23503.956099999999</v>
      </c>
      <c r="F4844">
        <f t="shared" si="303"/>
        <v>3.24</v>
      </c>
    </row>
    <row r="4845" spans="1:6" x14ac:dyDescent="0.3">
      <c r="A4845">
        <v>44</v>
      </c>
      <c r="B4845">
        <v>101.46</v>
      </c>
      <c r="C4845">
        <f t="shared" si="300"/>
        <v>4464.24</v>
      </c>
      <c r="D4845">
        <f t="shared" si="301"/>
        <v>1936</v>
      </c>
      <c r="E4845">
        <f t="shared" si="302"/>
        <v>10294.131599999999</v>
      </c>
      <c r="F4845">
        <f t="shared" si="303"/>
        <v>1936</v>
      </c>
    </row>
    <row r="4846" spans="1:6" x14ac:dyDescent="0.3">
      <c r="A4846">
        <v>4</v>
      </c>
      <c r="B4846">
        <v>72.489999999999995</v>
      </c>
      <c r="C4846">
        <f t="shared" si="300"/>
        <v>289.95999999999998</v>
      </c>
      <c r="D4846">
        <f t="shared" si="301"/>
        <v>16</v>
      </c>
      <c r="E4846">
        <f t="shared" si="302"/>
        <v>5254.8000999999995</v>
      </c>
      <c r="F4846">
        <f t="shared" si="303"/>
        <v>16</v>
      </c>
    </row>
    <row r="4847" spans="1:6" x14ac:dyDescent="0.3">
      <c r="A4847">
        <v>55</v>
      </c>
      <c r="B4847">
        <v>86.58</v>
      </c>
      <c r="C4847">
        <f t="shared" si="300"/>
        <v>4761.8999999999996</v>
      </c>
      <c r="D4847">
        <f t="shared" si="301"/>
        <v>3025</v>
      </c>
      <c r="E4847">
        <f t="shared" si="302"/>
        <v>7496.0963999999994</v>
      </c>
      <c r="F4847">
        <f t="shared" si="303"/>
        <v>3025</v>
      </c>
    </row>
    <row r="4848" spans="1:6" x14ac:dyDescent="0.3">
      <c r="A4848">
        <v>34</v>
      </c>
      <c r="B4848">
        <v>113.26</v>
      </c>
      <c r="C4848">
        <f t="shared" si="300"/>
        <v>3850.84</v>
      </c>
      <c r="D4848">
        <f t="shared" si="301"/>
        <v>1156</v>
      </c>
      <c r="E4848">
        <f t="shared" si="302"/>
        <v>12827.827600000001</v>
      </c>
      <c r="F4848">
        <f t="shared" si="303"/>
        <v>1156</v>
      </c>
    </row>
    <row r="4849" spans="1:6" x14ac:dyDescent="0.3">
      <c r="A4849">
        <v>30</v>
      </c>
      <c r="B4849">
        <v>84.92</v>
      </c>
      <c r="C4849">
        <f t="shared" si="300"/>
        <v>2547.6</v>
      </c>
      <c r="D4849">
        <f t="shared" si="301"/>
        <v>900</v>
      </c>
      <c r="E4849">
        <f t="shared" si="302"/>
        <v>7211.4063999999998</v>
      </c>
      <c r="F4849">
        <f t="shared" si="303"/>
        <v>900</v>
      </c>
    </row>
    <row r="4850" spans="1:6" x14ac:dyDescent="0.3">
      <c r="A4850">
        <v>7</v>
      </c>
      <c r="B4850">
        <v>128.16999999999999</v>
      </c>
      <c r="C4850">
        <f t="shared" si="300"/>
        <v>897.18999999999994</v>
      </c>
      <c r="D4850">
        <f t="shared" si="301"/>
        <v>49</v>
      </c>
      <c r="E4850">
        <f t="shared" si="302"/>
        <v>16427.548899999998</v>
      </c>
      <c r="F4850">
        <f t="shared" si="303"/>
        <v>49</v>
      </c>
    </row>
    <row r="4851" spans="1:6" x14ac:dyDescent="0.3">
      <c r="A4851">
        <v>75</v>
      </c>
      <c r="B4851">
        <v>93.93</v>
      </c>
      <c r="C4851">
        <f t="shared" si="300"/>
        <v>7044.7500000000009</v>
      </c>
      <c r="D4851">
        <f t="shared" si="301"/>
        <v>5625</v>
      </c>
      <c r="E4851">
        <f t="shared" si="302"/>
        <v>8822.8449000000019</v>
      </c>
      <c r="F4851">
        <f t="shared" si="303"/>
        <v>5625</v>
      </c>
    </row>
    <row r="4852" spans="1:6" x14ac:dyDescent="0.3">
      <c r="A4852">
        <v>14</v>
      </c>
      <c r="B4852">
        <v>99.87</v>
      </c>
      <c r="C4852">
        <f t="shared" si="300"/>
        <v>1398.18</v>
      </c>
      <c r="D4852">
        <f t="shared" si="301"/>
        <v>196</v>
      </c>
      <c r="E4852">
        <f t="shared" si="302"/>
        <v>9974.0169000000005</v>
      </c>
      <c r="F4852">
        <f t="shared" si="303"/>
        <v>196</v>
      </c>
    </row>
    <row r="4853" spans="1:6" x14ac:dyDescent="0.3">
      <c r="A4853">
        <v>61</v>
      </c>
      <c r="B4853">
        <v>129.31</v>
      </c>
      <c r="C4853">
        <f t="shared" si="300"/>
        <v>7887.91</v>
      </c>
      <c r="D4853">
        <f t="shared" si="301"/>
        <v>3721</v>
      </c>
      <c r="E4853">
        <f t="shared" si="302"/>
        <v>16721.076100000002</v>
      </c>
      <c r="F4853">
        <f t="shared" si="303"/>
        <v>3721</v>
      </c>
    </row>
    <row r="4854" spans="1:6" x14ac:dyDescent="0.3">
      <c r="A4854">
        <v>55</v>
      </c>
      <c r="B4854">
        <v>89.43</v>
      </c>
      <c r="C4854">
        <f t="shared" si="300"/>
        <v>4918.6500000000005</v>
      </c>
      <c r="D4854">
        <f t="shared" si="301"/>
        <v>3025</v>
      </c>
      <c r="E4854">
        <f t="shared" si="302"/>
        <v>7997.7249000000011</v>
      </c>
      <c r="F4854">
        <f t="shared" si="303"/>
        <v>3025</v>
      </c>
    </row>
    <row r="4855" spans="1:6" x14ac:dyDescent="0.3">
      <c r="A4855">
        <v>14</v>
      </c>
      <c r="B4855">
        <v>101.6</v>
      </c>
      <c r="C4855">
        <f t="shared" si="300"/>
        <v>1422.3999999999999</v>
      </c>
      <c r="D4855">
        <f t="shared" si="301"/>
        <v>196</v>
      </c>
      <c r="E4855">
        <f t="shared" si="302"/>
        <v>10322.56</v>
      </c>
      <c r="F4855">
        <f t="shared" si="303"/>
        <v>196</v>
      </c>
    </row>
    <row r="4856" spans="1:6" x14ac:dyDescent="0.3">
      <c r="A4856">
        <v>36</v>
      </c>
      <c r="B4856">
        <v>66.55</v>
      </c>
      <c r="C4856">
        <f t="shared" si="300"/>
        <v>2395.7999999999997</v>
      </c>
      <c r="D4856">
        <f t="shared" si="301"/>
        <v>1296</v>
      </c>
      <c r="E4856">
        <f t="shared" si="302"/>
        <v>4428.9024999999992</v>
      </c>
      <c r="F4856">
        <f t="shared" si="303"/>
        <v>1296</v>
      </c>
    </row>
    <row r="4857" spans="1:6" x14ac:dyDescent="0.3">
      <c r="A4857">
        <v>57</v>
      </c>
      <c r="B4857">
        <v>231.72</v>
      </c>
      <c r="C4857">
        <f t="shared" si="300"/>
        <v>13208.039999999999</v>
      </c>
      <c r="D4857">
        <f t="shared" si="301"/>
        <v>3249</v>
      </c>
      <c r="E4857">
        <f t="shared" si="302"/>
        <v>53694.1584</v>
      </c>
      <c r="F4857">
        <f t="shared" si="303"/>
        <v>3249</v>
      </c>
    </row>
    <row r="4858" spans="1:6" x14ac:dyDescent="0.3">
      <c r="A4858">
        <v>20</v>
      </c>
      <c r="B4858">
        <v>96.69</v>
      </c>
      <c r="C4858">
        <f t="shared" si="300"/>
        <v>1933.8</v>
      </c>
      <c r="D4858">
        <f t="shared" si="301"/>
        <v>400</v>
      </c>
      <c r="E4858">
        <f t="shared" si="302"/>
        <v>9348.9560999999994</v>
      </c>
      <c r="F4858">
        <f t="shared" si="303"/>
        <v>400</v>
      </c>
    </row>
    <row r="4859" spans="1:6" x14ac:dyDescent="0.3">
      <c r="A4859">
        <v>32</v>
      </c>
      <c r="B4859">
        <v>102.13</v>
      </c>
      <c r="C4859">
        <f t="shared" si="300"/>
        <v>3268.16</v>
      </c>
      <c r="D4859">
        <f t="shared" si="301"/>
        <v>1024</v>
      </c>
      <c r="E4859">
        <f t="shared" si="302"/>
        <v>10430.536899999999</v>
      </c>
      <c r="F4859">
        <f t="shared" si="303"/>
        <v>1024</v>
      </c>
    </row>
    <row r="4860" spans="1:6" x14ac:dyDescent="0.3">
      <c r="A4860">
        <v>43</v>
      </c>
      <c r="B4860">
        <v>100.88</v>
      </c>
      <c r="C4860">
        <f t="shared" si="300"/>
        <v>4337.84</v>
      </c>
      <c r="D4860">
        <f t="shared" si="301"/>
        <v>1849</v>
      </c>
      <c r="E4860">
        <f t="shared" si="302"/>
        <v>10176.774399999998</v>
      </c>
      <c r="F4860">
        <f t="shared" si="303"/>
        <v>1849</v>
      </c>
    </row>
    <row r="4861" spans="1:6" x14ac:dyDescent="0.3">
      <c r="A4861">
        <v>43</v>
      </c>
      <c r="B4861">
        <v>66.22</v>
      </c>
      <c r="C4861">
        <f t="shared" si="300"/>
        <v>2847.46</v>
      </c>
      <c r="D4861">
        <f t="shared" si="301"/>
        <v>1849</v>
      </c>
      <c r="E4861">
        <f t="shared" si="302"/>
        <v>4385.0883999999996</v>
      </c>
      <c r="F4861">
        <f t="shared" si="303"/>
        <v>1849</v>
      </c>
    </row>
    <row r="4862" spans="1:6" x14ac:dyDescent="0.3">
      <c r="A4862">
        <v>1.08</v>
      </c>
      <c r="B4862">
        <v>109.33</v>
      </c>
      <c r="C4862">
        <f t="shared" si="300"/>
        <v>118.07640000000001</v>
      </c>
      <c r="D4862">
        <f t="shared" si="301"/>
        <v>1.1664000000000001</v>
      </c>
      <c r="E4862">
        <f t="shared" si="302"/>
        <v>11953.0489</v>
      </c>
      <c r="F4862">
        <f t="shared" si="303"/>
        <v>1.1664000000000001</v>
      </c>
    </row>
    <row r="4863" spans="1:6" x14ac:dyDescent="0.3">
      <c r="A4863">
        <v>49</v>
      </c>
      <c r="B4863">
        <v>206.53</v>
      </c>
      <c r="C4863">
        <f t="shared" si="300"/>
        <v>10119.969999999999</v>
      </c>
      <c r="D4863">
        <f t="shared" si="301"/>
        <v>2401</v>
      </c>
      <c r="E4863">
        <f t="shared" si="302"/>
        <v>42654.640899999999</v>
      </c>
      <c r="F4863">
        <f t="shared" si="303"/>
        <v>2401</v>
      </c>
    </row>
    <row r="4864" spans="1:6" x14ac:dyDescent="0.3">
      <c r="A4864">
        <v>53</v>
      </c>
      <c r="B4864">
        <v>83.91</v>
      </c>
      <c r="C4864">
        <f t="shared" si="300"/>
        <v>4447.2299999999996</v>
      </c>
      <c r="D4864">
        <f t="shared" si="301"/>
        <v>2809</v>
      </c>
      <c r="E4864">
        <f t="shared" si="302"/>
        <v>7040.8880999999992</v>
      </c>
      <c r="F4864">
        <f t="shared" si="303"/>
        <v>2809</v>
      </c>
    </row>
    <row r="4865" spans="1:6" x14ac:dyDescent="0.3">
      <c r="A4865">
        <v>18</v>
      </c>
      <c r="B4865">
        <v>67.92</v>
      </c>
      <c r="C4865">
        <f t="shared" si="300"/>
        <v>1222.56</v>
      </c>
      <c r="D4865">
        <f t="shared" si="301"/>
        <v>324</v>
      </c>
      <c r="E4865">
        <f t="shared" si="302"/>
        <v>4613.1264000000001</v>
      </c>
      <c r="F4865">
        <f t="shared" si="303"/>
        <v>324</v>
      </c>
    </row>
    <row r="4866" spans="1:6" x14ac:dyDescent="0.3">
      <c r="A4866">
        <v>13</v>
      </c>
      <c r="B4866">
        <v>73.48</v>
      </c>
      <c r="C4866">
        <f t="shared" si="300"/>
        <v>955.24</v>
      </c>
      <c r="D4866">
        <f t="shared" si="301"/>
        <v>169</v>
      </c>
      <c r="E4866">
        <f t="shared" si="302"/>
        <v>5399.3104000000003</v>
      </c>
      <c r="F4866">
        <f t="shared" si="303"/>
        <v>169</v>
      </c>
    </row>
    <row r="4867" spans="1:6" x14ac:dyDescent="0.3">
      <c r="A4867">
        <v>5</v>
      </c>
      <c r="B4867">
        <v>101.31</v>
      </c>
      <c r="C4867">
        <f t="shared" ref="C4867:C4930" si="304">A4867*B4867</f>
        <v>506.55</v>
      </c>
      <c r="D4867">
        <f t="shared" ref="D4867:D4930" si="305">A4867*A4867</f>
        <v>25</v>
      </c>
      <c r="E4867">
        <f t="shared" ref="E4867:E4930" si="306">B4867*B4867</f>
        <v>10263.7161</v>
      </c>
      <c r="F4867">
        <f t="shared" ref="F4867:F4930" si="307">A4867^2</f>
        <v>25</v>
      </c>
    </row>
    <row r="4868" spans="1:6" x14ac:dyDescent="0.3">
      <c r="A4868">
        <v>37</v>
      </c>
      <c r="B4868">
        <v>103.66</v>
      </c>
      <c r="C4868">
        <f t="shared" si="304"/>
        <v>3835.42</v>
      </c>
      <c r="D4868">
        <f t="shared" si="305"/>
        <v>1369</v>
      </c>
      <c r="E4868">
        <f t="shared" si="306"/>
        <v>10745.3956</v>
      </c>
      <c r="F4868">
        <f t="shared" si="307"/>
        <v>1369</v>
      </c>
    </row>
    <row r="4869" spans="1:6" x14ac:dyDescent="0.3">
      <c r="A4869">
        <v>49</v>
      </c>
      <c r="B4869">
        <v>70.73</v>
      </c>
      <c r="C4869">
        <f t="shared" si="304"/>
        <v>3465.77</v>
      </c>
      <c r="D4869">
        <f t="shared" si="305"/>
        <v>2401</v>
      </c>
      <c r="E4869">
        <f t="shared" si="306"/>
        <v>5002.7329000000009</v>
      </c>
      <c r="F4869">
        <f t="shared" si="307"/>
        <v>2401</v>
      </c>
    </row>
    <row r="4870" spans="1:6" x14ac:dyDescent="0.3">
      <c r="A4870">
        <v>45</v>
      </c>
      <c r="B4870">
        <v>77.45</v>
      </c>
      <c r="C4870">
        <f t="shared" si="304"/>
        <v>3485.25</v>
      </c>
      <c r="D4870">
        <f t="shared" si="305"/>
        <v>2025</v>
      </c>
      <c r="E4870">
        <f t="shared" si="306"/>
        <v>5998.5025000000005</v>
      </c>
      <c r="F4870">
        <f t="shared" si="307"/>
        <v>2025</v>
      </c>
    </row>
    <row r="4871" spans="1:6" x14ac:dyDescent="0.3">
      <c r="A4871">
        <v>50</v>
      </c>
      <c r="B4871">
        <v>193.8</v>
      </c>
      <c r="C4871">
        <f t="shared" si="304"/>
        <v>9690</v>
      </c>
      <c r="D4871">
        <f t="shared" si="305"/>
        <v>2500</v>
      </c>
      <c r="E4871">
        <f t="shared" si="306"/>
        <v>37558.44</v>
      </c>
      <c r="F4871">
        <f t="shared" si="307"/>
        <v>2500</v>
      </c>
    </row>
    <row r="4872" spans="1:6" x14ac:dyDescent="0.3">
      <c r="A4872">
        <v>12</v>
      </c>
      <c r="B4872">
        <v>114.34</v>
      </c>
      <c r="C4872">
        <f t="shared" si="304"/>
        <v>1372.08</v>
      </c>
      <c r="D4872">
        <f t="shared" si="305"/>
        <v>144</v>
      </c>
      <c r="E4872">
        <f t="shared" si="306"/>
        <v>13073.635600000001</v>
      </c>
      <c r="F4872">
        <f t="shared" si="307"/>
        <v>144</v>
      </c>
    </row>
    <row r="4873" spans="1:6" x14ac:dyDescent="0.3">
      <c r="A4873">
        <v>12</v>
      </c>
      <c r="B4873">
        <v>69.25</v>
      </c>
      <c r="C4873">
        <f t="shared" si="304"/>
        <v>831</v>
      </c>
      <c r="D4873">
        <f t="shared" si="305"/>
        <v>144</v>
      </c>
      <c r="E4873">
        <f t="shared" si="306"/>
        <v>4795.5625</v>
      </c>
      <c r="F4873">
        <f t="shared" si="307"/>
        <v>144</v>
      </c>
    </row>
    <row r="4874" spans="1:6" x14ac:dyDescent="0.3">
      <c r="A4874">
        <v>5</v>
      </c>
      <c r="B4874">
        <v>88.44</v>
      </c>
      <c r="C4874">
        <f t="shared" si="304"/>
        <v>442.2</v>
      </c>
      <c r="D4874">
        <f t="shared" si="305"/>
        <v>25</v>
      </c>
      <c r="E4874">
        <f t="shared" si="306"/>
        <v>7821.6335999999992</v>
      </c>
      <c r="F4874">
        <f t="shared" si="307"/>
        <v>25</v>
      </c>
    </row>
    <row r="4875" spans="1:6" x14ac:dyDescent="0.3">
      <c r="A4875">
        <v>39</v>
      </c>
      <c r="B4875">
        <v>84.09</v>
      </c>
      <c r="C4875">
        <f t="shared" si="304"/>
        <v>3279.51</v>
      </c>
      <c r="D4875">
        <f t="shared" si="305"/>
        <v>1521</v>
      </c>
      <c r="E4875">
        <f t="shared" si="306"/>
        <v>7071.1281000000008</v>
      </c>
      <c r="F4875">
        <f t="shared" si="307"/>
        <v>1521</v>
      </c>
    </row>
    <row r="4876" spans="1:6" x14ac:dyDescent="0.3">
      <c r="A4876">
        <v>41</v>
      </c>
      <c r="B4876">
        <v>87.06</v>
      </c>
      <c r="C4876">
        <f t="shared" si="304"/>
        <v>3569.46</v>
      </c>
      <c r="D4876">
        <f t="shared" si="305"/>
        <v>1681</v>
      </c>
      <c r="E4876">
        <f t="shared" si="306"/>
        <v>7579.4436000000005</v>
      </c>
      <c r="F4876">
        <f t="shared" si="307"/>
        <v>1681</v>
      </c>
    </row>
    <row r="4877" spans="1:6" x14ac:dyDescent="0.3">
      <c r="A4877">
        <v>41</v>
      </c>
      <c r="B4877">
        <v>92.64</v>
      </c>
      <c r="C4877">
        <f t="shared" si="304"/>
        <v>3798.2400000000002</v>
      </c>
      <c r="D4877">
        <f t="shared" si="305"/>
        <v>1681</v>
      </c>
      <c r="E4877">
        <f t="shared" si="306"/>
        <v>8582.1695999999993</v>
      </c>
      <c r="F4877">
        <f t="shared" si="307"/>
        <v>1681</v>
      </c>
    </row>
    <row r="4878" spans="1:6" x14ac:dyDescent="0.3">
      <c r="A4878">
        <v>47</v>
      </c>
      <c r="B4878">
        <v>99.36</v>
      </c>
      <c r="C4878">
        <f t="shared" si="304"/>
        <v>4669.92</v>
      </c>
      <c r="D4878">
        <f t="shared" si="305"/>
        <v>2209</v>
      </c>
      <c r="E4878">
        <f t="shared" si="306"/>
        <v>9872.409599999999</v>
      </c>
      <c r="F4878">
        <f t="shared" si="307"/>
        <v>2209</v>
      </c>
    </row>
    <row r="4879" spans="1:6" x14ac:dyDescent="0.3">
      <c r="A4879">
        <v>57</v>
      </c>
      <c r="B4879">
        <v>135.63</v>
      </c>
      <c r="C4879">
        <f t="shared" si="304"/>
        <v>7730.91</v>
      </c>
      <c r="D4879">
        <f t="shared" si="305"/>
        <v>3249</v>
      </c>
      <c r="E4879">
        <f t="shared" si="306"/>
        <v>18395.496899999998</v>
      </c>
      <c r="F4879">
        <f t="shared" si="307"/>
        <v>3249</v>
      </c>
    </row>
    <row r="4880" spans="1:6" x14ac:dyDescent="0.3">
      <c r="A4880">
        <v>16</v>
      </c>
      <c r="B4880">
        <v>82.44</v>
      </c>
      <c r="C4880">
        <f t="shared" si="304"/>
        <v>1319.04</v>
      </c>
      <c r="D4880">
        <f t="shared" si="305"/>
        <v>256</v>
      </c>
      <c r="E4880">
        <f t="shared" si="306"/>
        <v>6796.3535999999995</v>
      </c>
      <c r="F4880">
        <f t="shared" si="307"/>
        <v>256</v>
      </c>
    </row>
    <row r="4881" spans="1:6" x14ac:dyDescent="0.3">
      <c r="A4881">
        <v>3</v>
      </c>
      <c r="B4881">
        <v>81.88</v>
      </c>
      <c r="C4881">
        <f t="shared" si="304"/>
        <v>245.64</v>
      </c>
      <c r="D4881">
        <f t="shared" si="305"/>
        <v>9</v>
      </c>
      <c r="E4881">
        <f t="shared" si="306"/>
        <v>6704.3343999999988</v>
      </c>
      <c r="F4881">
        <f t="shared" si="307"/>
        <v>9</v>
      </c>
    </row>
    <row r="4882" spans="1:6" x14ac:dyDescent="0.3">
      <c r="A4882">
        <v>65</v>
      </c>
      <c r="B4882">
        <v>95.44</v>
      </c>
      <c r="C4882">
        <f t="shared" si="304"/>
        <v>6203.5999999999995</v>
      </c>
      <c r="D4882">
        <f t="shared" si="305"/>
        <v>4225</v>
      </c>
      <c r="E4882">
        <f t="shared" si="306"/>
        <v>9108.7935999999991</v>
      </c>
      <c r="F4882">
        <f t="shared" si="307"/>
        <v>4225</v>
      </c>
    </row>
    <row r="4883" spans="1:6" x14ac:dyDescent="0.3">
      <c r="A4883">
        <v>80</v>
      </c>
      <c r="B4883">
        <v>72.709999999999994</v>
      </c>
      <c r="C4883">
        <f t="shared" si="304"/>
        <v>5816.7999999999993</v>
      </c>
      <c r="D4883">
        <f t="shared" si="305"/>
        <v>6400</v>
      </c>
      <c r="E4883">
        <f t="shared" si="306"/>
        <v>5286.744099999999</v>
      </c>
      <c r="F4883">
        <f t="shared" si="307"/>
        <v>6400</v>
      </c>
    </row>
    <row r="4884" spans="1:6" x14ac:dyDescent="0.3">
      <c r="A4884">
        <v>58</v>
      </c>
      <c r="B4884">
        <v>65.45</v>
      </c>
      <c r="C4884">
        <f t="shared" si="304"/>
        <v>3796.1000000000004</v>
      </c>
      <c r="D4884">
        <f t="shared" si="305"/>
        <v>3364</v>
      </c>
      <c r="E4884">
        <f t="shared" si="306"/>
        <v>4283.7025000000003</v>
      </c>
      <c r="F4884">
        <f t="shared" si="307"/>
        <v>3364</v>
      </c>
    </row>
    <row r="4885" spans="1:6" x14ac:dyDescent="0.3">
      <c r="A4885">
        <v>74</v>
      </c>
      <c r="B4885">
        <v>203.01</v>
      </c>
      <c r="C4885">
        <f t="shared" si="304"/>
        <v>15022.74</v>
      </c>
      <c r="D4885">
        <f t="shared" si="305"/>
        <v>5476</v>
      </c>
      <c r="E4885">
        <f t="shared" si="306"/>
        <v>41213.060099999995</v>
      </c>
      <c r="F4885">
        <f t="shared" si="307"/>
        <v>5476</v>
      </c>
    </row>
    <row r="4886" spans="1:6" x14ac:dyDescent="0.3">
      <c r="A4886">
        <v>62</v>
      </c>
      <c r="B4886">
        <v>110.84</v>
      </c>
      <c r="C4886">
        <f t="shared" si="304"/>
        <v>6872.08</v>
      </c>
      <c r="D4886">
        <f t="shared" si="305"/>
        <v>3844</v>
      </c>
      <c r="E4886">
        <f t="shared" si="306"/>
        <v>12285.5056</v>
      </c>
      <c r="F4886">
        <f t="shared" si="307"/>
        <v>3844</v>
      </c>
    </row>
    <row r="4887" spans="1:6" x14ac:dyDescent="0.3">
      <c r="A4887">
        <v>33</v>
      </c>
      <c r="B4887">
        <v>83.12</v>
      </c>
      <c r="C4887">
        <f t="shared" si="304"/>
        <v>2742.96</v>
      </c>
      <c r="D4887">
        <f t="shared" si="305"/>
        <v>1089</v>
      </c>
      <c r="E4887">
        <f t="shared" si="306"/>
        <v>6908.934400000001</v>
      </c>
      <c r="F4887">
        <f t="shared" si="307"/>
        <v>1089</v>
      </c>
    </row>
    <row r="4888" spans="1:6" x14ac:dyDescent="0.3">
      <c r="A4888">
        <v>21</v>
      </c>
      <c r="B4888">
        <v>55.12</v>
      </c>
      <c r="C4888">
        <f t="shared" si="304"/>
        <v>1157.52</v>
      </c>
      <c r="D4888">
        <f t="shared" si="305"/>
        <v>441</v>
      </c>
      <c r="E4888">
        <f t="shared" si="306"/>
        <v>3038.2143999999998</v>
      </c>
      <c r="F4888">
        <f t="shared" si="307"/>
        <v>441</v>
      </c>
    </row>
    <row r="4889" spans="1:6" x14ac:dyDescent="0.3">
      <c r="A4889">
        <v>17</v>
      </c>
      <c r="B4889">
        <v>105.91</v>
      </c>
      <c r="C4889">
        <f t="shared" si="304"/>
        <v>1800.47</v>
      </c>
      <c r="D4889">
        <f t="shared" si="305"/>
        <v>289</v>
      </c>
      <c r="E4889">
        <f t="shared" si="306"/>
        <v>11216.928099999999</v>
      </c>
      <c r="F4889">
        <f t="shared" si="307"/>
        <v>289</v>
      </c>
    </row>
    <row r="4890" spans="1:6" x14ac:dyDescent="0.3">
      <c r="A4890">
        <v>49</v>
      </c>
      <c r="B4890">
        <v>61.57</v>
      </c>
      <c r="C4890">
        <f t="shared" si="304"/>
        <v>3016.93</v>
      </c>
      <c r="D4890">
        <f t="shared" si="305"/>
        <v>2401</v>
      </c>
      <c r="E4890">
        <f t="shared" si="306"/>
        <v>3790.8649</v>
      </c>
      <c r="F4890">
        <f t="shared" si="307"/>
        <v>2401</v>
      </c>
    </row>
    <row r="4891" spans="1:6" x14ac:dyDescent="0.3">
      <c r="A4891">
        <v>24</v>
      </c>
      <c r="B4891">
        <v>83.1</v>
      </c>
      <c r="C4891">
        <f t="shared" si="304"/>
        <v>1994.3999999999999</v>
      </c>
      <c r="D4891">
        <f t="shared" si="305"/>
        <v>576</v>
      </c>
      <c r="E4891">
        <f t="shared" si="306"/>
        <v>6905.6099999999988</v>
      </c>
      <c r="F4891">
        <f t="shared" si="307"/>
        <v>576</v>
      </c>
    </row>
    <row r="4892" spans="1:6" x14ac:dyDescent="0.3">
      <c r="A4892">
        <v>56</v>
      </c>
      <c r="B4892">
        <v>66.319999999999993</v>
      </c>
      <c r="C4892">
        <f t="shared" si="304"/>
        <v>3713.9199999999996</v>
      </c>
      <c r="D4892">
        <f t="shared" si="305"/>
        <v>3136</v>
      </c>
      <c r="E4892">
        <f t="shared" si="306"/>
        <v>4398.3423999999995</v>
      </c>
      <c r="F4892">
        <f t="shared" si="307"/>
        <v>3136</v>
      </c>
    </row>
    <row r="4893" spans="1:6" x14ac:dyDescent="0.3">
      <c r="A4893">
        <v>26</v>
      </c>
      <c r="B4893">
        <v>72.56</v>
      </c>
      <c r="C4893">
        <f t="shared" si="304"/>
        <v>1886.56</v>
      </c>
      <c r="D4893">
        <f t="shared" si="305"/>
        <v>676</v>
      </c>
      <c r="E4893">
        <f t="shared" si="306"/>
        <v>5264.9536000000007</v>
      </c>
      <c r="F4893">
        <f t="shared" si="307"/>
        <v>676</v>
      </c>
    </row>
    <row r="4894" spans="1:6" x14ac:dyDescent="0.3">
      <c r="A4894">
        <v>54</v>
      </c>
      <c r="B4894">
        <v>97.99</v>
      </c>
      <c r="C4894">
        <f t="shared" si="304"/>
        <v>5291.46</v>
      </c>
      <c r="D4894">
        <f t="shared" si="305"/>
        <v>2916</v>
      </c>
      <c r="E4894">
        <f t="shared" si="306"/>
        <v>9602.0400999999983</v>
      </c>
      <c r="F4894">
        <f t="shared" si="307"/>
        <v>2916</v>
      </c>
    </row>
    <row r="4895" spans="1:6" x14ac:dyDescent="0.3">
      <c r="A4895">
        <v>42</v>
      </c>
      <c r="B4895">
        <v>63.27</v>
      </c>
      <c r="C4895">
        <f t="shared" si="304"/>
        <v>2657.34</v>
      </c>
      <c r="D4895">
        <f t="shared" si="305"/>
        <v>1764</v>
      </c>
      <c r="E4895">
        <f t="shared" si="306"/>
        <v>4003.0929000000006</v>
      </c>
      <c r="F4895">
        <f t="shared" si="307"/>
        <v>1764</v>
      </c>
    </row>
    <row r="4896" spans="1:6" x14ac:dyDescent="0.3">
      <c r="A4896">
        <v>34</v>
      </c>
      <c r="B4896">
        <v>79.599999999999994</v>
      </c>
      <c r="C4896">
        <f t="shared" si="304"/>
        <v>2706.3999999999996</v>
      </c>
      <c r="D4896">
        <f t="shared" si="305"/>
        <v>1156</v>
      </c>
      <c r="E4896">
        <f t="shared" si="306"/>
        <v>6336.1599999999989</v>
      </c>
      <c r="F4896">
        <f t="shared" si="307"/>
        <v>1156</v>
      </c>
    </row>
    <row r="4897" spans="1:6" x14ac:dyDescent="0.3">
      <c r="A4897">
        <v>56</v>
      </c>
      <c r="B4897">
        <v>177.56</v>
      </c>
      <c r="C4897">
        <f t="shared" si="304"/>
        <v>9943.36</v>
      </c>
      <c r="D4897">
        <f t="shared" si="305"/>
        <v>3136</v>
      </c>
      <c r="E4897">
        <f t="shared" si="306"/>
        <v>31527.553599999999</v>
      </c>
      <c r="F4897">
        <f t="shared" si="307"/>
        <v>3136</v>
      </c>
    </row>
    <row r="4898" spans="1:6" x14ac:dyDescent="0.3">
      <c r="A4898">
        <v>39</v>
      </c>
      <c r="B4898">
        <v>81.31</v>
      </c>
      <c r="C4898">
        <f t="shared" si="304"/>
        <v>3171.09</v>
      </c>
      <c r="D4898">
        <f t="shared" si="305"/>
        <v>1521</v>
      </c>
      <c r="E4898">
        <f t="shared" si="306"/>
        <v>6611.3161</v>
      </c>
      <c r="F4898">
        <f t="shared" si="307"/>
        <v>1521</v>
      </c>
    </row>
    <row r="4899" spans="1:6" x14ac:dyDescent="0.3">
      <c r="A4899">
        <v>77</v>
      </c>
      <c r="B4899">
        <v>59.91</v>
      </c>
      <c r="C4899">
        <f t="shared" si="304"/>
        <v>4613.07</v>
      </c>
      <c r="D4899">
        <f t="shared" si="305"/>
        <v>5929</v>
      </c>
      <c r="E4899">
        <f t="shared" si="306"/>
        <v>3589.2080999999994</v>
      </c>
      <c r="F4899">
        <f t="shared" si="307"/>
        <v>5929</v>
      </c>
    </row>
    <row r="4900" spans="1:6" x14ac:dyDescent="0.3">
      <c r="A4900">
        <v>12</v>
      </c>
      <c r="B4900">
        <v>132.85</v>
      </c>
      <c r="C4900">
        <f t="shared" si="304"/>
        <v>1594.1999999999998</v>
      </c>
      <c r="D4900">
        <f t="shared" si="305"/>
        <v>144</v>
      </c>
      <c r="E4900">
        <f t="shared" si="306"/>
        <v>17649.122499999998</v>
      </c>
      <c r="F4900">
        <f t="shared" si="307"/>
        <v>144</v>
      </c>
    </row>
    <row r="4901" spans="1:6" x14ac:dyDescent="0.3">
      <c r="A4901">
        <v>65</v>
      </c>
      <c r="B4901">
        <v>198.84</v>
      </c>
      <c r="C4901">
        <f t="shared" si="304"/>
        <v>12924.6</v>
      </c>
      <c r="D4901">
        <f t="shared" si="305"/>
        <v>4225</v>
      </c>
      <c r="E4901">
        <f t="shared" si="306"/>
        <v>39537.345600000001</v>
      </c>
      <c r="F4901">
        <f t="shared" si="307"/>
        <v>4225</v>
      </c>
    </row>
    <row r="4902" spans="1:6" x14ac:dyDescent="0.3">
      <c r="A4902">
        <v>7</v>
      </c>
      <c r="B4902">
        <v>77.12</v>
      </c>
      <c r="C4902">
        <f t="shared" si="304"/>
        <v>539.84</v>
      </c>
      <c r="D4902">
        <f t="shared" si="305"/>
        <v>49</v>
      </c>
      <c r="E4902">
        <f t="shared" si="306"/>
        <v>5947.4944000000005</v>
      </c>
      <c r="F4902">
        <f t="shared" si="307"/>
        <v>49</v>
      </c>
    </row>
    <row r="4903" spans="1:6" x14ac:dyDescent="0.3">
      <c r="A4903">
        <v>25</v>
      </c>
      <c r="B4903">
        <v>87.17</v>
      </c>
      <c r="C4903">
        <f t="shared" si="304"/>
        <v>2179.25</v>
      </c>
      <c r="D4903">
        <f t="shared" si="305"/>
        <v>625</v>
      </c>
      <c r="E4903">
        <f t="shared" si="306"/>
        <v>7598.6089000000002</v>
      </c>
      <c r="F4903">
        <f t="shared" si="307"/>
        <v>625</v>
      </c>
    </row>
    <row r="4904" spans="1:6" x14ac:dyDescent="0.3">
      <c r="A4904">
        <v>31</v>
      </c>
      <c r="B4904">
        <v>96.03</v>
      </c>
      <c r="C4904">
        <f t="shared" si="304"/>
        <v>2976.93</v>
      </c>
      <c r="D4904">
        <f t="shared" si="305"/>
        <v>961</v>
      </c>
      <c r="E4904">
        <f t="shared" si="306"/>
        <v>9221.7608999999993</v>
      </c>
      <c r="F4904">
        <f t="shared" si="307"/>
        <v>961</v>
      </c>
    </row>
    <row r="4905" spans="1:6" x14ac:dyDescent="0.3">
      <c r="A4905">
        <v>14</v>
      </c>
      <c r="B4905">
        <v>83.56</v>
      </c>
      <c r="C4905">
        <f t="shared" si="304"/>
        <v>1169.8400000000001</v>
      </c>
      <c r="D4905">
        <f t="shared" si="305"/>
        <v>196</v>
      </c>
      <c r="E4905">
        <f t="shared" si="306"/>
        <v>6982.2736000000004</v>
      </c>
      <c r="F4905">
        <f t="shared" si="307"/>
        <v>196</v>
      </c>
    </row>
    <row r="4906" spans="1:6" x14ac:dyDescent="0.3">
      <c r="A4906">
        <v>5</v>
      </c>
      <c r="B4906">
        <v>80.930000000000007</v>
      </c>
      <c r="C4906">
        <f t="shared" si="304"/>
        <v>404.65000000000003</v>
      </c>
      <c r="D4906">
        <f t="shared" si="305"/>
        <v>25</v>
      </c>
      <c r="E4906">
        <f t="shared" si="306"/>
        <v>6549.6649000000007</v>
      </c>
      <c r="F4906">
        <f t="shared" si="307"/>
        <v>25</v>
      </c>
    </row>
    <row r="4907" spans="1:6" x14ac:dyDescent="0.3">
      <c r="A4907">
        <v>60</v>
      </c>
      <c r="B4907">
        <v>84.54</v>
      </c>
      <c r="C4907">
        <f t="shared" si="304"/>
        <v>5072.4000000000005</v>
      </c>
      <c r="D4907">
        <f t="shared" si="305"/>
        <v>3600</v>
      </c>
      <c r="E4907">
        <f t="shared" si="306"/>
        <v>7147.0116000000007</v>
      </c>
      <c r="F4907">
        <f t="shared" si="307"/>
        <v>3600</v>
      </c>
    </row>
    <row r="4908" spans="1:6" x14ac:dyDescent="0.3">
      <c r="A4908">
        <v>53</v>
      </c>
      <c r="B4908">
        <v>70.510000000000005</v>
      </c>
      <c r="C4908">
        <f t="shared" si="304"/>
        <v>3737.03</v>
      </c>
      <c r="D4908">
        <f t="shared" si="305"/>
        <v>2809</v>
      </c>
      <c r="E4908">
        <f t="shared" si="306"/>
        <v>4971.660100000001</v>
      </c>
      <c r="F4908">
        <f t="shared" si="307"/>
        <v>2809</v>
      </c>
    </row>
    <row r="4909" spans="1:6" x14ac:dyDescent="0.3">
      <c r="A4909">
        <v>55</v>
      </c>
      <c r="B4909">
        <v>56.87</v>
      </c>
      <c r="C4909">
        <f t="shared" si="304"/>
        <v>3127.85</v>
      </c>
      <c r="D4909">
        <f t="shared" si="305"/>
        <v>3025</v>
      </c>
      <c r="E4909">
        <f t="shared" si="306"/>
        <v>3234.1968999999999</v>
      </c>
      <c r="F4909">
        <f t="shared" si="307"/>
        <v>3025</v>
      </c>
    </row>
    <row r="4910" spans="1:6" x14ac:dyDescent="0.3">
      <c r="A4910">
        <v>69</v>
      </c>
      <c r="B4910">
        <v>67.55</v>
      </c>
      <c r="C4910">
        <f t="shared" si="304"/>
        <v>4660.95</v>
      </c>
      <c r="D4910">
        <f t="shared" si="305"/>
        <v>4761</v>
      </c>
      <c r="E4910">
        <f t="shared" si="306"/>
        <v>4563.0024999999996</v>
      </c>
      <c r="F4910">
        <f t="shared" si="307"/>
        <v>4761</v>
      </c>
    </row>
    <row r="4911" spans="1:6" x14ac:dyDescent="0.3">
      <c r="A4911">
        <v>39</v>
      </c>
      <c r="B4911">
        <v>243.52</v>
      </c>
      <c r="C4911">
        <f t="shared" si="304"/>
        <v>9497.2800000000007</v>
      </c>
      <c r="D4911">
        <f t="shared" si="305"/>
        <v>1521</v>
      </c>
      <c r="E4911">
        <f t="shared" si="306"/>
        <v>59301.990400000002</v>
      </c>
      <c r="F4911">
        <f t="shared" si="307"/>
        <v>1521</v>
      </c>
    </row>
    <row r="4912" spans="1:6" x14ac:dyDescent="0.3">
      <c r="A4912">
        <v>0.32</v>
      </c>
      <c r="B4912">
        <v>108.63</v>
      </c>
      <c r="C4912">
        <f t="shared" si="304"/>
        <v>34.761600000000001</v>
      </c>
      <c r="D4912">
        <f t="shared" si="305"/>
        <v>0.1024</v>
      </c>
      <c r="E4912">
        <f t="shared" si="306"/>
        <v>11800.4769</v>
      </c>
      <c r="F4912">
        <f t="shared" si="307"/>
        <v>0.1024</v>
      </c>
    </row>
    <row r="4913" spans="1:6" x14ac:dyDescent="0.3">
      <c r="A4913">
        <v>34</v>
      </c>
      <c r="B4913">
        <v>69.06</v>
      </c>
      <c r="C4913">
        <f t="shared" si="304"/>
        <v>2348.04</v>
      </c>
      <c r="D4913">
        <f t="shared" si="305"/>
        <v>1156</v>
      </c>
      <c r="E4913">
        <f t="shared" si="306"/>
        <v>4769.2836000000007</v>
      </c>
      <c r="F4913">
        <f t="shared" si="307"/>
        <v>1156</v>
      </c>
    </row>
    <row r="4914" spans="1:6" x14ac:dyDescent="0.3">
      <c r="A4914">
        <v>80</v>
      </c>
      <c r="B4914">
        <v>73.89</v>
      </c>
      <c r="C4914">
        <f t="shared" si="304"/>
        <v>5911.2</v>
      </c>
      <c r="D4914">
        <f t="shared" si="305"/>
        <v>6400</v>
      </c>
      <c r="E4914">
        <f t="shared" si="306"/>
        <v>5459.7321000000002</v>
      </c>
      <c r="F4914">
        <f t="shared" si="307"/>
        <v>6400</v>
      </c>
    </row>
    <row r="4915" spans="1:6" x14ac:dyDescent="0.3">
      <c r="A4915">
        <v>20</v>
      </c>
      <c r="B4915">
        <v>84.49</v>
      </c>
      <c r="C4915">
        <f t="shared" si="304"/>
        <v>1689.8</v>
      </c>
      <c r="D4915">
        <f t="shared" si="305"/>
        <v>400</v>
      </c>
      <c r="E4915">
        <f t="shared" si="306"/>
        <v>7138.5600999999988</v>
      </c>
      <c r="F4915">
        <f t="shared" si="307"/>
        <v>400</v>
      </c>
    </row>
    <row r="4916" spans="1:6" x14ac:dyDescent="0.3">
      <c r="A4916">
        <v>45</v>
      </c>
      <c r="B4916">
        <v>73.709999999999994</v>
      </c>
      <c r="C4916">
        <f t="shared" si="304"/>
        <v>3316.95</v>
      </c>
      <c r="D4916">
        <f t="shared" si="305"/>
        <v>2025</v>
      </c>
      <c r="E4916">
        <f t="shared" si="306"/>
        <v>5433.1640999999991</v>
      </c>
      <c r="F4916">
        <f t="shared" si="307"/>
        <v>2025</v>
      </c>
    </row>
    <row r="4917" spans="1:6" x14ac:dyDescent="0.3">
      <c r="A4917">
        <v>41</v>
      </c>
      <c r="B4917">
        <v>129.01</v>
      </c>
      <c r="C4917">
        <f t="shared" si="304"/>
        <v>5289.41</v>
      </c>
      <c r="D4917">
        <f t="shared" si="305"/>
        <v>1681</v>
      </c>
      <c r="E4917">
        <f t="shared" si="306"/>
        <v>16643.580099999999</v>
      </c>
      <c r="F4917">
        <f t="shared" si="307"/>
        <v>1681</v>
      </c>
    </row>
    <row r="4918" spans="1:6" x14ac:dyDescent="0.3">
      <c r="A4918">
        <v>54</v>
      </c>
      <c r="B4918">
        <v>72.959999999999994</v>
      </c>
      <c r="C4918">
        <f t="shared" si="304"/>
        <v>3939.8399999999997</v>
      </c>
      <c r="D4918">
        <f t="shared" si="305"/>
        <v>2916</v>
      </c>
      <c r="E4918">
        <f t="shared" si="306"/>
        <v>5323.1615999999995</v>
      </c>
      <c r="F4918">
        <f t="shared" si="307"/>
        <v>2916</v>
      </c>
    </row>
    <row r="4919" spans="1:6" x14ac:dyDescent="0.3">
      <c r="A4919">
        <v>23</v>
      </c>
      <c r="B4919">
        <v>110.23</v>
      </c>
      <c r="C4919">
        <f t="shared" si="304"/>
        <v>2535.29</v>
      </c>
      <c r="D4919">
        <f t="shared" si="305"/>
        <v>529</v>
      </c>
      <c r="E4919">
        <f t="shared" si="306"/>
        <v>12150.652900000001</v>
      </c>
      <c r="F4919">
        <f t="shared" si="307"/>
        <v>529</v>
      </c>
    </row>
    <row r="4920" spans="1:6" x14ac:dyDescent="0.3">
      <c r="A4920">
        <v>75</v>
      </c>
      <c r="B4920">
        <v>79.489999999999995</v>
      </c>
      <c r="C4920">
        <f t="shared" si="304"/>
        <v>5961.75</v>
      </c>
      <c r="D4920">
        <f t="shared" si="305"/>
        <v>5625</v>
      </c>
      <c r="E4920">
        <f t="shared" si="306"/>
        <v>6318.6600999999991</v>
      </c>
      <c r="F4920">
        <f t="shared" si="307"/>
        <v>5625</v>
      </c>
    </row>
    <row r="4921" spans="1:6" x14ac:dyDescent="0.3">
      <c r="A4921">
        <v>36</v>
      </c>
      <c r="B4921">
        <v>89.33</v>
      </c>
      <c r="C4921">
        <f t="shared" si="304"/>
        <v>3215.88</v>
      </c>
      <c r="D4921">
        <f t="shared" si="305"/>
        <v>1296</v>
      </c>
      <c r="E4921">
        <f t="shared" si="306"/>
        <v>7979.8489</v>
      </c>
      <c r="F4921">
        <f t="shared" si="307"/>
        <v>1296</v>
      </c>
    </row>
    <row r="4922" spans="1:6" x14ac:dyDescent="0.3">
      <c r="A4922">
        <v>75</v>
      </c>
      <c r="B4922">
        <v>68.38</v>
      </c>
      <c r="C4922">
        <f t="shared" si="304"/>
        <v>5128.5</v>
      </c>
      <c r="D4922">
        <f t="shared" si="305"/>
        <v>5625</v>
      </c>
      <c r="E4922">
        <f t="shared" si="306"/>
        <v>4675.8243999999995</v>
      </c>
      <c r="F4922">
        <f t="shared" si="307"/>
        <v>5625</v>
      </c>
    </row>
    <row r="4923" spans="1:6" x14ac:dyDescent="0.3">
      <c r="A4923">
        <v>72</v>
      </c>
      <c r="B4923">
        <v>238.27</v>
      </c>
      <c r="C4923">
        <f t="shared" si="304"/>
        <v>17155.440000000002</v>
      </c>
      <c r="D4923">
        <f t="shared" si="305"/>
        <v>5184</v>
      </c>
      <c r="E4923">
        <f t="shared" si="306"/>
        <v>56772.592900000003</v>
      </c>
      <c r="F4923">
        <f t="shared" si="307"/>
        <v>5184</v>
      </c>
    </row>
    <row r="4924" spans="1:6" x14ac:dyDescent="0.3">
      <c r="A4924">
        <v>47</v>
      </c>
      <c r="B4924">
        <v>135.79</v>
      </c>
      <c r="C4924">
        <f t="shared" si="304"/>
        <v>6382.1299999999992</v>
      </c>
      <c r="D4924">
        <f t="shared" si="305"/>
        <v>2209</v>
      </c>
      <c r="E4924">
        <f t="shared" si="306"/>
        <v>18438.924099999997</v>
      </c>
      <c r="F4924">
        <f t="shared" si="307"/>
        <v>2209</v>
      </c>
    </row>
    <row r="4925" spans="1:6" x14ac:dyDescent="0.3">
      <c r="A4925">
        <v>15</v>
      </c>
      <c r="B4925">
        <v>82.19</v>
      </c>
      <c r="C4925">
        <f t="shared" si="304"/>
        <v>1232.8499999999999</v>
      </c>
      <c r="D4925">
        <f t="shared" si="305"/>
        <v>225</v>
      </c>
      <c r="E4925">
        <f t="shared" si="306"/>
        <v>6755.1960999999992</v>
      </c>
      <c r="F4925">
        <f t="shared" si="307"/>
        <v>225</v>
      </c>
    </row>
    <row r="4926" spans="1:6" x14ac:dyDescent="0.3">
      <c r="A4926">
        <v>40</v>
      </c>
      <c r="B4926">
        <v>93.2</v>
      </c>
      <c r="C4926">
        <f t="shared" si="304"/>
        <v>3728</v>
      </c>
      <c r="D4926">
        <f t="shared" si="305"/>
        <v>1600</v>
      </c>
      <c r="E4926">
        <f t="shared" si="306"/>
        <v>8686.24</v>
      </c>
      <c r="F4926">
        <f t="shared" si="307"/>
        <v>1600</v>
      </c>
    </row>
    <row r="4927" spans="1:6" x14ac:dyDescent="0.3">
      <c r="A4927">
        <v>71</v>
      </c>
      <c r="B4927">
        <v>208.31</v>
      </c>
      <c r="C4927">
        <f t="shared" si="304"/>
        <v>14790.01</v>
      </c>
      <c r="D4927">
        <f t="shared" si="305"/>
        <v>5041</v>
      </c>
      <c r="E4927">
        <f t="shared" si="306"/>
        <v>43393.056100000002</v>
      </c>
      <c r="F4927">
        <f t="shared" si="307"/>
        <v>5041</v>
      </c>
    </row>
    <row r="4928" spans="1:6" x14ac:dyDescent="0.3">
      <c r="A4928">
        <v>38</v>
      </c>
      <c r="B4928">
        <v>111.33</v>
      </c>
      <c r="C4928">
        <f t="shared" si="304"/>
        <v>4230.54</v>
      </c>
      <c r="D4928">
        <f t="shared" si="305"/>
        <v>1444</v>
      </c>
      <c r="E4928">
        <f t="shared" si="306"/>
        <v>12394.368899999999</v>
      </c>
      <c r="F4928">
        <f t="shared" si="307"/>
        <v>1444</v>
      </c>
    </row>
    <row r="4929" spans="1:6" x14ac:dyDescent="0.3">
      <c r="A4929">
        <v>10</v>
      </c>
      <c r="B4929">
        <v>69.84</v>
      </c>
      <c r="C4929">
        <f t="shared" si="304"/>
        <v>698.40000000000009</v>
      </c>
      <c r="D4929">
        <f t="shared" si="305"/>
        <v>100</v>
      </c>
      <c r="E4929">
        <f t="shared" si="306"/>
        <v>4877.6256000000003</v>
      </c>
      <c r="F4929">
        <f t="shared" si="307"/>
        <v>100</v>
      </c>
    </row>
    <row r="4930" spans="1:6" x14ac:dyDescent="0.3">
      <c r="A4930">
        <v>11</v>
      </c>
      <c r="B4930">
        <v>121.71</v>
      </c>
      <c r="C4930">
        <f t="shared" si="304"/>
        <v>1338.81</v>
      </c>
      <c r="D4930">
        <f t="shared" si="305"/>
        <v>121</v>
      </c>
      <c r="E4930">
        <f t="shared" si="306"/>
        <v>14813.324099999998</v>
      </c>
      <c r="F4930">
        <f t="shared" si="307"/>
        <v>121</v>
      </c>
    </row>
    <row r="4931" spans="1:6" x14ac:dyDescent="0.3">
      <c r="A4931">
        <v>0.72</v>
      </c>
      <c r="B4931">
        <v>80.08</v>
      </c>
      <c r="C4931">
        <f t="shared" ref="C4931:C4994" si="308">A4931*B4931</f>
        <v>57.657599999999995</v>
      </c>
      <c r="D4931">
        <f t="shared" ref="D4931:D4994" si="309">A4931*A4931</f>
        <v>0.51839999999999997</v>
      </c>
      <c r="E4931">
        <f t="shared" ref="E4931:E4994" si="310">B4931*B4931</f>
        <v>6412.8063999999995</v>
      </c>
      <c r="F4931">
        <f t="shared" ref="F4931:F4994" si="311">A4931^2</f>
        <v>0.51839999999999997</v>
      </c>
    </row>
    <row r="4932" spans="1:6" x14ac:dyDescent="0.3">
      <c r="A4932">
        <v>9</v>
      </c>
      <c r="B4932">
        <v>84.4</v>
      </c>
      <c r="C4932">
        <f t="shared" si="308"/>
        <v>759.6</v>
      </c>
      <c r="D4932">
        <f t="shared" si="309"/>
        <v>81</v>
      </c>
      <c r="E4932">
        <f t="shared" si="310"/>
        <v>7123.3600000000006</v>
      </c>
      <c r="F4932">
        <f t="shared" si="311"/>
        <v>81</v>
      </c>
    </row>
    <row r="4933" spans="1:6" x14ac:dyDescent="0.3">
      <c r="A4933">
        <v>53</v>
      </c>
      <c r="B4933">
        <v>98.61</v>
      </c>
      <c r="C4933">
        <f t="shared" si="308"/>
        <v>5226.33</v>
      </c>
      <c r="D4933">
        <f t="shared" si="309"/>
        <v>2809</v>
      </c>
      <c r="E4933">
        <f t="shared" si="310"/>
        <v>9723.9321</v>
      </c>
      <c r="F4933">
        <f t="shared" si="311"/>
        <v>2809</v>
      </c>
    </row>
    <row r="4934" spans="1:6" x14ac:dyDescent="0.3">
      <c r="A4934">
        <v>28</v>
      </c>
      <c r="B4934">
        <v>86.61</v>
      </c>
      <c r="C4934">
        <f t="shared" si="308"/>
        <v>2425.08</v>
      </c>
      <c r="D4934">
        <f t="shared" si="309"/>
        <v>784</v>
      </c>
      <c r="E4934">
        <f t="shared" si="310"/>
        <v>7501.2920999999997</v>
      </c>
      <c r="F4934">
        <f t="shared" si="311"/>
        <v>784</v>
      </c>
    </row>
    <row r="4935" spans="1:6" x14ac:dyDescent="0.3">
      <c r="A4935">
        <v>81</v>
      </c>
      <c r="B4935">
        <v>80.44</v>
      </c>
      <c r="C4935">
        <f t="shared" si="308"/>
        <v>6515.6399999999994</v>
      </c>
      <c r="D4935">
        <f t="shared" si="309"/>
        <v>6561</v>
      </c>
      <c r="E4935">
        <f t="shared" si="310"/>
        <v>6470.5935999999992</v>
      </c>
      <c r="F4935">
        <f t="shared" si="311"/>
        <v>6561</v>
      </c>
    </row>
    <row r="4936" spans="1:6" x14ac:dyDescent="0.3">
      <c r="A4936">
        <v>1.32</v>
      </c>
      <c r="B4936">
        <v>107.02</v>
      </c>
      <c r="C4936">
        <f t="shared" si="308"/>
        <v>141.2664</v>
      </c>
      <c r="D4936">
        <f t="shared" si="309"/>
        <v>1.7424000000000002</v>
      </c>
      <c r="E4936">
        <f t="shared" si="310"/>
        <v>11453.2804</v>
      </c>
      <c r="F4936">
        <f t="shared" si="311"/>
        <v>1.7424000000000002</v>
      </c>
    </row>
    <row r="4937" spans="1:6" x14ac:dyDescent="0.3">
      <c r="A4937">
        <v>16</v>
      </c>
      <c r="B4937">
        <v>97.23</v>
      </c>
      <c r="C4937">
        <f t="shared" si="308"/>
        <v>1555.68</v>
      </c>
      <c r="D4937">
        <f t="shared" si="309"/>
        <v>256</v>
      </c>
      <c r="E4937">
        <f t="shared" si="310"/>
        <v>9453.6729000000014</v>
      </c>
      <c r="F4937">
        <f t="shared" si="311"/>
        <v>256</v>
      </c>
    </row>
    <row r="4938" spans="1:6" x14ac:dyDescent="0.3">
      <c r="A4938">
        <v>24</v>
      </c>
      <c r="B4938">
        <v>91.21</v>
      </c>
      <c r="C4938">
        <f t="shared" si="308"/>
        <v>2189.04</v>
      </c>
      <c r="D4938">
        <f t="shared" si="309"/>
        <v>576</v>
      </c>
      <c r="E4938">
        <f t="shared" si="310"/>
        <v>8319.2640999999985</v>
      </c>
      <c r="F4938">
        <f t="shared" si="311"/>
        <v>576</v>
      </c>
    </row>
    <row r="4939" spans="1:6" x14ac:dyDescent="0.3">
      <c r="A4939">
        <v>62</v>
      </c>
      <c r="B4939">
        <v>103.69</v>
      </c>
      <c r="C4939">
        <f t="shared" si="308"/>
        <v>6428.78</v>
      </c>
      <c r="D4939">
        <f t="shared" si="309"/>
        <v>3844</v>
      </c>
      <c r="E4939">
        <f t="shared" si="310"/>
        <v>10751.616099999999</v>
      </c>
      <c r="F4939">
        <f t="shared" si="311"/>
        <v>3844</v>
      </c>
    </row>
    <row r="4940" spans="1:6" x14ac:dyDescent="0.3">
      <c r="A4940">
        <v>62</v>
      </c>
      <c r="B4940">
        <v>74.12</v>
      </c>
      <c r="C4940">
        <f t="shared" si="308"/>
        <v>4595.4400000000005</v>
      </c>
      <c r="D4940">
        <f t="shared" si="309"/>
        <v>3844</v>
      </c>
      <c r="E4940">
        <f t="shared" si="310"/>
        <v>5493.7744000000002</v>
      </c>
      <c r="F4940">
        <f t="shared" si="311"/>
        <v>3844</v>
      </c>
    </row>
    <row r="4941" spans="1:6" x14ac:dyDescent="0.3">
      <c r="A4941">
        <v>59</v>
      </c>
      <c r="B4941">
        <v>71.08</v>
      </c>
      <c r="C4941">
        <f t="shared" si="308"/>
        <v>4193.72</v>
      </c>
      <c r="D4941">
        <f t="shared" si="309"/>
        <v>3481</v>
      </c>
      <c r="E4941">
        <f t="shared" si="310"/>
        <v>5052.3663999999999</v>
      </c>
      <c r="F4941">
        <f t="shared" si="311"/>
        <v>3481</v>
      </c>
    </row>
    <row r="4942" spans="1:6" x14ac:dyDescent="0.3">
      <c r="A4942">
        <v>19</v>
      </c>
      <c r="B4942">
        <v>58.39</v>
      </c>
      <c r="C4942">
        <f t="shared" si="308"/>
        <v>1109.4100000000001</v>
      </c>
      <c r="D4942">
        <f t="shared" si="309"/>
        <v>361</v>
      </c>
      <c r="E4942">
        <f t="shared" si="310"/>
        <v>3409.3921</v>
      </c>
      <c r="F4942">
        <f t="shared" si="311"/>
        <v>361</v>
      </c>
    </row>
    <row r="4943" spans="1:6" x14ac:dyDescent="0.3">
      <c r="A4943">
        <v>51</v>
      </c>
      <c r="B4943">
        <v>176.34</v>
      </c>
      <c r="C4943">
        <f t="shared" si="308"/>
        <v>8993.34</v>
      </c>
      <c r="D4943">
        <f t="shared" si="309"/>
        <v>2601</v>
      </c>
      <c r="E4943">
        <f t="shared" si="310"/>
        <v>31095.795600000001</v>
      </c>
      <c r="F4943">
        <f t="shared" si="311"/>
        <v>2601</v>
      </c>
    </row>
    <row r="4944" spans="1:6" x14ac:dyDescent="0.3">
      <c r="A4944">
        <v>38</v>
      </c>
      <c r="B4944">
        <v>73.760000000000005</v>
      </c>
      <c r="C4944">
        <f t="shared" si="308"/>
        <v>2802.88</v>
      </c>
      <c r="D4944">
        <f t="shared" si="309"/>
        <v>1444</v>
      </c>
      <c r="E4944">
        <f t="shared" si="310"/>
        <v>5440.5376000000006</v>
      </c>
      <c r="F4944">
        <f t="shared" si="311"/>
        <v>1444</v>
      </c>
    </row>
    <row r="4945" spans="1:6" x14ac:dyDescent="0.3">
      <c r="A4945">
        <v>26</v>
      </c>
      <c r="B4945">
        <v>67.209999999999994</v>
      </c>
      <c r="C4945">
        <f t="shared" si="308"/>
        <v>1747.4599999999998</v>
      </c>
      <c r="D4945">
        <f t="shared" si="309"/>
        <v>676</v>
      </c>
      <c r="E4945">
        <f t="shared" si="310"/>
        <v>4517.1840999999995</v>
      </c>
      <c r="F4945">
        <f t="shared" si="311"/>
        <v>676</v>
      </c>
    </row>
    <row r="4946" spans="1:6" x14ac:dyDescent="0.3">
      <c r="A4946">
        <v>13</v>
      </c>
      <c r="B4946">
        <v>87.98</v>
      </c>
      <c r="C4946">
        <f t="shared" si="308"/>
        <v>1143.74</v>
      </c>
      <c r="D4946">
        <f t="shared" si="309"/>
        <v>169</v>
      </c>
      <c r="E4946">
        <f t="shared" si="310"/>
        <v>7740.4804000000004</v>
      </c>
      <c r="F4946">
        <f t="shared" si="311"/>
        <v>169</v>
      </c>
    </row>
    <row r="4947" spans="1:6" x14ac:dyDescent="0.3">
      <c r="A4947">
        <v>4</v>
      </c>
      <c r="B4947">
        <v>94.23</v>
      </c>
      <c r="C4947">
        <f t="shared" si="308"/>
        <v>376.92</v>
      </c>
      <c r="D4947">
        <f t="shared" si="309"/>
        <v>16</v>
      </c>
      <c r="E4947">
        <f t="shared" si="310"/>
        <v>8879.2929000000004</v>
      </c>
      <c r="F4947">
        <f t="shared" si="311"/>
        <v>16</v>
      </c>
    </row>
    <row r="4948" spans="1:6" x14ac:dyDescent="0.3">
      <c r="A4948">
        <v>55</v>
      </c>
      <c r="B4948">
        <v>111.36</v>
      </c>
      <c r="C4948">
        <f t="shared" si="308"/>
        <v>6124.8</v>
      </c>
      <c r="D4948">
        <f t="shared" si="309"/>
        <v>3025</v>
      </c>
      <c r="E4948">
        <f t="shared" si="310"/>
        <v>12401.0496</v>
      </c>
      <c r="F4948">
        <f t="shared" si="311"/>
        <v>3025</v>
      </c>
    </row>
    <row r="4949" spans="1:6" x14ac:dyDescent="0.3">
      <c r="A4949">
        <v>44</v>
      </c>
      <c r="B4949">
        <v>84.07</v>
      </c>
      <c r="C4949">
        <f t="shared" si="308"/>
        <v>3699.08</v>
      </c>
      <c r="D4949">
        <f t="shared" si="309"/>
        <v>1936</v>
      </c>
      <c r="E4949">
        <f t="shared" si="310"/>
        <v>7067.7648999999992</v>
      </c>
      <c r="F4949">
        <f t="shared" si="311"/>
        <v>1936</v>
      </c>
    </row>
    <row r="4950" spans="1:6" x14ac:dyDescent="0.3">
      <c r="A4950">
        <v>31</v>
      </c>
      <c r="B4950">
        <v>117.31</v>
      </c>
      <c r="C4950">
        <f t="shared" si="308"/>
        <v>3636.61</v>
      </c>
      <c r="D4950">
        <f t="shared" si="309"/>
        <v>961</v>
      </c>
      <c r="E4950">
        <f t="shared" si="310"/>
        <v>13761.6361</v>
      </c>
      <c r="F4950">
        <f t="shared" si="311"/>
        <v>961</v>
      </c>
    </row>
    <row r="4951" spans="1:6" x14ac:dyDescent="0.3">
      <c r="A4951">
        <v>58</v>
      </c>
      <c r="B4951">
        <v>84.94</v>
      </c>
      <c r="C4951">
        <f t="shared" si="308"/>
        <v>4926.5199999999995</v>
      </c>
      <c r="D4951">
        <f t="shared" si="309"/>
        <v>3364</v>
      </c>
      <c r="E4951">
        <f t="shared" si="310"/>
        <v>7214.8035999999993</v>
      </c>
      <c r="F4951">
        <f t="shared" si="311"/>
        <v>3364</v>
      </c>
    </row>
    <row r="4952" spans="1:6" x14ac:dyDescent="0.3">
      <c r="A4952">
        <v>17</v>
      </c>
      <c r="B4952">
        <v>68.86</v>
      </c>
      <c r="C4952">
        <f t="shared" si="308"/>
        <v>1170.6199999999999</v>
      </c>
      <c r="D4952">
        <f t="shared" si="309"/>
        <v>289</v>
      </c>
      <c r="E4952">
        <f t="shared" si="310"/>
        <v>4741.6995999999999</v>
      </c>
      <c r="F4952">
        <f t="shared" si="311"/>
        <v>289</v>
      </c>
    </row>
    <row r="4953" spans="1:6" x14ac:dyDescent="0.3">
      <c r="A4953">
        <v>23</v>
      </c>
      <c r="B4953">
        <v>132.88</v>
      </c>
      <c r="C4953">
        <f t="shared" si="308"/>
        <v>3056.24</v>
      </c>
      <c r="D4953">
        <f t="shared" si="309"/>
        <v>529</v>
      </c>
      <c r="E4953">
        <f t="shared" si="310"/>
        <v>17657.094399999998</v>
      </c>
      <c r="F4953">
        <f t="shared" si="311"/>
        <v>529</v>
      </c>
    </row>
    <row r="4954" spans="1:6" x14ac:dyDescent="0.3">
      <c r="A4954">
        <v>51</v>
      </c>
      <c r="B4954">
        <v>211.83</v>
      </c>
      <c r="C4954">
        <f t="shared" si="308"/>
        <v>10803.33</v>
      </c>
      <c r="D4954">
        <f t="shared" si="309"/>
        <v>2601</v>
      </c>
      <c r="E4954">
        <f t="shared" si="310"/>
        <v>44871.948900000003</v>
      </c>
      <c r="F4954">
        <f t="shared" si="311"/>
        <v>2601</v>
      </c>
    </row>
    <row r="4955" spans="1:6" x14ac:dyDescent="0.3">
      <c r="A4955">
        <v>46</v>
      </c>
      <c r="B4955">
        <v>124.92</v>
      </c>
      <c r="C4955">
        <f t="shared" si="308"/>
        <v>5746.32</v>
      </c>
      <c r="D4955">
        <f t="shared" si="309"/>
        <v>2116</v>
      </c>
      <c r="E4955">
        <f t="shared" si="310"/>
        <v>15605.0064</v>
      </c>
      <c r="F4955">
        <f t="shared" si="311"/>
        <v>2116</v>
      </c>
    </row>
    <row r="4956" spans="1:6" x14ac:dyDescent="0.3">
      <c r="A4956">
        <v>81</v>
      </c>
      <c r="B4956">
        <v>57.42</v>
      </c>
      <c r="C4956">
        <f t="shared" si="308"/>
        <v>4651.0200000000004</v>
      </c>
      <c r="D4956">
        <f t="shared" si="309"/>
        <v>6561</v>
      </c>
      <c r="E4956">
        <f t="shared" si="310"/>
        <v>3297.0564000000004</v>
      </c>
      <c r="F4956">
        <f t="shared" si="311"/>
        <v>6561</v>
      </c>
    </row>
    <row r="4957" spans="1:6" x14ac:dyDescent="0.3">
      <c r="A4957">
        <v>38</v>
      </c>
      <c r="B4957">
        <v>215.69</v>
      </c>
      <c r="C4957">
        <f t="shared" si="308"/>
        <v>8196.2199999999993</v>
      </c>
      <c r="D4957">
        <f t="shared" si="309"/>
        <v>1444</v>
      </c>
      <c r="E4957">
        <f t="shared" si="310"/>
        <v>46522.176099999997</v>
      </c>
      <c r="F4957">
        <f t="shared" si="311"/>
        <v>1444</v>
      </c>
    </row>
    <row r="4958" spans="1:6" x14ac:dyDescent="0.3">
      <c r="A4958">
        <v>50</v>
      </c>
      <c r="B4958">
        <v>154.66999999999999</v>
      </c>
      <c r="C4958">
        <f t="shared" si="308"/>
        <v>7733.4999999999991</v>
      </c>
      <c r="D4958">
        <f t="shared" si="309"/>
        <v>2500</v>
      </c>
      <c r="E4958">
        <f t="shared" si="310"/>
        <v>23922.808899999996</v>
      </c>
      <c r="F4958">
        <f t="shared" si="311"/>
        <v>2500</v>
      </c>
    </row>
    <row r="4959" spans="1:6" x14ac:dyDescent="0.3">
      <c r="A4959">
        <v>34</v>
      </c>
      <c r="B4959">
        <v>67.66</v>
      </c>
      <c r="C4959">
        <f t="shared" si="308"/>
        <v>2300.44</v>
      </c>
      <c r="D4959">
        <f t="shared" si="309"/>
        <v>1156</v>
      </c>
      <c r="E4959">
        <f t="shared" si="310"/>
        <v>4577.8755999999994</v>
      </c>
      <c r="F4959">
        <f t="shared" si="311"/>
        <v>1156</v>
      </c>
    </row>
    <row r="4960" spans="1:6" x14ac:dyDescent="0.3">
      <c r="A4960">
        <v>60</v>
      </c>
      <c r="B4960">
        <v>153.47999999999999</v>
      </c>
      <c r="C4960">
        <f t="shared" si="308"/>
        <v>9208.7999999999993</v>
      </c>
      <c r="D4960">
        <f t="shared" si="309"/>
        <v>3600</v>
      </c>
      <c r="E4960">
        <f t="shared" si="310"/>
        <v>23556.110399999998</v>
      </c>
      <c r="F4960">
        <f t="shared" si="311"/>
        <v>3600</v>
      </c>
    </row>
    <row r="4961" spans="1:6" x14ac:dyDescent="0.3">
      <c r="A4961">
        <v>50</v>
      </c>
      <c r="B4961">
        <v>62.63</v>
      </c>
      <c r="C4961">
        <f t="shared" si="308"/>
        <v>3131.5</v>
      </c>
      <c r="D4961">
        <f t="shared" si="309"/>
        <v>2500</v>
      </c>
      <c r="E4961">
        <f t="shared" si="310"/>
        <v>3922.5169000000005</v>
      </c>
      <c r="F4961">
        <f t="shared" si="311"/>
        <v>2500</v>
      </c>
    </row>
    <row r="4962" spans="1:6" x14ac:dyDescent="0.3">
      <c r="A4962">
        <v>49</v>
      </c>
      <c r="B4962">
        <v>77.930000000000007</v>
      </c>
      <c r="C4962">
        <f t="shared" si="308"/>
        <v>3818.57</v>
      </c>
      <c r="D4962">
        <f t="shared" si="309"/>
        <v>2401</v>
      </c>
      <c r="E4962">
        <f t="shared" si="310"/>
        <v>6073.0849000000007</v>
      </c>
      <c r="F4962">
        <f t="shared" si="311"/>
        <v>2401</v>
      </c>
    </row>
    <row r="4963" spans="1:6" x14ac:dyDescent="0.3">
      <c r="A4963">
        <v>2</v>
      </c>
      <c r="B4963">
        <v>80.3</v>
      </c>
      <c r="C4963">
        <f t="shared" si="308"/>
        <v>160.6</v>
      </c>
      <c r="D4963">
        <f t="shared" si="309"/>
        <v>4</v>
      </c>
      <c r="E4963">
        <f t="shared" si="310"/>
        <v>6448.0899999999992</v>
      </c>
      <c r="F4963">
        <f t="shared" si="311"/>
        <v>4</v>
      </c>
    </row>
    <row r="4964" spans="1:6" x14ac:dyDescent="0.3">
      <c r="A4964">
        <v>47</v>
      </c>
      <c r="B4964">
        <v>106.69</v>
      </c>
      <c r="C4964">
        <f t="shared" si="308"/>
        <v>5014.43</v>
      </c>
      <c r="D4964">
        <f t="shared" si="309"/>
        <v>2209</v>
      </c>
      <c r="E4964">
        <f t="shared" si="310"/>
        <v>11382.756099999999</v>
      </c>
      <c r="F4964">
        <f t="shared" si="311"/>
        <v>2209</v>
      </c>
    </row>
    <row r="4965" spans="1:6" x14ac:dyDescent="0.3">
      <c r="A4965">
        <v>34</v>
      </c>
      <c r="B4965">
        <v>83.07</v>
      </c>
      <c r="C4965">
        <f t="shared" si="308"/>
        <v>2824.3799999999997</v>
      </c>
      <c r="D4965">
        <f t="shared" si="309"/>
        <v>1156</v>
      </c>
      <c r="E4965">
        <f t="shared" si="310"/>
        <v>6900.6248999999989</v>
      </c>
      <c r="F4965">
        <f t="shared" si="311"/>
        <v>1156</v>
      </c>
    </row>
    <row r="4966" spans="1:6" x14ac:dyDescent="0.3">
      <c r="A4966">
        <v>22</v>
      </c>
      <c r="B4966">
        <v>140.13999999999999</v>
      </c>
      <c r="C4966">
        <f t="shared" si="308"/>
        <v>3083.08</v>
      </c>
      <c r="D4966">
        <f t="shared" si="309"/>
        <v>484</v>
      </c>
      <c r="E4966">
        <f t="shared" si="310"/>
        <v>19639.219599999997</v>
      </c>
      <c r="F4966">
        <f t="shared" si="311"/>
        <v>484</v>
      </c>
    </row>
    <row r="4967" spans="1:6" x14ac:dyDescent="0.3">
      <c r="A4967">
        <v>11</v>
      </c>
      <c r="B4967">
        <v>92.65</v>
      </c>
      <c r="C4967">
        <f t="shared" si="308"/>
        <v>1019.1500000000001</v>
      </c>
      <c r="D4967">
        <f t="shared" si="309"/>
        <v>121</v>
      </c>
      <c r="E4967">
        <f t="shared" si="310"/>
        <v>8584.0225000000009</v>
      </c>
      <c r="F4967">
        <f t="shared" si="311"/>
        <v>121</v>
      </c>
    </row>
    <row r="4968" spans="1:6" x14ac:dyDescent="0.3">
      <c r="A4968">
        <v>54</v>
      </c>
      <c r="B4968">
        <v>111.37</v>
      </c>
      <c r="C4968">
        <f t="shared" si="308"/>
        <v>6013.9800000000005</v>
      </c>
      <c r="D4968">
        <f t="shared" si="309"/>
        <v>2916</v>
      </c>
      <c r="E4968">
        <f t="shared" si="310"/>
        <v>12403.276900000001</v>
      </c>
      <c r="F4968">
        <f t="shared" si="311"/>
        <v>2916</v>
      </c>
    </row>
    <row r="4969" spans="1:6" x14ac:dyDescent="0.3">
      <c r="A4969">
        <v>60</v>
      </c>
      <c r="B4969">
        <v>99</v>
      </c>
      <c r="C4969">
        <f t="shared" si="308"/>
        <v>5940</v>
      </c>
      <c r="D4969">
        <f t="shared" si="309"/>
        <v>3600</v>
      </c>
      <c r="E4969">
        <f t="shared" si="310"/>
        <v>9801</v>
      </c>
      <c r="F4969">
        <f t="shared" si="311"/>
        <v>3600</v>
      </c>
    </row>
    <row r="4970" spans="1:6" x14ac:dyDescent="0.3">
      <c r="A4970">
        <v>3</v>
      </c>
      <c r="B4970">
        <v>78.239999999999995</v>
      </c>
      <c r="C4970">
        <f t="shared" si="308"/>
        <v>234.71999999999997</v>
      </c>
      <c r="D4970">
        <f t="shared" si="309"/>
        <v>9</v>
      </c>
      <c r="E4970">
        <f t="shared" si="310"/>
        <v>6121.4975999999988</v>
      </c>
      <c r="F4970">
        <f t="shared" si="311"/>
        <v>9</v>
      </c>
    </row>
    <row r="4971" spans="1:6" x14ac:dyDescent="0.3">
      <c r="A4971">
        <v>46</v>
      </c>
      <c r="B4971">
        <v>83.88</v>
      </c>
      <c r="C4971">
        <f t="shared" si="308"/>
        <v>3858.4799999999996</v>
      </c>
      <c r="D4971">
        <f t="shared" si="309"/>
        <v>2116</v>
      </c>
      <c r="E4971">
        <f t="shared" si="310"/>
        <v>7035.8543999999993</v>
      </c>
      <c r="F4971">
        <f t="shared" si="311"/>
        <v>2116</v>
      </c>
    </row>
    <row r="4972" spans="1:6" x14ac:dyDescent="0.3">
      <c r="A4972">
        <v>30</v>
      </c>
      <c r="B4972">
        <v>86.21</v>
      </c>
      <c r="C4972">
        <f t="shared" si="308"/>
        <v>2586.2999999999997</v>
      </c>
      <c r="D4972">
        <f t="shared" si="309"/>
        <v>900</v>
      </c>
      <c r="E4972">
        <f t="shared" si="310"/>
        <v>7432.1640999999991</v>
      </c>
      <c r="F4972">
        <f t="shared" si="311"/>
        <v>900</v>
      </c>
    </row>
    <row r="4973" spans="1:6" x14ac:dyDescent="0.3">
      <c r="A4973">
        <v>63</v>
      </c>
      <c r="B4973">
        <v>57.06</v>
      </c>
      <c r="C4973">
        <f t="shared" si="308"/>
        <v>3594.78</v>
      </c>
      <c r="D4973">
        <f t="shared" si="309"/>
        <v>3969</v>
      </c>
      <c r="E4973">
        <f t="shared" si="310"/>
        <v>3255.8436000000002</v>
      </c>
      <c r="F4973">
        <f t="shared" si="311"/>
        <v>3969</v>
      </c>
    </row>
    <row r="4974" spans="1:6" x14ac:dyDescent="0.3">
      <c r="A4974">
        <v>50</v>
      </c>
      <c r="B4974">
        <v>112.25</v>
      </c>
      <c r="C4974">
        <f t="shared" si="308"/>
        <v>5612.5</v>
      </c>
      <c r="D4974">
        <f t="shared" si="309"/>
        <v>2500</v>
      </c>
      <c r="E4974">
        <f t="shared" si="310"/>
        <v>12600.0625</v>
      </c>
      <c r="F4974">
        <f t="shared" si="311"/>
        <v>2500</v>
      </c>
    </row>
    <row r="4975" spans="1:6" x14ac:dyDescent="0.3">
      <c r="A4975">
        <v>65</v>
      </c>
      <c r="B4975">
        <v>81.06</v>
      </c>
      <c r="C4975">
        <f t="shared" si="308"/>
        <v>5268.9000000000005</v>
      </c>
      <c r="D4975">
        <f t="shared" si="309"/>
        <v>4225</v>
      </c>
      <c r="E4975">
        <f t="shared" si="310"/>
        <v>6570.7236000000003</v>
      </c>
      <c r="F4975">
        <f t="shared" si="311"/>
        <v>4225</v>
      </c>
    </row>
    <row r="4976" spans="1:6" x14ac:dyDescent="0.3">
      <c r="A4976">
        <v>78</v>
      </c>
      <c r="B4976">
        <v>104.37</v>
      </c>
      <c r="C4976">
        <f t="shared" si="308"/>
        <v>8140.8600000000006</v>
      </c>
      <c r="D4976">
        <f t="shared" si="309"/>
        <v>6084</v>
      </c>
      <c r="E4976">
        <f t="shared" si="310"/>
        <v>10893.0969</v>
      </c>
      <c r="F4976">
        <f t="shared" si="311"/>
        <v>6084</v>
      </c>
    </row>
    <row r="4977" spans="1:6" x14ac:dyDescent="0.3">
      <c r="A4977">
        <v>36</v>
      </c>
      <c r="B4977">
        <v>124.31</v>
      </c>
      <c r="C4977">
        <f t="shared" si="308"/>
        <v>4475.16</v>
      </c>
      <c r="D4977">
        <f t="shared" si="309"/>
        <v>1296</v>
      </c>
      <c r="E4977">
        <f t="shared" si="310"/>
        <v>15452.9761</v>
      </c>
      <c r="F4977">
        <f t="shared" si="311"/>
        <v>1296</v>
      </c>
    </row>
    <row r="4978" spans="1:6" x14ac:dyDescent="0.3">
      <c r="A4978">
        <v>18</v>
      </c>
      <c r="B4978">
        <v>101.95</v>
      </c>
      <c r="C4978">
        <f t="shared" si="308"/>
        <v>1835.1000000000001</v>
      </c>
      <c r="D4978">
        <f t="shared" si="309"/>
        <v>324</v>
      </c>
      <c r="E4978">
        <f t="shared" si="310"/>
        <v>10393.8025</v>
      </c>
      <c r="F4978">
        <f t="shared" si="311"/>
        <v>324</v>
      </c>
    </row>
    <row r="4979" spans="1:6" x14ac:dyDescent="0.3">
      <c r="A4979">
        <v>44</v>
      </c>
      <c r="B4979">
        <v>116.95</v>
      </c>
      <c r="C4979">
        <f t="shared" si="308"/>
        <v>5145.8</v>
      </c>
      <c r="D4979">
        <f t="shared" si="309"/>
        <v>1936</v>
      </c>
      <c r="E4979">
        <f t="shared" si="310"/>
        <v>13677.3025</v>
      </c>
      <c r="F4979">
        <f t="shared" si="311"/>
        <v>1936</v>
      </c>
    </row>
    <row r="4980" spans="1:6" x14ac:dyDescent="0.3">
      <c r="A4980">
        <v>4</v>
      </c>
      <c r="B4980">
        <v>99.76</v>
      </c>
      <c r="C4980">
        <f t="shared" si="308"/>
        <v>399.04</v>
      </c>
      <c r="D4980">
        <f t="shared" si="309"/>
        <v>16</v>
      </c>
      <c r="E4980">
        <f t="shared" si="310"/>
        <v>9952.0576000000019</v>
      </c>
      <c r="F4980">
        <f t="shared" si="311"/>
        <v>16</v>
      </c>
    </row>
    <row r="4981" spans="1:6" x14ac:dyDescent="0.3">
      <c r="A4981">
        <v>60</v>
      </c>
      <c r="B4981">
        <v>105.48</v>
      </c>
      <c r="C4981">
        <f t="shared" si="308"/>
        <v>6328.8</v>
      </c>
      <c r="D4981">
        <f t="shared" si="309"/>
        <v>3600</v>
      </c>
      <c r="E4981">
        <f t="shared" si="310"/>
        <v>11126.030400000001</v>
      </c>
      <c r="F4981">
        <f t="shared" si="311"/>
        <v>3600</v>
      </c>
    </row>
    <row r="4982" spans="1:6" x14ac:dyDescent="0.3">
      <c r="A4982">
        <v>19</v>
      </c>
      <c r="B4982">
        <v>100.6</v>
      </c>
      <c r="C4982">
        <f t="shared" si="308"/>
        <v>1911.3999999999999</v>
      </c>
      <c r="D4982">
        <f t="shared" si="309"/>
        <v>361</v>
      </c>
      <c r="E4982">
        <f t="shared" si="310"/>
        <v>10120.359999999999</v>
      </c>
      <c r="F4982">
        <f t="shared" si="311"/>
        <v>361</v>
      </c>
    </row>
    <row r="4983" spans="1:6" x14ac:dyDescent="0.3">
      <c r="A4983">
        <v>15</v>
      </c>
      <c r="B4983">
        <v>65.05</v>
      </c>
      <c r="C4983">
        <f t="shared" si="308"/>
        <v>975.75</v>
      </c>
      <c r="D4983">
        <f t="shared" si="309"/>
        <v>225</v>
      </c>
      <c r="E4983">
        <f t="shared" si="310"/>
        <v>4231.5024999999996</v>
      </c>
      <c r="F4983">
        <f t="shared" si="311"/>
        <v>225</v>
      </c>
    </row>
    <row r="4984" spans="1:6" x14ac:dyDescent="0.3">
      <c r="A4984">
        <v>20</v>
      </c>
      <c r="B4984">
        <v>75.900000000000006</v>
      </c>
      <c r="C4984">
        <f t="shared" si="308"/>
        <v>1518</v>
      </c>
      <c r="D4984">
        <f t="shared" si="309"/>
        <v>400</v>
      </c>
      <c r="E4984">
        <f t="shared" si="310"/>
        <v>5760.8100000000013</v>
      </c>
      <c r="F4984">
        <f t="shared" si="311"/>
        <v>400</v>
      </c>
    </row>
    <row r="4985" spans="1:6" x14ac:dyDescent="0.3">
      <c r="A4985">
        <v>76</v>
      </c>
      <c r="B4985">
        <v>267.60000000000002</v>
      </c>
      <c r="C4985">
        <f t="shared" si="308"/>
        <v>20337.600000000002</v>
      </c>
      <c r="D4985">
        <f t="shared" si="309"/>
        <v>5776</v>
      </c>
      <c r="E4985">
        <f t="shared" si="310"/>
        <v>71609.760000000009</v>
      </c>
      <c r="F4985">
        <f t="shared" si="311"/>
        <v>5776</v>
      </c>
    </row>
    <row r="4986" spans="1:6" x14ac:dyDescent="0.3">
      <c r="A4986">
        <v>31</v>
      </c>
      <c r="B4986">
        <v>215.07</v>
      </c>
      <c r="C4986">
        <f t="shared" si="308"/>
        <v>6667.17</v>
      </c>
      <c r="D4986">
        <f t="shared" si="309"/>
        <v>961</v>
      </c>
      <c r="E4986">
        <f t="shared" si="310"/>
        <v>46255.104899999998</v>
      </c>
      <c r="F4986">
        <f t="shared" si="311"/>
        <v>961</v>
      </c>
    </row>
    <row r="4987" spans="1:6" x14ac:dyDescent="0.3">
      <c r="A4987">
        <v>39</v>
      </c>
      <c r="B4987">
        <v>109.03</v>
      </c>
      <c r="C4987">
        <f t="shared" si="308"/>
        <v>4252.17</v>
      </c>
      <c r="D4987">
        <f t="shared" si="309"/>
        <v>1521</v>
      </c>
      <c r="E4987">
        <f t="shared" si="310"/>
        <v>11887.5409</v>
      </c>
      <c r="F4987">
        <f t="shared" si="311"/>
        <v>1521</v>
      </c>
    </row>
    <row r="4988" spans="1:6" x14ac:dyDescent="0.3">
      <c r="A4988">
        <v>58</v>
      </c>
      <c r="B4988">
        <v>225.35</v>
      </c>
      <c r="C4988">
        <f t="shared" si="308"/>
        <v>13070.3</v>
      </c>
      <c r="D4988">
        <f t="shared" si="309"/>
        <v>3364</v>
      </c>
      <c r="E4988">
        <f t="shared" si="310"/>
        <v>50782.622499999998</v>
      </c>
      <c r="F4988">
        <f t="shared" si="311"/>
        <v>3364</v>
      </c>
    </row>
    <row r="4989" spans="1:6" x14ac:dyDescent="0.3">
      <c r="A4989">
        <v>64</v>
      </c>
      <c r="B4989">
        <v>196.26</v>
      </c>
      <c r="C4989">
        <f t="shared" si="308"/>
        <v>12560.64</v>
      </c>
      <c r="D4989">
        <f t="shared" si="309"/>
        <v>4096</v>
      </c>
      <c r="E4989">
        <f t="shared" si="310"/>
        <v>38517.987599999993</v>
      </c>
      <c r="F4989">
        <f t="shared" si="311"/>
        <v>4096</v>
      </c>
    </row>
    <row r="4990" spans="1:6" x14ac:dyDescent="0.3">
      <c r="A4990">
        <v>79</v>
      </c>
      <c r="B4990">
        <v>95.42</v>
      </c>
      <c r="C4990">
        <f t="shared" si="308"/>
        <v>7538.18</v>
      </c>
      <c r="D4990">
        <f t="shared" si="309"/>
        <v>6241</v>
      </c>
      <c r="E4990">
        <f t="shared" si="310"/>
        <v>9104.9763999999996</v>
      </c>
      <c r="F4990">
        <f t="shared" si="311"/>
        <v>6241</v>
      </c>
    </row>
    <row r="4991" spans="1:6" x14ac:dyDescent="0.3">
      <c r="A4991">
        <v>11</v>
      </c>
      <c r="B4991">
        <v>123.04</v>
      </c>
      <c r="C4991">
        <f t="shared" si="308"/>
        <v>1353.44</v>
      </c>
      <c r="D4991">
        <f t="shared" si="309"/>
        <v>121</v>
      </c>
      <c r="E4991">
        <f t="shared" si="310"/>
        <v>15138.841600000002</v>
      </c>
      <c r="F4991">
        <f t="shared" si="311"/>
        <v>121</v>
      </c>
    </row>
    <row r="4992" spans="1:6" x14ac:dyDescent="0.3">
      <c r="A4992">
        <v>4</v>
      </c>
      <c r="B4992">
        <v>85.88</v>
      </c>
      <c r="C4992">
        <f t="shared" si="308"/>
        <v>343.52</v>
      </c>
      <c r="D4992">
        <f t="shared" si="309"/>
        <v>16</v>
      </c>
      <c r="E4992">
        <f t="shared" si="310"/>
        <v>7375.3743999999988</v>
      </c>
      <c r="F4992">
        <f t="shared" si="311"/>
        <v>16</v>
      </c>
    </row>
    <row r="4993" spans="1:6" x14ac:dyDescent="0.3">
      <c r="A4993">
        <v>43</v>
      </c>
      <c r="B4993">
        <v>107.43</v>
      </c>
      <c r="C4993">
        <f t="shared" si="308"/>
        <v>4619.4900000000007</v>
      </c>
      <c r="D4993">
        <f t="shared" si="309"/>
        <v>1849</v>
      </c>
      <c r="E4993">
        <f t="shared" si="310"/>
        <v>11541.204900000001</v>
      </c>
      <c r="F4993">
        <f t="shared" si="311"/>
        <v>1849</v>
      </c>
    </row>
    <row r="4994" spans="1:6" x14ac:dyDescent="0.3">
      <c r="A4994">
        <v>44</v>
      </c>
      <c r="B4994">
        <v>56.85</v>
      </c>
      <c r="C4994">
        <f t="shared" si="308"/>
        <v>2501.4</v>
      </c>
      <c r="D4994">
        <f t="shared" si="309"/>
        <v>1936</v>
      </c>
      <c r="E4994">
        <f t="shared" si="310"/>
        <v>3231.9225000000001</v>
      </c>
      <c r="F4994">
        <f t="shared" si="311"/>
        <v>1936</v>
      </c>
    </row>
    <row r="4995" spans="1:6" x14ac:dyDescent="0.3">
      <c r="A4995">
        <v>37</v>
      </c>
      <c r="B4995">
        <v>102.15</v>
      </c>
      <c r="C4995">
        <f t="shared" ref="C4995:C5058" si="312">A4995*B4995</f>
        <v>3779.55</v>
      </c>
      <c r="D4995">
        <f t="shared" ref="D4995:D5058" si="313">A4995*A4995</f>
        <v>1369</v>
      </c>
      <c r="E4995">
        <f t="shared" ref="E4995:E5058" si="314">B4995*B4995</f>
        <v>10434.622500000001</v>
      </c>
      <c r="F4995">
        <f t="shared" ref="F4995:F5058" si="315">A4995^2</f>
        <v>1369</v>
      </c>
    </row>
    <row r="4996" spans="1:6" x14ac:dyDescent="0.3">
      <c r="A4996">
        <v>34</v>
      </c>
      <c r="B4996">
        <v>88.68</v>
      </c>
      <c r="C4996">
        <f t="shared" si="312"/>
        <v>3015.1200000000003</v>
      </c>
      <c r="D4996">
        <f t="shared" si="313"/>
        <v>1156</v>
      </c>
      <c r="E4996">
        <f t="shared" si="314"/>
        <v>7864.1424000000015</v>
      </c>
      <c r="F4996">
        <f t="shared" si="315"/>
        <v>1156</v>
      </c>
    </row>
    <row r="4997" spans="1:6" x14ac:dyDescent="0.3">
      <c r="A4997">
        <v>59</v>
      </c>
      <c r="B4997">
        <v>182.52</v>
      </c>
      <c r="C4997">
        <f t="shared" si="312"/>
        <v>10768.68</v>
      </c>
      <c r="D4997">
        <f t="shared" si="313"/>
        <v>3481</v>
      </c>
      <c r="E4997">
        <f t="shared" si="314"/>
        <v>33313.550400000007</v>
      </c>
      <c r="F4997">
        <f t="shared" si="315"/>
        <v>3481</v>
      </c>
    </row>
    <row r="4998" spans="1:6" x14ac:dyDescent="0.3">
      <c r="A4998">
        <v>40</v>
      </c>
      <c r="B4998">
        <v>93.97</v>
      </c>
      <c r="C4998">
        <f t="shared" si="312"/>
        <v>3758.8</v>
      </c>
      <c r="D4998">
        <f t="shared" si="313"/>
        <v>1600</v>
      </c>
      <c r="E4998">
        <f t="shared" si="314"/>
        <v>8830.3608999999997</v>
      </c>
      <c r="F4998">
        <f t="shared" si="315"/>
        <v>1600</v>
      </c>
    </row>
    <row r="4999" spans="1:6" x14ac:dyDescent="0.3">
      <c r="A4999">
        <v>8</v>
      </c>
      <c r="B4999">
        <v>104.03</v>
      </c>
      <c r="C4999">
        <f t="shared" si="312"/>
        <v>832.24</v>
      </c>
      <c r="D4999">
        <f t="shared" si="313"/>
        <v>64</v>
      </c>
      <c r="E4999">
        <f t="shared" si="314"/>
        <v>10822.240900000001</v>
      </c>
      <c r="F4999">
        <f t="shared" si="315"/>
        <v>64</v>
      </c>
    </row>
    <row r="5000" spans="1:6" x14ac:dyDescent="0.3">
      <c r="A5000">
        <v>24</v>
      </c>
      <c r="B5000">
        <v>67.989999999999995</v>
      </c>
      <c r="C5000">
        <f t="shared" si="312"/>
        <v>1631.7599999999998</v>
      </c>
      <c r="D5000">
        <f t="shared" si="313"/>
        <v>576</v>
      </c>
      <c r="E5000">
        <f t="shared" si="314"/>
        <v>4622.6400999999996</v>
      </c>
      <c r="F5000">
        <f t="shared" si="315"/>
        <v>576</v>
      </c>
    </row>
    <row r="5001" spans="1:6" x14ac:dyDescent="0.3">
      <c r="A5001">
        <v>18</v>
      </c>
      <c r="B5001">
        <v>83.37</v>
      </c>
      <c r="C5001">
        <f t="shared" si="312"/>
        <v>1500.66</v>
      </c>
      <c r="D5001">
        <f t="shared" si="313"/>
        <v>324</v>
      </c>
      <c r="E5001">
        <f t="shared" si="314"/>
        <v>6950.5569000000005</v>
      </c>
      <c r="F5001">
        <f t="shared" si="315"/>
        <v>324</v>
      </c>
    </row>
    <row r="5002" spans="1:6" x14ac:dyDescent="0.3">
      <c r="A5002">
        <v>20</v>
      </c>
      <c r="B5002">
        <v>124.66</v>
      </c>
      <c r="C5002">
        <f t="shared" si="312"/>
        <v>2493.1999999999998</v>
      </c>
      <c r="D5002">
        <f t="shared" si="313"/>
        <v>400</v>
      </c>
      <c r="E5002">
        <f t="shared" si="314"/>
        <v>15540.115599999999</v>
      </c>
      <c r="F5002">
        <f t="shared" si="315"/>
        <v>400</v>
      </c>
    </row>
    <row r="5003" spans="1:6" x14ac:dyDescent="0.3">
      <c r="A5003">
        <v>70</v>
      </c>
      <c r="B5003">
        <v>212.87</v>
      </c>
      <c r="C5003">
        <f t="shared" si="312"/>
        <v>14900.9</v>
      </c>
      <c r="D5003">
        <f t="shared" si="313"/>
        <v>4900</v>
      </c>
      <c r="E5003">
        <f t="shared" si="314"/>
        <v>45313.636900000005</v>
      </c>
      <c r="F5003">
        <f t="shared" si="315"/>
        <v>4900</v>
      </c>
    </row>
    <row r="5004" spans="1:6" x14ac:dyDescent="0.3">
      <c r="A5004">
        <v>68</v>
      </c>
      <c r="B5004">
        <v>96.75</v>
      </c>
      <c r="C5004">
        <f t="shared" si="312"/>
        <v>6579</v>
      </c>
      <c r="D5004">
        <f t="shared" si="313"/>
        <v>4624</v>
      </c>
      <c r="E5004">
        <f t="shared" si="314"/>
        <v>9360.5625</v>
      </c>
      <c r="F5004">
        <f t="shared" si="315"/>
        <v>4624</v>
      </c>
    </row>
    <row r="5005" spans="1:6" x14ac:dyDescent="0.3">
      <c r="A5005">
        <v>17</v>
      </c>
      <c r="B5005">
        <v>63.28</v>
      </c>
      <c r="C5005">
        <f t="shared" si="312"/>
        <v>1075.76</v>
      </c>
      <c r="D5005">
        <f t="shared" si="313"/>
        <v>289</v>
      </c>
      <c r="E5005">
        <f t="shared" si="314"/>
        <v>4004.3584000000001</v>
      </c>
      <c r="F5005">
        <f t="shared" si="315"/>
        <v>289</v>
      </c>
    </row>
    <row r="5006" spans="1:6" x14ac:dyDescent="0.3">
      <c r="A5006">
        <v>17</v>
      </c>
      <c r="B5006">
        <v>82.64</v>
      </c>
      <c r="C5006">
        <f t="shared" si="312"/>
        <v>1404.88</v>
      </c>
      <c r="D5006">
        <f t="shared" si="313"/>
        <v>289</v>
      </c>
      <c r="E5006">
        <f t="shared" si="314"/>
        <v>6829.3696</v>
      </c>
      <c r="F5006">
        <f t="shared" si="315"/>
        <v>289</v>
      </c>
    </row>
    <row r="5007" spans="1:6" x14ac:dyDescent="0.3">
      <c r="A5007">
        <v>21</v>
      </c>
      <c r="B5007">
        <v>71.34</v>
      </c>
      <c r="C5007">
        <f t="shared" si="312"/>
        <v>1498.14</v>
      </c>
      <c r="D5007">
        <f t="shared" si="313"/>
        <v>441</v>
      </c>
      <c r="E5007">
        <f t="shared" si="314"/>
        <v>5089.3956000000007</v>
      </c>
      <c r="F5007">
        <f t="shared" si="315"/>
        <v>441</v>
      </c>
    </row>
    <row r="5008" spans="1:6" x14ac:dyDescent="0.3">
      <c r="A5008">
        <v>38</v>
      </c>
      <c r="B5008">
        <v>183.43</v>
      </c>
      <c r="C5008">
        <f t="shared" si="312"/>
        <v>6970.34</v>
      </c>
      <c r="D5008">
        <f t="shared" si="313"/>
        <v>1444</v>
      </c>
      <c r="E5008">
        <f t="shared" si="314"/>
        <v>33646.564900000005</v>
      </c>
      <c r="F5008">
        <f t="shared" si="315"/>
        <v>1444</v>
      </c>
    </row>
    <row r="5009" spans="1:6" x14ac:dyDescent="0.3">
      <c r="A5009">
        <v>59</v>
      </c>
      <c r="B5009">
        <v>101.19</v>
      </c>
      <c r="C5009">
        <f t="shared" si="312"/>
        <v>5970.21</v>
      </c>
      <c r="D5009">
        <f t="shared" si="313"/>
        <v>3481</v>
      </c>
      <c r="E5009">
        <f t="shared" si="314"/>
        <v>10239.4161</v>
      </c>
      <c r="F5009">
        <f t="shared" si="315"/>
        <v>3481</v>
      </c>
    </row>
    <row r="5010" spans="1:6" x14ac:dyDescent="0.3">
      <c r="A5010">
        <v>79</v>
      </c>
      <c r="B5010">
        <v>88.51</v>
      </c>
      <c r="C5010">
        <f t="shared" si="312"/>
        <v>6992.29</v>
      </c>
      <c r="D5010">
        <f t="shared" si="313"/>
        <v>6241</v>
      </c>
      <c r="E5010">
        <f t="shared" si="314"/>
        <v>7834.0201000000006</v>
      </c>
      <c r="F5010">
        <f t="shared" si="315"/>
        <v>6241</v>
      </c>
    </row>
    <row r="5011" spans="1:6" x14ac:dyDescent="0.3">
      <c r="A5011">
        <v>50</v>
      </c>
      <c r="B5011">
        <v>126.85</v>
      </c>
      <c r="C5011">
        <f t="shared" si="312"/>
        <v>6342.5</v>
      </c>
      <c r="D5011">
        <f t="shared" si="313"/>
        <v>2500</v>
      </c>
      <c r="E5011">
        <f t="shared" si="314"/>
        <v>16090.922499999999</v>
      </c>
      <c r="F5011">
        <f t="shared" si="315"/>
        <v>2500</v>
      </c>
    </row>
    <row r="5012" spans="1:6" x14ac:dyDescent="0.3">
      <c r="A5012">
        <v>72</v>
      </c>
      <c r="B5012">
        <v>74.17</v>
      </c>
      <c r="C5012">
        <f t="shared" si="312"/>
        <v>5340.24</v>
      </c>
      <c r="D5012">
        <f t="shared" si="313"/>
        <v>5184</v>
      </c>
      <c r="E5012">
        <f t="shared" si="314"/>
        <v>5501.1889000000001</v>
      </c>
      <c r="F5012">
        <f t="shared" si="315"/>
        <v>5184</v>
      </c>
    </row>
    <row r="5013" spans="1:6" x14ac:dyDescent="0.3">
      <c r="A5013">
        <v>54</v>
      </c>
      <c r="B5013">
        <v>76.040000000000006</v>
      </c>
      <c r="C5013">
        <f t="shared" si="312"/>
        <v>4106.1600000000008</v>
      </c>
      <c r="D5013">
        <f t="shared" si="313"/>
        <v>2916</v>
      </c>
      <c r="E5013">
        <f t="shared" si="314"/>
        <v>5782.0816000000013</v>
      </c>
      <c r="F5013">
        <f t="shared" si="315"/>
        <v>2916</v>
      </c>
    </row>
    <row r="5014" spans="1:6" x14ac:dyDescent="0.3">
      <c r="A5014">
        <v>44</v>
      </c>
      <c r="B5014">
        <v>73.87</v>
      </c>
      <c r="C5014">
        <f t="shared" si="312"/>
        <v>3250.28</v>
      </c>
      <c r="D5014">
        <f t="shared" si="313"/>
        <v>1936</v>
      </c>
      <c r="E5014">
        <f t="shared" si="314"/>
        <v>5456.7769000000008</v>
      </c>
      <c r="F5014">
        <f t="shared" si="315"/>
        <v>1936</v>
      </c>
    </row>
    <row r="5015" spans="1:6" x14ac:dyDescent="0.3">
      <c r="A5015">
        <v>48</v>
      </c>
      <c r="B5015">
        <v>99.07</v>
      </c>
      <c r="C5015">
        <f t="shared" si="312"/>
        <v>4755.3599999999997</v>
      </c>
      <c r="D5015">
        <f t="shared" si="313"/>
        <v>2304</v>
      </c>
      <c r="E5015">
        <f t="shared" si="314"/>
        <v>9814.8648999999987</v>
      </c>
      <c r="F5015">
        <f t="shared" si="315"/>
        <v>2304</v>
      </c>
    </row>
    <row r="5016" spans="1:6" x14ac:dyDescent="0.3">
      <c r="A5016">
        <v>29</v>
      </c>
      <c r="B5016">
        <v>82.93</v>
      </c>
      <c r="C5016">
        <f t="shared" si="312"/>
        <v>2404.9700000000003</v>
      </c>
      <c r="D5016">
        <f t="shared" si="313"/>
        <v>841</v>
      </c>
      <c r="E5016">
        <f t="shared" si="314"/>
        <v>6877.3849000000009</v>
      </c>
      <c r="F5016">
        <f t="shared" si="315"/>
        <v>841</v>
      </c>
    </row>
    <row r="5017" spans="1:6" x14ac:dyDescent="0.3">
      <c r="A5017">
        <v>44</v>
      </c>
      <c r="B5017">
        <v>133.24</v>
      </c>
      <c r="C5017">
        <f t="shared" si="312"/>
        <v>5862.56</v>
      </c>
      <c r="D5017">
        <f t="shared" si="313"/>
        <v>1936</v>
      </c>
      <c r="E5017">
        <f t="shared" si="314"/>
        <v>17752.897600000004</v>
      </c>
      <c r="F5017">
        <f t="shared" si="315"/>
        <v>1936</v>
      </c>
    </row>
    <row r="5018" spans="1:6" x14ac:dyDescent="0.3">
      <c r="A5018">
        <v>61</v>
      </c>
      <c r="B5018">
        <v>69.88</v>
      </c>
      <c r="C5018">
        <f t="shared" si="312"/>
        <v>4262.6799999999994</v>
      </c>
      <c r="D5018">
        <f t="shared" si="313"/>
        <v>3721</v>
      </c>
      <c r="E5018">
        <f t="shared" si="314"/>
        <v>4883.2143999999989</v>
      </c>
      <c r="F5018">
        <f t="shared" si="315"/>
        <v>3721</v>
      </c>
    </row>
    <row r="5019" spans="1:6" x14ac:dyDescent="0.3">
      <c r="A5019">
        <v>58</v>
      </c>
      <c r="B5019">
        <v>69.12</v>
      </c>
      <c r="C5019">
        <f t="shared" si="312"/>
        <v>4008.96</v>
      </c>
      <c r="D5019">
        <f t="shared" si="313"/>
        <v>3364</v>
      </c>
      <c r="E5019">
        <f t="shared" si="314"/>
        <v>4777.5744000000004</v>
      </c>
      <c r="F5019">
        <f t="shared" si="315"/>
        <v>3364</v>
      </c>
    </row>
    <row r="5020" spans="1:6" x14ac:dyDescent="0.3">
      <c r="A5020">
        <v>81</v>
      </c>
      <c r="B5020">
        <v>86.05</v>
      </c>
      <c r="C5020">
        <f t="shared" si="312"/>
        <v>6970.05</v>
      </c>
      <c r="D5020">
        <f t="shared" si="313"/>
        <v>6561</v>
      </c>
      <c r="E5020">
        <f t="shared" si="314"/>
        <v>7404.6025</v>
      </c>
      <c r="F5020">
        <f t="shared" si="315"/>
        <v>6561</v>
      </c>
    </row>
    <row r="5021" spans="1:6" x14ac:dyDescent="0.3">
      <c r="A5021">
        <v>29</v>
      </c>
      <c r="B5021">
        <v>185.27</v>
      </c>
      <c r="C5021">
        <f t="shared" si="312"/>
        <v>5372.83</v>
      </c>
      <c r="D5021">
        <f t="shared" si="313"/>
        <v>841</v>
      </c>
      <c r="E5021">
        <f t="shared" si="314"/>
        <v>34324.972900000001</v>
      </c>
      <c r="F5021">
        <f t="shared" si="315"/>
        <v>841</v>
      </c>
    </row>
    <row r="5022" spans="1:6" x14ac:dyDescent="0.3">
      <c r="A5022">
        <v>5</v>
      </c>
      <c r="B5022">
        <v>97.46</v>
      </c>
      <c r="C5022">
        <f t="shared" si="312"/>
        <v>487.29999999999995</v>
      </c>
      <c r="D5022">
        <f t="shared" si="313"/>
        <v>25</v>
      </c>
      <c r="E5022">
        <f t="shared" si="314"/>
        <v>9498.4515999999985</v>
      </c>
      <c r="F5022">
        <f t="shared" si="315"/>
        <v>25</v>
      </c>
    </row>
    <row r="5023" spans="1:6" x14ac:dyDescent="0.3">
      <c r="A5023">
        <v>35</v>
      </c>
      <c r="B5023">
        <v>81.900000000000006</v>
      </c>
      <c r="C5023">
        <f t="shared" si="312"/>
        <v>2866.5</v>
      </c>
      <c r="D5023">
        <f t="shared" si="313"/>
        <v>1225</v>
      </c>
      <c r="E5023">
        <f t="shared" si="314"/>
        <v>6707.6100000000006</v>
      </c>
      <c r="F5023">
        <f t="shared" si="315"/>
        <v>1225</v>
      </c>
    </row>
    <row r="5024" spans="1:6" x14ac:dyDescent="0.3">
      <c r="A5024">
        <v>40</v>
      </c>
      <c r="B5024">
        <v>99.58</v>
      </c>
      <c r="C5024">
        <f t="shared" si="312"/>
        <v>3983.2</v>
      </c>
      <c r="D5024">
        <f t="shared" si="313"/>
        <v>1600</v>
      </c>
      <c r="E5024">
        <f t="shared" si="314"/>
        <v>9916.1764000000003</v>
      </c>
      <c r="F5024">
        <f t="shared" si="315"/>
        <v>1600</v>
      </c>
    </row>
    <row r="5025" spans="1:6" x14ac:dyDescent="0.3">
      <c r="A5025">
        <v>37</v>
      </c>
      <c r="B5025">
        <v>124.54</v>
      </c>
      <c r="C5025">
        <f t="shared" si="312"/>
        <v>4607.9800000000005</v>
      </c>
      <c r="D5025">
        <f t="shared" si="313"/>
        <v>1369</v>
      </c>
      <c r="E5025">
        <f t="shared" si="314"/>
        <v>15510.211600000002</v>
      </c>
      <c r="F5025">
        <f t="shared" si="315"/>
        <v>1369</v>
      </c>
    </row>
    <row r="5026" spans="1:6" x14ac:dyDescent="0.3">
      <c r="A5026">
        <v>33</v>
      </c>
      <c r="B5026">
        <v>153.34</v>
      </c>
      <c r="C5026">
        <f t="shared" si="312"/>
        <v>5060.22</v>
      </c>
      <c r="D5026">
        <f t="shared" si="313"/>
        <v>1089</v>
      </c>
      <c r="E5026">
        <f t="shared" si="314"/>
        <v>23513.155600000002</v>
      </c>
      <c r="F5026">
        <f t="shared" si="315"/>
        <v>1089</v>
      </c>
    </row>
    <row r="5027" spans="1:6" x14ac:dyDescent="0.3">
      <c r="A5027">
        <v>35</v>
      </c>
      <c r="B5027">
        <v>112.35</v>
      </c>
      <c r="C5027">
        <f t="shared" si="312"/>
        <v>3932.25</v>
      </c>
      <c r="D5027">
        <f t="shared" si="313"/>
        <v>1225</v>
      </c>
      <c r="E5027">
        <f t="shared" si="314"/>
        <v>12622.522499999999</v>
      </c>
      <c r="F5027">
        <f t="shared" si="315"/>
        <v>1225</v>
      </c>
    </row>
    <row r="5028" spans="1:6" x14ac:dyDescent="0.3">
      <c r="A5028">
        <v>38</v>
      </c>
      <c r="B5028">
        <v>160.76</v>
      </c>
      <c r="C5028">
        <f t="shared" si="312"/>
        <v>6108.8799999999992</v>
      </c>
      <c r="D5028">
        <f t="shared" si="313"/>
        <v>1444</v>
      </c>
      <c r="E5028">
        <f t="shared" si="314"/>
        <v>25843.777599999998</v>
      </c>
      <c r="F5028">
        <f t="shared" si="315"/>
        <v>1444</v>
      </c>
    </row>
    <row r="5029" spans="1:6" x14ac:dyDescent="0.3">
      <c r="A5029">
        <v>26</v>
      </c>
      <c r="B5029">
        <v>73.290000000000006</v>
      </c>
      <c r="C5029">
        <f t="shared" si="312"/>
        <v>1905.5400000000002</v>
      </c>
      <c r="D5029">
        <f t="shared" si="313"/>
        <v>676</v>
      </c>
      <c r="E5029">
        <f t="shared" si="314"/>
        <v>5371.4241000000011</v>
      </c>
      <c r="F5029">
        <f t="shared" si="315"/>
        <v>676</v>
      </c>
    </row>
    <row r="5030" spans="1:6" x14ac:dyDescent="0.3">
      <c r="A5030">
        <v>10</v>
      </c>
      <c r="B5030">
        <v>108.08</v>
      </c>
      <c r="C5030">
        <f t="shared" si="312"/>
        <v>1080.8</v>
      </c>
      <c r="D5030">
        <f t="shared" si="313"/>
        <v>100</v>
      </c>
      <c r="E5030">
        <f t="shared" si="314"/>
        <v>11681.286399999999</v>
      </c>
      <c r="F5030">
        <f t="shared" si="315"/>
        <v>100</v>
      </c>
    </row>
    <row r="5031" spans="1:6" x14ac:dyDescent="0.3">
      <c r="A5031">
        <v>72</v>
      </c>
      <c r="B5031">
        <v>206.49</v>
      </c>
      <c r="C5031">
        <f t="shared" si="312"/>
        <v>14867.28</v>
      </c>
      <c r="D5031">
        <f t="shared" si="313"/>
        <v>5184</v>
      </c>
      <c r="E5031">
        <f t="shared" si="314"/>
        <v>42638.120100000007</v>
      </c>
      <c r="F5031">
        <f t="shared" si="315"/>
        <v>5184</v>
      </c>
    </row>
    <row r="5032" spans="1:6" x14ac:dyDescent="0.3">
      <c r="A5032">
        <v>21</v>
      </c>
      <c r="B5032">
        <v>77.42</v>
      </c>
      <c r="C5032">
        <f t="shared" si="312"/>
        <v>1625.82</v>
      </c>
      <c r="D5032">
        <f t="shared" si="313"/>
        <v>441</v>
      </c>
      <c r="E5032">
        <f t="shared" si="314"/>
        <v>5993.8564000000006</v>
      </c>
      <c r="F5032">
        <f t="shared" si="315"/>
        <v>441</v>
      </c>
    </row>
    <row r="5033" spans="1:6" x14ac:dyDescent="0.3">
      <c r="A5033">
        <v>20</v>
      </c>
      <c r="B5033">
        <v>117.59</v>
      </c>
      <c r="C5033">
        <f t="shared" si="312"/>
        <v>2351.8000000000002</v>
      </c>
      <c r="D5033">
        <f t="shared" si="313"/>
        <v>400</v>
      </c>
      <c r="E5033">
        <f t="shared" si="314"/>
        <v>13827.408100000001</v>
      </c>
      <c r="F5033">
        <f t="shared" si="315"/>
        <v>400</v>
      </c>
    </row>
    <row r="5034" spans="1:6" x14ac:dyDescent="0.3">
      <c r="A5034">
        <v>1.24</v>
      </c>
      <c r="B5034">
        <v>61.94</v>
      </c>
      <c r="C5034">
        <f t="shared" si="312"/>
        <v>76.805599999999998</v>
      </c>
      <c r="D5034">
        <f t="shared" si="313"/>
        <v>1.5376000000000001</v>
      </c>
      <c r="E5034">
        <f t="shared" si="314"/>
        <v>3836.5635999999995</v>
      </c>
      <c r="F5034">
        <f t="shared" si="315"/>
        <v>1.5376000000000001</v>
      </c>
    </row>
    <row r="5035" spans="1:6" x14ac:dyDescent="0.3">
      <c r="A5035">
        <v>26</v>
      </c>
      <c r="B5035">
        <v>116.68</v>
      </c>
      <c r="C5035">
        <f t="shared" si="312"/>
        <v>3033.6800000000003</v>
      </c>
      <c r="D5035">
        <f t="shared" si="313"/>
        <v>676</v>
      </c>
      <c r="E5035">
        <f t="shared" si="314"/>
        <v>13614.222400000002</v>
      </c>
      <c r="F5035">
        <f t="shared" si="315"/>
        <v>676</v>
      </c>
    </row>
    <row r="5036" spans="1:6" x14ac:dyDescent="0.3">
      <c r="A5036">
        <v>79</v>
      </c>
      <c r="B5036">
        <v>253.86</v>
      </c>
      <c r="C5036">
        <f t="shared" si="312"/>
        <v>20054.940000000002</v>
      </c>
      <c r="D5036">
        <f t="shared" si="313"/>
        <v>6241</v>
      </c>
      <c r="E5036">
        <f t="shared" si="314"/>
        <v>64444.899600000004</v>
      </c>
      <c r="F5036">
        <f t="shared" si="315"/>
        <v>6241</v>
      </c>
    </row>
    <row r="5037" spans="1:6" x14ac:dyDescent="0.3">
      <c r="A5037">
        <v>78</v>
      </c>
      <c r="B5037">
        <v>203.36</v>
      </c>
      <c r="C5037">
        <f t="shared" si="312"/>
        <v>15862.080000000002</v>
      </c>
      <c r="D5037">
        <f t="shared" si="313"/>
        <v>6084</v>
      </c>
      <c r="E5037">
        <f t="shared" si="314"/>
        <v>41355.289600000004</v>
      </c>
      <c r="F5037">
        <f t="shared" si="315"/>
        <v>6084</v>
      </c>
    </row>
    <row r="5038" spans="1:6" x14ac:dyDescent="0.3">
      <c r="A5038">
        <v>56</v>
      </c>
      <c r="B5038">
        <v>125.87</v>
      </c>
      <c r="C5038">
        <f t="shared" si="312"/>
        <v>7048.72</v>
      </c>
      <c r="D5038">
        <f t="shared" si="313"/>
        <v>3136</v>
      </c>
      <c r="E5038">
        <f t="shared" si="314"/>
        <v>15843.2569</v>
      </c>
      <c r="F5038">
        <f t="shared" si="315"/>
        <v>3136</v>
      </c>
    </row>
    <row r="5039" spans="1:6" x14ac:dyDescent="0.3">
      <c r="A5039">
        <v>46</v>
      </c>
      <c r="B5039">
        <v>64.09</v>
      </c>
      <c r="C5039">
        <f t="shared" si="312"/>
        <v>2948.1400000000003</v>
      </c>
      <c r="D5039">
        <f t="shared" si="313"/>
        <v>2116</v>
      </c>
      <c r="E5039">
        <f t="shared" si="314"/>
        <v>4107.5281000000004</v>
      </c>
      <c r="F5039">
        <f t="shared" si="315"/>
        <v>2116</v>
      </c>
    </row>
    <row r="5040" spans="1:6" x14ac:dyDescent="0.3">
      <c r="A5040">
        <v>55</v>
      </c>
      <c r="B5040">
        <v>65.33</v>
      </c>
      <c r="C5040">
        <f t="shared" si="312"/>
        <v>3593.15</v>
      </c>
      <c r="D5040">
        <f t="shared" si="313"/>
        <v>3025</v>
      </c>
      <c r="E5040">
        <f t="shared" si="314"/>
        <v>4268.0088999999998</v>
      </c>
      <c r="F5040">
        <f t="shared" si="315"/>
        <v>3025</v>
      </c>
    </row>
    <row r="5041" spans="1:6" x14ac:dyDescent="0.3">
      <c r="A5041">
        <v>41</v>
      </c>
      <c r="B5041">
        <v>70.150000000000006</v>
      </c>
      <c r="C5041">
        <f t="shared" si="312"/>
        <v>2876.15</v>
      </c>
      <c r="D5041">
        <f t="shared" si="313"/>
        <v>1681</v>
      </c>
      <c r="E5041">
        <f t="shared" si="314"/>
        <v>4921.0225000000009</v>
      </c>
      <c r="F5041">
        <f t="shared" si="315"/>
        <v>1681</v>
      </c>
    </row>
    <row r="5042" spans="1:6" x14ac:dyDescent="0.3">
      <c r="A5042">
        <v>30</v>
      </c>
      <c r="B5042">
        <v>96.84</v>
      </c>
      <c r="C5042">
        <f t="shared" si="312"/>
        <v>2905.2000000000003</v>
      </c>
      <c r="D5042">
        <f t="shared" si="313"/>
        <v>900</v>
      </c>
      <c r="E5042">
        <f t="shared" si="314"/>
        <v>9377.9856</v>
      </c>
      <c r="F5042">
        <f t="shared" si="315"/>
        <v>900</v>
      </c>
    </row>
    <row r="5043" spans="1:6" x14ac:dyDescent="0.3">
      <c r="A5043">
        <v>53</v>
      </c>
      <c r="B5043">
        <v>175.92</v>
      </c>
      <c r="C5043">
        <f t="shared" si="312"/>
        <v>9323.76</v>
      </c>
      <c r="D5043">
        <f t="shared" si="313"/>
        <v>2809</v>
      </c>
      <c r="E5043">
        <f t="shared" si="314"/>
        <v>30947.846399999995</v>
      </c>
      <c r="F5043">
        <f t="shared" si="315"/>
        <v>2809</v>
      </c>
    </row>
    <row r="5044" spans="1:6" x14ac:dyDescent="0.3">
      <c r="A5044">
        <v>32</v>
      </c>
      <c r="B5044">
        <v>100.65</v>
      </c>
      <c r="C5044">
        <f t="shared" si="312"/>
        <v>3220.8</v>
      </c>
      <c r="D5044">
        <f t="shared" si="313"/>
        <v>1024</v>
      </c>
      <c r="E5044">
        <f t="shared" si="314"/>
        <v>10130.422500000001</v>
      </c>
      <c r="F5044">
        <f t="shared" si="315"/>
        <v>1024</v>
      </c>
    </row>
    <row r="5045" spans="1:6" x14ac:dyDescent="0.3">
      <c r="A5045">
        <v>38</v>
      </c>
      <c r="B5045">
        <v>112.39</v>
      </c>
      <c r="C5045">
        <f t="shared" si="312"/>
        <v>4270.82</v>
      </c>
      <c r="D5045">
        <f t="shared" si="313"/>
        <v>1444</v>
      </c>
      <c r="E5045">
        <f t="shared" si="314"/>
        <v>12631.5121</v>
      </c>
      <c r="F5045">
        <f t="shared" si="315"/>
        <v>1444</v>
      </c>
    </row>
    <row r="5046" spans="1:6" x14ac:dyDescent="0.3">
      <c r="A5046">
        <v>33</v>
      </c>
      <c r="B5046">
        <v>81.099999999999994</v>
      </c>
      <c r="C5046">
        <f t="shared" si="312"/>
        <v>2676.2999999999997</v>
      </c>
      <c r="D5046">
        <f t="shared" si="313"/>
        <v>1089</v>
      </c>
      <c r="E5046">
        <f t="shared" si="314"/>
        <v>6577.2099999999991</v>
      </c>
      <c r="F5046">
        <f t="shared" si="315"/>
        <v>1089</v>
      </c>
    </row>
    <row r="5047" spans="1:6" x14ac:dyDescent="0.3">
      <c r="A5047">
        <v>44</v>
      </c>
      <c r="B5047">
        <v>98.3</v>
      </c>
      <c r="C5047">
        <f t="shared" si="312"/>
        <v>4325.2</v>
      </c>
      <c r="D5047">
        <f t="shared" si="313"/>
        <v>1936</v>
      </c>
      <c r="E5047">
        <f t="shared" si="314"/>
        <v>9662.89</v>
      </c>
      <c r="F5047">
        <f t="shared" si="315"/>
        <v>1936</v>
      </c>
    </row>
    <row r="5048" spans="1:6" x14ac:dyDescent="0.3">
      <c r="A5048">
        <v>44</v>
      </c>
      <c r="B5048">
        <v>89.68</v>
      </c>
      <c r="C5048">
        <f t="shared" si="312"/>
        <v>3945.92</v>
      </c>
      <c r="D5048">
        <f t="shared" si="313"/>
        <v>1936</v>
      </c>
      <c r="E5048">
        <f t="shared" si="314"/>
        <v>8042.5024000000012</v>
      </c>
      <c r="F5048">
        <f t="shared" si="315"/>
        <v>1936</v>
      </c>
    </row>
    <row r="5049" spans="1:6" x14ac:dyDescent="0.3">
      <c r="A5049">
        <v>51</v>
      </c>
      <c r="B5049">
        <v>95.16</v>
      </c>
      <c r="C5049">
        <f t="shared" si="312"/>
        <v>4853.16</v>
      </c>
      <c r="D5049">
        <f t="shared" si="313"/>
        <v>2601</v>
      </c>
      <c r="E5049">
        <f t="shared" si="314"/>
        <v>9055.4255999999987</v>
      </c>
      <c r="F5049">
        <f t="shared" si="315"/>
        <v>2601</v>
      </c>
    </row>
    <row r="5050" spans="1:6" x14ac:dyDescent="0.3">
      <c r="A5050">
        <v>40</v>
      </c>
      <c r="B5050">
        <v>191.15</v>
      </c>
      <c r="C5050">
        <f t="shared" si="312"/>
        <v>7646</v>
      </c>
      <c r="D5050">
        <f t="shared" si="313"/>
        <v>1600</v>
      </c>
      <c r="E5050">
        <f t="shared" si="314"/>
        <v>36538.322500000002</v>
      </c>
      <c r="F5050">
        <f t="shared" si="315"/>
        <v>1600</v>
      </c>
    </row>
    <row r="5051" spans="1:6" x14ac:dyDescent="0.3">
      <c r="A5051">
        <v>41</v>
      </c>
      <c r="B5051">
        <v>91.04</v>
      </c>
      <c r="C5051">
        <f t="shared" si="312"/>
        <v>3732.6400000000003</v>
      </c>
      <c r="D5051">
        <f t="shared" si="313"/>
        <v>1681</v>
      </c>
      <c r="E5051">
        <f t="shared" si="314"/>
        <v>8288.2816000000003</v>
      </c>
      <c r="F5051">
        <f t="shared" si="315"/>
        <v>1681</v>
      </c>
    </row>
    <row r="5052" spans="1:6" x14ac:dyDescent="0.3">
      <c r="A5052">
        <v>5</v>
      </c>
      <c r="B5052">
        <v>101.87</v>
      </c>
      <c r="C5052">
        <f t="shared" si="312"/>
        <v>509.35</v>
      </c>
      <c r="D5052">
        <f t="shared" si="313"/>
        <v>25</v>
      </c>
      <c r="E5052">
        <f t="shared" si="314"/>
        <v>10377.4969</v>
      </c>
      <c r="F5052">
        <f t="shared" si="315"/>
        <v>25</v>
      </c>
    </row>
    <row r="5053" spans="1:6" x14ac:dyDescent="0.3">
      <c r="A5053">
        <v>42</v>
      </c>
      <c r="B5053">
        <v>96.86</v>
      </c>
      <c r="C5053">
        <f t="shared" si="312"/>
        <v>4068.12</v>
      </c>
      <c r="D5053">
        <f t="shared" si="313"/>
        <v>1764</v>
      </c>
      <c r="E5053">
        <f t="shared" si="314"/>
        <v>9381.8595999999998</v>
      </c>
      <c r="F5053">
        <f t="shared" si="315"/>
        <v>1764</v>
      </c>
    </row>
    <row r="5054" spans="1:6" x14ac:dyDescent="0.3">
      <c r="A5054">
        <v>6</v>
      </c>
      <c r="B5054">
        <v>91.05</v>
      </c>
      <c r="C5054">
        <f t="shared" si="312"/>
        <v>546.29999999999995</v>
      </c>
      <c r="D5054">
        <f t="shared" si="313"/>
        <v>36</v>
      </c>
      <c r="E5054">
        <f t="shared" si="314"/>
        <v>8290.1024999999991</v>
      </c>
      <c r="F5054">
        <f t="shared" si="315"/>
        <v>36</v>
      </c>
    </row>
    <row r="5055" spans="1:6" x14ac:dyDescent="0.3">
      <c r="A5055">
        <v>46</v>
      </c>
      <c r="B5055">
        <v>55.84</v>
      </c>
      <c r="C5055">
        <f t="shared" si="312"/>
        <v>2568.6400000000003</v>
      </c>
      <c r="D5055">
        <f t="shared" si="313"/>
        <v>2116</v>
      </c>
      <c r="E5055">
        <f t="shared" si="314"/>
        <v>3118.1056000000003</v>
      </c>
      <c r="F5055">
        <f t="shared" si="315"/>
        <v>2116</v>
      </c>
    </row>
    <row r="5056" spans="1:6" x14ac:dyDescent="0.3">
      <c r="A5056">
        <v>47</v>
      </c>
      <c r="B5056">
        <v>84.04</v>
      </c>
      <c r="C5056">
        <f t="shared" si="312"/>
        <v>3949.88</v>
      </c>
      <c r="D5056">
        <f t="shared" si="313"/>
        <v>2209</v>
      </c>
      <c r="E5056">
        <f t="shared" si="314"/>
        <v>7062.7216000000008</v>
      </c>
      <c r="F5056">
        <f t="shared" si="315"/>
        <v>2209</v>
      </c>
    </row>
    <row r="5057" spans="1:6" x14ac:dyDescent="0.3">
      <c r="A5057">
        <v>25</v>
      </c>
      <c r="B5057">
        <v>92.06</v>
      </c>
      <c r="C5057">
        <f t="shared" si="312"/>
        <v>2301.5</v>
      </c>
      <c r="D5057">
        <f t="shared" si="313"/>
        <v>625</v>
      </c>
      <c r="E5057">
        <f t="shared" si="314"/>
        <v>8475.0436000000009</v>
      </c>
      <c r="F5057">
        <f t="shared" si="315"/>
        <v>625</v>
      </c>
    </row>
    <row r="5058" spans="1:6" x14ac:dyDescent="0.3">
      <c r="A5058">
        <v>40</v>
      </c>
      <c r="B5058">
        <v>89.61</v>
      </c>
      <c r="C5058">
        <f t="shared" si="312"/>
        <v>3584.4</v>
      </c>
      <c r="D5058">
        <f t="shared" si="313"/>
        <v>1600</v>
      </c>
      <c r="E5058">
        <f t="shared" si="314"/>
        <v>8029.9520999999995</v>
      </c>
      <c r="F5058">
        <f t="shared" si="315"/>
        <v>1600</v>
      </c>
    </row>
    <row r="5059" spans="1:6" x14ac:dyDescent="0.3">
      <c r="A5059">
        <v>49</v>
      </c>
      <c r="B5059">
        <v>69.92</v>
      </c>
      <c r="C5059">
        <f t="shared" ref="C5059:C5111" si="316">A5059*B5059</f>
        <v>3426.08</v>
      </c>
      <c r="D5059">
        <f t="shared" ref="D5059:D5111" si="317">A5059*A5059</f>
        <v>2401</v>
      </c>
      <c r="E5059">
        <f t="shared" ref="E5059:E5111" si="318">B5059*B5059</f>
        <v>4888.8064000000004</v>
      </c>
      <c r="F5059">
        <f t="shared" ref="F5059:F5111" si="319">A5059^2</f>
        <v>2401</v>
      </c>
    </row>
    <row r="5060" spans="1:6" x14ac:dyDescent="0.3">
      <c r="A5060">
        <v>21</v>
      </c>
      <c r="B5060">
        <v>89.29</v>
      </c>
      <c r="C5060">
        <f t="shared" si="316"/>
        <v>1875.0900000000001</v>
      </c>
      <c r="D5060">
        <f t="shared" si="317"/>
        <v>441</v>
      </c>
      <c r="E5060">
        <f t="shared" si="318"/>
        <v>7972.7041000000008</v>
      </c>
      <c r="F5060">
        <f t="shared" si="319"/>
        <v>441</v>
      </c>
    </row>
    <row r="5061" spans="1:6" x14ac:dyDescent="0.3">
      <c r="A5061">
        <v>61</v>
      </c>
      <c r="B5061">
        <v>120.23</v>
      </c>
      <c r="C5061">
        <f t="shared" si="316"/>
        <v>7334.0300000000007</v>
      </c>
      <c r="D5061">
        <f t="shared" si="317"/>
        <v>3721</v>
      </c>
      <c r="E5061">
        <f t="shared" si="318"/>
        <v>14455.252900000001</v>
      </c>
      <c r="F5061">
        <f t="shared" si="319"/>
        <v>3721</v>
      </c>
    </row>
    <row r="5062" spans="1:6" x14ac:dyDescent="0.3">
      <c r="A5062">
        <v>78</v>
      </c>
      <c r="B5062">
        <v>60.22</v>
      </c>
      <c r="C5062">
        <f t="shared" si="316"/>
        <v>4697.16</v>
      </c>
      <c r="D5062">
        <f t="shared" si="317"/>
        <v>6084</v>
      </c>
      <c r="E5062">
        <f t="shared" si="318"/>
        <v>3626.4483999999998</v>
      </c>
      <c r="F5062">
        <f t="shared" si="319"/>
        <v>6084</v>
      </c>
    </row>
    <row r="5063" spans="1:6" x14ac:dyDescent="0.3">
      <c r="A5063">
        <v>41</v>
      </c>
      <c r="B5063">
        <v>223.78</v>
      </c>
      <c r="C5063">
        <f t="shared" si="316"/>
        <v>9174.98</v>
      </c>
      <c r="D5063">
        <f t="shared" si="317"/>
        <v>1681</v>
      </c>
      <c r="E5063">
        <f t="shared" si="318"/>
        <v>50077.488400000002</v>
      </c>
      <c r="F5063">
        <f t="shared" si="319"/>
        <v>1681</v>
      </c>
    </row>
    <row r="5064" spans="1:6" x14ac:dyDescent="0.3">
      <c r="A5064">
        <v>82</v>
      </c>
      <c r="B5064">
        <v>211.58</v>
      </c>
      <c r="C5064">
        <f t="shared" si="316"/>
        <v>17349.560000000001</v>
      </c>
      <c r="D5064">
        <f t="shared" si="317"/>
        <v>6724</v>
      </c>
      <c r="E5064">
        <f t="shared" si="318"/>
        <v>44766.096400000002</v>
      </c>
      <c r="F5064">
        <f t="shared" si="319"/>
        <v>6724</v>
      </c>
    </row>
    <row r="5065" spans="1:6" x14ac:dyDescent="0.3">
      <c r="A5065">
        <v>39</v>
      </c>
      <c r="B5065">
        <v>179.38</v>
      </c>
      <c r="C5065">
        <f t="shared" si="316"/>
        <v>6995.82</v>
      </c>
      <c r="D5065">
        <f t="shared" si="317"/>
        <v>1521</v>
      </c>
      <c r="E5065">
        <f t="shared" si="318"/>
        <v>32177.184399999998</v>
      </c>
      <c r="F5065">
        <f t="shared" si="319"/>
        <v>1521</v>
      </c>
    </row>
    <row r="5066" spans="1:6" x14ac:dyDescent="0.3">
      <c r="A5066">
        <v>70</v>
      </c>
      <c r="B5066">
        <v>193.88</v>
      </c>
      <c r="C5066">
        <f t="shared" si="316"/>
        <v>13571.6</v>
      </c>
      <c r="D5066">
        <f t="shared" si="317"/>
        <v>4900</v>
      </c>
      <c r="E5066">
        <f t="shared" si="318"/>
        <v>37589.454399999995</v>
      </c>
      <c r="F5066">
        <f t="shared" si="319"/>
        <v>4900</v>
      </c>
    </row>
    <row r="5067" spans="1:6" x14ac:dyDescent="0.3">
      <c r="A5067">
        <v>31</v>
      </c>
      <c r="B5067">
        <v>89.01</v>
      </c>
      <c r="C5067">
        <f t="shared" si="316"/>
        <v>2759.31</v>
      </c>
      <c r="D5067">
        <f t="shared" si="317"/>
        <v>961</v>
      </c>
      <c r="E5067">
        <f t="shared" si="318"/>
        <v>7922.7801000000009</v>
      </c>
      <c r="F5067">
        <f t="shared" si="319"/>
        <v>961</v>
      </c>
    </row>
    <row r="5068" spans="1:6" x14ac:dyDescent="0.3">
      <c r="A5068">
        <v>37</v>
      </c>
      <c r="B5068">
        <v>118.41</v>
      </c>
      <c r="C5068">
        <f t="shared" si="316"/>
        <v>4381.17</v>
      </c>
      <c r="D5068">
        <f t="shared" si="317"/>
        <v>1369</v>
      </c>
      <c r="E5068">
        <f t="shared" si="318"/>
        <v>14020.928099999999</v>
      </c>
      <c r="F5068">
        <f t="shared" si="319"/>
        <v>1369</v>
      </c>
    </row>
    <row r="5069" spans="1:6" x14ac:dyDescent="0.3">
      <c r="A5069">
        <v>21</v>
      </c>
      <c r="B5069">
        <v>138.51</v>
      </c>
      <c r="C5069">
        <f t="shared" si="316"/>
        <v>2908.71</v>
      </c>
      <c r="D5069">
        <f t="shared" si="317"/>
        <v>441</v>
      </c>
      <c r="E5069">
        <f t="shared" si="318"/>
        <v>19185.020099999998</v>
      </c>
      <c r="F5069">
        <f t="shared" si="319"/>
        <v>441</v>
      </c>
    </row>
    <row r="5070" spans="1:6" x14ac:dyDescent="0.3">
      <c r="A5070">
        <v>80</v>
      </c>
      <c r="B5070">
        <v>120.03</v>
      </c>
      <c r="C5070">
        <f t="shared" si="316"/>
        <v>9602.4</v>
      </c>
      <c r="D5070">
        <f t="shared" si="317"/>
        <v>6400</v>
      </c>
      <c r="E5070">
        <f t="shared" si="318"/>
        <v>14407.2009</v>
      </c>
      <c r="F5070">
        <f t="shared" si="319"/>
        <v>6400</v>
      </c>
    </row>
    <row r="5071" spans="1:6" x14ac:dyDescent="0.3">
      <c r="A5071">
        <v>21</v>
      </c>
      <c r="B5071">
        <v>91.01</v>
      </c>
      <c r="C5071">
        <f t="shared" si="316"/>
        <v>1911.21</v>
      </c>
      <c r="D5071">
        <f t="shared" si="317"/>
        <v>441</v>
      </c>
      <c r="E5071">
        <f t="shared" si="318"/>
        <v>8282.8201000000008</v>
      </c>
      <c r="F5071">
        <f t="shared" si="319"/>
        <v>441</v>
      </c>
    </row>
    <row r="5072" spans="1:6" x14ac:dyDescent="0.3">
      <c r="A5072">
        <v>5</v>
      </c>
      <c r="B5072">
        <v>61.98</v>
      </c>
      <c r="C5072">
        <f t="shared" si="316"/>
        <v>309.89999999999998</v>
      </c>
      <c r="D5072">
        <f t="shared" si="317"/>
        <v>25</v>
      </c>
      <c r="E5072">
        <f t="shared" si="318"/>
        <v>3841.5203999999994</v>
      </c>
      <c r="F5072">
        <f t="shared" si="319"/>
        <v>25</v>
      </c>
    </row>
    <row r="5073" spans="1:6" x14ac:dyDescent="0.3">
      <c r="A5073">
        <v>81</v>
      </c>
      <c r="B5073">
        <v>135.32</v>
      </c>
      <c r="C5073">
        <f t="shared" si="316"/>
        <v>10960.92</v>
      </c>
      <c r="D5073">
        <f t="shared" si="317"/>
        <v>6561</v>
      </c>
      <c r="E5073">
        <f t="shared" si="318"/>
        <v>18311.502399999998</v>
      </c>
      <c r="F5073">
        <f t="shared" si="319"/>
        <v>6561</v>
      </c>
    </row>
    <row r="5074" spans="1:6" x14ac:dyDescent="0.3">
      <c r="A5074">
        <v>35</v>
      </c>
      <c r="B5074">
        <v>58.72</v>
      </c>
      <c r="C5074">
        <f t="shared" si="316"/>
        <v>2055.1999999999998</v>
      </c>
      <c r="D5074">
        <f t="shared" si="317"/>
        <v>1225</v>
      </c>
      <c r="E5074">
        <f t="shared" si="318"/>
        <v>3448.0383999999999</v>
      </c>
      <c r="F5074">
        <f t="shared" si="319"/>
        <v>1225</v>
      </c>
    </row>
    <row r="5075" spans="1:6" x14ac:dyDescent="0.3">
      <c r="A5075">
        <v>24</v>
      </c>
      <c r="B5075">
        <v>90.42</v>
      </c>
      <c r="C5075">
        <f t="shared" si="316"/>
        <v>2170.08</v>
      </c>
      <c r="D5075">
        <f t="shared" si="317"/>
        <v>576</v>
      </c>
      <c r="E5075">
        <f t="shared" si="318"/>
        <v>8175.7764000000006</v>
      </c>
      <c r="F5075">
        <f t="shared" si="319"/>
        <v>576</v>
      </c>
    </row>
    <row r="5076" spans="1:6" x14ac:dyDescent="0.3">
      <c r="A5076">
        <v>52</v>
      </c>
      <c r="B5076">
        <v>104</v>
      </c>
      <c r="C5076">
        <f t="shared" si="316"/>
        <v>5408</v>
      </c>
      <c r="D5076">
        <f t="shared" si="317"/>
        <v>2704</v>
      </c>
      <c r="E5076">
        <f t="shared" si="318"/>
        <v>10816</v>
      </c>
      <c r="F5076">
        <f t="shared" si="319"/>
        <v>2704</v>
      </c>
    </row>
    <row r="5077" spans="1:6" x14ac:dyDescent="0.3">
      <c r="A5077">
        <v>70</v>
      </c>
      <c r="B5077">
        <v>102.5</v>
      </c>
      <c r="C5077">
        <f t="shared" si="316"/>
        <v>7175</v>
      </c>
      <c r="D5077">
        <f t="shared" si="317"/>
        <v>4900</v>
      </c>
      <c r="E5077">
        <f t="shared" si="318"/>
        <v>10506.25</v>
      </c>
      <c r="F5077">
        <f t="shared" si="319"/>
        <v>4900</v>
      </c>
    </row>
    <row r="5078" spans="1:6" x14ac:dyDescent="0.3">
      <c r="A5078">
        <v>34</v>
      </c>
      <c r="B5078">
        <v>174.37</v>
      </c>
      <c r="C5078">
        <f t="shared" si="316"/>
        <v>5928.58</v>
      </c>
      <c r="D5078">
        <f t="shared" si="317"/>
        <v>1156</v>
      </c>
      <c r="E5078">
        <f t="shared" si="318"/>
        <v>30404.896900000003</v>
      </c>
      <c r="F5078">
        <f t="shared" si="319"/>
        <v>1156</v>
      </c>
    </row>
    <row r="5079" spans="1:6" x14ac:dyDescent="0.3">
      <c r="A5079">
        <v>17</v>
      </c>
      <c r="B5079">
        <v>106.56</v>
      </c>
      <c r="C5079">
        <f t="shared" si="316"/>
        <v>1811.52</v>
      </c>
      <c r="D5079">
        <f t="shared" si="317"/>
        <v>289</v>
      </c>
      <c r="E5079">
        <f t="shared" si="318"/>
        <v>11355.033600000001</v>
      </c>
      <c r="F5079">
        <f t="shared" si="319"/>
        <v>289</v>
      </c>
    </row>
    <row r="5080" spans="1:6" x14ac:dyDescent="0.3">
      <c r="A5080">
        <v>8</v>
      </c>
      <c r="B5080">
        <v>76.31</v>
      </c>
      <c r="C5080">
        <f t="shared" si="316"/>
        <v>610.48</v>
      </c>
      <c r="D5080">
        <f t="shared" si="317"/>
        <v>64</v>
      </c>
      <c r="E5080">
        <f t="shared" si="318"/>
        <v>5823.2161000000006</v>
      </c>
      <c r="F5080">
        <f t="shared" si="319"/>
        <v>64</v>
      </c>
    </row>
    <row r="5081" spans="1:6" x14ac:dyDescent="0.3">
      <c r="A5081">
        <v>1.72</v>
      </c>
      <c r="B5081">
        <v>77.28</v>
      </c>
      <c r="C5081">
        <f t="shared" si="316"/>
        <v>132.92160000000001</v>
      </c>
      <c r="D5081">
        <f t="shared" si="317"/>
        <v>2.9583999999999997</v>
      </c>
      <c r="E5081">
        <f t="shared" si="318"/>
        <v>5972.1984000000002</v>
      </c>
      <c r="F5081">
        <f t="shared" si="319"/>
        <v>2.9583999999999997</v>
      </c>
    </row>
    <row r="5082" spans="1:6" x14ac:dyDescent="0.3">
      <c r="A5082">
        <v>29</v>
      </c>
      <c r="B5082">
        <v>90.52</v>
      </c>
      <c r="C5082">
        <f t="shared" si="316"/>
        <v>2625.08</v>
      </c>
      <c r="D5082">
        <f t="shared" si="317"/>
        <v>841</v>
      </c>
      <c r="E5082">
        <f t="shared" si="318"/>
        <v>8193.8703999999998</v>
      </c>
      <c r="F5082">
        <f t="shared" si="319"/>
        <v>841</v>
      </c>
    </row>
    <row r="5083" spans="1:6" x14ac:dyDescent="0.3">
      <c r="A5083">
        <v>55</v>
      </c>
      <c r="B5083">
        <v>108.35</v>
      </c>
      <c r="C5083">
        <f t="shared" si="316"/>
        <v>5959.25</v>
      </c>
      <c r="D5083">
        <f t="shared" si="317"/>
        <v>3025</v>
      </c>
      <c r="E5083">
        <f t="shared" si="318"/>
        <v>11739.722499999998</v>
      </c>
      <c r="F5083">
        <f t="shared" si="319"/>
        <v>3025</v>
      </c>
    </row>
    <row r="5084" spans="1:6" x14ac:dyDescent="0.3">
      <c r="A5084">
        <v>44</v>
      </c>
      <c r="B5084">
        <v>72.03</v>
      </c>
      <c r="C5084">
        <f t="shared" si="316"/>
        <v>3169.32</v>
      </c>
      <c r="D5084">
        <f t="shared" si="317"/>
        <v>1936</v>
      </c>
      <c r="E5084">
        <f t="shared" si="318"/>
        <v>5188.3208999999997</v>
      </c>
      <c r="F5084">
        <f t="shared" si="319"/>
        <v>1936</v>
      </c>
    </row>
    <row r="5085" spans="1:6" x14ac:dyDescent="0.3">
      <c r="A5085">
        <v>19</v>
      </c>
      <c r="B5085">
        <v>90.57</v>
      </c>
      <c r="C5085">
        <f t="shared" si="316"/>
        <v>1720.83</v>
      </c>
      <c r="D5085">
        <f t="shared" si="317"/>
        <v>361</v>
      </c>
      <c r="E5085">
        <f t="shared" si="318"/>
        <v>8202.9248999999982</v>
      </c>
      <c r="F5085">
        <f t="shared" si="319"/>
        <v>361</v>
      </c>
    </row>
    <row r="5086" spans="1:6" x14ac:dyDescent="0.3">
      <c r="A5086">
        <v>67</v>
      </c>
      <c r="B5086">
        <v>97.04</v>
      </c>
      <c r="C5086">
        <f t="shared" si="316"/>
        <v>6501.68</v>
      </c>
      <c r="D5086">
        <f t="shared" si="317"/>
        <v>4489</v>
      </c>
      <c r="E5086">
        <f t="shared" si="318"/>
        <v>9416.7616000000016</v>
      </c>
      <c r="F5086">
        <f t="shared" si="319"/>
        <v>4489</v>
      </c>
    </row>
    <row r="5087" spans="1:6" x14ac:dyDescent="0.3">
      <c r="A5087">
        <v>72</v>
      </c>
      <c r="B5087">
        <v>83.89</v>
      </c>
      <c r="C5087">
        <f t="shared" si="316"/>
        <v>6040.08</v>
      </c>
      <c r="D5087">
        <f t="shared" si="317"/>
        <v>5184</v>
      </c>
      <c r="E5087">
        <f t="shared" si="318"/>
        <v>7037.5321000000004</v>
      </c>
      <c r="F5087">
        <f t="shared" si="319"/>
        <v>5184</v>
      </c>
    </row>
    <row r="5088" spans="1:6" x14ac:dyDescent="0.3">
      <c r="A5088">
        <v>51</v>
      </c>
      <c r="B5088">
        <v>152.56</v>
      </c>
      <c r="C5088">
        <f t="shared" si="316"/>
        <v>7780.56</v>
      </c>
      <c r="D5088">
        <f t="shared" si="317"/>
        <v>2601</v>
      </c>
      <c r="E5088">
        <f t="shared" si="318"/>
        <v>23274.553599999999</v>
      </c>
      <c r="F5088">
        <f t="shared" si="319"/>
        <v>2601</v>
      </c>
    </row>
    <row r="5089" spans="1:6" x14ac:dyDescent="0.3">
      <c r="A5089">
        <v>63</v>
      </c>
      <c r="B5089">
        <v>75.930000000000007</v>
      </c>
      <c r="C5089">
        <f t="shared" si="316"/>
        <v>4783.59</v>
      </c>
      <c r="D5089">
        <f t="shared" si="317"/>
        <v>3969</v>
      </c>
      <c r="E5089">
        <f t="shared" si="318"/>
        <v>5765.3649000000014</v>
      </c>
      <c r="F5089">
        <f t="shared" si="319"/>
        <v>3969</v>
      </c>
    </row>
    <row r="5090" spans="1:6" x14ac:dyDescent="0.3">
      <c r="A5090">
        <v>64</v>
      </c>
      <c r="B5090">
        <v>76.89</v>
      </c>
      <c r="C5090">
        <f t="shared" si="316"/>
        <v>4920.96</v>
      </c>
      <c r="D5090">
        <f t="shared" si="317"/>
        <v>4096</v>
      </c>
      <c r="E5090">
        <f t="shared" si="318"/>
        <v>5912.0721000000003</v>
      </c>
      <c r="F5090">
        <f t="shared" si="319"/>
        <v>4096</v>
      </c>
    </row>
    <row r="5091" spans="1:6" x14ac:dyDescent="0.3">
      <c r="A5091">
        <v>0.72</v>
      </c>
      <c r="B5091">
        <v>62.13</v>
      </c>
      <c r="C5091">
        <f t="shared" si="316"/>
        <v>44.733600000000003</v>
      </c>
      <c r="D5091">
        <f t="shared" si="317"/>
        <v>0.51839999999999997</v>
      </c>
      <c r="E5091">
        <f t="shared" si="318"/>
        <v>3860.1369000000004</v>
      </c>
      <c r="F5091">
        <f t="shared" si="319"/>
        <v>0.51839999999999997</v>
      </c>
    </row>
    <row r="5092" spans="1:6" x14ac:dyDescent="0.3">
      <c r="A5092">
        <v>26</v>
      </c>
      <c r="B5092">
        <v>100.85</v>
      </c>
      <c r="C5092">
        <f t="shared" si="316"/>
        <v>2622.1</v>
      </c>
      <c r="D5092">
        <f t="shared" si="317"/>
        <v>676</v>
      </c>
      <c r="E5092">
        <f t="shared" si="318"/>
        <v>10170.722499999998</v>
      </c>
      <c r="F5092">
        <f t="shared" si="319"/>
        <v>676</v>
      </c>
    </row>
    <row r="5093" spans="1:6" x14ac:dyDescent="0.3">
      <c r="A5093">
        <v>59</v>
      </c>
      <c r="B5093">
        <v>95.05</v>
      </c>
      <c r="C5093">
        <f t="shared" si="316"/>
        <v>5607.95</v>
      </c>
      <c r="D5093">
        <f t="shared" si="317"/>
        <v>3481</v>
      </c>
      <c r="E5093">
        <f t="shared" si="318"/>
        <v>9034.5024999999987</v>
      </c>
      <c r="F5093">
        <f t="shared" si="319"/>
        <v>3481</v>
      </c>
    </row>
    <row r="5094" spans="1:6" x14ac:dyDescent="0.3">
      <c r="A5094">
        <v>76</v>
      </c>
      <c r="B5094">
        <v>82.35</v>
      </c>
      <c r="C5094">
        <f t="shared" si="316"/>
        <v>6258.5999999999995</v>
      </c>
      <c r="D5094">
        <f t="shared" si="317"/>
        <v>5776</v>
      </c>
      <c r="E5094">
        <f t="shared" si="318"/>
        <v>6781.5224999999991</v>
      </c>
      <c r="F5094">
        <f t="shared" si="319"/>
        <v>5776</v>
      </c>
    </row>
    <row r="5095" spans="1:6" x14ac:dyDescent="0.3">
      <c r="A5095">
        <v>45</v>
      </c>
      <c r="B5095">
        <v>95.02</v>
      </c>
      <c r="C5095">
        <f t="shared" si="316"/>
        <v>4275.8999999999996</v>
      </c>
      <c r="D5095">
        <f t="shared" si="317"/>
        <v>2025</v>
      </c>
      <c r="E5095">
        <f t="shared" si="318"/>
        <v>9028.8004000000001</v>
      </c>
      <c r="F5095">
        <f t="shared" si="319"/>
        <v>2025</v>
      </c>
    </row>
    <row r="5096" spans="1:6" x14ac:dyDescent="0.3">
      <c r="A5096">
        <v>13</v>
      </c>
      <c r="B5096">
        <v>82.38</v>
      </c>
      <c r="C5096">
        <f t="shared" si="316"/>
        <v>1070.94</v>
      </c>
      <c r="D5096">
        <f t="shared" si="317"/>
        <v>169</v>
      </c>
      <c r="E5096">
        <f t="shared" si="318"/>
        <v>6786.4643999999989</v>
      </c>
      <c r="F5096">
        <f t="shared" si="319"/>
        <v>169</v>
      </c>
    </row>
    <row r="5097" spans="1:6" x14ac:dyDescent="0.3">
      <c r="A5097">
        <v>1.08</v>
      </c>
      <c r="B5097">
        <v>79.150000000000006</v>
      </c>
      <c r="C5097">
        <f t="shared" si="316"/>
        <v>85.482000000000014</v>
      </c>
      <c r="D5097">
        <f t="shared" si="317"/>
        <v>1.1664000000000001</v>
      </c>
      <c r="E5097">
        <f t="shared" si="318"/>
        <v>6264.7225000000008</v>
      </c>
      <c r="F5097">
        <f t="shared" si="319"/>
        <v>1.1664000000000001</v>
      </c>
    </row>
    <row r="5098" spans="1:6" x14ac:dyDescent="0.3">
      <c r="A5098">
        <v>57</v>
      </c>
      <c r="B5098">
        <v>76.62</v>
      </c>
      <c r="C5098">
        <f t="shared" si="316"/>
        <v>4367.34</v>
      </c>
      <c r="D5098">
        <f t="shared" si="317"/>
        <v>3249</v>
      </c>
      <c r="E5098">
        <f t="shared" si="318"/>
        <v>5870.6244000000006</v>
      </c>
      <c r="F5098">
        <f t="shared" si="319"/>
        <v>3249</v>
      </c>
    </row>
    <row r="5099" spans="1:6" x14ac:dyDescent="0.3">
      <c r="A5099">
        <v>68</v>
      </c>
      <c r="B5099">
        <v>91.68</v>
      </c>
      <c r="C5099">
        <f t="shared" si="316"/>
        <v>6234.2400000000007</v>
      </c>
      <c r="D5099">
        <f t="shared" si="317"/>
        <v>4624</v>
      </c>
      <c r="E5099">
        <f t="shared" si="318"/>
        <v>8405.2224000000006</v>
      </c>
      <c r="F5099">
        <f t="shared" si="319"/>
        <v>4624</v>
      </c>
    </row>
    <row r="5100" spans="1:6" x14ac:dyDescent="0.3">
      <c r="A5100">
        <v>9</v>
      </c>
      <c r="B5100">
        <v>71.88</v>
      </c>
      <c r="C5100">
        <f t="shared" si="316"/>
        <v>646.91999999999996</v>
      </c>
      <c r="D5100">
        <f t="shared" si="317"/>
        <v>81</v>
      </c>
      <c r="E5100">
        <f t="shared" si="318"/>
        <v>5166.7343999999994</v>
      </c>
      <c r="F5100">
        <f t="shared" si="319"/>
        <v>81</v>
      </c>
    </row>
    <row r="5101" spans="1:6" x14ac:dyDescent="0.3">
      <c r="A5101">
        <v>40</v>
      </c>
      <c r="B5101">
        <v>83.94</v>
      </c>
      <c r="C5101">
        <f t="shared" si="316"/>
        <v>3357.6</v>
      </c>
      <c r="D5101">
        <f t="shared" si="317"/>
        <v>1600</v>
      </c>
      <c r="E5101">
        <f t="shared" si="318"/>
        <v>7045.9235999999992</v>
      </c>
      <c r="F5101">
        <f t="shared" si="319"/>
        <v>1600</v>
      </c>
    </row>
    <row r="5102" spans="1:6" x14ac:dyDescent="0.3">
      <c r="A5102">
        <v>82</v>
      </c>
      <c r="B5102">
        <v>71.97</v>
      </c>
      <c r="C5102">
        <f t="shared" si="316"/>
        <v>5901.54</v>
      </c>
      <c r="D5102">
        <f t="shared" si="317"/>
        <v>6724</v>
      </c>
      <c r="E5102">
        <f t="shared" si="318"/>
        <v>5179.6808999999994</v>
      </c>
      <c r="F5102">
        <f t="shared" si="319"/>
        <v>6724</v>
      </c>
    </row>
    <row r="5103" spans="1:6" x14ac:dyDescent="0.3">
      <c r="A5103">
        <v>45</v>
      </c>
      <c r="B5103">
        <v>97.95</v>
      </c>
      <c r="C5103">
        <f t="shared" si="316"/>
        <v>4407.75</v>
      </c>
      <c r="D5103">
        <f t="shared" si="317"/>
        <v>2025</v>
      </c>
      <c r="E5103">
        <f t="shared" si="318"/>
        <v>9594.2025000000012</v>
      </c>
      <c r="F5103">
        <f t="shared" si="319"/>
        <v>2025</v>
      </c>
    </row>
    <row r="5104" spans="1:6" x14ac:dyDescent="0.3">
      <c r="A5104">
        <v>57</v>
      </c>
      <c r="B5104">
        <v>77.930000000000007</v>
      </c>
      <c r="C5104">
        <f t="shared" si="316"/>
        <v>4442.01</v>
      </c>
      <c r="D5104">
        <f t="shared" si="317"/>
        <v>3249</v>
      </c>
      <c r="E5104">
        <f t="shared" si="318"/>
        <v>6073.0849000000007</v>
      </c>
      <c r="F5104">
        <f t="shared" si="319"/>
        <v>3249</v>
      </c>
    </row>
    <row r="5105" spans="1:6" x14ac:dyDescent="0.3">
      <c r="A5105">
        <v>18</v>
      </c>
      <c r="B5105">
        <v>82.85</v>
      </c>
      <c r="C5105">
        <f t="shared" si="316"/>
        <v>1491.3</v>
      </c>
      <c r="D5105">
        <f t="shared" si="317"/>
        <v>324</v>
      </c>
      <c r="E5105">
        <f t="shared" si="318"/>
        <v>6864.1224999999995</v>
      </c>
      <c r="F5105">
        <f t="shared" si="319"/>
        <v>324</v>
      </c>
    </row>
    <row r="5106" spans="1:6" x14ac:dyDescent="0.3">
      <c r="A5106">
        <v>13</v>
      </c>
      <c r="B5106">
        <v>103.08</v>
      </c>
      <c r="C5106">
        <f t="shared" si="316"/>
        <v>1340.04</v>
      </c>
      <c r="D5106">
        <f t="shared" si="317"/>
        <v>169</v>
      </c>
      <c r="E5106">
        <f t="shared" si="318"/>
        <v>10625.4864</v>
      </c>
      <c r="F5106">
        <f t="shared" si="319"/>
        <v>169</v>
      </c>
    </row>
    <row r="5107" spans="1:6" x14ac:dyDescent="0.3">
      <c r="A5107">
        <v>80</v>
      </c>
      <c r="B5107">
        <v>83.75</v>
      </c>
      <c r="C5107">
        <f t="shared" si="316"/>
        <v>6700</v>
      </c>
      <c r="D5107">
        <f t="shared" si="317"/>
        <v>6400</v>
      </c>
      <c r="E5107">
        <f t="shared" si="318"/>
        <v>7014.0625</v>
      </c>
      <c r="F5107">
        <f t="shared" si="319"/>
        <v>6400</v>
      </c>
    </row>
    <row r="5108" spans="1:6" x14ac:dyDescent="0.3">
      <c r="A5108">
        <v>81</v>
      </c>
      <c r="B5108">
        <v>125.2</v>
      </c>
      <c r="C5108">
        <f t="shared" si="316"/>
        <v>10141.200000000001</v>
      </c>
      <c r="D5108">
        <f t="shared" si="317"/>
        <v>6561</v>
      </c>
      <c r="E5108">
        <f t="shared" si="318"/>
        <v>15675.04</v>
      </c>
      <c r="F5108">
        <f t="shared" si="319"/>
        <v>6561</v>
      </c>
    </row>
    <row r="5109" spans="1:6" x14ac:dyDescent="0.3">
      <c r="A5109">
        <v>35</v>
      </c>
      <c r="B5109">
        <v>82.99</v>
      </c>
      <c r="C5109">
        <f t="shared" si="316"/>
        <v>2904.6499999999996</v>
      </c>
      <c r="D5109">
        <f t="shared" si="317"/>
        <v>1225</v>
      </c>
      <c r="E5109">
        <f t="shared" si="318"/>
        <v>6887.3400999999994</v>
      </c>
      <c r="F5109">
        <f t="shared" si="319"/>
        <v>1225</v>
      </c>
    </row>
    <row r="5110" spans="1:6" x14ac:dyDescent="0.3">
      <c r="A5110">
        <v>51</v>
      </c>
      <c r="B5110">
        <v>166.29</v>
      </c>
      <c r="C5110">
        <f t="shared" si="316"/>
        <v>8480.7899999999991</v>
      </c>
      <c r="D5110">
        <f t="shared" si="317"/>
        <v>2601</v>
      </c>
      <c r="E5110">
        <f t="shared" si="318"/>
        <v>27652.364099999999</v>
      </c>
      <c r="F5110">
        <f t="shared" si="319"/>
        <v>2601</v>
      </c>
    </row>
    <row r="5111" spans="1:6" x14ac:dyDescent="0.3">
      <c r="A5111">
        <v>44</v>
      </c>
      <c r="B5111">
        <v>85.28</v>
      </c>
      <c r="C5111">
        <f t="shared" si="316"/>
        <v>3752.32</v>
      </c>
      <c r="D5111">
        <f t="shared" si="317"/>
        <v>1936</v>
      </c>
      <c r="E5111">
        <f t="shared" si="318"/>
        <v>7272.6783999999998</v>
      </c>
      <c r="F5111">
        <f t="shared" si="319"/>
        <v>1936</v>
      </c>
    </row>
    <row r="5112" spans="1:6" x14ac:dyDescent="0.3">
      <c r="A5112">
        <f>SUM(A1:A5111)</f>
        <v>220888.00000000006</v>
      </c>
      <c r="B5112">
        <f>SUM(B2:B5111)</f>
        <v>542414.62999999919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ariq ikbar</cp:lastModifiedBy>
  <dcterms:created xsi:type="dcterms:W3CDTF">2025-10-06T13:50:37Z</dcterms:created>
  <dcterms:modified xsi:type="dcterms:W3CDTF">2025-10-06T18:13:01Z</dcterms:modified>
</cp:coreProperties>
</file>